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acr4002\Downloads\cov_examples_to_run\"/>
    </mc:Choice>
  </mc:AlternateContent>
  <xr:revisionPtr revIDLastSave="0" documentId="8_{48F0DA2A-F8B6-4A79-B697-DE6D79BCCE96}" xr6:coauthVersionLast="47" xr6:coauthVersionMax="47" xr10:uidLastSave="{00000000-0000-0000-0000-000000000000}"/>
  <bookViews>
    <workbookView xWindow="-120" yWindow="-120" windowWidth="29040" windowHeight="15720" firstSheet="1" activeTab="2" xr2:uid="{665A52BE-4E7B-4E7D-A4C8-E1D6C219C7EB}"/>
  </bookViews>
  <sheets>
    <sheet name="Hoja2" sheetId="2" state="hidden" r:id="rId1"/>
    <sheet name="D. Shipments" sheetId="4" r:id="rId2"/>
    <sheet name="Shipments" sheetId="1" r:id="rId3"/>
    <sheet name="Hoja5" sheetId="5" r:id="rId4"/>
    <sheet name="D. HairCare ST" sheetId="7" r:id="rId5"/>
    <sheet name="HairCare ST" sheetId="6" r:id="rId6"/>
    <sheet name="D. HairColor ST" sheetId="8" r:id="rId7"/>
    <sheet name="HairColor ST" sheetId="9" r:id="rId8"/>
  </sheets>
  <externalReferences>
    <externalReference r:id="rId9"/>
  </externalReferences>
  <definedNames>
    <definedName name="_xlnm._FilterDatabase" localSheetId="0" hidden="1">Hoja2!$A$25:$AF$31</definedName>
    <definedName name="_xlnm._FilterDatabase" localSheetId="2" hidden="1">Shipments!$D$1:$AW$1728</definedName>
  </definedNames>
  <calcPr calcId="191028"/>
  <pivotCaches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2" i="1"/>
  <c r="L292" i="4" a="1"/>
  <c r="L292" i="4" s="1"/>
  <c r="F292" i="4" a="1"/>
  <c r="F292" i="4" s="1"/>
  <c r="AK282" i="4"/>
  <c r="AK292" i="4" s="1" a="1"/>
  <c r="AK292" i="4" s="1"/>
  <c r="AJ282" i="4"/>
  <c r="AJ340" i="4" s="1" a="1"/>
  <c r="AJ340" i="4" s="1"/>
  <c r="AI282" i="4"/>
  <c r="AI292" i="4" s="1" a="1"/>
  <c r="AI292" i="4" s="1"/>
  <c r="AH282" i="4"/>
  <c r="AH292" i="4" s="1" a="1"/>
  <c r="AH292" i="4" s="1"/>
  <c r="AG282" i="4"/>
  <c r="AG292" i="4" s="1" a="1"/>
  <c r="AG292" i="4" s="1"/>
  <c r="AF282" i="4"/>
  <c r="AF292" i="4" s="1" a="1"/>
  <c r="AF292" i="4" s="1"/>
  <c r="AE282" i="4"/>
  <c r="AE292" i="4" s="1" a="1"/>
  <c r="AE292" i="4" s="1"/>
  <c r="AD282" i="4"/>
  <c r="AD340" i="4" s="1" a="1"/>
  <c r="AD340" i="4" s="1"/>
  <c r="AC282" i="4"/>
  <c r="AC340" i="4" s="1" a="1"/>
  <c r="AC340" i="4" s="1"/>
  <c r="AB282" i="4"/>
  <c r="AB340" i="4" s="1" a="1"/>
  <c r="AB340" i="4" s="1"/>
  <c r="AA282" i="4"/>
  <c r="AA292" i="4" s="1" a="1"/>
  <c r="AA292" i="4" s="1"/>
  <c r="Z282" i="4"/>
  <c r="Z292" i="4" s="1" a="1"/>
  <c r="Z292" i="4" s="1"/>
  <c r="Y282" i="4"/>
  <c r="Y292" i="4" s="1" a="1"/>
  <c r="Y292" i="4" s="1"/>
  <c r="X282" i="4"/>
  <c r="X292" i="4" s="1" a="1"/>
  <c r="X292" i="4" s="1"/>
  <c r="W282" i="4"/>
  <c r="W340" i="4" s="1" a="1"/>
  <c r="W340" i="4" s="1"/>
  <c r="V282" i="4"/>
  <c r="V340" i="4" s="1" a="1"/>
  <c r="V340" i="4" s="1"/>
  <c r="U282" i="4"/>
  <c r="U340" i="4" s="1" a="1"/>
  <c r="U340" i="4" s="1"/>
  <c r="T282" i="4"/>
  <c r="T340" i="4" s="1" a="1"/>
  <c r="T340" i="4" s="1"/>
  <c r="S282" i="4"/>
  <c r="S292" i="4" s="1" a="1"/>
  <c r="S292" i="4" s="1"/>
  <c r="R282" i="4"/>
  <c r="R292" i="4" s="1" a="1"/>
  <c r="R292" i="4" s="1"/>
  <c r="Q282" i="4"/>
  <c r="Q340" i="4" s="1" a="1"/>
  <c r="Q340" i="4" s="1"/>
  <c r="P282" i="4"/>
  <c r="P340" i="4" s="1" a="1"/>
  <c r="P340" i="4" s="1"/>
  <c r="O282" i="4"/>
  <c r="O340" i="4" s="1" a="1"/>
  <c r="O340" i="4" s="1"/>
  <c r="N282" i="4"/>
  <c r="N340" i="4" s="1" a="1"/>
  <c r="N340" i="4" s="1"/>
  <c r="M282" i="4"/>
  <c r="M292" i="4" s="1" a="1"/>
  <c r="M292" i="4" s="1"/>
  <c r="L282" i="4"/>
  <c r="L340" i="4" s="1" a="1"/>
  <c r="L340" i="4" s="1"/>
  <c r="K282" i="4"/>
  <c r="K292" i="4" s="1" a="1"/>
  <c r="K292" i="4" s="1"/>
  <c r="J282" i="4"/>
  <c r="J340" i="4" s="1" a="1"/>
  <c r="J340" i="4" s="1"/>
  <c r="I282" i="4"/>
  <c r="I340" i="4" s="1" a="1"/>
  <c r="I340" i="4" s="1"/>
  <c r="H282" i="4"/>
  <c r="H340" i="4" s="1" a="1"/>
  <c r="H340" i="4" s="1"/>
  <c r="G282" i="4"/>
  <c r="G340" i="4" s="1" a="1"/>
  <c r="G340" i="4" s="1"/>
  <c r="F282" i="4"/>
  <c r="F340" i="4" s="1" a="1"/>
  <c r="F340" i="4" s="1"/>
  <c r="E282" i="4"/>
  <c r="E340" i="4" s="1" a="1"/>
  <c r="E340" i="4" s="1"/>
  <c r="D282" i="4"/>
  <c r="D340" i="4" s="1" a="1"/>
  <c r="D340" i="4" s="1"/>
  <c r="C282" i="4"/>
  <c r="C340" i="4" s="1" a="1"/>
  <c r="C340" i="4" s="1"/>
  <c r="B282" i="4"/>
  <c r="B340" i="4" s="1" a="1"/>
  <c r="B340" i="4" s="1"/>
  <c r="AM255" i="4"/>
  <c r="AL255" i="4"/>
  <c r="AM254" i="4"/>
  <c r="AL254" i="4"/>
  <c r="AM253" i="4"/>
  <c r="AL253" i="4"/>
  <c r="AM252" i="4"/>
  <c r="AL252" i="4"/>
  <c r="AM251" i="4"/>
  <c r="AL251" i="4"/>
  <c r="AM250" i="4"/>
  <c r="AL250" i="4"/>
  <c r="AM246" i="4"/>
  <c r="AL246" i="4"/>
  <c r="AM245" i="4"/>
  <c r="AL245" i="4"/>
  <c r="AM244" i="4"/>
  <c r="AL244" i="4"/>
  <c r="AM243" i="4"/>
  <c r="AL243" i="4"/>
  <c r="AM242" i="4"/>
  <c r="AL242" i="4"/>
  <c r="AP242" i="4" s="1"/>
  <c r="AS263" i="4" s="1"/>
  <c r="AM241" i="4"/>
  <c r="AP241" i="4" s="1"/>
  <c r="AS259" i="4" s="1"/>
  <c r="AL241" i="4"/>
  <c r="AK260" i="4" a="1"/>
  <c r="AK260" i="4" s="1"/>
  <c r="AJ260" i="4" a="1"/>
  <c r="AJ260" i="4" s="1"/>
  <c r="AI260" i="4" a="1"/>
  <c r="AI260" i="4" s="1"/>
  <c r="AH260" i="4" a="1"/>
  <c r="AH260" i="4" s="1"/>
  <c r="AG260" i="4" a="1"/>
  <c r="AG260" i="4" s="1"/>
  <c r="AF260" i="4" a="1"/>
  <c r="AF260" i="4" s="1"/>
  <c r="AE260" i="4" a="1"/>
  <c r="AE260" i="4" s="1"/>
  <c r="AD260" i="4" a="1"/>
  <c r="AD260" i="4" s="1"/>
  <c r="AC260" i="4" a="1"/>
  <c r="AC260" i="4" s="1"/>
  <c r="AB260" i="4" a="1"/>
  <c r="AB260" i="4" s="1"/>
  <c r="AA260" i="4" a="1"/>
  <c r="AA260" i="4" s="1"/>
  <c r="Z260" i="4" a="1"/>
  <c r="Z260" i="4" s="1"/>
  <c r="Y260" i="4" a="1"/>
  <c r="Y260" i="4" s="1"/>
  <c r="X260" i="4" a="1"/>
  <c r="X260" i="4" s="1"/>
  <c r="W260" i="4" a="1"/>
  <c r="W260" i="4" s="1"/>
  <c r="V260" i="4" a="1"/>
  <c r="V260" i="4" s="1"/>
  <c r="U260" i="4" a="1"/>
  <c r="U260" i="4" s="1"/>
  <c r="T260" i="4" a="1"/>
  <c r="T260" i="4" s="1"/>
  <c r="S260" i="4" a="1"/>
  <c r="S260" i="4" s="1"/>
  <c r="R260" i="4" a="1"/>
  <c r="R260" i="4" s="1"/>
  <c r="Q260" i="4" a="1"/>
  <c r="Q260" i="4" s="1"/>
  <c r="P260" i="4" a="1"/>
  <c r="P260" i="4" s="1"/>
  <c r="O260" i="4" a="1"/>
  <c r="O260" i="4" s="1"/>
  <c r="N260" i="4" a="1"/>
  <c r="N260" i="4" s="1"/>
  <c r="M260" i="4" a="1"/>
  <c r="M260" i="4" s="1"/>
  <c r="L260" i="4" a="1"/>
  <c r="L260" i="4" s="1"/>
  <c r="K260" i="4" a="1"/>
  <c r="K260" i="4" s="1"/>
  <c r="J260" i="4" a="1"/>
  <c r="J260" i="4" s="1"/>
  <c r="I260" i="4" a="1"/>
  <c r="I260" i="4" s="1"/>
  <c r="H260" i="4" a="1"/>
  <c r="H260" i="4" s="1"/>
  <c r="G260" i="4" a="1"/>
  <c r="G260" i="4" s="1"/>
  <c r="F260" i="4" a="1"/>
  <c r="F260" i="4" s="1"/>
  <c r="E260" i="4" a="1"/>
  <c r="E260" i="4" s="1"/>
  <c r="D260" i="4" a="1"/>
  <c r="D260" i="4" s="1"/>
  <c r="C260" i="4" a="1"/>
  <c r="C260" i="4" s="1"/>
  <c r="AK259" i="4" a="1"/>
  <c r="AK259" i="4" s="1"/>
  <c r="AJ259" i="4" a="1"/>
  <c r="AJ259" i="4" s="1"/>
  <c r="AI259" i="4" a="1"/>
  <c r="AI259" i="4" s="1"/>
  <c r="AH259" i="4" a="1"/>
  <c r="AH259" i="4" s="1"/>
  <c r="AG259" i="4" a="1"/>
  <c r="AG259" i="4" s="1"/>
  <c r="AF259" i="4" a="1"/>
  <c r="AF259" i="4" s="1"/>
  <c r="AE259" i="4" a="1"/>
  <c r="AE259" i="4" s="1"/>
  <c r="AD259" i="4" a="1"/>
  <c r="AD259" i="4" s="1"/>
  <c r="AC259" i="4" a="1"/>
  <c r="AC259" i="4" s="1"/>
  <c r="AB259" i="4" a="1"/>
  <c r="AB259" i="4" s="1"/>
  <c r="AA259" i="4" a="1"/>
  <c r="AA259" i="4" s="1"/>
  <c r="Z259" i="4" a="1"/>
  <c r="Z259" i="4" s="1"/>
  <c r="Y259" i="4" a="1"/>
  <c r="Y259" i="4" s="1"/>
  <c r="X259" i="4" a="1"/>
  <c r="X259" i="4" s="1"/>
  <c r="W259" i="4" a="1"/>
  <c r="W259" i="4" s="1"/>
  <c r="V259" i="4" a="1"/>
  <c r="V259" i="4" s="1"/>
  <c r="U259" i="4" a="1"/>
  <c r="U259" i="4" s="1"/>
  <c r="T259" i="4" a="1"/>
  <c r="T259" i="4" s="1"/>
  <c r="S259" i="4" a="1"/>
  <c r="S259" i="4" s="1"/>
  <c r="R259" i="4" a="1"/>
  <c r="R259" i="4" s="1"/>
  <c r="Q259" i="4" a="1"/>
  <c r="Q259" i="4" s="1"/>
  <c r="P259" i="4" a="1"/>
  <c r="P259" i="4" s="1"/>
  <c r="O259" i="4" a="1"/>
  <c r="O259" i="4" s="1"/>
  <c r="N259" i="4" a="1"/>
  <c r="N259" i="4" s="1"/>
  <c r="M259" i="4" a="1"/>
  <c r="M259" i="4" s="1"/>
  <c r="L259" i="4" a="1"/>
  <c r="L259" i="4" s="1"/>
  <c r="K259" i="4" a="1"/>
  <c r="K259" i="4" s="1"/>
  <c r="J259" i="4" a="1"/>
  <c r="J259" i="4" s="1"/>
  <c r="I259" i="4" a="1"/>
  <c r="I259" i="4" s="1"/>
  <c r="H259" i="4" a="1"/>
  <c r="H259" i="4" s="1"/>
  <c r="G259" i="4" a="1"/>
  <c r="G259" i="4" s="1"/>
  <c r="F259" i="4" a="1"/>
  <c r="F259" i="4" s="1"/>
  <c r="E259" i="4" a="1"/>
  <c r="E259" i="4" s="1"/>
  <c r="D259" i="4" a="1"/>
  <c r="D259" i="4" s="1"/>
  <c r="C259" i="4" a="1"/>
  <c r="C259" i="4" s="1"/>
  <c r="B260" i="4" a="1"/>
  <c r="B260" i="4" s="1"/>
  <c r="B259" i="4" a="1"/>
  <c r="B259" i="4" s="1"/>
  <c r="AJ256" i="4"/>
  <c r="AI256" i="4"/>
  <c r="AD256" i="4"/>
  <c r="AC256" i="4"/>
  <c r="AB256" i="4"/>
  <c r="V256" i="4"/>
  <c r="U256" i="4"/>
  <c r="T256" i="4"/>
  <c r="S256" i="4"/>
  <c r="K256" i="4"/>
  <c r="E256" i="4"/>
  <c r="D256" i="4"/>
  <c r="C256" i="4"/>
  <c r="AG256" i="4"/>
  <c r="AF256" i="4"/>
  <c r="AE256" i="4"/>
  <c r="Y256" i="4"/>
  <c r="X256" i="4"/>
  <c r="W256" i="4"/>
  <c r="Q256" i="4"/>
  <c r="P256" i="4"/>
  <c r="O256" i="4"/>
  <c r="I256" i="4"/>
  <c r="H256" i="4"/>
  <c r="G25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K318" i="4"/>
  <c r="AK362" i="4" s="1" a="1"/>
  <c r="AK362" i="4" s="1"/>
  <c r="AJ318" i="4"/>
  <c r="AJ362" i="4" s="1" a="1"/>
  <c r="AJ362" i="4" s="1"/>
  <c r="AI318" i="4"/>
  <c r="AI362" i="4" s="1" a="1"/>
  <c r="AI362" i="4" s="1"/>
  <c r="AH318" i="4"/>
  <c r="AH362" i="4" s="1" a="1"/>
  <c r="AH362" i="4" s="1"/>
  <c r="AG318" i="4"/>
  <c r="AG362" i="4" s="1" a="1"/>
  <c r="AG362" i="4" s="1"/>
  <c r="AF318" i="4"/>
  <c r="AF322" i="4" s="1" a="1"/>
  <c r="AF322" i="4" s="1"/>
  <c r="AE318" i="4"/>
  <c r="AE322" i="4" s="1" a="1"/>
  <c r="AE322" i="4" s="1"/>
  <c r="AD318" i="4"/>
  <c r="AD322" i="4" s="1" a="1"/>
  <c r="AD322" i="4" s="1"/>
  <c r="AC318" i="4"/>
  <c r="AC362" i="4" s="1" a="1"/>
  <c r="AC362" i="4" s="1"/>
  <c r="AB318" i="4"/>
  <c r="AB362" i="4" s="1" a="1"/>
  <c r="AB362" i="4" s="1"/>
  <c r="AA318" i="4"/>
  <c r="AA362" i="4" s="1" a="1"/>
  <c r="AA362" i="4" s="1"/>
  <c r="Z318" i="4"/>
  <c r="Z362" i="4" s="1" a="1"/>
  <c r="Z362" i="4" s="1"/>
  <c r="Y318" i="4"/>
  <c r="Y362" i="4" s="1" a="1"/>
  <c r="Y362" i="4" s="1"/>
  <c r="X318" i="4"/>
  <c r="X322" i="4" s="1" a="1"/>
  <c r="X322" i="4" s="1"/>
  <c r="W318" i="4"/>
  <c r="W322" i="4" s="1" a="1"/>
  <c r="W322" i="4" s="1"/>
  <c r="V318" i="4"/>
  <c r="V322" i="4" s="1" a="1"/>
  <c r="V322" i="4" s="1"/>
  <c r="U318" i="4"/>
  <c r="U362" i="4" s="1" a="1"/>
  <c r="U362" i="4" s="1"/>
  <c r="T318" i="4"/>
  <c r="T362" i="4" s="1" a="1"/>
  <c r="T362" i="4" s="1"/>
  <c r="S318" i="4"/>
  <c r="S362" i="4" s="1" a="1"/>
  <c r="S362" i="4" s="1"/>
  <c r="R318" i="4"/>
  <c r="R362" i="4" s="1" a="1"/>
  <c r="R362" i="4" s="1"/>
  <c r="Q318" i="4"/>
  <c r="Q362" i="4" s="1" a="1"/>
  <c r="Q362" i="4" s="1"/>
  <c r="P318" i="4"/>
  <c r="P322" i="4" s="1" a="1"/>
  <c r="P322" i="4" s="1"/>
  <c r="O318" i="4"/>
  <c r="O322" i="4" s="1" a="1"/>
  <c r="O322" i="4" s="1"/>
  <c r="N318" i="4"/>
  <c r="N322" i="4" s="1" a="1"/>
  <c r="N322" i="4" s="1"/>
  <c r="M318" i="4"/>
  <c r="M362" i="4" s="1" a="1"/>
  <c r="M362" i="4" s="1"/>
  <c r="L318" i="4"/>
  <c r="L362" i="4" s="1" a="1"/>
  <c r="L362" i="4" s="1"/>
  <c r="K318" i="4"/>
  <c r="K362" i="4" s="1" a="1"/>
  <c r="K362" i="4" s="1"/>
  <c r="J318" i="4"/>
  <c r="J362" i="4" s="1" a="1"/>
  <c r="J362" i="4" s="1"/>
  <c r="I318" i="4"/>
  <c r="I362" i="4" s="1" a="1"/>
  <c r="I362" i="4" s="1"/>
  <c r="H318" i="4"/>
  <c r="H322" i="4" s="1" a="1"/>
  <c r="H322" i="4" s="1"/>
  <c r="G318" i="4"/>
  <c r="G322" i="4" s="1" a="1"/>
  <c r="G322" i="4" s="1"/>
  <c r="F318" i="4"/>
  <c r="F322" i="4" s="1" a="1"/>
  <c r="F322" i="4" s="1"/>
  <c r="E318" i="4"/>
  <c r="E362" i="4" s="1" a="1"/>
  <c r="E362" i="4" s="1"/>
  <c r="D318" i="4"/>
  <c r="D362" i="4" s="1" a="1"/>
  <c r="D362" i="4" s="1"/>
  <c r="C318" i="4"/>
  <c r="C362" i="4" s="1" a="1"/>
  <c r="C362" i="4" s="1"/>
  <c r="B318" i="4"/>
  <c r="B322" i="4" s="1" a="1"/>
  <c r="B322" i="4" s="1"/>
  <c r="AK313" i="4"/>
  <c r="AK361" i="4" s="1" a="1"/>
  <c r="AK361" i="4" s="1"/>
  <c r="AJ313" i="4"/>
  <c r="AJ321" i="4" s="1" a="1"/>
  <c r="AJ321" i="4" s="1"/>
  <c r="AI313" i="4"/>
  <c r="AI321" i="4" s="1" a="1"/>
  <c r="AI321" i="4" s="1"/>
  <c r="AH313" i="4"/>
  <c r="AH321" i="4" s="1" a="1"/>
  <c r="AH321" i="4" s="1"/>
  <c r="AG313" i="4"/>
  <c r="AG361" i="4" s="1" a="1"/>
  <c r="AG361" i="4" s="1"/>
  <c r="AF313" i="4"/>
  <c r="AF361" i="4" s="1" a="1"/>
  <c r="AF361" i="4" s="1"/>
  <c r="AE313" i="4"/>
  <c r="AE361" i="4" s="1" a="1"/>
  <c r="AE361" i="4" s="1"/>
  <c r="AD313" i="4"/>
  <c r="AD361" i="4" s="1" a="1"/>
  <c r="AD361" i="4" s="1"/>
  <c r="AC313" i="4"/>
  <c r="AC361" i="4" s="1" a="1"/>
  <c r="AC361" i="4" s="1"/>
  <c r="AB313" i="4"/>
  <c r="AB321" i="4" s="1" a="1"/>
  <c r="AB321" i="4" s="1"/>
  <c r="AA313" i="4"/>
  <c r="AA321" i="4" s="1" a="1"/>
  <c r="AA321" i="4" s="1"/>
  <c r="Z313" i="4"/>
  <c r="Z321" i="4" s="1" a="1"/>
  <c r="Z321" i="4" s="1"/>
  <c r="Y313" i="4"/>
  <c r="Y361" i="4" s="1" a="1"/>
  <c r="Y361" i="4" s="1"/>
  <c r="X313" i="4"/>
  <c r="X361" i="4" s="1" a="1"/>
  <c r="X361" i="4" s="1"/>
  <c r="W313" i="4"/>
  <c r="W361" i="4" s="1" a="1"/>
  <c r="W361" i="4" s="1"/>
  <c r="V313" i="4"/>
  <c r="V361" i="4" s="1" a="1"/>
  <c r="V361" i="4" s="1"/>
  <c r="U313" i="4"/>
  <c r="U361" i="4" s="1" a="1"/>
  <c r="U361" i="4" s="1"/>
  <c r="T313" i="4"/>
  <c r="T321" i="4" s="1" a="1"/>
  <c r="T321" i="4" s="1"/>
  <c r="S313" i="4"/>
  <c r="S321" i="4" s="1" a="1"/>
  <c r="S321" i="4" s="1"/>
  <c r="R313" i="4"/>
  <c r="R321" i="4" s="1" a="1"/>
  <c r="R321" i="4" s="1"/>
  <c r="Q313" i="4"/>
  <c r="Q361" i="4" s="1" a="1"/>
  <c r="Q361" i="4" s="1"/>
  <c r="P313" i="4"/>
  <c r="P361" i="4" s="1" a="1"/>
  <c r="P361" i="4" s="1"/>
  <c r="O313" i="4"/>
  <c r="O361" i="4" s="1" a="1"/>
  <c r="O361" i="4" s="1"/>
  <c r="N313" i="4"/>
  <c r="N361" i="4" s="1" a="1"/>
  <c r="N361" i="4" s="1"/>
  <c r="M313" i="4"/>
  <c r="M361" i="4" s="1" a="1"/>
  <c r="M361" i="4" s="1"/>
  <c r="L313" i="4"/>
  <c r="L321" i="4" s="1" a="1"/>
  <c r="L321" i="4" s="1"/>
  <c r="K313" i="4"/>
  <c r="K321" i="4" s="1" a="1"/>
  <c r="K321" i="4" s="1"/>
  <c r="J313" i="4"/>
  <c r="J321" i="4" s="1" a="1"/>
  <c r="J321" i="4" s="1"/>
  <c r="I313" i="4"/>
  <c r="I361" i="4" s="1" a="1"/>
  <c r="I361" i="4" s="1"/>
  <c r="H313" i="4"/>
  <c r="H361" i="4" s="1" a="1"/>
  <c r="H361" i="4" s="1"/>
  <c r="G313" i="4"/>
  <c r="G361" i="4" s="1" a="1"/>
  <c r="G361" i="4" s="1"/>
  <c r="F313" i="4"/>
  <c r="F361" i="4" s="1" a="1"/>
  <c r="F361" i="4" s="1"/>
  <c r="E313" i="4"/>
  <c r="E361" i="4" s="1" a="1"/>
  <c r="E361" i="4" s="1"/>
  <c r="D313" i="4"/>
  <c r="D321" i="4" s="1" a="1"/>
  <c r="D321" i="4" s="1"/>
  <c r="C313" i="4"/>
  <c r="C321" i="4" s="1" a="1"/>
  <c r="C321" i="4" s="1"/>
  <c r="B313" i="4"/>
  <c r="B321" i="4" s="1" a="1"/>
  <c r="B321" i="4" s="1"/>
  <c r="AK289" i="4"/>
  <c r="AK341" i="4" s="1" a="1"/>
  <c r="AK341" i="4" s="1"/>
  <c r="AJ289" i="4"/>
  <c r="AJ341" i="4" s="1" a="1"/>
  <c r="AJ341" i="4" s="1"/>
  <c r="AI289" i="4"/>
  <c r="AI341" i="4" s="1" a="1"/>
  <c r="AI341" i="4" s="1"/>
  <c r="AH289" i="4"/>
  <c r="AH293" i="4" s="1" a="1"/>
  <c r="AH293" i="4" s="1"/>
  <c r="AG289" i="4"/>
  <c r="AG341" i="4" s="1" a="1"/>
  <c r="AG341" i="4" s="1"/>
  <c r="AF289" i="4"/>
  <c r="AF293" i="4" s="1" a="1"/>
  <c r="AF293" i="4" s="1"/>
  <c r="AE289" i="4"/>
  <c r="AE293" i="4" s="1" a="1"/>
  <c r="AE293" i="4" s="1"/>
  <c r="AD289" i="4"/>
  <c r="AD293" i="4" s="1" a="1"/>
  <c r="AD293" i="4" s="1"/>
  <c r="AC289" i="4"/>
  <c r="AC293" i="4" s="1" a="1"/>
  <c r="AC293" i="4" s="1"/>
  <c r="AB289" i="4"/>
  <c r="AB293" i="4" s="1" a="1"/>
  <c r="AB293" i="4" s="1"/>
  <c r="AA289" i="4"/>
  <c r="AA341" i="4" s="1" a="1"/>
  <c r="AA341" i="4" s="1"/>
  <c r="Z289" i="4"/>
  <c r="Z341" i="4" s="1" a="1"/>
  <c r="Z341" i="4" s="1"/>
  <c r="Y289" i="4"/>
  <c r="Y341" i="4" s="1" a="1"/>
  <c r="Y341" i="4" s="1"/>
  <c r="X289" i="4"/>
  <c r="X293" i="4" s="1" a="1"/>
  <c r="X293" i="4" s="1"/>
  <c r="W289" i="4"/>
  <c r="W293" i="4" s="1" a="1"/>
  <c r="W293" i="4" s="1"/>
  <c r="V289" i="4"/>
  <c r="V293" i="4" s="1" a="1"/>
  <c r="V293" i="4" s="1"/>
  <c r="U289" i="4"/>
  <c r="U341" i="4" s="1" a="1"/>
  <c r="U341" i="4" s="1"/>
  <c r="T289" i="4"/>
  <c r="T341" i="4" s="1" a="1"/>
  <c r="T341" i="4" s="1"/>
  <c r="S289" i="4"/>
  <c r="S341" i="4" s="1" a="1"/>
  <c r="S341" i="4" s="1"/>
  <c r="R289" i="4"/>
  <c r="R293" i="4" s="1" a="1"/>
  <c r="R293" i="4" s="1"/>
  <c r="Q289" i="4"/>
  <c r="Q341" i="4" s="1" a="1"/>
  <c r="Q341" i="4" s="1"/>
  <c r="P289" i="4"/>
  <c r="P293" i="4" s="1" a="1"/>
  <c r="P293" i="4" s="1"/>
  <c r="O289" i="4"/>
  <c r="O293" i="4" s="1" a="1"/>
  <c r="O293" i="4" s="1"/>
  <c r="N289" i="4"/>
  <c r="N293" i="4" s="1" a="1"/>
  <c r="N293" i="4" s="1"/>
  <c r="M289" i="4"/>
  <c r="M293" i="4" s="1" a="1"/>
  <c r="M293" i="4" s="1"/>
  <c r="L289" i="4"/>
  <c r="L293" i="4" s="1" a="1"/>
  <c r="L293" i="4" s="1"/>
  <c r="K289" i="4"/>
  <c r="K341" i="4" s="1" a="1"/>
  <c r="K341" i="4" s="1"/>
  <c r="J289" i="4"/>
  <c r="J341" i="4" s="1" a="1"/>
  <c r="J341" i="4" s="1"/>
  <c r="I289" i="4"/>
  <c r="I341" i="4" s="1" a="1"/>
  <c r="I341" i="4" s="1"/>
  <c r="H289" i="4"/>
  <c r="H293" i="4" s="1" a="1"/>
  <c r="H293" i="4" s="1"/>
  <c r="G289" i="4"/>
  <c r="G293" i="4" s="1" a="1"/>
  <c r="G293" i="4" s="1"/>
  <c r="F289" i="4"/>
  <c r="F293" i="4" s="1" a="1"/>
  <c r="F293" i="4" s="1"/>
  <c r="E289" i="4"/>
  <c r="E341" i="4" s="1" a="1"/>
  <c r="E341" i="4" s="1"/>
  <c r="D289" i="4"/>
  <c r="D341" i="4" s="1" a="1"/>
  <c r="D341" i="4" s="1"/>
  <c r="C289" i="4"/>
  <c r="C341" i="4" s="1" a="1"/>
  <c r="C341" i="4" s="1"/>
  <c r="B289" i="4"/>
  <c r="B293" i="4" s="1" a="1"/>
  <c r="B293" i="4" s="1"/>
  <c r="AK256" i="4"/>
  <c r="AH256" i="4"/>
  <c r="Z256" i="4"/>
  <c r="R256" i="4"/>
  <c r="N256" i="4"/>
  <c r="M256" i="4"/>
  <c r="L256" i="4"/>
  <c r="J256" i="4"/>
  <c r="F256" i="4"/>
  <c r="AK189" i="4"/>
  <c r="AK193" i="4" s="1" a="1"/>
  <c r="AK193" i="4" s="1"/>
  <c r="AJ189" i="4"/>
  <c r="AJ193" i="4" s="1" a="1"/>
  <c r="AJ193" i="4" s="1"/>
  <c r="AI189" i="4"/>
  <c r="AI193" i="4" s="1" a="1"/>
  <c r="AI193" i="4" s="1"/>
  <c r="AH189" i="4"/>
  <c r="AH193" i="4" s="1" a="1"/>
  <c r="AH193" i="4" s="1"/>
  <c r="AG189" i="4"/>
  <c r="AG193" i="4" s="1" a="1"/>
  <c r="AG193" i="4" s="1"/>
  <c r="AF189" i="4"/>
  <c r="AF193" i="4" s="1" a="1"/>
  <c r="AF193" i="4" s="1"/>
  <c r="AE189" i="4"/>
  <c r="AE193" i="4" s="1" a="1"/>
  <c r="AE193" i="4" s="1"/>
  <c r="AD189" i="4"/>
  <c r="AD193" i="4" s="1" a="1"/>
  <c r="AD193" i="4" s="1"/>
  <c r="AC189" i="4"/>
  <c r="AC193" i="4" s="1" a="1"/>
  <c r="AC193" i="4" s="1"/>
  <c r="AB189" i="4"/>
  <c r="AB193" i="4" s="1" a="1"/>
  <c r="AB193" i="4" s="1"/>
  <c r="AA189" i="4"/>
  <c r="AA193" i="4" s="1" a="1"/>
  <c r="AA193" i="4" s="1"/>
  <c r="Z189" i="4"/>
  <c r="Z193" i="4" s="1" a="1"/>
  <c r="Z193" i="4" s="1"/>
  <c r="Y189" i="4"/>
  <c r="Y193" i="4" s="1" a="1"/>
  <c r="Y193" i="4" s="1"/>
  <c r="X189" i="4"/>
  <c r="X193" i="4" s="1" a="1"/>
  <c r="X193" i="4" s="1"/>
  <c r="W189" i="4"/>
  <c r="W193" i="4" s="1" a="1"/>
  <c r="W193" i="4" s="1"/>
  <c r="V189" i="4"/>
  <c r="V193" i="4" s="1" a="1"/>
  <c r="V193" i="4" s="1"/>
  <c r="U189" i="4"/>
  <c r="U193" i="4" s="1" a="1"/>
  <c r="U193" i="4" s="1"/>
  <c r="T189" i="4"/>
  <c r="T193" i="4" s="1" a="1"/>
  <c r="T193" i="4" s="1"/>
  <c r="S189" i="4"/>
  <c r="S193" i="4" s="1" a="1"/>
  <c r="S193" i="4" s="1"/>
  <c r="R189" i="4"/>
  <c r="R193" i="4" s="1" a="1"/>
  <c r="R193" i="4" s="1"/>
  <c r="Q189" i="4"/>
  <c r="Q193" i="4" s="1" a="1"/>
  <c r="Q193" i="4" s="1"/>
  <c r="P189" i="4"/>
  <c r="P193" i="4" s="1" a="1"/>
  <c r="P193" i="4" s="1"/>
  <c r="O189" i="4"/>
  <c r="O193" i="4" s="1" a="1"/>
  <c r="O193" i="4" s="1"/>
  <c r="N189" i="4"/>
  <c r="N193" i="4" s="1" a="1"/>
  <c r="N193" i="4" s="1"/>
  <c r="M189" i="4"/>
  <c r="M193" i="4" s="1" a="1"/>
  <c r="M193" i="4" s="1"/>
  <c r="L189" i="4"/>
  <c r="L193" i="4" s="1" a="1"/>
  <c r="L193" i="4" s="1"/>
  <c r="K189" i="4"/>
  <c r="K193" i="4" s="1" a="1"/>
  <c r="K193" i="4" s="1"/>
  <c r="J189" i="4"/>
  <c r="J193" i="4" s="1" a="1"/>
  <c r="J193" i="4" s="1"/>
  <c r="I189" i="4"/>
  <c r="I193" i="4" s="1" a="1"/>
  <c r="I193" i="4" s="1"/>
  <c r="H189" i="4"/>
  <c r="H193" i="4" s="1" a="1"/>
  <c r="H193" i="4" s="1"/>
  <c r="G189" i="4"/>
  <c r="G193" i="4" s="1" a="1"/>
  <c r="G193" i="4" s="1"/>
  <c r="F189" i="4"/>
  <c r="F193" i="4" s="1" a="1"/>
  <c r="F193" i="4" s="1"/>
  <c r="E189" i="4"/>
  <c r="E193" i="4" s="1" a="1"/>
  <c r="E193" i="4" s="1"/>
  <c r="D189" i="4"/>
  <c r="D193" i="4" s="1" a="1"/>
  <c r="D193" i="4" s="1"/>
  <c r="C189" i="4"/>
  <c r="C193" i="4" s="1" a="1"/>
  <c r="C193" i="4" s="1"/>
  <c r="B189" i="4"/>
  <c r="B193" i="4" s="1" a="1"/>
  <c r="B193" i="4" s="1"/>
  <c r="AK184" i="4"/>
  <c r="AK192" i="4" s="1" a="1"/>
  <c r="AK192" i="4" s="1"/>
  <c r="AJ184" i="4"/>
  <c r="AJ192" i="4" s="1" a="1"/>
  <c r="AJ192" i="4" s="1"/>
  <c r="AI184" i="4"/>
  <c r="AI192" i="4" s="1" a="1"/>
  <c r="AI192" i="4" s="1"/>
  <c r="AH184" i="4"/>
  <c r="AH192" i="4" s="1" a="1"/>
  <c r="AH192" i="4" s="1"/>
  <c r="AG184" i="4"/>
  <c r="AG192" i="4" s="1" a="1"/>
  <c r="AG192" i="4" s="1"/>
  <c r="AF184" i="4"/>
  <c r="AF192" i="4" s="1" a="1"/>
  <c r="AF192" i="4" s="1"/>
  <c r="AE184" i="4"/>
  <c r="AE192" i="4" s="1" a="1"/>
  <c r="AE192" i="4" s="1"/>
  <c r="AD184" i="4"/>
  <c r="AD192" i="4" s="1" a="1"/>
  <c r="AD192" i="4" s="1"/>
  <c r="AC184" i="4"/>
  <c r="AC192" i="4" s="1" a="1"/>
  <c r="AC192" i="4" s="1"/>
  <c r="AB184" i="4"/>
  <c r="AB192" i="4" s="1" a="1"/>
  <c r="AB192" i="4" s="1"/>
  <c r="AA184" i="4"/>
  <c r="AA192" i="4" s="1" a="1"/>
  <c r="AA192" i="4" s="1"/>
  <c r="Z184" i="4"/>
  <c r="Z192" i="4" s="1" a="1"/>
  <c r="Z192" i="4" s="1"/>
  <c r="Y184" i="4"/>
  <c r="Y192" i="4" s="1" a="1"/>
  <c r="Y192" i="4" s="1"/>
  <c r="X184" i="4"/>
  <c r="X192" i="4" s="1" a="1"/>
  <c r="X192" i="4" s="1"/>
  <c r="W184" i="4"/>
  <c r="W192" i="4" s="1" a="1"/>
  <c r="W192" i="4" s="1"/>
  <c r="V184" i="4"/>
  <c r="V192" i="4" s="1" a="1"/>
  <c r="V192" i="4" s="1"/>
  <c r="U184" i="4"/>
  <c r="U192" i="4" s="1" a="1"/>
  <c r="U192" i="4" s="1"/>
  <c r="T184" i="4"/>
  <c r="T192" i="4" s="1" a="1"/>
  <c r="T192" i="4" s="1"/>
  <c r="S184" i="4"/>
  <c r="S192" i="4" s="1" a="1"/>
  <c r="S192" i="4" s="1"/>
  <c r="R184" i="4"/>
  <c r="R192" i="4" s="1" a="1"/>
  <c r="R192" i="4" s="1"/>
  <c r="Q184" i="4"/>
  <c r="Q192" i="4" s="1" a="1"/>
  <c r="Q192" i="4" s="1"/>
  <c r="P184" i="4"/>
  <c r="P192" i="4" s="1" a="1"/>
  <c r="P192" i="4" s="1"/>
  <c r="O184" i="4"/>
  <c r="O192" i="4" s="1" a="1"/>
  <c r="O192" i="4" s="1"/>
  <c r="N184" i="4"/>
  <c r="N192" i="4" s="1" a="1"/>
  <c r="N192" i="4" s="1"/>
  <c r="M184" i="4"/>
  <c r="M192" i="4" s="1" a="1"/>
  <c r="M192" i="4" s="1"/>
  <c r="L184" i="4"/>
  <c r="L192" i="4" s="1" a="1"/>
  <c r="L192" i="4" s="1"/>
  <c r="K184" i="4"/>
  <c r="K192" i="4" s="1" a="1"/>
  <c r="K192" i="4" s="1"/>
  <c r="J184" i="4"/>
  <c r="J192" i="4" s="1" a="1"/>
  <c r="J192" i="4" s="1"/>
  <c r="I184" i="4"/>
  <c r="I192" i="4" s="1" a="1"/>
  <c r="I192" i="4" s="1"/>
  <c r="H184" i="4"/>
  <c r="H192" i="4" s="1" a="1"/>
  <c r="H192" i="4" s="1"/>
  <c r="G184" i="4"/>
  <c r="G192" i="4" s="1" a="1"/>
  <c r="G192" i="4" s="1"/>
  <c r="F184" i="4"/>
  <c r="F192" i="4" s="1" a="1"/>
  <c r="F192" i="4" s="1"/>
  <c r="E184" i="4"/>
  <c r="E192" i="4" s="1" a="1"/>
  <c r="E192" i="4" s="1"/>
  <c r="D184" i="4"/>
  <c r="D192" i="4" s="1" a="1"/>
  <c r="D192" i="4" s="1"/>
  <c r="C184" i="4"/>
  <c r="C192" i="4" s="1" a="1"/>
  <c r="C192" i="4" s="1"/>
  <c r="B184" i="4"/>
  <c r="B192" i="4" s="1" a="1"/>
  <c r="B192" i="4" s="1"/>
  <c r="AK160" i="4"/>
  <c r="AK164" i="4" s="1" a="1"/>
  <c r="AK164" i="4" s="1"/>
  <c r="AJ160" i="4"/>
  <c r="AJ164" i="4" s="1" a="1"/>
  <c r="AJ164" i="4" s="1"/>
  <c r="AI160" i="4"/>
  <c r="AI164" i="4" s="1" a="1"/>
  <c r="AI164" i="4" s="1"/>
  <c r="AH160" i="4"/>
  <c r="AH164" i="4" s="1" a="1"/>
  <c r="AH164" i="4" s="1"/>
  <c r="AG160" i="4"/>
  <c r="AG164" i="4" s="1" a="1"/>
  <c r="AG164" i="4" s="1"/>
  <c r="AF160" i="4"/>
  <c r="AF164" i="4" s="1" a="1"/>
  <c r="AF164" i="4" s="1"/>
  <c r="AE160" i="4"/>
  <c r="AE164" i="4" s="1" a="1"/>
  <c r="AE164" i="4" s="1"/>
  <c r="AD160" i="4"/>
  <c r="AD164" i="4" s="1" a="1"/>
  <c r="AD164" i="4" s="1"/>
  <c r="AC160" i="4"/>
  <c r="AC164" i="4" s="1" a="1"/>
  <c r="AC164" i="4" s="1"/>
  <c r="AB160" i="4"/>
  <c r="AB164" i="4" s="1" a="1"/>
  <c r="AB164" i="4" s="1"/>
  <c r="AA160" i="4"/>
  <c r="AA164" i="4" s="1" a="1"/>
  <c r="AA164" i="4" s="1"/>
  <c r="Z160" i="4"/>
  <c r="Z164" i="4" s="1" a="1"/>
  <c r="Z164" i="4" s="1"/>
  <c r="Y160" i="4"/>
  <c r="Y164" i="4" s="1" a="1"/>
  <c r="Y164" i="4" s="1"/>
  <c r="X160" i="4"/>
  <c r="X164" i="4" s="1" a="1"/>
  <c r="X164" i="4" s="1"/>
  <c r="W160" i="4"/>
  <c r="W164" i="4" s="1" a="1"/>
  <c r="W164" i="4" s="1"/>
  <c r="V160" i="4"/>
  <c r="V164" i="4" s="1" a="1"/>
  <c r="V164" i="4" s="1"/>
  <c r="U160" i="4"/>
  <c r="U164" i="4" s="1" a="1"/>
  <c r="U164" i="4" s="1"/>
  <c r="T160" i="4"/>
  <c r="T164" i="4" s="1" a="1"/>
  <c r="T164" i="4" s="1"/>
  <c r="S160" i="4"/>
  <c r="S164" i="4" s="1" a="1"/>
  <c r="S164" i="4" s="1"/>
  <c r="R160" i="4"/>
  <c r="R164" i="4" s="1" a="1"/>
  <c r="R164" i="4" s="1"/>
  <c r="Q160" i="4"/>
  <c r="Q164" i="4" s="1" a="1"/>
  <c r="Q164" i="4" s="1"/>
  <c r="P160" i="4"/>
  <c r="P164" i="4" s="1" a="1"/>
  <c r="P164" i="4" s="1"/>
  <c r="O160" i="4"/>
  <c r="O164" i="4" s="1" a="1"/>
  <c r="O164" i="4" s="1"/>
  <c r="N160" i="4"/>
  <c r="N164" i="4" s="1" a="1"/>
  <c r="N164" i="4" s="1"/>
  <c r="M160" i="4"/>
  <c r="M164" i="4" s="1" a="1"/>
  <c r="M164" i="4" s="1"/>
  <c r="L160" i="4"/>
  <c r="L164" i="4" s="1" a="1"/>
  <c r="L164" i="4" s="1"/>
  <c r="K160" i="4"/>
  <c r="K164" i="4" s="1" a="1"/>
  <c r="K164" i="4" s="1"/>
  <c r="J160" i="4"/>
  <c r="J164" i="4" s="1" a="1"/>
  <c r="J164" i="4" s="1"/>
  <c r="I160" i="4"/>
  <c r="I164" i="4" s="1" a="1"/>
  <c r="I164" i="4" s="1"/>
  <c r="H160" i="4"/>
  <c r="H164" i="4" s="1" a="1"/>
  <c r="H164" i="4" s="1"/>
  <c r="G160" i="4"/>
  <c r="G164" i="4" s="1" a="1"/>
  <c r="G164" i="4" s="1"/>
  <c r="F160" i="4"/>
  <c r="F164" i="4" s="1" a="1"/>
  <c r="F164" i="4" s="1"/>
  <c r="E160" i="4"/>
  <c r="E164" i="4" s="1" a="1"/>
  <c r="E164" i="4" s="1"/>
  <c r="D160" i="4"/>
  <c r="D164" i="4" s="1" a="1"/>
  <c r="D164" i="4" s="1"/>
  <c r="C160" i="4"/>
  <c r="C164" i="4" s="1" a="1"/>
  <c r="C164" i="4" s="1"/>
  <c r="B160" i="4"/>
  <c r="B164" i="4" s="1" a="1"/>
  <c r="B164" i="4" s="1"/>
  <c r="AK153" i="4"/>
  <c r="AK163" i="4" s="1" a="1"/>
  <c r="AK163" i="4" s="1"/>
  <c r="AJ153" i="4"/>
  <c r="AJ163" i="4" s="1" a="1"/>
  <c r="AJ163" i="4" s="1"/>
  <c r="AI153" i="4"/>
  <c r="AI163" i="4" s="1" a="1"/>
  <c r="AI163" i="4" s="1"/>
  <c r="AH153" i="4"/>
  <c r="AH163" i="4" s="1" a="1"/>
  <c r="AH163" i="4" s="1"/>
  <c r="AG153" i="4"/>
  <c r="AG163" i="4" s="1" a="1"/>
  <c r="AG163" i="4" s="1"/>
  <c r="AF153" i="4"/>
  <c r="AF163" i="4" s="1" a="1"/>
  <c r="AF163" i="4" s="1"/>
  <c r="AE153" i="4"/>
  <c r="AE163" i="4" s="1" a="1"/>
  <c r="AE163" i="4" s="1"/>
  <c r="AD153" i="4"/>
  <c r="AD163" i="4" s="1" a="1"/>
  <c r="AD163" i="4" s="1"/>
  <c r="AC153" i="4"/>
  <c r="AC163" i="4" s="1" a="1"/>
  <c r="AC163" i="4" s="1"/>
  <c r="AB153" i="4"/>
  <c r="AB163" i="4" s="1" a="1"/>
  <c r="AB163" i="4" s="1"/>
  <c r="AA153" i="4"/>
  <c r="AA163" i="4" s="1" a="1"/>
  <c r="AA163" i="4" s="1"/>
  <c r="Z153" i="4"/>
  <c r="Z163" i="4" s="1" a="1"/>
  <c r="Z163" i="4" s="1"/>
  <c r="Y153" i="4"/>
  <c r="Y163" i="4" s="1" a="1"/>
  <c r="Y163" i="4" s="1"/>
  <c r="X153" i="4"/>
  <c r="X163" i="4" s="1" a="1"/>
  <c r="X163" i="4" s="1"/>
  <c r="W153" i="4"/>
  <c r="W163" i="4" s="1" a="1"/>
  <c r="W163" i="4" s="1"/>
  <c r="V153" i="4"/>
  <c r="V163" i="4" s="1" a="1"/>
  <c r="V163" i="4" s="1"/>
  <c r="U153" i="4"/>
  <c r="U163" i="4" s="1" a="1"/>
  <c r="U163" i="4" s="1"/>
  <c r="T153" i="4"/>
  <c r="T163" i="4" s="1" a="1"/>
  <c r="T163" i="4" s="1"/>
  <c r="S153" i="4"/>
  <c r="S163" i="4" s="1" a="1"/>
  <c r="S163" i="4" s="1"/>
  <c r="R153" i="4"/>
  <c r="R163" i="4" s="1" a="1"/>
  <c r="R163" i="4" s="1"/>
  <c r="Q153" i="4"/>
  <c r="Q163" i="4" s="1" a="1"/>
  <c r="Q163" i="4" s="1"/>
  <c r="P153" i="4"/>
  <c r="P163" i="4" s="1" a="1"/>
  <c r="P163" i="4" s="1"/>
  <c r="O153" i="4"/>
  <c r="O163" i="4" s="1" a="1"/>
  <c r="O163" i="4" s="1"/>
  <c r="N153" i="4"/>
  <c r="N163" i="4" s="1" a="1"/>
  <c r="N163" i="4" s="1"/>
  <c r="M153" i="4"/>
  <c r="M163" i="4" s="1" a="1"/>
  <c r="M163" i="4" s="1"/>
  <c r="L153" i="4"/>
  <c r="L163" i="4" s="1" a="1"/>
  <c r="L163" i="4" s="1"/>
  <c r="K153" i="4"/>
  <c r="K163" i="4" s="1" a="1"/>
  <c r="K163" i="4" s="1"/>
  <c r="J153" i="4"/>
  <c r="J163" i="4" s="1" a="1"/>
  <c r="J163" i="4" s="1"/>
  <c r="I153" i="4"/>
  <c r="I163" i="4" s="1" a="1"/>
  <c r="I163" i="4" s="1"/>
  <c r="H153" i="4"/>
  <c r="H163" i="4" s="1" a="1"/>
  <c r="H163" i="4" s="1"/>
  <c r="G153" i="4"/>
  <c r="G163" i="4" s="1" a="1"/>
  <c r="G163" i="4" s="1"/>
  <c r="F153" i="4"/>
  <c r="F163" i="4" s="1" a="1"/>
  <c r="F163" i="4" s="1"/>
  <c r="E153" i="4"/>
  <c r="E163" i="4" s="1" a="1"/>
  <c r="E163" i="4" s="1"/>
  <c r="D153" i="4"/>
  <c r="D163" i="4" s="1" a="1"/>
  <c r="D163" i="4" s="1"/>
  <c r="C153" i="4"/>
  <c r="C163" i="4" s="1" a="1"/>
  <c r="C163" i="4" s="1"/>
  <c r="B153" i="4"/>
  <c r="B163" i="4" s="1" a="1"/>
  <c r="B163" i="4" s="1"/>
  <c r="AP31" i="8"/>
  <c r="AO31" i="8"/>
  <c r="AN31" i="8"/>
  <c r="AM31" i="8"/>
  <c r="AL31" i="8"/>
  <c r="AM30" i="8"/>
  <c r="AP30" i="8" s="1"/>
  <c r="AL30" i="8"/>
  <c r="AP29" i="8"/>
  <c r="AO29" i="8"/>
  <c r="AN29" i="8"/>
  <c r="AM29" i="8"/>
  <c r="AL29" i="8"/>
  <c r="AO28" i="8"/>
  <c r="AN28" i="8"/>
  <c r="AM28" i="8"/>
  <c r="AP28" i="8" s="1"/>
  <c r="AL28" i="8"/>
  <c r="AM27" i="8"/>
  <c r="AP27" i="8" s="1"/>
  <c r="AL27" i="8"/>
  <c r="AP26" i="8"/>
  <c r="AO26" i="8"/>
  <c r="AN26" i="8"/>
  <c r="AM26" i="8"/>
  <c r="AL26" i="8"/>
  <c r="AM25" i="8"/>
  <c r="AN25" i="8" s="1"/>
  <c r="AL25" i="8"/>
  <c r="AP24" i="8"/>
  <c r="AO24" i="8"/>
  <c r="AN24" i="8"/>
  <c r="AM24" i="8"/>
  <c r="AL24" i="8"/>
  <c r="AP23" i="8"/>
  <c r="AO23" i="8"/>
  <c r="AN23" i="8"/>
  <c r="AM23" i="8"/>
  <c r="AL23" i="8"/>
  <c r="AM22" i="8"/>
  <c r="AP22" i="8" s="1"/>
  <c r="AL22" i="8"/>
  <c r="AP21" i="8"/>
  <c r="AO21" i="8"/>
  <c r="AN21" i="8"/>
  <c r="AM21" i="8"/>
  <c r="AL21" i="8"/>
  <c r="AO20" i="8"/>
  <c r="AN20" i="8"/>
  <c r="AM20" i="8"/>
  <c r="AP20" i="8" s="1"/>
  <c r="AL20" i="8"/>
  <c r="AM19" i="8"/>
  <c r="AO19" i="8" s="1"/>
  <c r="AL19" i="8"/>
  <c r="AP19" i="8" s="1"/>
  <c r="AR32" i="4"/>
  <c r="AQ32" i="4"/>
  <c r="AR31" i="4"/>
  <c r="AQ31" i="4"/>
  <c r="AR30" i="4"/>
  <c r="AQ30" i="4"/>
  <c r="AR29" i="4"/>
  <c r="AQ29" i="4"/>
  <c r="AR28" i="4"/>
  <c r="AQ28" i="4"/>
  <c r="AR27" i="4"/>
  <c r="AQ27" i="4"/>
  <c r="AR26" i="4"/>
  <c r="AQ26" i="4"/>
  <c r="AR25" i="4"/>
  <c r="AQ25" i="4"/>
  <c r="AR24" i="4"/>
  <c r="AQ24" i="4"/>
  <c r="AR23" i="4"/>
  <c r="AQ23" i="4"/>
  <c r="AR22" i="4"/>
  <c r="AQ22" i="4"/>
  <c r="AR21" i="4"/>
  <c r="AQ21" i="4"/>
  <c r="AI43" i="7"/>
  <c r="AH43" i="7"/>
  <c r="AA43" i="7"/>
  <c r="Z43" i="7"/>
  <c r="S43" i="7"/>
  <c r="R43" i="7"/>
  <c r="K43" i="7"/>
  <c r="J43" i="7"/>
  <c r="C43" i="7"/>
  <c r="B43" i="7"/>
  <c r="AK42" i="7"/>
  <c r="AK43" i="7" s="1"/>
  <c r="AJ42" i="7"/>
  <c r="AJ43" i="7" s="1"/>
  <c r="AI42" i="7"/>
  <c r="AH42" i="7"/>
  <c r="AG42" i="7"/>
  <c r="AG43" i="7" s="1"/>
  <c r="AF42" i="7"/>
  <c r="AF43" i="7" s="1"/>
  <c r="AE42" i="7"/>
  <c r="AE43" i="7" s="1"/>
  <c r="AD42" i="7"/>
  <c r="AD43" i="7" s="1"/>
  <c r="AC42" i="7"/>
  <c r="AC43" i="7" s="1"/>
  <c r="AB42" i="7"/>
  <c r="AB43" i="7" s="1"/>
  <c r="AA42" i="7"/>
  <c r="Z42" i="7"/>
  <c r="AM42" i="7" s="1"/>
  <c r="Y42" i="7"/>
  <c r="Y43" i="7" s="1"/>
  <c r="X42" i="7"/>
  <c r="X43" i="7" s="1"/>
  <c r="W42" i="7"/>
  <c r="W43" i="7" s="1"/>
  <c r="V42" i="7"/>
  <c r="V43" i="7" s="1"/>
  <c r="U42" i="7"/>
  <c r="U43" i="7" s="1"/>
  <c r="T42" i="7"/>
  <c r="T43" i="7" s="1"/>
  <c r="S42" i="7"/>
  <c r="R42" i="7"/>
  <c r="Q42" i="7"/>
  <c r="Q43" i="7" s="1"/>
  <c r="P42" i="7"/>
  <c r="P43" i="7" s="1"/>
  <c r="O42" i="7"/>
  <c r="O43" i="7" s="1"/>
  <c r="N42" i="7"/>
  <c r="N43" i="7" s="1"/>
  <c r="M42" i="7"/>
  <c r="M43" i="7" s="1"/>
  <c r="L42" i="7"/>
  <c r="L43" i="7" s="1"/>
  <c r="K42" i="7"/>
  <c r="J42" i="7"/>
  <c r="I42" i="7"/>
  <c r="I43" i="7" s="1"/>
  <c r="H42" i="7"/>
  <c r="H43" i="7" s="1"/>
  <c r="G42" i="7"/>
  <c r="G43" i="7" s="1"/>
  <c r="F42" i="7"/>
  <c r="F43" i="7" s="1"/>
  <c r="E42" i="7"/>
  <c r="E43" i="7" s="1"/>
  <c r="D42" i="7"/>
  <c r="D43" i="7" s="1"/>
  <c r="C42" i="7"/>
  <c r="B42" i="7"/>
  <c r="AM41" i="7"/>
  <c r="AL41" i="7"/>
  <c r="AM40" i="7"/>
  <c r="AL40" i="7"/>
  <c r="AP39" i="7"/>
  <c r="AM39" i="7"/>
  <c r="AL39" i="7"/>
  <c r="AM38" i="7"/>
  <c r="AL38" i="7"/>
  <c r="AM37" i="7"/>
  <c r="AL37" i="7"/>
  <c r="AK131" i="4" a="1"/>
  <c r="AK131" i="4" s="1"/>
  <c r="AJ131" i="4" a="1"/>
  <c r="AJ131" i="4" s="1"/>
  <c r="AI131" i="4" a="1"/>
  <c r="AI131" i="4" s="1"/>
  <c r="AH131" i="4" a="1"/>
  <c r="AH131" i="4" s="1"/>
  <c r="AG131" i="4" a="1"/>
  <c r="AG131" i="4" s="1"/>
  <c r="AF131" i="4" a="1"/>
  <c r="AF131" i="4" s="1"/>
  <c r="AE131" i="4" a="1"/>
  <c r="AE131" i="4" s="1"/>
  <c r="AD131" i="4" a="1"/>
  <c r="AD131" i="4" s="1"/>
  <c r="AC131" i="4" a="1"/>
  <c r="AC131" i="4" s="1"/>
  <c r="AB131" i="4" a="1"/>
  <c r="AB131" i="4" s="1"/>
  <c r="AA131" i="4" a="1"/>
  <c r="AA131" i="4" s="1"/>
  <c r="Z131" i="4" a="1"/>
  <c r="Z131" i="4" s="1"/>
  <c r="Y131" i="4" a="1"/>
  <c r="Y131" i="4" s="1"/>
  <c r="X131" i="4" a="1"/>
  <c r="X131" i="4" s="1"/>
  <c r="W131" i="4" a="1"/>
  <c r="W131" i="4" s="1"/>
  <c r="V131" i="4" a="1"/>
  <c r="V131" i="4" s="1"/>
  <c r="U131" i="4" a="1"/>
  <c r="U131" i="4" s="1"/>
  <c r="T131" i="4" a="1"/>
  <c r="T131" i="4" s="1"/>
  <c r="S131" i="4" a="1"/>
  <c r="S131" i="4" s="1"/>
  <c r="R131" i="4" a="1"/>
  <c r="R131" i="4" s="1"/>
  <c r="Q131" i="4" a="1"/>
  <c r="Q131" i="4" s="1"/>
  <c r="P131" i="4" a="1"/>
  <c r="P131" i="4" s="1"/>
  <c r="O131" i="4" a="1"/>
  <c r="O131" i="4" s="1"/>
  <c r="N131" i="4" a="1"/>
  <c r="N131" i="4" s="1"/>
  <c r="M131" i="4" a="1"/>
  <c r="M131" i="4" s="1"/>
  <c r="L131" i="4" a="1"/>
  <c r="L131" i="4" s="1"/>
  <c r="K131" i="4" a="1"/>
  <c r="K131" i="4" s="1"/>
  <c r="J131" i="4" a="1"/>
  <c r="J131" i="4" s="1"/>
  <c r="I131" i="4" a="1"/>
  <c r="I131" i="4" s="1"/>
  <c r="H131" i="4" a="1"/>
  <c r="H131" i="4" s="1"/>
  <c r="G131" i="4" a="1"/>
  <c r="G131" i="4" s="1"/>
  <c r="F131" i="4" a="1"/>
  <c r="F131" i="4" s="1"/>
  <c r="E131" i="4" a="1"/>
  <c r="E131" i="4" s="1"/>
  <c r="D131" i="4" a="1"/>
  <c r="D131" i="4" s="1"/>
  <c r="C131" i="4" a="1"/>
  <c r="C131" i="4" s="1"/>
  <c r="AK130" i="4" a="1"/>
  <c r="AK130" i="4" s="1"/>
  <c r="AJ130" i="4" a="1"/>
  <c r="AJ130" i="4" s="1"/>
  <c r="AI130" i="4" a="1"/>
  <c r="AI130" i="4" s="1"/>
  <c r="AH130" i="4" a="1"/>
  <c r="AH130" i="4" s="1"/>
  <c r="AG130" i="4" a="1"/>
  <c r="AG130" i="4" s="1"/>
  <c r="AF130" i="4" a="1"/>
  <c r="AF130" i="4" s="1"/>
  <c r="AE130" i="4" a="1"/>
  <c r="AE130" i="4" s="1"/>
  <c r="AD130" i="4" a="1"/>
  <c r="AD130" i="4" s="1"/>
  <c r="AC130" i="4" a="1"/>
  <c r="AC130" i="4" s="1"/>
  <c r="AB130" i="4" a="1"/>
  <c r="AB130" i="4" s="1"/>
  <c r="AA130" i="4" a="1"/>
  <c r="AA130" i="4" s="1"/>
  <c r="Z130" i="4" a="1"/>
  <c r="Z130" i="4" s="1"/>
  <c r="Y130" i="4" a="1"/>
  <c r="Y130" i="4" s="1"/>
  <c r="X130" i="4" a="1"/>
  <c r="X130" i="4" s="1"/>
  <c r="W130" i="4" a="1"/>
  <c r="W130" i="4" s="1"/>
  <c r="V130" i="4" a="1"/>
  <c r="V130" i="4" s="1"/>
  <c r="U130" i="4" a="1"/>
  <c r="U130" i="4" s="1"/>
  <c r="T130" i="4" a="1"/>
  <c r="T130" i="4" s="1"/>
  <c r="S130" i="4" a="1"/>
  <c r="S130" i="4" s="1"/>
  <c r="R130" i="4" a="1"/>
  <c r="R130" i="4" s="1"/>
  <c r="Q130" i="4" a="1"/>
  <c r="Q130" i="4" s="1"/>
  <c r="P130" i="4" a="1"/>
  <c r="P130" i="4" s="1"/>
  <c r="O130" i="4" a="1"/>
  <c r="O130" i="4" s="1"/>
  <c r="N130" i="4" a="1"/>
  <c r="N130" i="4" s="1"/>
  <c r="M130" i="4" a="1"/>
  <c r="M130" i="4" s="1"/>
  <c r="L130" i="4" a="1"/>
  <c r="L130" i="4" s="1"/>
  <c r="K130" i="4" a="1"/>
  <c r="K130" i="4" s="1"/>
  <c r="J130" i="4" a="1"/>
  <c r="J130" i="4" s="1"/>
  <c r="I130" i="4" a="1"/>
  <c r="I130" i="4" s="1"/>
  <c r="H130" i="4" a="1"/>
  <c r="H130" i="4" s="1"/>
  <c r="G130" i="4" a="1"/>
  <c r="G130" i="4" s="1"/>
  <c r="F130" i="4" a="1"/>
  <c r="F130" i="4" s="1"/>
  <c r="E130" i="4" a="1"/>
  <c r="E130" i="4" s="1"/>
  <c r="D130" i="4" a="1"/>
  <c r="D130" i="4" s="1"/>
  <c r="C130" i="4" a="1"/>
  <c r="C130" i="4" s="1"/>
  <c r="B131" i="4" a="1"/>
  <c r="B131" i="4" s="1"/>
  <c r="B130" i="4" a="1"/>
  <c r="B130" i="4" s="1"/>
  <c r="AM126" i="4"/>
  <c r="AL126" i="4"/>
  <c r="AM125" i="4"/>
  <c r="AL125" i="4"/>
  <c r="AM124" i="4"/>
  <c r="AL124" i="4"/>
  <c r="AM123" i="4"/>
  <c r="AL123" i="4"/>
  <c r="AM122" i="4"/>
  <c r="AL122" i="4"/>
  <c r="AM121" i="4"/>
  <c r="AL121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M117" i="4"/>
  <c r="AM116" i="4"/>
  <c r="AL116" i="4"/>
  <c r="AM115" i="4"/>
  <c r="AL115" i="4"/>
  <c r="AM114" i="4"/>
  <c r="AL114" i="4"/>
  <c r="AM113" i="4"/>
  <c r="AL113" i="4"/>
  <c r="AM112" i="4"/>
  <c r="AL112" i="4"/>
  <c r="T292" i="4" l="1" a="1"/>
  <c r="T292" i="4" s="1"/>
  <c r="AP245" i="4"/>
  <c r="AS261" i="4" s="1"/>
  <c r="AB292" i="4" a="1"/>
  <c r="AB292" i="4" s="1"/>
  <c r="AJ292" i="4" a="1"/>
  <c r="AJ292" i="4" s="1"/>
  <c r="K293" i="4" a="1"/>
  <c r="K293" i="4" s="1"/>
  <c r="C322" i="4" a="1"/>
  <c r="C322" i="4" s="1"/>
  <c r="AP250" i="4"/>
  <c r="D292" i="4" a="1"/>
  <c r="D292" i="4" s="1"/>
  <c r="B341" i="4" a="1"/>
  <c r="B341" i="4" s="1"/>
  <c r="L361" i="4" a="1"/>
  <c r="L361" i="4" s="1"/>
  <c r="AL256" i="4"/>
  <c r="AN255" i="4" s="1"/>
  <c r="AL247" i="4"/>
  <c r="AQ241" i="4" s="1"/>
  <c r="AV259" i="4" s="1"/>
  <c r="N292" i="4" a="1"/>
  <c r="N292" i="4" s="1"/>
  <c r="S293" i="4" a="1"/>
  <c r="S293" i="4" s="1"/>
  <c r="K322" i="4" a="1"/>
  <c r="K322" i="4" s="1"/>
  <c r="H341" i="4" a="1"/>
  <c r="H341" i="4" s="1"/>
  <c r="T361" i="4" a="1"/>
  <c r="T361" i="4" s="1"/>
  <c r="AA293" i="4" a="1"/>
  <c r="AA293" i="4" s="1"/>
  <c r="S322" i="4" a="1"/>
  <c r="S322" i="4" s="1"/>
  <c r="M341" i="4" a="1"/>
  <c r="M341" i="4" s="1"/>
  <c r="AB361" i="4" a="1"/>
  <c r="AB361" i="4" s="1"/>
  <c r="V292" i="4" a="1"/>
  <c r="V292" i="4" s="1"/>
  <c r="AI293" i="4" a="1"/>
  <c r="AI293" i="4" s="1"/>
  <c r="Z322" i="4" a="1"/>
  <c r="Z322" i="4" s="1"/>
  <c r="R341" i="4" a="1"/>
  <c r="R341" i="4" s="1"/>
  <c r="AJ361" i="4" a="1"/>
  <c r="AJ361" i="4" s="1"/>
  <c r="AQ251" i="4"/>
  <c r="AW263" i="4" s="1"/>
  <c r="F321" i="4" a="1"/>
  <c r="F321" i="4" s="1"/>
  <c r="AH322" i="4" a="1"/>
  <c r="AH322" i="4" s="1"/>
  <c r="X341" i="4" a="1"/>
  <c r="X341" i="4" s="1"/>
  <c r="H362" i="4" a="1"/>
  <c r="H362" i="4" s="1"/>
  <c r="AM247" i="4"/>
  <c r="AO247" i="4" s="1"/>
  <c r="B292" i="4" a="1"/>
  <c r="B292" i="4" s="1"/>
  <c r="AD292" i="4" a="1"/>
  <c r="AD292" i="4" s="1"/>
  <c r="N321" i="4" a="1"/>
  <c r="N321" i="4" s="1"/>
  <c r="AC341" i="4" a="1"/>
  <c r="AC341" i="4" s="1"/>
  <c r="P362" i="4" a="1"/>
  <c r="P362" i="4" s="1"/>
  <c r="V321" i="4" a="1"/>
  <c r="V321" i="4" s="1"/>
  <c r="M340" i="4" a="1"/>
  <c r="M340" i="4" s="1"/>
  <c r="AH341" i="4" a="1"/>
  <c r="AH341" i="4" s="1"/>
  <c r="X362" i="4" a="1"/>
  <c r="X362" i="4" s="1"/>
  <c r="C293" i="4" a="1"/>
  <c r="C293" i="4" s="1"/>
  <c r="AD321" i="4" a="1"/>
  <c r="AD321" i="4" s="1"/>
  <c r="AF340" i="4" a="1"/>
  <c r="AF340" i="4" s="1"/>
  <c r="D361" i="4" a="1"/>
  <c r="D361" i="4" s="1"/>
  <c r="AF362" i="4" a="1"/>
  <c r="AF362" i="4" s="1"/>
  <c r="AN250" i="4"/>
  <c r="AN241" i="4"/>
  <c r="AN243" i="4"/>
  <c r="AN247" i="4"/>
  <c r="AQ250" i="4"/>
  <c r="AN254" i="4"/>
  <c r="AQ254" i="4"/>
  <c r="AW261" i="4" s="1"/>
  <c r="AP246" i="4"/>
  <c r="AS262" i="4" s="1"/>
  <c r="I293" i="4" a="1"/>
  <c r="I293" i="4" s="1"/>
  <c r="Q293" i="4" a="1"/>
  <c r="Q293" i="4" s="1"/>
  <c r="Y293" i="4" a="1"/>
  <c r="Y293" i="4" s="1"/>
  <c r="AG293" i="4" a="1"/>
  <c r="AG293" i="4" s="1"/>
  <c r="I322" i="4" a="1"/>
  <c r="I322" i="4" s="1"/>
  <c r="Q322" i="4" a="1"/>
  <c r="Q322" i="4" s="1"/>
  <c r="Y322" i="4" a="1"/>
  <c r="Y322" i="4" s="1"/>
  <c r="K340" i="4" a="1"/>
  <c r="K340" i="4" s="1"/>
  <c r="X340" i="4" a="1"/>
  <c r="X340" i="4" s="1"/>
  <c r="AK340" i="4" a="1"/>
  <c r="AK340" i="4" s="1"/>
  <c r="F341" i="4" a="1"/>
  <c r="F341" i="4" s="1"/>
  <c r="L341" i="4" a="1"/>
  <c r="L341" i="4" s="1"/>
  <c r="V341" i="4" a="1"/>
  <c r="V341" i="4" s="1"/>
  <c r="AB341" i="4" a="1"/>
  <c r="AB341" i="4" s="1"/>
  <c r="B361" i="4" a="1"/>
  <c r="B361" i="4" s="1"/>
  <c r="J361" i="4" a="1"/>
  <c r="J361" i="4" s="1"/>
  <c r="R361" i="4" a="1"/>
  <c r="R361" i="4" s="1"/>
  <c r="Z361" i="4" a="1"/>
  <c r="Z361" i="4" s="1"/>
  <c r="AH361" i="4" a="1"/>
  <c r="AH361" i="4" s="1"/>
  <c r="F362" i="4" a="1"/>
  <c r="F362" i="4" s="1"/>
  <c r="N362" i="4" a="1"/>
  <c r="N362" i="4" s="1"/>
  <c r="V362" i="4" a="1"/>
  <c r="V362" i="4" s="1"/>
  <c r="AD362" i="4" a="1"/>
  <c r="AD362" i="4" s="1"/>
  <c r="AN242" i="4"/>
  <c r="AQ245" i="4"/>
  <c r="AV261" i="4" s="1"/>
  <c r="E292" i="4" a="1"/>
  <c r="E292" i="4" s="1"/>
  <c r="U292" i="4" a="1"/>
  <c r="U292" i="4" s="1"/>
  <c r="AC292" i="4" a="1"/>
  <c r="AC292" i="4" s="1"/>
  <c r="J293" i="4" a="1"/>
  <c r="J293" i="4" s="1"/>
  <c r="Z293" i="4" a="1"/>
  <c r="Z293" i="4" s="1"/>
  <c r="E321" i="4" a="1"/>
  <c r="E321" i="4" s="1"/>
  <c r="M321" i="4" a="1"/>
  <c r="M321" i="4" s="1"/>
  <c r="U321" i="4" a="1"/>
  <c r="U321" i="4" s="1"/>
  <c r="AC321" i="4" a="1"/>
  <c r="AC321" i="4" s="1"/>
  <c r="AK321" i="4" a="1"/>
  <c r="AK321" i="4" s="1"/>
  <c r="J322" i="4" a="1"/>
  <c r="J322" i="4" s="1"/>
  <c r="R322" i="4" a="1"/>
  <c r="R322" i="4" s="1"/>
  <c r="AG322" i="4" a="1"/>
  <c r="AG322" i="4" s="1"/>
  <c r="R340" i="4" a="1"/>
  <c r="R340" i="4" s="1"/>
  <c r="Y340" i="4" a="1"/>
  <c r="Y340" i="4" s="1"/>
  <c r="AE340" i="4" a="1"/>
  <c r="AE340" i="4" s="1"/>
  <c r="G341" i="4" a="1"/>
  <c r="G341" i="4" s="1"/>
  <c r="W341" i="4" a="1"/>
  <c r="W341" i="4" s="1"/>
  <c r="C361" i="4" a="1"/>
  <c r="C361" i="4" s="1"/>
  <c r="K361" i="4" a="1"/>
  <c r="K361" i="4" s="1"/>
  <c r="S361" i="4" a="1"/>
  <c r="S361" i="4" s="1"/>
  <c r="AA361" i="4" a="1"/>
  <c r="AA361" i="4" s="1"/>
  <c r="AI361" i="4" a="1"/>
  <c r="AI361" i="4" s="1"/>
  <c r="G362" i="4" a="1"/>
  <c r="G362" i="4" s="1"/>
  <c r="O362" i="4" a="1"/>
  <c r="O362" i="4" s="1"/>
  <c r="W362" i="4" a="1"/>
  <c r="W362" i="4" s="1"/>
  <c r="AE362" i="4" a="1"/>
  <c r="AE362" i="4" s="1"/>
  <c r="AQ242" i="4"/>
  <c r="AQ246" i="4"/>
  <c r="AV262" i="4" s="1"/>
  <c r="AN253" i="4"/>
  <c r="G292" i="4" a="1"/>
  <c r="G292" i="4" s="1"/>
  <c r="O292" i="4" a="1"/>
  <c r="O292" i="4" s="1"/>
  <c r="W292" i="4" a="1"/>
  <c r="W292" i="4" s="1"/>
  <c r="D293" i="4" a="1"/>
  <c r="D293" i="4" s="1"/>
  <c r="T293" i="4" a="1"/>
  <c r="T293" i="4" s="1"/>
  <c r="AJ293" i="4" a="1"/>
  <c r="AJ293" i="4" s="1"/>
  <c r="G321" i="4" a="1"/>
  <c r="G321" i="4" s="1"/>
  <c r="O321" i="4" a="1"/>
  <c r="O321" i="4" s="1"/>
  <c r="W321" i="4" a="1"/>
  <c r="W321" i="4" s="1"/>
  <c r="AE321" i="4" a="1"/>
  <c r="AE321" i="4" s="1"/>
  <c r="D322" i="4" a="1"/>
  <c r="D322" i="4" s="1"/>
  <c r="L322" i="4" a="1"/>
  <c r="L322" i="4" s="1"/>
  <c r="T322" i="4" a="1"/>
  <c r="T322" i="4" s="1"/>
  <c r="AA322" i="4" a="1"/>
  <c r="AA322" i="4" s="1"/>
  <c r="AI322" i="4" a="1"/>
  <c r="AI322" i="4" s="1"/>
  <c r="Z340" i="4" a="1"/>
  <c r="Z340" i="4" s="1"/>
  <c r="AG340" i="4" a="1"/>
  <c r="AG340" i="4" s="1"/>
  <c r="AN251" i="4"/>
  <c r="AQ253" i="4"/>
  <c r="AW260" i="4" s="1"/>
  <c r="AP255" i="4"/>
  <c r="H292" i="4" a="1"/>
  <c r="H292" i="4" s="1"/>
  <c r="P292" i="4" a="1"/>
  <c r="P292" i="4" s="1"/>
  <c r="E293" i="4" a="1"/>
  <c r="E293" i="4" s="1"/>
  <c r="U293" i="4" a="1"/>
  <c r="U293" i="4" s="1"/>
  <c r="AK293" i="4" a="1"/>
  <c r="AK293" i="4" s="1"/>
  <c r="H321" i="4" a="1"/>
  <c r="H321" i="4" s="1"/>
  <c r="P321" i="4" a="1"/>
  <c r="P321" i="4" s="1"/>
  <c r="X321" i="4" a="1"/>
  <c r="X321" i="4" s="1"/>
  <c r="AF321" i="4" a="1"/>
  <c r="AF321" i="4" s="1"/>
  <c r="E322" i="4" a="1"/>
  <c r="E322" i="4" s="1"/>
  <c r="M322" i="4" a="1"/>
  <c r="M322" i="4" s="1"/>
  <c r="U322" i="4" a="1"/>
  <c r="U322" i="4" s="1"/>
  <c r="AB322" i="4" a="1"/>
  <c r="AB322" i="4" s="1"/>
  <c r="AJ322" i="4" a="1"/>
  <c r="AJ322" i="4" s="1"/>
  <c r="AA340" i="4" a="1"/>
  <c r="AA340" i="4" s="1"/>
  <c r="N341" i="4" a="1"/>
  <c r="N341" i="4" s="1"/>
  <c r="AD341" i="4" a="1"/>
  <c r="AD341" i="4" s="1"/>
  <c r="B362" i="4" a="1"/>
  <c r="B362" i="4" s="1"/>
  <c r="AN245" i="4"/>
  <c r="AQ243" i="4"/>
  <c r="AV264" i="4" s="1"/>
  <c r="AQ255" i="4"/>
  <c r="AW262" i="4" s="1"/>
  <c r="AX262" i="4" s="1"/>
  <c r="I292" i="4" a="1"/>
  <c r="I292" i="4" s="1"/>
  <c r="Q292" i="4" a="1"/>
  <c r="Q292" i="4" s="1"/>
  <c r="I321" i="4" a="1"/>
  <c r="I321" i="4" s="1"/>
  <c r="Q321" i="4" a="1"/>
  <c r="Q321" i="4" s="1"/>
  <c r="Y321" i="4" a="1"/>
  <c r="Y321" i="4" s="1"/>
  <c r="AG321" i="4" a="1"/>
  <c r="AG321" i="4" s="1"/>
  <c r="AC322" i="4" a="1"/>
  <c r="AC322" i="4" s="1"/>
  <c r="AK322" i="4" a="1"/>
  <c r="AK322" i="4" s="1"/>
  <c r="AH340" i="4" a="1"/>
  <c r="AH340" i="4" s="1"/>
  <c r="O341" i="4" a="1"/>
  <c r="O341" i="4" s="1"/>
  <c r="AE341" i="4" a="1"/>
  <c r="AE341" i="4" s="1"/>
  <c r="S340" i="4" a="1"/>
  <c r="S340" i="4" s="1"/>
  <c r="AN244" i="4"/>
  <c r="AP251" i="4"/>
  <c r="AT263" i="4" s="1"/>
  <c r="AU263" i="4" s="1"/>
  <c r="AP254" i="4"/>
  <c r="AT261" i="4" s="1"/>
  <c r="J292" i="4" a="1"/>
  <c r="J292" i="4" s="1"/>
  <c r="AI340" i="4" a="1"/>
  <c r="AI340" i="4" s="1"/>
  <c r="P341" i="4" a="1"/>
  <c r="P341" i="4" s="1"/>
  <c r="AF341" i="4" a="1"/>
  <c r="AF341" i="4" s="1"/>
  <c r="AP244" i="4"/>
  <c r="AS260" i="4" s="1"/>
  <c r="C292" i="4" a="1"/>
  <c r="C292" i="4" s="1"/>
  <c r="AP253" i="4"/>
  <c r="AT260" i="4" s="1"/>
  <c r="AP252" i="4"/>
  <c r="AT264" i="4" s="1"/>
  <c r="AT259" i="4"/>
  <c r="AU259" i="4" s="1"/>
  <c r="AP247" i="4"/>
  <c r="AQ247" i="4"/>
  <c r="AO241" i="4"/>
  <c r="AP243" i="4"/>
  <c r="AS264" i="4" s="1"/>
  <c r="AQ244" i="4"/>
  <c r="AV260" i="4" s="1"/>
  <c r="AX260" i="4" s="1"/>
  <c r="AO244" i="4"/>
  <c r="AA256" i="4"/>
  <c r="AM256" i="4" s="1"/>
  <c r="AT262" i="4"/>
  <c r="B256" i="4"/>
  <c r="AU261" i="4"/>
  <c r="E266" i="4"/>
  <c r="F266" i="4"/>
  <c r="AV263" i="4"/>
  <c r="AX263" i="4" s="1"/>
  <c r="AW259" i="4"/>
  <c r="AS22" i="4"/>
  <c r="AS23" i="4"/>
  <c r="AS27" i="4"/>
  <c r="AS31" i="4"/>
  <c r="AS21" i="4"/>
  <c r="AS25" i="4"/>
  <c r="AS29" i="4"/>
  <c r="E199" i="4"/>
  <c r="E170" i="4"/>
  <c r="F170" i="4"/>
  <c r="F199" i="4"/>
  <c r="AU24" i="4"/>
  <c r="AT28" i="4"/>
  <c r="AT32" i="4"/>
  <c r="AU21" i="4"/>
  <c r="AU25" i="4"/>
  <c r="AU29" i="4"/>
  <c r="AU26" i="4"/>
  <c r="AU30" i="4"/>
  <c r="AT27" i="4"/>
  <c r="AU23" i="4"/>
  <c r="AU27" i="4"/>
  <c r="AT21" i="4"/>
  <c r="AS30" i="4"/>
  <c r="AT22" i="4"/>
  <c r="AT26" i="4"/>
  <c r="AS24" i="4"/>
  <c r="AS32" i="4"/>
  <c r="AU28" i="4"/>
  <c r="AT31" i="4"/>
  <c r="AS26" i="4"/>
  <c r="AU22" i="4"/>
  <c r="AT24" i="4"/>
  <c r="AU31" i="4"/>
  <c r="AS28" i="4"/>
  <c r="AU32" i="4"/>
  <c r="AN22" i="8"/>
  <c r="AO25" i="8"/>
  <c r="AN30" i="8"/>
  <c r="AN19" i="8"/>
  <c r="AO22" i="8"/>
  <c r="AP25" i="8"/>
  <c r="AN27" i="8"/>
  <c r="AO30" i="8"/>
  <c r="AO27" i="8"/>
  <c r="AT29" i="4"/>
  <c r="AT30" i="4"/>
  <c r="AT23" i="4"/>
  <c r="AT25" i="4"/>
  <c r="AP113" i="4"/>
  <c r="AS134" i="4" s="1"/>
  <c r="AP121" i="4"/>
  <c r="AT130" i="4" s="1"/>
  <c r="AL127" i="4"/>
  <c r="AN124" i="4" s="1"/>
  <c r="AM127" i="4"/>
  <c r="AO121" i="4" s="1"/>
  <c r="AP115" i="4"/>
  <c r="AS131" i="4" s="1"/>
  <c r="AP125" i="4"/>
  <c r="AT132" i="4" s="1"/>
  <c r="AP123" i="4"/>
  <c r="AT135" i="4" s="1"/>
  <c r="AP114" i="4"/>
  <c r="AS135" i="4" s="1"/>
  <c r="AP116" i="4"/>
  <c r="AS132" i="4" s="1"/>
  <c r="AP124" i="4"/>
  <c r="AT131" i="4" s="1"/>
  <c r="AN37" i="7"/>
  <c r="AO42" i="7"/>
  <c r="AM43" i="7"/>
  <c r="AO40" i="7" s="1"/>
  <c r="AL43" i="7"/>
  <c r="AP38" i="7"/>
  <c r="AL42" i="7"/>
  <c r="AN42" i="7" s="1"/>
  <c r="AO37" i="7"/>
  <c r="AP37" i="7"/>
  <c r="AP41" i="7"/>
  <c r="AP40" i="7"/>
  <c r="E137" i="4"/>
  <c r="F137" i="4"/>
  <c r="AP122" i="4"/>
  <c r="AT134" i="4" s="1"/>
  <c r="AP126" i="4"/>
  <c r="AT133" i="4" s="1"/>
  <c r="AL118" i="4"/>
  <c r="AN116" i="4" s="1"/>
  <c r="AM118" i="4"/>
  <c r="AO113" i="4" s="1"/>
  <c r="AL117" i="4"/>
  <c r="AP117" i="4" s="1"/>
  <c r="AS133" i="4" s="1"/>
  <c r="AP112" i="4"/>
  <c r="AS130" i="4" s="1"/>
  <c r="AR92" i="4"/>
  <c r="AQ92" i="4"/>
  <c r="AR91" i="4"/>
  <c r="AQ91" i="4"/>
  <c r="AR90" i="4"/>
  <c r="AQ90" i="4"/>
  <c r="AR89" i="4"/>
  <c r="AQ89" i="4"/>
  <c r="AR88" i="4"/>
  <c r="AQ88" i="4"/>
  <c r="AR87" i="4"/>
  <c r="AQ87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R84" i="4"/>
  <c r="AQ84" i="4"/>
  <c r="AS84" i="4" s="1"/>
  <c r="AR83" i="4"/>
  <c r="AQ83" i="4"/>
  <c r="AR82" i="4"/>
  <c r="AQ82" i="4"/>
  <c r="AR81" i="4"/>
  <c r="AQ81" i="4"/>
  <c r="AR80" i="4"/>
  <c r="AQ80" i="4"/>
  <c r="AR79" i="4"/>
  <c r="AQ79" i="4"/>
  <c r="AR78" i="4"/>
  <c r="AQ78" i="4"/>
  <c r="AR77" i="4"/>
  <c r="AQ77" i="4"/>
  <c r="AR76" i="4"/>
  <c r="AQ76" i="4"/>
  <c r="AR75" i="4"/>
  <c r="AQ75" i="4"/>
  <c r="AR74" i="4"/>
  <c r="AQ74" i="4"/>
  <c r="AR73" i="4"/>
  <c r="AQ73" i="4"/>
  <c r="AR72" i="4"/>
  <c r="AQ72" i="4"/>
  <c r="AR71" i="4"/>
  <c r="AQ71" i="4"/>
  <c r="AR70" i="4"/>
  <c r="AQ70" i="4"/>
  <c r="AR69" i="4"/>
  <c r="AQ69" i="4"/>
  <c r="AR68" i="4"/>
  <c r="AQ68" i="4"/>
  <c r="AR67" i="4"/>
  <c r="AQ67" i="4"/>
  <c r="AR66" i="4"/>
  <c r="AQ66" i="4"/>
  <c r="AR65" i="4"/>
  <c r="AQ65" i="4"/>
  <c r="AR64" i="4"/>
  <c r="AQ64" i="4"/>
  <c r="AR63" i="4"/>
  <c r="AQ63" i="4"/>
  <c r="AR62" i="4"/>
  <c r="AQ62" i="4"/>
  <c r="AR61" i="4"/>
  <c r="AQ61" i="4"/>
  <c r="AO246" i="4" l="1"/>
  <c r="AX261" i="4"/>
  <c r="F328" i="4"/>
  <c r="AO245" i="4"/>
  <c r="AO243" i="4"/>
  <c r="AU260" i="4"/>
  <c r="F299" i="4"/>
  <c r="E299" i="4"/>
  <c r="AO242" i="4"/>
  <c r="E328" i="4"/>
  <c r="AN252" i="4"/>
  <c r="AQ252" i="4"/>
  <c r="AW264" i="4" s="1"/>
  <c r="AX264" i="4" s="1"/>
  <c r="AN256" i="4"/>
  <c r="AN246" i="4"/>
  <c r="AX259" i="4"/>
  <c r="AQ256" i="4"/>
  <c r="AW265" i="4" s="1"/>
  <c r="AO254" i="4"/>
  <c r="AO253" i="4"/>
  <c r="AO255" i="4"/>
  <c r="AO250" i="4"/>
  <c r="AO252" i="4"/>
  <c r="AO256" i="4"/>
  <c r="AP256" i="4"/>
  <c r="AT265" i="4" s="1"/>
  <c r="AO251" i="4"/>
  <c r="AU264" i="4"/>
  <c r="G266" i="4"/>
  <c r="AU262" i="4"/>
  <c r="AV265" i="4"/>
  <c r="AS265" i="4"/>
  <c r="AS64" i="4"/>
  <c r="AS76" i="4"/>
  <c r="AS72" i="4"/>
  <c r="AS68" i="4"/>
  <c r="AS80" i="4"/>
  <c r="AU130" i="4"/>
  <c r="AU133" i="4"/>
  <c r="AU131" i="4"/>
  <c r="AU132" i="4"/>
  <c r="AU134" i="4"/>
  <c r="AU135" i="4"/>
  <c r="G199" i="4"/>
  <c r="G170" i="4"/>
  <c r="AU89" i="4"/>
  <c r="AU67" i="4"/>
  <c r="AS67" i="4"/>
  <c r="AO125" i="4"/>
  <c r="AS75" i="4"/>
  <c r="AO127" i="4"/>
  <c r="AO124" i="4"/>
  <c r="AO122" i="4"/>
  <c r="AO126" i="4"/>
  <c r="AR93" i="4"/>
  <c r="AT93" i="4" s="1"/>
  <c r="AT79" i="4"/>
  <c r="AO123" i="4"/>
  <c r="AQ124" i="4"/>
  <c r="AW131" i="4" s="1"/>
  <c r="AQ123" i="4"/>
  <c r="AW135" i="4" s="1"/>
  <c r="AU75" i="4"/>
  <c r="AQ121" i="4"/>
  <c r="AW130" i="4" s="1"/>
  <c r="AN122" i="4"/>
  <c r="AQ125" i="4"/>
  <c r="AW132" i="4" s="1"/>
  <c r="AO112" i="4"/>
  <c r="AN121" i="4"/>
  <c r="AN126" i="4"/>
  <c r="AO117" i="4"/>
  <c r="AN114" i="4"/>
  <c r="AQ93" i="4"/>
  <c r="AV92" i="4" s="1"/>
  <c r="AO114" i="4"/>
  <c r="AP127" i="4"/>
  <c r="AT136" i="4" s="1"/>
  <c r="AO116" i="4"/>
  <c r="AU63" i="4"/>
  <c r="AT67" i="4"/>
  <c r="AU71" i="4"/>
  <c r="AT75" i="4"/>
  <c r="AU79" i="4"/>
  <c r="AU83" i="4"/>
  <c r="AN127" i="4"/>
  <c r="AQ127" i="4"/>
  <c r="AW136" i="4" s="1"/>
  <c r="AQ126" i="4"/>
  <c r="AW133" i="4" s="1"/>
  <c r="AN112" i="4"/>
  <c r="AQ122" i="4"/>
  <c r="AW134" i="4" s="1"/>
  <c r="AN125" i="4"/>
  <c r="AU88" i="4"/>
  <c r="AU92" i="4"/>
  <c r="AN123" i="4"/>
  <c r="AV72" i="4"/>
  <c r="AS61" i="4"/>
  <c r="AS73" i="4"/>
  <c r="AS63" i="4"/>
  <c r="AV61" i="4"/>
  <c r="AV73" i="4"/>
  <c r="AT63" i="4"/>
  <c r="AT71" i="4"/>
  <c r="AU87" i="4"/>
  <c r="AU91" i="4"/>
  <c r="AQ112" i="4"/>
  <c r="AV130" i="4" s="1"/>
  <c r="AN113" i="4"/>
  <c r="AS62" i="4"/>
  <c r="AS66" i="4"/>
  <c r="AS70" i="4"/>
  <c r="AS74" i="4"/>
  <c r="AS78" i="4"/>
  <c r="AS82" i="4"/>
  <c r="AQ116" i="4"/>
  <c r="AV132" i="4" s="1"/>
  <c r="AS71" i="4"/>
  <c r="AV76" i="4"/>
  <c r="AS65" i="4"/>
  <c r="AS81" i="4"/>
  <c r="AU69" i="4"/>
  <c r="AU81" i="4"/>
  <c r="AV66" i="4"/>
  <c r="AV74" i="4"/>
  <c r="AV82" i="4"/>
  <c r="AV71" i="4"/>
  <c r="AT83" i="4"/>
  <c r="AN117" i="4"/>
  <c r="AV68" i="4"/>
  <c r="AV80" i="4"/>
  <c r="AS69" i="4"/>
  <c r="AS77" i="4"/>
  <c r="AS79" i="4"/>
  <c r="AV65" i="4"/>
  <c r="AV77" i="4"/>
  <c r="AV62" i="4"/>
  <c r="AV70" i="4"/>
  <c r="AV78" i="4"/>
  <c r="AV63" i="4"/>
  <c r="AV79" i="4"/>
  <c r="AU90" i="4"/>
  <c r="AQ118" i="4"/>
  <c r="AV136" i="4" s="1"/>
  <c r="AP118" i="4"/>
  <c r="AS136" i="4" s="1"/>
  <c r="AO118" i="4"/>
  <c r="AO115" i="4"/>
  <c r="AV83" i="4"/>
  <c r="AS83" i="4"/>
  <c r="AN115" i="4"/>
  <c r="AN118" i="4"/>
  <c r="AQ115" i="4"/>
  <c r="AV131" i="4" s="1"/>
  <c r="AQ113" i="4"/>
  <c r="AV134" i="4" s="1"/>
  <c r="AV64" i="4"/>
  <c r="AV84" i="4"/>
  <c r="AV67" i="4"/>
  <c r="AV75" i="4"/>
  <c r="AQ114" i="4"/>
  <c r="AV135" i="4" s="1"/>
  <c r="AQ117" i="4"/>
  <c r="AV133" i="4" s="1"/>
  <c r="AP42" i="7"/>
  <c r="AQ42" i="7"/>
  <c r="AN38" i="7"/>
  <c r="AN43" i="7"/>
  <c r="AQ39" i="7"/>
  <c r="AQ41" i="7"/>
  <c r="AN40" i="7"/>
  <c r="AQ38" i="7"/>
  <c r="AO43" i="7"/>
  <c r="AO38" i="7"/>
  <c r="AP43" i="7"/>
  <c r="AQ43" i="7"/>
  <c r="AO39" i="7"/>
  <c r="AQ37" i="7"/>
  <c r="AN41" i="7"/>
  <c r="AO41" i="7"/>
  <c r="AN39" i="7"/>
  <c r="AQ40" i="7"/>
  <c r="G137" i="4"/>
  <c r="AT61" i="4"/>
  <c r="AT69" i="4"/>
  <c r="AT77" i="4"/>
  <c r="AU61" i="4"/>
  <c r="AU65" i="4"/>
  <c r="AV69" i="4"/>
  <c r="AV81" i="4"/>
  <c r="AT81" i="4"/>
  <c r="AT62" i="4"/>
  <c r="AT64" i="4"/>
  <c r="AT66" i="4"/>
  <c r="AT68" i="4"/>
  <c r="AT70" i="4"/>
  <c r="AT72" i="4"/>
  <c r="AT74" i="4"/>
  <c r="AT76" i="4"/>
  <c r="AT78" i="4"/>
  <c r="AT80" i="4"/>
  <c r="AT82" i="4"/>
  <c r="AT84" i="4"/>
  <c r="AT65" i="4"/>
  <c r="AT73" i="4"/>
  <c r="AU73" i="4"/>
  <c r="AU77" i="4"/>
  <c r="AU62" i="4"/>
  <c r="AU64" i="4"/>
  <c r="AU66" i="4"/>
  <c r="AU68" i="4"/>
  <c r="AU70" i="4"/>
  <c r="AU72" i="4"/>
  <c r="AU74" i="4"/>
  <c r="AU76" i="4"/>
  <c r="AU78" i="4"/>
  <c r="AU80" i="4"/>
  <c r="AU82" i="4"/>
  <c r="AU84" i="4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G299" i="4" l="1"/>
  <c r="G328" i="4"/>
  <c r="AU265" i="4"/>
  <c r="AX265" i="4"/>
  <c r="AX131" i="4"/>
  <c r="AX133" i="4"/>
  <c r="AX135" i="4"/>
  <c r="AX134" i="4"/>
  <c r="AU136" i="4"/>
  <c r="AT88" i="4"/>
  <c r="AX136" i="4"/>
  <c r="AX132" i="4"/>
  <c r="AX130" i="4"/>
  <c r="AV87" i="4"/>
  <c r="AS91" i="4"/>
  <c r="AS93" i="4"/>
  <c r="AS90" i="4"/>
  <c r="AS87" i="4"/>
  <c r="AS88" i="4"/>
  <c r="AS92" i="4"/>
  <c r="AV90" i="4"/>
  <c r="AS89" i="4"/>
  <c r="AV89" i="4"/>
  <c r="AT89" i="4"/>
  <c r="AT92" i="4"/>
  <c r="AV88" i="4"/>
  <c r="AT87" i="4"/>
  <c r="AU93" i="4"/>
  <c r="AT91" i="4"/>
  <c r="AV93" i="4"/>
  <c r="AT90" i="4"/>
  <c r="AV9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<sst xmlns="http://schemas.openxmlformats.org/spreadsheetml/2006/main" count="17323" uniqueCount="1788">
  <si>
    <t>CANAL</t>
  </si>
  <si>
    <t>(Todas)</t>
  </si>
  <si>
    <t>Data New</t>
  </si>
  <si>
    <t>EJE</t>
  </si>
  <si>
    <t>MARCA</t>
  </si>
  <si>
    <t>Suma de ene-23</t>
  </si>
  <si>
    <t>Suma de feb-23</t>
  </si>
  <si>
    <t>Suma de mar-23</t>
  </si>
  <si>
    <t>Suma de abr-23</t>
  </si>
  <si>
    <t>Suma de may-23</t>
  </si>
  <si>
    <t>Suma de jun-23</t>
  </si>
  <si>
    <t>Suma de jul-23</t>
  </si>
  <si>
    <t>Suma de ago-23</t>
  </si>
  <si>
    <t>Suma de sep-23</t>
  </si>
  <si>
    <t>Suma de oct-23</t>
  </si>
  <si>
    <t>Suma de nov-23</t>
  </si>
  <si>
    <t>Suma de dic-23</t>
  </si>
  <si>
    <t>Suma de ene-24</t>
  </si>
  <si>
    <t>Suma de feb-24</t>
  </si>
  <si>
    <t>Suma de mar-24</t>
  </si>
  <si>
    <t>Suma de abr-24</t>
  </si>
  <si>
    <t>Suma de may-24</t>
  </si>
  <si>
    <t>Suma de jun-24</t>
  </si>
  <si>
    <t>Suma de jul-24</t>
  </si>
  <si>
    <t>Suma de ago-24</t>
  </si>
  <si>
    <t>Suma de sep-24</t>
  </si>
  <si>
    <t>Suma de oct-24</t>
  </si>
  <si>
    <t>Suma de nov-24</t>
  </si>
  <si>
    <t>Suma de dic-24</t>
  </si>
  <si>
    <t>Suma de ene-25</t>
  </si>
  <si>
    <t>Suma de feb-25</t>
  </si>
  <si>
    <t>Suma de mar-25</t>
  </si>
  <si>
    <t>Suma de abr-25</t>
  </si>
  <si>
    <t>Suma de may-25</t>
  </si>
  <si>
    <t>Suma de jun-25</t>
  </si>
  <si>
    <t>Hair Color</t>
  </si>
  <si>
    <t>Magic Retouch</t>
  </si>
  <si>
    <t>Total Hair Color</t>
  </si>
  <si>
    <t>Total general</t>
  </si>
  <si>
    <t>Data Old</t>
  </si>
  <si>
    <t>Hair Care</t>
  </si>
  <si>
    <t>Elvive</t>
  </si>
  <si>
    <t>Fructis</t>
  </si>
  <si>
    <t>Total Hair Care</t>
  </si>
  <si>
    <t>Casting</t>
  </si>
  <si>
    <t>Cor Intensa</t>
  </si>
  <si>
    <t>Excellence</t>
  </si>
  <si>
    <t>Nutrisse</t>
  </si>
  <si>
    <t>Canal NIQ</t>
  </si>
  <si>
    <t>(Varios elementos)</t>
  </si>
  <si>
    <t>Brand</t>
  </si>
  <si>
    <t>Suma de ene-22</t>
  </si>
  <si>
    <t>Suma de feb-22</t>
  </si>
  <si>
    <t>Suma de mar-22</t>
  </si>
  <si>
    <t>Suma de abr-22</t>
  </si>
  <si>
    <t>Suma de may-22</t>
  </si>
  <si>
    <t>Suma de jun-22</t>
  </si>
  <si>
    <t>Suma de jul-22</t>
  </si>
  <si>
    <t>Suma de ago-22</t>
  </si>
  <si>
    <t>Suma de sep-22</t>
  </si>
  <si>
    <t>Suma de oct-22</t>
  </si>
  <si>
    <t>Suma de nov-22</t>
  </si>
  <si>
    <t>Suma de dic-22</t>
  </si>
  <si>
    <t>UAM-1</t>
  </si>
  <si>
    <t>UAM</t>
  </si>
  <si>
    <t>CASTING CREME GLOSS</t>
  </si>
  <si>
    <t>EXCELL 5</t>
  </si>
  <si>
    <t>EXCELLENCE</t>
  </si>
  <si>
    <t>EXCELLENCE EXTRA PROFUNDO</t>
  </si>
  <si>
    <t>EXCELLENCE SIN AMONIACO</t>
  </si>
  <si>
    <t>MAGIC RETOUCH</t>
  </si>
  <si>
    <t>NUTRISSE</t>
  </si>
  <si>
    <t>NUTRISSE COLORISSIMO</t>
  </si>
  <si>
    <t>NUTRISSE COR INTENSA</t>
  </si>
  <si>
    <t>NUTRISSE OLEOS</t>
  </si>
  <si>
    <t>NUTRISSE RETOCA RAIZ</t>
  </si>
  <si>
    <t>%Part. UAM (Sept.)</t>
  </si>
  <si>
    <t>VAR. UAM(Sept.)</t>
  </si>
  <si>
    <t>Aporte</t>
  </si>
  <si>
    <t>Elvive Moderno</t>
  </si>
  <si>
    <t>%Part. UAM-1</t>
  </si>
  <si>
    <t>%Part. UAM</t>
  </si>
  <si>
    <t>Var. UAM</t>
  </si>
  <si>
    <t>ELVIVE ARCILLA EXTRAO.</t>
  </si>
  <si>
    <t>ELVIVE ARCILLA PURIFICAN</t>
  </si>
  <si>
    <t>ELVIVE CAIDA RESIST</t>
  </si>
  <si>
    <t>ELVIVE CITRUS</t>
  </si>
  <si>
    <t>ELVIVE COCO</t>
  </si>
  <si>
    <t>ELVIVE COLORVIVE</t>
  </si>
  <si>
    <t>ELVIVE DREAM LISO</t>
  </si>
  <si>
    <t>ELVIVE DREAM LONG</t>
  </si>
  <si>
    <t>ELVIVE DREAM LONG LISS</t>
  </si>
  <si>
    <t>ELVIVE GLYCOLIC GLOSS</t>
  </si>
  <si>
    <t>ELVIVE HIALURONICO PURE</t>
  </si>
  <si>
    <t>ELVIVE HIDRA HIALURONICO</t>
  </si>
  <si>
    <t>ELVIVE HIDRATACION NOCTURNA</t>
  </si>
  <si>
    <t>ELVIVE OLEO COCO</t>
  </si>
  <si>
    <t>ELVIVE OLEO EXT. RIZOS DEFI.</t>
  </si>
  <si>
    <t>ELVIVE OLEO EXTR.NUT.INTENSA</t>
  </si>
  <si>
    <t>ELVIVE OLEO EXTR.NUT.UNIVERSAL</t>
  </si>
  <si>
    <t>ELVIVE OLEO EXTR.TRATAMIENTO</t>
  </si>
  <si>
    <t>ELVIVE OLEO EXTRAORDINARIO</t>
  </si>
  <si>
    <t>ELVIVE PURPLE</t>
  </si>
  <si>
    <t>ELVIVE RT EXTREME</t>
  </si>
  <si>
    <t>ELVIVE RT5</t>
  </si>
  <si>
    <t>ELVIVE RT5 CICA</t>
  </si>
  <si>
    <t>ELVIVE RESTO</t>
  </si>
  <si>
    <t>Total Moderno Elvive</t>
  </si>
  <si>
    <t>Elvive Moderno NIQ</t>
  </si>
  <si>
    <t>TOTAL ELVIVE MODERNO</t>
  </si>
  <si>
    <t>Elvive Moderno L'oreal</t>
  </si>
  <si>
    <t>Variación</t>
  </si>
  <si>
    <t>NIQ</t>
  </si>
  <si>
    <t>L'oreal</t>
  </si>
  <si>
    <t>Gap</t>
  </si>
  <si>
    <t>DN</t>
  </si>
  <si>
    <t>Constantes</t>
  </si>
  <si>
    <t>Nuevos</t>
  </si>
  <si>
    <t>gap</t>
  </si>
  <si>
    <t>TOTAL</t>
  </si>
  <si>
    <t>Elvive Constantes NIQ</t>
  </si>
  <si>
    <t>TOTAL ELVIVE CONSTANTES MODERNO</t>
  </si>
  <si>
    <t>Elvive Nuevos NIQ</t>
  </si>
  <si>
    <t>TOTAL ELVIVE NUEVO MODERNO</t>
  </si>
  <si>
    <t>Elvive Nuevo NIQ</t>
  </si>
  <si>
    <t>Elseve Haircare</t>
  </si>
  <si>
    <t>Elvive Trad+Farm NIQ</t>
  </si>
  <si>
    <t>TOTAL ELVIVE TRAD+FARM</t>
  </si>
  <si>
    <t>TOTAL ELVIVE CONSTANTES TRD+FARM</t>
  </si>
  <si>
    <t>TOTAL ELVIVE NUEVO TRAD+FARM</t>
  </si>
  <si>
    <t>Elvive Nuevo L'oreal</t>
  </si>
  <si>
    <t>DW</t>
  </si>
  <si>
    <t>FRUCTIS ADIOS ESPONJADO</t>
  </si>
  <si>
    <t>FRUCTIS ALOE HIDRA BOMB</t>
  </si>
  <si>
    <t>FRUCTIS ALOE HIDRA CLEAN</t>
  </si>
  <si>
    <t>FRUCTIS ANTICASPA</t>
  </si>
  <si>
    <t>FRUCTIS CONTROL Y DEF. RIZOS PODEROSOS</t>
  </si>
  <si>
    <t>FRUCTIS GOODBYE DAMAGE</t>
  </si>
  <si>
    <t>FRUCTIS HAIR FOOD</t>
  </si>
  <si>
    <t>FRUCTIS LISO COCO</t>
  </si>
  <si>
    <t>FRUCTIS OIL REPAIR</t>
  </si>
  <si>
    <t>FRUCTIS OIL REPAIR LISO COCO</t>
  </si>
  <si>
    <t>FRUCTIS OIL REPAIR RECARGA NUTRITIVA</t>
  </si>
  <si>
    <t>FRUCTIS PROBIOTICOS FUERZA</t>
  </si>
  <si>
    <t>FRUCTIS SLEEK AND SHINE</t>
  </si>
  <si>
    <t>FRUCTIS STOP CAIDA</t>
  </si>
  <si>
    <t>FRUCTIS STOP CAIDA CRECER FUERTE</t>
  </si>
  <si>
    <t>FRUCTIS VITAMINADO</t>
  </si>
  <si>
    <t>EAN</t>
  </si>
  <si>
    <t>Item</t>
  </si>
  <si>
    <t>FOOD</t>
  </si>
  <si>
    <t>Elnett</t>
  </si>
  <si>
    <t>Laca Elnet</t>
  </si>
  <si>
    <t>ELVIVE VIOLETA MATIZADOR FCO.PL 200ML</t>
  </si>
  <si>
    <t>ELVIVE VIOLETA ACOND MATIZADOR POMO 150ML</t>
  </si>
  <si>
    <t>ELVIVE CAIDA RESIST SERUM ANTI-HAIR AMIN FCO 102 ML</t>
  </si>
  <si>
    <t>ELVIVE COLOR VIVEFCO.PL. 400 CC</t>
  </si>
  <si>
    <t>ELVIVE COLOR VIVEACONDICIO.FCO PLAST 400 ML</t>
  </si>
  <si>
    <t>ELVIVE REPARACIONTOTAL 5 FCO.PL. 400 CC</t>
  </si>
  <si>
    <t>ELVIVE REPARACIONTOTAL 5 ACONDICIO. 400 MLFCO.PLAST.</t>
  </si>
  <si>
    <t>ELVIVE REPARACION TOTAL 5 CREMA P/PEINAR . FCO PLAS 300 ML</t>
  </si>
  <si>
    <t>ELVIVE COLOR VIVEFCO.PL. 200 CC</t>
  </si>
  <si>
    <t>ELVIVE REPARACION TOTAL 5 FCO.PLAST. 200 CC</t>
  </si>
  <si>
    <t>ELVIVE SHAMPOO PURIFICANTE ARCILLA EXT 200 ML</t>
  </si>
  <si>
    <t>ELVIVE ACONDICIONADOR ARCILLA EXTRAORD FCO 200 ML</t>
  </si>
  <si>
    <t>ELVIVE O.EXTRAORD NUTR UNIV 200 ML</t>
  </si>
  <si>
    <t>ELVIVE OLEO EXTR.NUT.INTENS COCO CAB.SECO ADU REG FCO 200ML</t>
  </si>
  <si>
    <t>ELVIVE ARCILLA PURIFICANTE FCO.PLAST 200ML</t>
  </si>
  <si>
    <t>ELVIVE ARCILLA PURIFICANTE SH ANT. CASP. FCO.PL. 400 ML</t>
  </si>
  <si>
    <t>ELVIVE ARCILLA PURIFICANTE ACOND. FCO.PLAST. 200 ML</t>
  </si>
  <si>
    <t>ELVIVE LOREAL OLEO EXTRAORD C/PEI NUT INTEN FCO PLAST300 ML</t>
  </si>
  <si>
    <t>ELVIVE REPARACION TOTAL 5 SH.CICA REPAIR FCO.PL.680ML</t>
  </si>
  <si>
    <t>ELVIVE COLOR VIVE SH. PROTECTOR FCO. PL. 680ML</t>
  </si>
  <si>
    <t>ELVIVE OLEO EXTRAO. SH.NUTRIC.-BRI-SUAVCAB.SECO F.PL. 680ML</t>
  </si>
  <si>
    <t>ELVIVE ARCILLA PURIFICANTE SH FCO. PL. 680ML</t>
  </si>
  <si>
    <t>ELVIVE HID NOCTURNA TRAT FCO 200 GR</t>
  </si>
  <si>
    <t>ELVIVE DREAM LONG CABELLO LARGO DANADO FCO.PL.400ML</t>
  </si>
  <si>
    <t>ELVIVE DREAM LONG CABELLO LARGO DANADO ACO. FCO. 200ML</t>
  </si>
  <si>
    <t>ELVIVE DREAM LONG AC.DESENREDANTE FCO.PL. 400ML</t>
  </si>
  <si>
    <t>ELVIVE DREAM LONG RECONSTRUCTOR FCO PL 200ML</t>
  </si>
  <si>
    <t>ELVIVE DREAM LONG CABELLO LARGO DANADO CREM P/PEI F.P.300ML</t>
  </si>
  <si>
    <t>ELVIVE OLEO EXTRAOR. OLEO COCO ACO.NUTR.INT.F.P.200ML</t>
  </si>
  <si>
    <t>ELVIVE DREAM LONG LISS ANTIFRIZZ FCO 200ML</t>
  </si>
  <si>
    <t>ELVIVE DREAM LONG LISS SH ANTIFRIZZ FCO400ML</t>
  </si>
  <si>
    <t>ELVIVE DREAM LONG LISS ACO ANTIFRIZZ FCO400ML</t>
  </si>
  <si>
    <t>ELVIVE DREAM LONG LISS FCO 200ML</t>
  </si>
  <si>
    <t>ELVIVE ACOND DREAM LONG LISS FCO 200ML</t>
  </si>
  <si>
    <t>ELVIVE SHAMPOO PURPLE FCO 200 ML</t>
  </si>
  <si>
    <t>ELVIVE AC. TRAT. COLORVIVE MATIZADOR FCO 150 ML</t>
  </si>
  <si>
    <t>ELVIVE DREAM LONG LISS ANTIFRIZZ CR./PEINAR FCO 300ML</t>
  </si>
  <si>
    <t>ELVIVE HIDRA HIALURONICO FCO.PL 200ML</t>
  </si>
  <si>
    <t>ELVIVE HIDRA HIALURONICO FCO.PL 370ML</t>
  </si>
  <si>
    <t>ELVIVE HIDRA HIALURONICO FCO.PL 680ML</t>
  </si>
  <si>
    <t>ELVIVE ACON HIDRA HIALURONICO 200ML</t>
  </si>
  <si>
    <t>ELVIVE ACON HIDRA HIALURONICO 370ML</t>
  </si>
  <si>
    <t>ELVIVE CREMA P/PEINAR HIDRA HIALURONICO 300ML</t>
  </si>
  <si>
    <t>ELVIVE COLOR VIVE FCO.PL 370ML</t>
  </si>
  <si>
    <t>ELVIVE OLEO EXT NUTR UNIV FCO PLAST 370ML</t>
  </si>
  <si>
    <t>ELVIVE ACOND OLEO EXT NUTR UNIV FCO PLAST 370ML</t>
  </si>
  <si>
    <t>ELVIVE OLEO COCO FCO PLAST 370ML</t>
  </si>
  <si>
    <t>ELVIVE ACOND OLEO COCO FCO PLAST 370ML</t>
  </si>
  <si>
    <t>ELVIVE CAIDA RESIST FCO.PL 370ML</t>
  </si>
  <si>
    <t>ELVIVE ARCILLA PURIFICAN FCO.PLAST 370ML</t>
  </si>
  <si>
    <t>ELVIVE ACOND ARCILLA PURIFICAN FCO.PLAST 370ML</t>
  </si>
  <si>
    <t>ELVIVE DREAM LONG FCO PLAST 370ML</t>
  </si>
  <si>
    <t>ELVIVE DREAM LONG LISS FCO 370ML</t>
  </si>
  <si>
    <t>ELVIVE CTT HIDRA HIALURONICO 300ML</t>
  </si>
  <si>
    <t>ELVIVE REPARACION TOTAL 5 FCO.PLAST. 370ML</t>
  </si>
  <si>
    <t>ELVIVE ACON REPARACION TOTAL 5 370ML</t>
  </si>
  <si>
    <t>ELVIVE RT EXTREME FCO.PL 370ML</t>
  </si>
  <si>
    <t>ELVIVE ACOND RT EXTREME FCO.PL 370ML</t>
  </si>
  <si>
    <t>ELVIVE OLEO EXTRA RIZOS FCO PLAST 370ML</t>
  </si>
  <si>
    <t>ELVIVE ACOND OLEO EXTRA RIZOS FCO PLAST 370ML</t>
  </si>
  <si>
    <t>ELVIVE ACOND CAIDA RESIST X3 FCO.PLAST 370ML</t>
  </si>
  <si>
    <t>ELVIVE ACOND DREAM LONG LISS FCO 370ML</t>
  </si>
  <si>
    <t>ELVIVE ACOND DREAM LONG FCO PLAST 370ML</t>
  </si>
  <si>
    <t>ELVIVE ACON COLORVIVE FCO PL 370ML</t>
  </si>
  <si>
    <t>ELVIVE ÓLEO EXTRAORDINARIO NUT UNIV POTE 300 GR</t>
  </si>
  <si>
    <t>ELVIVE HIALURONICO PURE SHAMPOO FCO 370 ML</t>
  </si>
  <si>
    <t>ELVIVE HIALU PURE SHAMPOO FCO 680 ML</t>
  </si>
  <si>
    <t>ELVIVE HIALURONICO PURE ACO 370 ML</t>
  </si>
  <si>
    <t>ELVIVE HIALURONICO TRAT PURE POTE 300 GR</t>
  </si>
  <si>
    <t>ELVIVE HIALURONICO PURE SH FCO 200 ML</t>
  </si>
  <si>
    <t>ELVIVE HIALURONICO PURE ACO 200 ML</t>
  </si>
  <si>
    <t>ELVIVE HIALURONICO PURE MICELLAR SH FCO 300 ML</t>
  </si>
  <si>
    <t>ELVIVE CAIDA RESIST FCO 370 ML</t>
  </si>
  <si>
    <t>ELVIVE AC ANTI-HAIR FALL ACO FCO 370 ML</t>
  </si>
  <si>
    <t>ELVIVE CAIDA RESIST CREMA TRAT POTE 300 GR</t>
  </si>
  <si>
    <t>ELVIVE CAIDA RESIST C PEINAR ANTI-HAIR FALL FCO 300ML</t>
  </si>
  <si>
    <t>ELVIVE SHAMPOO HIDRA HIALURONICO FCO 200ML</t>
  </si>
  <si>
    <t>ELVIVE HIDRA HIALURONICO ACOND FCO.200ML</t>
  </si>
  <si>
    <t>ELVIVE COLOR VIVE FCO.PL. 200 ML</t>
  </si>
  <si>
    <t>ELVIVE RT EXTREME SH REPARACION ADU REG FCO 200ML</t>
  </si>
  <si>
    <t>ELVIVE REPARACION TOTAL 5 SH ADU REG FCO 200ML</t>
  </si>
  <si>
    <t>ELVIVE REPARACIONTOTAL 5 FCO.PL. 200 CC</t>
  </si>
  <si>
    <t>ELVIVE COLOR VIVETRATAMI. POTE 300 GR</t>
  </si>
  <si>
    <t>ELVIVE REPARACIONTOTAL 5 CR.TRATAM. 350 CCPOTE</t>
  </si>
  <si>
    <t>ELVIVE REPARACION TOTAL 5 +KERATIN AC ADU REG FCO 200ML</t>
  </si>
  <si>
    <t>ELVIVE COLORVIVE AC ADU REG FCO 200ML</t>
  </si>
  <si>
    <t>ELVIVE OLEO EXTRAORDINARIO TRATAM. 100 MLFCO.PL.</t>
  </si>
  <si>
    <t>ELVIVE RT EXTREME FCO.PL. 400 CC</t>
  </si>
  <si>
    <t>ELVIVE RT EXTREMEACOND. FCO.PL. 400 CC</t>
  </si>
  <si>
    <t>ELVIVE RT EXTREMECR.TRATAM.POTE 300 CC</t>
  </si>
  <si>
    <t>ELVIVE COLOR VIVE SHAMPOO FCO 200ML</t>
  </si>
  <si>
    <t>ELVIVE OLEO EXTRAORDINARIO NUT.UNIVER. 400 CCFCO.PL.</t>
  </si>
  <si>
    <t>ELVIVE OLEO EXTRAORDINARIO NUT.UNIVER. 400 CCFCO PL.</t>
  </si>
  <si>
    <t>ELVIVE OLEO EXTRAORD.NUTRI INT.C.MUY SECO 400CCFCO.P</t>
  </si>
  <si>
    <t>ELIVE OLEO EXTRAORDIN.NUT.INTEN.ACO. 400 MLFCO.PL.</t>
  </si>
  <si>
    <t>ELIVE OLEO EXTRAORDINARIO NUT.INTEN.TRAT.300MLPOTE</t>
  </si>
  <si>
    <t>ELVIVE OLEO EXT. TODO TIPO 200 ML FCO PLAST</t>
  </si>
  <si>
    <t>ELVIVE OLEO EXTRAORDINARIO RIZOS DEFINIDOS NUTRIC 400ML FCO</t>
  </si>
  <si>
    <t>ELVIVE OLEO EXTRAORDINARIO CURLS RULOS CRE.P/EI. F.P. 300 ML</t>
  </si>
  <si>
    <t>ELVIVE CAIDA RESIST FCO.PL. 400 CC</t>
  </si>
  <si>
    <t>ELVIVE CAIDA RESIST ACOND. 400 CCFCO.PL.</t>
  </si>
  <si>
    <t>ELVIVE ARCILLA PURIFICANTE FCO.PL. 400 ML</t>
  </si>
  <si>
    <t>ELVIVE ARCILLA PURIFICAN.ACOND 400 CCFCO.PL.</t>
  </si>
  <si>
    <t>ELVIVE GLYCOLIC GLOSS CREMA DE TRATAMIENTO POTE 300GR</t>
  </si>
  <si>
    <t>ELVIVE GLYCOLIC GLOSS CR.DE TRAT. BRILLO ADU REG FCO 200ML</t>
  </si>
  <si>
    <t>ELVIVE SHAMPOO GLYCOLIC GLOSS FCO 680ML</t>
  </si>
  <si>
    <t>ELVIVE GLYCOLIC GLOSS ACONDICIONADOR FCO 370ML</t>
  </si>
  <si>
    <t>ELVIVE GLYCOLIC GLOSS CREMA PARA PEINAR POTE 300ML</t>
  </si>
  <si>
    <t>ELVIVE GLYCOLIC GLOSS SERUM TRAT INT BRILL REG ADU FCO 100ML</t>
  </si>
  <si>
    <t>ELVIVE GLYCOLIC GLOSS AC BRILLO REG ADU FCO 200ML</t>
  </si>
  <si>
    <t>ELVIVE GLYCOLIC GLOSS SHAMPOO FCO 370ML</t>
  </si>
  <si>
    <t>ELVIVE GLYCOLIC GLOSS SH BRILLO ADU REG FCO 200ML</t>
  </si>
  <si>
    <t>ELVIVE DREAM LISO SH ADU REG FCO 680ML</t>
  </si>
  <si>
    <t>ELVIVE DREAM LISO SH REG ADU FCO 370ML</t>
  </si>
  <si>
    <t>ELVIVE DREAM LISO CR.DE TRAT. ADU REGULAR POTE 300ML</t>
  </si>
  <si>
    <t>ELVIVE DREAM LISO AC ADU REGULAR FCO 370ML</t>
  </si>
  <si>
    <t>ELVIVE DREAM LISO AC REGULAR ADU FCO 200ML</t>
  </si>
  <si>
    <t>ELVIVE DREAM LISO SH. ADU REG FCO 200ML</t>
  </si>
  <si>
    <t>ELVIVE DREAM LISO CR. PEIN. ADU REGULAR POTE 300ML</t>
  </si>
  <si>
    <t>ELVIVE SHAMPOO REPARACION TOTAL 5 200 ML</t>
  </si>
  <si>
    <t>ELVIVE CITRUS FCO.PL. 200 CC</t>
  </si>
  <si>
    <t>ELVIVE CITRUS FCO.PLA. 400 CC</t>
  </si>
  <si>
    <t>ELVIVE OLEO EXTRAORDINARIO TRATAMIEN. 100 MLFCO.PL.</t>
  </si>
  <si>
    <t>ELVIVE RT EXTREME FCO.PL. 200 CC</t>
  </si>
  <si>
    <t>ELVIVE OLEO EXTRAORDINARIO NUT.UNIVER. 200 MLFCO.PL.</t>
  </si>
  <si>
    <t>ELVIVE OLEO COCO ACONDICIONADOR 200ML FCO.PL.</t>
  </si>
  <si>
    <t>ELVIVE OLEO COCO SHAMPOO 200ML FCO. PLAST.</t>
  </si>
  <si>
    <t>ELVIVE RT5 CICA RENOV TRATAM. 50 MLFCO.PL.</t>
  </si>
  <si>
    <t>ELVIVE REPARACIONTOTAL 5 CICATRI-CERA CAPSULAS 15 GR X 3UN</t>
  </si>
  <si>
    <t>Ever Haircare</t>
  </si>
  <si>
    <t>EVER PURE</t>
  </si>
  <si>
    <t>L'OREAL HAIR EXP. EVERPURE REPAIR 250 MLTUBO</t>
  </si>
  <si>
    <t>L'OREAL HAIR EXPERTISE EVER.REPAI 250 MLTUBO</t>
  </si>
  <si>
    <t>EVER CREME</t>
  </si>
  <si>
    <t>LOREAL HAIR EXPERT EVER CREME HYDRATATION SH 250 ML TUBO</t>
  </si>
  <si>
    <t>L'OREAL HAIR EXPERTISE EVER.NOUR. 250 MLTUBO</t>
  </si>
  <si>
    <t>L'OREAL HAIR EXPERTISE EVERBLONDE 250 MLTUBO</t>
  </si>
  <si>
    <t>L'OREAL HAIR EXPERTISE EVE.BLONDE 250 MLTUBO</t>
  </si>
  <si>
    <t>L'OREAL HAIR EXPERTISE EVER PURE VIOLE MATIZADOR POMO 200ML</t>
  </si>
  <si>
    <t>L'OREAL HAIR EXPERTISE ACOND EVER PURE VIOLE MATIZ POM 200ML</t>
  </si>
  <si>
    <t>L'OREAL EVER PURE BONDING REPAIR SH ADU REG POMO 200ML</t>
  </si>
  <si>
    <t>L'OREAL EVER PURE BONDING. REPAIR AC ADU REG POMO 200ML</t>
  </si>
  <si>
    <t>L'OREAL EVER PURE GLOSSING SH ADU REG POMO 250ML</t>
  </si>
  <si>
    <t>L'OREAL EVER PURE GLOSSING AC ADU REG POMO 250ML</t>
  </si>
  <si>
    <t>L'OREAL EVER PURE BONDING REPAIR PRE SH REG 150ML</t>
  </si>
  <si>
    <t>FRUCTIS SLEEK AND SHINE FCO 180ML</t>
  </si>
  <si>
    <t>FRUCTIS HAIR FOOD ALOE VERA SH BARRA 60 GR</t>
  </si>
  <si>
    <t>FRUCTIS HAIR FOOD SANDIA SH BARRA 60 GR</t>
  </si>
  <si>
    <t>FRUCTIS HAIR FOOD COCO SH BARRA 60 GR</t>
  </si>
  <si>
    <t>FRUCTIS HAIR FOOD AGUACATE SH BARRA 60 GR</t>
  </si>
  <si>
    <t>FRUCTIS FOOD SH MANT DE CACAO FCO 300 ML</t>
  </si>
  <si>
    <t>FRUCTIS HAIR FOOD ACO MANT DE CACAO 300 ML</t>
  </si>
  <si>
    <t>FRUCTIS HAIR C PEINAR FOODMANTECA DE CACAO 300 ML</t>
  </si>
  <si>
    <t>FRUCTIS CREMA 10EN1 STOP CAIDA FCO 300 ML</t>
  </si>
  <si>
    <t>FRUCTIS CRECE FUERTE VIT SERUM TRATAMIENTO 30 ML</t>
  </si>
  <si>
    <t>FRUCTIS HAIR FOOD TTO MANTEC POT 350 ML</t>
  </si>
  <si>
    <t>FRUCTIS ACO STOP CAIDA CRECE FUERTE FCO 350 ML</t>
  </si>
  <si>
    <t>FRUCTIS BRILLO VITAMINADO 200 CCFCO.PLAST.</t>
  </si>
  <si>
    <t>FRUCTIS BRILLO VITAMINADO ACOND. 200 CCFCO.PLAST.</t>
  </si>
  <si>
    <t>FRUCTIS GOODBYE DANOS FCO.PLAST. 200 CC</t>
  </si>
  <si>
    <t>FRUCTIS GOODBYE DANOS ACOND. 200 CCFCO.PLAST.</t>
  </si>
  <si>
    <t>FRUCTIS GARNIER OIL REPAIR LISO COCO.CAB.SEC.REB 350 ML F.P.</t>
  </si>
  <si>
    <t>FRUCTIS SHAMPOO LISS COCONUT OIL FCO.650 ML</t>
  </si>
  <si>
    <t>FRUCTIS GARNIER OIL REPAIR LISO COCO CAB.SEC.REB 350 ML F.P.</t>
  </si>
  <si>
    <t>FRUCTIS GARNIER OIL REPAIR LISO COCONUT CRE P/PEI 300ML F.P.</t>
  </si>
  <si>
    <t>FRUCTIS ACO OIL REPAIR LISO COCO 200 ML</t>
  </si>
  <si>
    <t>FRUCTIS SHAMPOO OIL REPAIR LISO COCO FCO 200 ML</t>
  </si>
  <si>
    <t>FRUCTIS GOODBYE DAMAGE SH REPARADOR ADU REG FCO 200ML</t>
  </si>
  <si>
    <t>FRUCTIS ACOND REC NUTRITIVA FCO.200 ML</t>
  </si>
  <si>
    <t>FRUCTIS OIL REPAIR REC NUTRI FCO.PLAST 200ML</t>
  </si>
  <si>
    <t>FRUCTIS ACOND GOODBYE DANOS FRASCO 200 ML</t>
  </si>
  <si>
    <t>FRUCTIS GARNIER OIL REPAIR LISO COCO.CAB.SEC.REB 200 ML F.P.</t>
  </si>
  <si>
    <t>FRUCTIS GARNIER OIL REPAIR LISO COCO CAB.SEC.REB 200 ML F.P.</t>
  </si>
  <si>
    <t>FRUCTIS HAIR FOOD COCONUT 350 ML POTE</t>
  </si>
  <si>
    <t>FRUCTIS HAIR FOOD BANANA 350 ML POTE</t>
  </si>
  <si>
    <t>FRUCTIS HAIR FOOD AGUACATE 350 ML POTE</t>
  </si>
  <si>
    <t>FRUCTIS ALOE HIDRA BOMB 2EN1 HUMEC/ANTIFRIZZ .FP.350ML</t>
  </si>
  <si>
    <t>FRUCTIS SHAMPOO ALOE HYDRA FCO 650 ML</t>
  </si>
  <si>
    <t>FRUCTIS ALOE HIDRA BOMB AC.HUME/ANTIFRIZZ CA.SE.F.P.350ML</t>
  </si>
  <si>
    <t>FRUCTIS ALOE HIDRA BOMB 2 EN 1 SH CAB DESID. 200 ML FP</t>
  </si>
  <si>
    <t>FRUCTIS ALOE HIDRA BOMB ACO CAB DESID 200 ML FP</t>
  </si>
  <si>
    <t>FRUCTIS HAIR FOOD ALOE VERA MASC.CAP.1MIN.POTE 350ML</t>
  </si>
  <si>
    <t>FRUCTIS HAIR FOOD BANANA SH FUERZA. FP 300 ML</t>
  </si>
  <si>
    <t>FRUCTIS HAIR FOOD ACONDICIONADOR BANANA POTE 300 ML</t>
  </si>
  <si>
    <t>FRUCTIS HAIR FOOD ALOE HIDRA SH CAB DESID. FP 300 ML</t>
  </si>
  <si>
    <t>FRUCTIS HAIR FOOD ALOE VERA ACONDI CAB DESI POTE 300ML</t>
  </si>
  <si>
    <t>FRUCTIS HAIR FOOD COCO SH REPARACION FP 300 ML</t>
  </si>
  <si>
    <t>FRUCTIS HAIR FOOD COCO ACONDI REPA POTE 300 ML</t>
  </si>
  <si>
    <t>FRUCTIS HAIR FOOD AGUACATE SH NUTRI FP 300 ML</t>
  </si>
  <si>
    <t>FRUCTIS HAIR FOOD AGUACATE ACOND NUTRI POTE 300 ML</t>
  </si>
  <si>
    <t>FRUCTIS HAIR FOOD SANDIA FCO PL 300ML</t>
  </si>
  <si>
    <t>FRUCTIS ACOND HAIR FOOD SANDIA FCO PL 300ML</t>
  </si>
  <si>
    <t>FRUCTIS ACOND HAIR FOOD SANDIA FCO PL 350ML</t>
  </si>
  <si>
    <t>FRUCTIS CP/P 10 EN 1 RECARGA NUTRITIVA POTE 300ML</t>
  </si>
  <si>
    <t>FRUCTIS CRE P/P 10 EN 1 RIZOS PODEROSOS POTE 300ML</t>
  </si>
  <si>
    <t>FRUCTIS OIL REPAIR RECARGA NUTRITIVA FCO.PLAST 650ML</t>
  </si>
  <si>
    <t>FRUCTIS OIL REPAIR RECARGA NUTRITIVA FCO.PLAST 350ML</t>
  </si>
  <si>
    <t>FRUCTIS OIL REPAIR RECARGA NUTRITIVA FCO.PLAST 200ML</t>
  </si>
  <si>
    <t>FRUCTIS ACOND OIL REPAIR RECARGA NUTRITIVA FCO PL 200ML</t>
  </si>
  <si>
    <t>FRUCTIS CREMA P/PE OIL REPAIR RECARGA NUTRITIVA POTE 300ML</t>
  </si>
  <si>
    <t>FRUCTIS ACOND OIL REPAIR RECARGA NUTRITIVA FCO PL 350ML</t>
  </si>
  <si>
    <t>FRUCTIS SH ADIOS ESPONJADO 350 ML</t>
  </si>
  <si>
    <t>FRUCTIS SH ADIOS ESPONJADO FCO 650 ML</t>
  </si>
  <si>
    <t>FRUCTIS 10N1 ADIOS ESPONJADO FCO 300 ML</t>
  </si>
  <si>
    <t>FRUCTIS HAIR FOOD PINA SH ANTI-QUIEBRE ADU REG FRASCO 300ML</t>
  </si>
  <si>
    <t>FRUCTIS HAIR FOOD PINA AC ANTI-QUIEBRE ADU REG FRASCO 300ML</t>
  </si>
  <si>
    <t>FRUCTIS HAIR FOOD PINA CR TRAT MASK ANTIQ ADU REG POTE 350ML</t>
  </si>
  <si>
    <t>FRUCTIS ADIOS ESPONJADO ACO FCO 350 ML</t>
  </si>
  <si>
    <t>FRUCTIS ANTICASPA CITR-DETOXFCO.PLAST. 350 CC</t>
  </si>
  <si>
    <t>FRUCTIS OIL REPA. SUP.OLEO 8TRATA.INT. 100 ML FCO.PL.</t>
  </si>
  <si>
    <t>FRUCTIS BRILLO VITAMINADO 350 CCFCO.PLAST.</t>
  </si>
  <si>
    <t>FRUCTIS BRILLO VITAMINADO 650 CCFCO.PLAST.</t>
  </si>
  <si>
    <t>FRUCTIS VITAMINADOFRESCURA FCO.PLAST. 350 ML</t>
  </si>
  <si>
    <t>FRUCTIS GOODBYE DANOS FCO.PLAST. 350 ML</t>
  </si>
  <si>
    <t>FRUCTIS STOP CAIDACREC.FUER.FCO.PLAST. 350 CC</t>
  </si>
  <si>
    <t>FRUCTIS SUPER OLEO POST COLOR TRAT 100 ML FCO PL</t>
  </si>
  <si>
    <t>FRUCTIS GOODBYE DANOS ACOND. 350 MLFCO.PL.</t>
  </si>
  <si>
    <t>FRUCTIS BRILLO VITAMINADOACOND. 350 MLFCO.PLAST.</t>
  </si>
  <si>
    <t>FRUCTIS CONTROL Y DEFINICIONRIZOS POD. 350 CCFCO.PLAST.</t>
  </si>
  <si>
    <t>FRUCTIS CONT.Y DEFRIZO.PODE.CRE.P/PEI. 300 MLFCO.PL.</t>
  </si>
  <si>
    <t>FRUCTIS FRESCURA VITAMINA ACOND. 300 CCFCO.PLAST.</t>
  </si>
  <si>
    <t>FRUCTIS OIL REPAIR LISO ACO COCO FCO 200 ML</t>
  </si>
  <si>
    <t>FRUCTIS OIL REPAIR RECARGA. NUTRITIVA AC ADU REG FCO 200ML</t>
  </si>
  <si>
    <t>FRUCTIS OIL. REPAIR RECARGA NUTRITIVA SH ADU REG FCO 200ML</t>
  </si>
  <si>
    <t>FRUCTIS ALOE HIDRA CLEAN AC REG. ADU. FCO 200ML</t>
  </si>
  <si>
    <t>FRUCTIS ALOE HIDRA CLEAN SH REG. ADU. FCO 200ML</t>
  </si>
  <si>
    <t>FRUCTIS OIL REPAIR LISO COCO SH REG ADU FCO 200ML</t>
  </si>
  <si>
    <t>FRUCTIS PROBIOTICOS FUERZA SH ADU REG FCO 350ML</t>
  </si>
  <si>
    <t>FRUCTIS PROBIOTICOS FUERZA AC REG ADU FCO 350ML</t>
  </si>
  <si>
    <t>FRUCTIS PROBIOTICOS FUERZA LEAVE 10EN1 CPP REG ADU FCO 300ML</t>
  </si>
  <si>
    <t>FRUCTIS PROBIOTICOS FUERZA SH. REG ADU FCO 650ML</t>
  </si>
  <si>
    <t>FRUCTIS PROBIOTICOS FUERZA SHA ADU REG FRASCO 200ML</t>
  </si>
  <si>
    <t>FRUCTIS PROBIOTICOS FUERZA AC. ADU REG FRASCO 200ML</t>
  </si>
  <si>
    <t>FRUCTIS HAIR FOOD MASC.CAP BANANA CAB.DEBIL SACHET 20ML</t>
  </si>
  <si>
    <t>L'Oreal Kids</t>
  </si>
  <si>
    <t>LOREAL KIDS</t>
  </si>
  <si>
    <t>LOREAL KIDS 2 EN 1EXP.FRESA CREM 265 CCFCO.PL.</t>
  </si>
  <si>
    <t>LOREAL KIDS 2 EN 1 MANGO-NARA. 265 CCFRASCO</t>
  </si>
  <si>
    <t>LOREAL KIDS SHAMPOO COOL MELON FCO 265 M L</t>
  </si>
  <si>
    <t>Studio Line</t>
  </si>
  <si>
    <t>Gel Line Studio</t>
  </si>
  <si>
    <t>Clean Gel Line Studio</t>
  </si>
  <si>
    <t>Greal Out Line Studio</t>
  </si>
  <si>
    <t>Gel Invisi Fix Line Studio</t>
  </si>
  <si>
    <t>CASTING CREMEGLOSSCREMA POMOTONO 810 45 GRKIT</t>
  </si>
  <si>
    <t>CASTING CREMEGLOSSCREMA POMOTONO 415 45 GRKIT</t>
  </si>
  <si>
    <t>CASTING CREMEGLOSSCREMA POMOTONO 500 45 GRKIT</t>
  </si>
  <si>
    <t>CASTING CREMEGLOSSCREMA POMOTONO 700 45 GRKIT</t>
  </si>
  <si>
    <t>CASTING CREMEGLOSSCREMA POMOTONO 713 45 GRKIT</t>
  </si>
  <si>
    <t>CASTING CREMEGLOSSCREMA POMOTONO 600 45 GRKIT</t>
  </si>
  <si>
    <t>CASTING CREMEGLOSSCREMA POMOTONO 550 45 GRKIT</t>
  </si>
  <si>
    <t>CASTING CREMEGLOSSCREMA POMOTONO 210 45 GRKIT</t>
  </si>
  <si>
    <t>CASTING CREMEGLOSSCREMA POMOTONO 316 45 GRKIT</t>
  </si>
  <si>
    <t>CASTING CREMEGLOSSCREMA POMOTONO 426 45 GRKIT</t>
  </si>
  <si>
    <t>CASTING CREMEGLOSSCREMA POMOTONO 300 45 GRKIT</t>
  </si>
  <si>
    <t>CASTING CREMEGLOSSCREMA POMOTONO 535 45 GRKIT</t>
  </si>
  <si>
    <t>CASTING CREMEGLOSSCREMA POMOTONO 400 45 GRKIT</t>
  </si>
  <si>
    <t>CASTING CREMEGLOSSCREMA POMOTONO 200 45 GRKIT</t>
  </si>
  <si>
    <t>CASTING CREME GLOSS CREMA POMO 45 GR KIT TONO 603</t>
  </si>
  <si>
    <t>CASTING CREME GLOSS POMO 45 GR KIT TONO GOLDEN CHOCOLATE</t>
  </si>
  <si>
    <t>CASTING CREME GLOSS S/AMONIAÁ T.670 CHOCO-CARAM POMO45 GRKIT</t>
  </si>
  <si>
    <t>Color Sensation</t>
  </si>
  <si>
    <t>NUTRISSE COR INTENSE PERM.TUBO 45GR T.11.0RUB.EX.CLARO KIT</t>
  </si>
  <si>
    <t>NUTRISSE COR INTENSA CRE.T.5.3 POMO 45 GRMINI KITS</t>
  </si>
  <si>
    <t>NUTRISSE COR INTENSA CRE.T.8.1 POMO 45 GRMINI KITS</t>
  </si>
  <si>
    <t>NUTRISSE COR INTENSA CREMA POMO 45 GR MINI KIT TONO 71</t>
  </si>
  <si>
    <t>NUTRISSE COR INTENSA CRE.T.7.3 POMO 45GRMINI KITS</t>
  </si>
  <si>
    <t>NUTRISSE COR INTENSA CREMA POMO 45 GR MINI KIT TONO 2.1</t>
  </si>
  <si>
    <t>NUTRISSE COR INTENSA CREMA POMO 45 GR MINI KIT TONO 5.52</t>
  </si>
  <si>
    <t>NUTRISSE COR INTENSA CREMA POMO 45 GR MINI KIT TONO 7.7</t>
  </si>
  <si>
    <t>NUTRISSE COR INTENSA CREMA POMO 45 GR MINI KIT TONO 7.3</t>
  </si>
  <si>
    <t>NUTRISSE COR INTENSA CRE.T.1.0 POMO 45 GRMINI KITS</t>
  </si>
  <si>
    <t>NUTRISSE COR INTENSA CRE.T.2.0 POMO 45 GRMINI KITS</t>
  </si>
  <si>
    <t>NUTRISSE COR INTENSA CRE.T.30 POMO 45 GRMINI KITS</t>
  </si>
  <si>
    <t>NUTRISSE COR INTENSA CRE.T.3.16POMO 45 GRMINI KITS</t>
  </si>
  <si>
    <t>NUTRISSE COR INTENSA CRE.T.4.0 POMO 45 GRMINI KITS</t>
  </si>
  <si>
    <t>NUTRISSE COR INTENSA CRE.T.4.15POMO 45 GRMINI KITS</t>
  </si>
  <si>
    <t>NUTRISSE COR INTENSA CRE.T.5.0 POMO 45 GRMINI KITS</t>
  </si>
  <si>
    <t>NUTRISSE COR INTENSA CRE.T.5.62POMO 45 GRMINI KITS</t>
  </si>
  <si>
    <t>NUTRISSE COR INTENSA CRE.T.6.0 POMO 45 GRMINI KITS</t>
  </si>
  <si>
    <t>NUTRISSE COR INTENSA CRE.T.6.35POMO 45 GRMINI KITS</t>
  </si>
  <si>
    <t>NUTRISSE COR INTENSA CRE.T.6.46POMO 45 GRMINI KITS</t>
  </si>
  <si>
    <t>NUTRISSE COR INTENSA CRE.T.6.61POMO 45 GRMINI KITS</t>
  </si>
  <si>
    <t>NUTRISSE COR INTENSA CRE.T.7.0 POMO 45 GRMINI KITS</t>
  </si>
  <si>
    <t>NUTRISSE COR INTENSA CRE.T.8.0 POMO 45 GRMINI KITS</t>
  </si>
  <si>
    <t>NUTRISSE COR INTENSA CRE.T.9.13POMO 45 GRMINI KITS</t>
  </si>
  <si>
    <t>NUTRISSE COR INTENSA CRE.T.11.3POMO 45 GRMINI KITS</t>
  </si>
  <si>
    <t>NUTRISSE COR INTENSA CRE.T.11.1POMO 45 GRMINI KITS</t>
  </si>
  <si>
    <t>Excellence Color</t>
  </si>
  <si>
    <t>EXCELLENCE CREME CREMA POMO 47 GR KIT TONO 7.3</t>
  </si>
  <si>
    <t>EXCELLENCE CREME CREMA POMO 47 GR KIT TONO 6.3</t>
  </si>
  <si>
    <t>EXCELLENCE CREME CREMA POMO 47 GR KIT TONO 4</t>
  </si>
  <si>
    <t>EXCELLENCE CREME CREMA POMO 47 GR KIT TONO 5</t>
  </si>
  <si>
    <t>EXCELLENCE CREME POMO 47 GR KIT TONO 5.1</t>
  </si>
  <si>
    <t>EXCELLENCE CREME CREMA POMO 47 GR KIT TONO 6</t>
  </si>
  <si>
    <t>EXCELLENCE CREME CREMA POMO 47 GR KI TONO 6.1</t>
  </si>
  <si>
    <t>EXCELLENCE CREME CREMA POMO 47 GR KIT TONO 7.1</t>
  </si>
  <si>
    <t>EXCELLENCE CREME CREMA POMO 47 GR KIT TONO 8.1</t>
  </si>
  <si>
    <t>EXCELLENCE CREME CREMA POMO 47 GR KIT TONO 5.3</t>
  </si>
  <si>
    <t>EXCELLENCE CREME CREMA POMO 47 GR KIT TONO 7</t>
  </si>
  <si>
    <t>EXCELLENCE CREME CREMA POMO 47 GR KIT TONO 6.34</t>
  </si>
  <si>
    <t>EXCELLENCE CREME CREMA POMO 47 GR KIT TONO 6.7</t>
  </si>
  <si>
    <t>EXCELLENCE CREME CREMA POMO 47 GR KIT TONO 1</t>
  </si>
  <si>
    <t>EXCELLENCE CREME TRI.PROTE.COLOR POMO 47 GR KIT TONO 3</t>
  </si>
  <si>
    <t>EXCELLENCECREME TONO 8.3 POMO 47 GRKIT</t>
  </si>
  <si>
    <t>EXCELLENCE CREM. PERM. TUBO 47GR T.6.111</t>
  </si>
  <si>
    <t>EXCELLENCE CREME PER. TUBO 45GR T.02 NEGRO PROF. KIT</t>
  </si>
  <si>
    <t>LOREAL EXCELLENCE PERM.TUBO 47GR T.6.12 RUB OSCU.CENIZO KIT</t>
  </si>
  <si>
    <t>EXCELLENCE PERM.CREMA TUBO 47GR T.6.17 KIT</t>
  </si>
  <si>
    <t>EXCELLENCE CREME PERMA. TUBO 47GR T.7.12 KIT</t>
  </si>
  <si>
    <t>LOREAL EXCELLENCE PERM.TUBO 47GR T.7.17 RUBIO CEN.MATTE KIT</t>
  </si>
  <si>
    <t>LOREAL EXCELLENCE PERM.TUBO 47GR T.8.12 RUB.CLARO CEN.KIT</t>
  </si>
  <si>
    <t>LOREAL EXCELLENCE PERM.TUBO47GR T.817 RUBIO CLARO CENIZO KIT</t>
  </si>
  <si>
    <t>LOREAL EXCELLENCE PERM.TUBO 47GR T.9.17 RUB.M.CLARO CEN.KIT</t>
  </si>
  <si>
    <t>EXCELLENCE PERM. CREMA TUBO 47GR T.RUBIO CLARO KIT</t>
  </si>
  <si>
    <t>EXCELLENCE S.AMON.T.UNIVER.PER.CREMA KIT PM.45GR T.1U</t>
  </si>
  <si>
    <t>EXCELLENCE S.AM.T.UNIV.PER.CREMA KIT POMO 45GR T.7U</t>
  </si>
  <si>
    <t>EXCELLENCE S.AM.T.UNIV.PERM.CREMA KIT POMO 45GR T.4U</t>
  </si>
  <si>
    <t>COLORACION EXCELLENCE NUDES 2U SIN AMONI CJ 1.000 UN</t>
  </si>
  <si>
    <t>EXCELLENCE S.AMON.T.UNIV.PERM.CREMA KIT POMO 45GR T.6U</t>
  </si>
  <si>
    <t>EXCELLENCE S.AMO.T.UNIV.PERM.CREM.KIT PM.45GR T.3U</t>
  </si>
  <si>
    <t>EXCELLENCE S.AMON.T.UNIV.PER.CREM.KITPM.45GR T.5U</t>
  </si>
  <si>
    <t>EXCELLENCE S.AM.T.UNI.PER.CREMA KIT PM.45GR T.8U</t>
  </si>
  <si>
    <t>EXCELLEN.S.AM.T.UNIV.PER.CREM.KITPM.45GR T.9U</t>
  </si>
  <si>
    <t>EXCELLENCE CREMA PERM.T.9.3 POMO 47ML</t>
  </si>
  <si>
    <t>EXCELLENCE CREME CREMA POMO 47 GR KIT TONO 6,66</t>
  </si>
  <si>
    <t>EXCELLENCE EXTRA FROFUNDO TUBO 45 GR KIT TONO 810</t>
  </si>
  <si>
    <t>EXCELLENCE EXTRA FROFUNDO TUBO 45 GR KIT TONO 710</t>
  </si>
  <si>
    <t>EXCELLENCE EXTRA PROFUNDO TUBO 45 GR KIT TONO 470</t>
  </si>
  <si>
    <t>EXCELLENCE EXTRA FROFUNDO TUBO 45 GR KIT TONO 280</t>
  </si>
  <si>
    <t>EXCELLENCE EXTRA PROFUNDO TUBO 45 GR KIT TONO 677</t>
  </si>
  <si>
    <t>EXCELLENCE CREME TUBO 45GR T. 120 RUB. ULTRA CLARO KIT</t>
  </si>
  <si>
    <t>EXCELLENCE CREME CREMA POMO 47 GR KIT TONO 7.11</t>
  </si>
  <si>
    <t>EXCELLENCE CREME CREMA POMO 47 GR KIT TONO 8</t>
  </si>
  <si>
    <t>EXCELLENCE CREME CREMA POMO 47 GR KIT TONO 9</t>
  </si>
  <si>
    <t>EXCELLENCE CREME CREMA POMO 47 GR KIT TONO 8.11</t>
  </si>
  <si>
    <t>EXCELLENCE CREME CREMA POMO 47 GR KIT TONO 9.1</t>
  </si>
  <si>
    <t>EXCELLENCE CREME RUBIO ULTRA CLARO NAT. TUBO 45GR KIT T.N120</t>
  </si>
  <si>
    <t>EXCELLENCE CREME CREMA POMO 47 GR KIT TONO 120</t>
  </si>
  <si>
    <t>EXCELLENCECREME T.RUB.OS.ROJ.POMO 47 GRKIT</t>
  </si>
  <si>
    <t>EXCELLENCE CREME CREMA POMO 47 GR KIT TONO RUBIO C.DORADO</t>
  </si>
  <si>
    <t>EXCELLENCE CREME CREMA POMO 47 GR KIT TONO 9.3</t>
  </si>
  <si>
    <t>EXCELLENCE CREME CREMA POMO 47GR T.7.7</t>
  </si>
  <si>
    <t>LOREAL MAGIC RETOUCH AERO. 75MLT.RUBIO CLARO</t>
  </si>
  <si>
    <t>L'OREAL MAGIC RETOUCH RETOQUE DE RAIZ SPRAY 75 ML T.NEGRO</t>
  </si>
  <si>
    <t>L'OREAL MAGIC RETOUCH RETOQUE DE RAIZ SPRAY 75 ML T.CAST.OSC</t>
  </si>
  <si>
    <t>L'OREAL MAGIC RETOUCH RETOQUE RAIZ SPRAY 75 ML T.RUB.CLARO</t>
  </si>
  <si>
    <t>L'OREAL MAGIC RETOUCH RETOQUE RAIZ SPRAY 75 ML T.RUB.OSCURO</t>
  </si>
  <si>
    <t>L'OREAL MAGIC RETOUCH RETOQUE RAIZ SPRAY 75 ML T.CAST.CLARO</t>
  </si>
  <si>
    <t>L'OREAL MAGIC RETOUCH RETOQUE RAIZ SPRAY 75 ML T.ROJO</t>
  </si>
  <si>
    <t>Men Expert</t>
  </si>
  <si>
    <t>EXCELL 5 MEN EXPERTGEL CREMA T.NEG.NAT.FP. 35 MLKIT</t>
  </si>
  <si>
    <t>EXCELL 5 MEN EXPERTGEL CRE.T.CA.NE.NAT.FP. 35 MLKIT</t>
  </si>
  <si>
    <t>EXCELL 5 MEN EXPERTGEL CRE.T.CA.OSC.NATFP. 35 MLKIT</t>
  </si>
  <si>
    <t>EXCELL 5 MEN EXPERTGEL CRE.T.CA.MED.NATFP. 35 MLKIT</t>
  </si>
  <si>
    <t>NUTRISSE NUTRICOLOR CREMA POMO 45 GR KIT TONO 70</t>
  </si>
  <si>
    <t>NUTRISSE NUTRICOLOR CREMA POMO 45 GR KIT TONO 73</t>
  </si>
  <si>
    <t>NUTRISSE NUTRICOLOR CREMA POMO 45 GR KIT TONO 60</t>
  </si>
  <si>
    <t>NUTRISSE NUTRICOLOR CREMA POMO 45 GR KIT TONO 50</t>
  </si>
  <si>
    <t>NUTRISSE NUTRICOLOR CREMA POMO 45 GR KIT TONO 53</t>
  </si>
  <si>
    <t>NUTRISSE NUTRICOLOR CREMA POMO 45 GR KIT TONO 40</t>
  </si>
  <si>
    <t>NUTRISSE NUTRICOLOR CREMA POMO 45 GR KIT TONO 30</t>
  </si>
  <si>
    <t>NUTRISSE NUTRICOLOR CREMA POMO 45 GR KIT TONO 10</t>
  </si>
  <si>
    <t>NUTRISSE NUTRICOLOR CREMA POMO 45 GR KIT TONO 71</t>
  </si>
  <si>
    <t>NUTRISSE NUTRICOLOR CREMA POMO 45 GR KIT TONO 57</t>
  </si>
  <si>
    <t>NUTRISSE COLORISSI.CREMA TONO 121 POMO 45 GRKIT</t>
  </si>
  <si>
    <t>NUTRISSE COLORISSI.CREMA TONO 5562 POMO 45 GRKIT</t>
  </si>
  <si>
    <t>NUTRISSE COLORISSI.CREMA TONO 6660 POMO 45 GRKIT</t>
  </si>
  <si>
    <t>NUTRISSE COLORISSIMO PERMANA.CREMA. POMO 45GR T.93 KIT</t>
  </si>
  <si>
    <t>NUTRISSE CREMA PERM. TUBO 45GR T.83 RUB.CLARO DORADO ORO KIT</t>
  </si>
  <si>
    <t>NUTRISSE COLORISSIMO PERMA..CREMA TUBO 45GR T.90 KIT</t>
  </si>
  <si>
    <t>NUTRISSE COLORISSIMO.PERM. CRE. TUBO 45GR T.63 KIT</t>
  </si>
  <si>
    <t>NUTRISSE COLORISSIMO PERMA.CRE. TUBO 45GR T.91 KIT</t>
  </si>
  <si>
    <t>NUTRISSE COLORISSIMO PERM. CREM. TUBO 45GR T.80 KIT</t>
  </si>
  <si>
    <t>NUTRISSE COLORISSIMO PERMA. CREM. TUBO 45GR T.81 KIT</t>
  </si>
  <si>
    <t>NUTRISSE COLORISSIMOS CREM. POMO 45 GR KIT ROJ INTENS COBR.</t>
  </si>
  <si>
    <t>NUTRISSE COLORISSIMOS CREMA POMO 45 GR KIT NEGRO MAGN.</t>
  </si>
  <si>
    <t>NUTRISSE COLORISSIMOS CREMA CIRUELA POMO 45 GR KIT TONO462</t>
  </si>
  <si>
    <t>NUTRISSE COLORISSIMOS CREMA POMO 45 GR KIT LAVANDA</t>
  </si>
  <si>
    <t>NUTRISSE NUTRICOLOR CREMA POMO 45 GR KIT TONO 77</t>
  </si>
  <si>
    <t>NUTRISSE COLORISSIMOS SEXY BROWNIE 45GR KIT</t>
  </si>
  <si>
    <t>NUTRISSE COLORISSIMOS CREMA POMO 45 GR KIT RUBIO CENIZO</t>
  </si>
  <si>
    <t>NUTRISSE COLORISSIMOS CREM.POMO KIT T.10.13 45GR</t>
  </si>
  <si>
    <t>NUTRISSE NUTRICOLOR CREMA POMO 45 GR KIT TONO 46</t>
  </si>
  <si>
    <t>NUTRISSE OLEOS COLOR.CR.PER.T.5.31 45GR KIT</t>
  </si>
  <si>
    <t>NUTRISSE OLEOS COL.CRE.PER.7.35 45GR KIT</t>
  </si>
  <si>
    <t>NUTRISSE OLEOS COL.CRE.PER.RUBIO CENIZO 9.1 45GR KIT</t>
  </si>
  <si>
    <t>NUTRISSE OLEOS COL.CR.PER.RUBIOCLARO 8.0 45GR KIT</t>
  </si>
  <si>
    <t>NUTRISSE OLEOS COLOR.CR.PER.RUB.CEN.NAC. 7.12 45GR KIT</t>
  </si>
  <si>
    <t>NUTRISSE OLEOS COLOR.CREMA PER.RUBIO 7.0 45GR KIT</t>
  </si>
  <si>
    <t>NUTRISSE OLEOS COL.CR.PER.RUB.ROJ.PR.6.66 45GR KIT</t>
  </si>
  <si>
    <t>NUTRISSE OLEOS COL.CREM.PER.RUB.OSC.6.0 45GR KIT</t>
  </si>
  <si>
    <t>NUTRISSE OLEOS COL.CREMA PER.CAST.CLARO 5.0 45GR KIT</t>
  </si>
  <si>
    <t>NUTRISSE OLEOS COLOR.CRE.PER.CASTANO 4.0 45GR KIT</t>
  </si>
  <si>
    <t>NUTRISSE OLEOS COL.CREM.PER.CAST.OSC.3.0 45GR KIT</t>
  </si>
  <si>
    <t>NUTRISSE OLEOS COLOR.CREM.PER.NEGRO 1.0 45GR KIT</t>
  </si>
  <si>
    <t>NUTRISSE OLEOS COL.CREMA PER.RUB.CLARO PLAT.8.12 45GR KIT</t>
  </si>
  <si>
    <t>NUTRISSE COLORISSI CRE.T.4460POMO 45 GR KIT</t>
  </si>
  <si>
    <t>NUTRISSE COLORISSIMOS CREMA POMO 45 GR KIT TONO 4462</t>
  </si>
  <si>
    <t>NUTRISSE EXTRA NUTRICION MASC.NUTRI. POMO 45 GR KIT T.6.34</t>
  </si>
  <si>
    <t>NUTRISSE EXTRA NUTRICION MASC.NUTRI.POMO 45 GR KIT T.7.34</t>
  </si>
  <si>
    <t>NUTRISSE PERMA.CRE. TUBO 45GR T.91 KIT</t>
  </si>
  <si>
    <t>NUTRISSE TONO 80 NECTAR CREMA POMO 45 GRKIT IMP</t>
  </si>
  <si>
    <t>NUTRISSE NUTRICOLORTONO 61 POMO 45 GRKIT</t>
  </si>
  <si>
    <t>NUTRISSE NUTRICOLORCREMA T.63POMO 45 GRKIT</t>
  </si>
  <si>
    <t>NUTRISSE NUTRICOLORT.RUBIO T.80 JAZMIN POMO 45 GRKIT</t>
  </si>
  <si>
    <t>NUTRISSE NUTRICOLORCREMA T.81POMO 45 GRKIT</t>
  </si>
  <si>
    <t>NUTRISSE NUTRICOLORCRE.T.83 POMO 45 GRKIT</t>
  </si>
  <si>
    <t>NUTRISSE NUTRICOLORCR.T.RU.CL.T.90 POMO 45 GRKIT</t>
  </si>
  <si>
    <t>NUTRISSE NUTRICOLORTONO 91 POMO 45 GRKIT</t>
  </si>
  <si>
    <t>NUTRISSE NUTRICOLORCRE.T.93 POMO 45 GRKIT</t>
  </si>
  <si>
    <t>NUTRISSE COLORISSI. CREMA POMO 45 GR KIT TONO COCO</t>
  </si>
  <si>
    <t>NUTRISSE RETOCA RAIZ PERM.CRE.SACHET 20GR T.10 NEG.INTENSO</t>
  </si>
  <si>
    <t>NUTRISSE RETOCA RAIZ PERM.CREMA SACHET 20GR T.NEGRO KIT</t>
  </si>
  <si>
    <t>NUTRISSE RETOCA RAIZ PER.CREMA SACHET 20GRT.30 CAST.OSC.</t>
  </si>
  <si>
    <t>NUTRISSE RETOCA RAIZ PERM.CR SACHET 20GR T.50 CAST.CL.KIT</t>
  </si>
  <si>
    <t>NUTRISSE RETOCA RAIZ CREMA PERM.SAC.20GR T.60 RUBIO OS.KIT</t>
  </si>
  <si>
    <t>NUTRISSE RETOCA RAIZ PERM.CR.SACHET 20GR T.67CAST.CHOCO</t>
  </si>
  <si>
    <t>NUTRISSE RETOCA RAIZ PERMA.CRE.SACHET 20GR T.40 CASTANO</t>
  </si>
  <si>
    <t>NUITRISSE RETOCA RAIZ CR.PERM.SACHET 20GR T.70 RUBIOS KIT</t>
  </si>
  <si>
    <t>NUTRISSE RETOCA RAIZ PER.CR.SACH.20GR T.71RUBIO CEN.</t>
  </si>
  <si>
    <t>NUTRISSE RET.RAIZ PERMA.CRE.SACHET 20GR T.80 RUBIO CEN.</t>
  </si>
  <si>
    <t>DRUG</t>
  </si>
  <si>
    <t>ELVIVE ACOND REPARARACION TOTAL 5 FCO 200 ML</t>
  </si>
  <si>
    <t>NUTRISSE COLORISSIMOS RUBIO IRISADO LYCHEE10.12 CJ.45GR KIT</t>
  </si>
  <si>
    <t>OTROS</t>
  </si>
  <si>
    <t>INDIRECTO</t>
  </si>
  <si>
    <t>PURE PLAYERS</t>
  </si>
  <si>
    <t>Sub Marca</t>
  </si>
  <si>
    <t>FRUCTIS HAIR FOOD ALOE VERA SH BAR 60 GR</t>
  </si>
  <si>
    <t>FRUCTIS HAIR FOOD SANDIA SH BAR 60 GR</t>
  </si>
  <si>
    <t>FRUCTIS HAIR FOOD COCO SH BAR 60 GR</t>
  </si>
  <si>
    <t>FRUCTIS HAIR FOOD AGUACATE SH BAR 60 GR</t>
  </si>
  <si>
    <t>MARCA ARM</t>
  </si>
  <si>
    <t>ELVIVE</t>
  </si>
  <si>
    <t>Etiquetas de fila</t>
  </si>
  <si>
    <t>Suma de Jun 22 - 5 Sem/Fin 03/07/22</t>
  </si>
  <si>
    <t>Suma de Jul 22 - 4 Sem/Fin 31/07/22</t>
  </si>
  <si>
    <t>Suma de Agosto 22 - 4 Sem/Fin 28/08/22</t>
  </si>
  <si>
    <t>Suma de Set 22 - 5 Sem/Fin 02/10/22</t>
  </si>
  <si>
    <t>Suma de Oct 22 - 4 Sem/Fin 30/10/22</t>
  </si>
  <si>
    <t>Suma de Nov 22 - 4 Sem/Fin 27/11/22</t>
  </si>
  <si>
    <t>Suma de Dic 22 - 5 Sem/Fin 01/01/23</t>
  </si>
  <si>
    <t>Suma de Enero 23 - 4 Sem/Fin 29/01/23</t>
  </si>
  <si>
    <t>Suma de Feb 23 - 4 Sem/Fin 26/02/23</t>
  </si>
  <si>
    <t>Suma de Marzo 23 - 5 Sem/Fin 02/04/23</t>
  </si>
  <si>
    <t>Suma de Abr 23 - 4 Sem/Fin 30/04/23</t>
  </si>
  <si>
    <t>Suma de Mayo 23 - 4 Sem/Fin 28/05/23</t>
  </si>
  <si>
    <t>Suma de Jun 23 - 5 Sem/Fin 02/07/23</t>
  </si>
  <si>
    <t>Suma de Jul 23 - 4 Sem/Fin 30/07/23</t>
  </si>
  <si>
    <t>Suma de Agosto 23 - 4 Sem/Fin 27/08/23</t>
  </si>
  <si>
    <t>Suma de Set 23 - 5 Sem/Fin 01/10/23</t>
  </si>
  <si>
    <t>Suma de Oct 23 - 4 Sem/Fin 29/10/23</t>
  </si>
  <si>
    <t>Suma de Nov 23 - 4 Sem/Fin 26/11/23</t>
  </si>
  <si>
    <t>Suma de Dic 23 - 5 Sem/Fin 31/12/23</t>
  </si>
  <si>
    <t>Suma de Enero 24 - 4 Sem/Fin 28/01/24</t>
  </si>
  <si>
    <t>Suma de Feb 24 - 4 Sem/Fin 25/02/24</t>
  </si>
  <si>
    <t>Suma de Marzo 24 - 5 Sem/Fin 31/03/24</t>
  </si>
  <si>
    <t>Suma de Abr 24 - 4 Sem/Fin 28/04/24</t>
  </si>
  <si>
    <t>Suma de Mayo 24 - 4 Sem/Fin 26/05/24</t>
  </si>
  <si>
    <t>Suma de Jun 24 - 5 Sem/Fin 30/06/24</t>
  </si>
  <si>
    <t>Suma de Jul 24 - 4 Sem/Fin 28/07/24</t>
  </si>
  <si>
    <t>Suma de Agosto 24 - 4 Sem/Fin 25/08/24</t>
  </si>
  <si>
    <t>Suma de Set 24 - 5 Sem/Fin 29/09/24</t>
  </si>
  <si>
    <t>Suma de Oct 24 - 4 Sem/Fin 27/10/24</t>
  </si>
  <si>
    <t>Suma de Nov 24 - 4 Sem/Fin 24/11/24</t>
  </si>
  <si>
    <t>Suma de Dic 24 - 5 Sem/Fin 29/12/24</t>
  </si>
  <si>
    <t>Suma de Enero 25 - 4 Sem/Fin 26/01/25</t>
  </si>
  <si>
    <t>Suma de Feb 25 - 4 Sem/Fin 23/02/25</t>
  </si>
  <si>
    <t>Suma de Marzo 25 - 5 Sem/Fin 30/03/25</t>
  </si>
  <si>
    <t>Suma de Abr 25 - 4 Sem/Fin 27/04/25</t>
  </si>
  <si>
    <t>Suma de Mayo 25 - 4 Sem/Fin 25/05/25</t>
  </si>
  <si>
    <t>ELVIVE CERAMIDAS R</t>
  </si>
  <si>
    <t>ELVIVE FIBRALOGY</t>
  </si>
  <si>
    <t>ELVIVE HYDRA MAX/HYDRA CURL</t>
  </si>
  <si>
    <t>ELVIVE KERA-LISO BRILLO Y SEDOS</t>
  </si>
  <si>
    <t>ELVIVE LOW</t>
  </si>
  <si>
    <t>ELVIVE OLEO EXT. ED. VERANO</t>
  </si>
  <si>
    <t>ELVIVE RT5 EDI VERANO</t>
  </si>
  <si>
    <t>Markets</t>
  </si>
  <si>
    <t>SH+AC (160+162)</t>
  </si>
  <si>
    <t>FABRICANTE ARM</t>
  </si>
  <si>
    <t>UPC</t>
  </si>
  <si>
    <t>BRAND</t>
  </si>
  <si>
    <t>ITEM</t>
  </si>
  <si>
    <t>Facts</t>
  </si>
  <si>
    <t>Jun 22 - 5 Sem/Fin 03/07/22</t>
  </si>
  <si>
    <t>Jul 22 - 4 Sem/Fin 31/07/22</t>
  </si>
  <si>
    <t>Agosto 22 - 4 Sem/Fin 28/08/22</t>
  </si>
  <si>
    <t>Set 22 - 5 Sem/Fin 02/10/22</t>
  </si>
  <si>
    <t>Oct 22 - 4 Sem/Fin 30/10/22</t>
  </si>
  <si>
    <t>Nov 22 - 4 Sem/Fin 27/11/22</t>
  </si>
  <si>
    <t>Dic 22 - 5 Sem/Fin 01/01/23</t>
  </si>
  <si>
    <t>Enero 23 - 4 Sem/Fin 29/01/23</t>
  </si>
  <si>
    <t>Feb 23 - 4 Sem/Fin 26/02/23</t>
  </si>
  <si>
    <t>Marzo 23 - 5 Sem/Fin 02/04/23</t>
  </si>
  <si>
    <t>Abr 23 - 4 Sem/Fin 30/04/23</t>
  </si>
  <si>
    <t>Mayo 23 - 4 Sem/Fin 28/05/23</t>
  </si>
  <si>
    <t>Jun 23 - 5 Sem/Fin 02/07/23</t>
  </si>
  <si>
    <t>Jul 23 - 4 Sem/Fin 30/07/23</t>
  </si>
  <si>
    <t>Agosto 23 - 4 Sem/Fin 27/08/23</t>
  </si>
  <si>
    <t>Set 23 - 5 Sem/Fin 01/10/23</t>
  </si>
  <si>
    <t>Oct 23 - 4 Sem/Fin 29/10/23</t>
  </si>
  <si>
    <t>Nov 23 - 4 Sem/Fin 26/11/23</t>
  </si>
  <si>
    <t>Dic 23 - 5 Sem/Fin 31/12/23</t>
  </si>
  <si>
    <t>Enero 24 - 4 Sem/Fin 28/01/24</t>
  </si>
  <si>
    <t>Feb 24 - 4 Sem/Fin 25/02/24</t>
  </si>
  <si>
    <t>Marzo 24 - 5 Sem/Fin 31/03/24</t>
  </si>
  <si>
    <t>Abr 24 - 4 Sem/Fin 28/04/24</t>
  </si>
  <si>
    <t>Mayo 24 - 4 Sem/Fin 26/05/24</t>
  </si>
  <si>
    <t>Jun 24 - 5 Sem/Fin 30/06/24</t>
  </si>
  <si>
    <t>Jul 24 - 4 Sem/Fin 28/07/24</t>
  </si>
  <si>
    <t>Agosto 24 - 4 Sem/Fin 25/08/24</t>
  </si>
  <si>
    <t>Set 24 - 5 Sem/Fin 29/09/24</t>
  </si>
  <si>
    <t>Oct 24 - 4 Sem/Fin 27/10/24</t>
  </si>
  <si>
    <t>Nov 24 - 4 Sem/Fin 24/11/24</t>
  </si>
  <si>
    <t>Dic 24 - 5 Sem/Fin 29/12/24</t>
  </si>
  <si>
    <t>Enero 25 - 4 Sem/Fin 26/01/25</t>
  </si>
  <si>
    <t>Feb 25 - 4 Sem/Fin 23/02/25</t>
  </si>
  <si>
    <t>Marzo 25 - 5 Sem/Fin 30/03/25</t>
  </si>
  <si>
    <t>Abr 25 - 4 Sem/Fin 27/04/25</t>
  </si>
  <si>
    <t>Mayo 25 - 4 Sem/Fin 25/05/25</t>
  </si>
  <si>
    <t>Jun 25 - 5 Sem/Fin 29/06/25</t>
  </si>
  <si>
    <t>TOTAL URUGUAY</t>
  </si>
  <si>
    <t>L'OREAL</t>
  </si>
  <si>
    <t>200063386919</t>
  </si>
  <si>
    <t>ELVIVE DREAM LONG LISS ACO ANTIFRIZZ FCO 200ML</t>
  </si>
  <si>
    <t>Vtas Unds</t>
  </si>
  <si>
    <t>200063490002</t>
  </si>
  <si>
    <t>ELVIVE OLEO EXTRAORDIN.NUT.INTEN.ACO. 400 MLFCO.PL.</t>
  </si>
  <si>
    <t>200063975580</t>
  </si>
  <si>
    <t>ELVIVE RT5 FCO.PL.680 ML+ MM ACONDIC 200ML</t>
  </si>
  <si>
    <t>200063975604</t>
  </si>
  <si>
    <t>ELVIVE RT5 .200 ML + MM SHAMPOO 680ML</t>
  </si>
  <si>
    <t>200064134875</t>
  </si>
  <si>
    <t>ELVIVE HYDRA CURLSHAMPOO FP. 400 ML</t>
  </si>
  <si>
    <t>200139921837</t>
  </si>
  <si>
    <t>ELVIVE SHAMPOO CAIDA RESIST 370 ML BOT</t>
  </si>
  <si>
    <t>200141533433</t>
  </si>
  <si>
    <t>ELVIVE RT5 SHAMPOO 370 ML+ MM ACOND FCO 200ML.</t>
  </si>
  <si>
    <t>200141533435</t>
  </si>
  <si>
    <t>ELVIVE RT5 ACOND FCO 200ML.+ MM SHAMPOO 370 ML</t>
  </si>
  <si>
    <t>3600523540785</t>
  </si>
  <si>
    <t>ELVIVE RT 5 LOW POO FCO PLAST 400 ML</t>
  </si>
  <si>
    <t>3600523682799</t>
  </si>
  <si>
    <t>3600523682850</t>
  </si>
  <si>
    <t>3600524095567</t>
  </si>
  <si>
    <t>7506078926912</t>
  </si>
  <si>
    <t>7506078926929</t>
  </si>
  <si>
    <t>7506078947894</t>
  </si>
  <si>
    <t>7506078947900</t>
  </si>
  <si>
    <t>7506078947917</t>
  </si>
  <si>
    <t>7506078959033</t>
  </si>
  <si>
    <t>7506078959057</t>
  </si>
  <si>
    <t>ELVIVE REPARACIONTOTAL 5 CAB.DANADO 200 CCFCO.PLAST.</t>
  </si>
  <si>
    <t>7509552193831</t>
  </si>
  <si>
    <t>7509552193848</t>
  </si>
  <si>
    <t>ELVIVE CAIDA RESIST FCO.PL. 200 ML</t>
  </si>
  <si>
    <t>7509552791389</t>
  </si>
  <si>
    <t>7509552791396</t>
  </si>
  <si>
    <t>7509552791457</t>
  </si>
  <si>
    <t>7509552791860</t>
  </si>
  <si>
    <t>7509552800135</t>
  </si>
  <si>
    <t>7509552800371</t>
  </si>
  <si>
    <t>7509552815047</t>
  </si>
  <si>
    <t>ELVIVE COLORVIVE SH MATIZADOR ADU. REG. FCO 200ML 1UN</t>
  </si>
  <si>
    <t>7509552816334</t>
  </si>
  <si>
    <t>7509552817348</t>
  </si>
  <si>
    <t>7509552817393</t>
  </si>
  <si>
    <t>7509552817416</t>
  </si>
  <si>
    <t>7509552817430</t>
  </si>
  <si>
    <t>7509552821789</t>
  </si>
  <si>
    <t>7509552836509</t>
  </si>
  <si>
    <t>7509552836554</t>
  </si>
  <si>
    <t>7509552836561</t>
  </si>
  <si>
    <t>7509552836585</t>
  </si>
  <si>
    <t>7509552836677</t>
  </si>
  <si>
    <t>7509552838879</t>
  </si>
  <si>
    <t>ELVIVE DREAM LONG SH.CABELLO LARGO DANADO POMO 200ML</t>
  </si>
  <si>
    <t>7509552838947</t>
  </si>
  <si>
    <t>ELVIVE DREAM LONG AC.CABELLO LARGO DANADO POMO 200ML</t>
  </si>
  <si>
    <t>7509552840353</t>
  </si>
  <si>
    <t>7509552843019</t>
  </si>
  <si>
    <t>7509552843026</t>
  </si>
  <si>
    <t>7509552843040</t>
  </si>
  <si>
    <t>ELVIVE DREAM LONG LISS ACO ANTIFRIZZ FCO200ML</t>
  </si>
  <si>
    <t>7509552843057</t>
  </si>
  <si>
    <t>7509552843071</t>
  </si>
  <si>
    <t>7509552843101</t>
  </si>
  <si>
    <t>7509552843132</t>
  </si>
  <si>
    <t>7509552843149</t>
  </si>
  <si>
    <t>7509552843729</t>
  </si>
  <si>
    <t>7509552845877</t>
  </si>
  <si>
    <t>7509552845884</t>
  </si>
  <si>
    <t>7509552845891</t>
  </si>
  <si>
    <t>7509552845907</t>
  </si>
  <si>
    <t>7509552845914</t>
  </si>
  <si>
    <t>7509552845938</t>
  </si>
  <si>
    <t>7509552847499</t>
  </si>
  <si>
    <t>7509552847505</t>
  </si>
  <si>
    <t>7509552847512</t>
  </si>
  <si>
    <t>7509552847529</t>
  </si>
  <si>
    <t>7509552847536</t>
  </si>
  <si>
    <t>7509552847543</t>
  </si>
  <si>
    <t>7509552847550</t>
  </si>
  <si>
    <t>7509552847574</t>
  </si>
  <si>
    <t>7509552847581</t>
  </si>
  <si>
    <t>7509552847598</t>
  </si>
  <si>
    <t>7509552847949</t>
  </si>
  <si>
    <t>7509552847987</t>
  </si>
  <si>
    <t>7509552847994</t>
  </si>
  <si>
    <t>7509552848007</t>
  </si>
  <si>
    <t>7509552848014</t>
  </si>
  <si>
    <t>7509552848021</t>
  </si>
  <si>
    <t>7509552848038</t>
  </si>
  <si>
    <t>7509552848045</t>
  </si>
  <si>
    <t>7509552848052</t>
  </si>
  <si>
    <t>7509552848069</t>
  </si>
  <si>
    <t>7509552848076</t>
  </si>
  <si>
    <t>7509552859119</t>
  </si>
  <si>
    <t>7509552861037</t>
  </si>
  <si>
    <t>ELVIVE EXTRA.OIL SUMM.EDIT.SHAMPOO 400MLFCO.PL.</t>
  </si>
  <si>
    <t>7509552874952</t>
  </si>
  <si>
    <t>7509552874983</t>
  </si>
  <si>
    <t>7509552875010</t>
  </si>
  <si>
    <t>7509552875409</t>
  </si>
  <si>
    <t>7509552876413</t>
  </si>
  <si>
    <t>7509552876420</t>
  </si>
  <si>
    <t>7509552876642</t>
  </si>
  <si>
    <t>7509552889543</t>
  </si>
  <si>
    <t>7509552889574</t>
  </si>
  <si>
    <t>7509552889598</t>
  </si>
  <si>
    <t>7509552902082</t>
  </si>
  <si>
    <t>7509552902112</t>
  </si>
  <si>
    <t>7509552902341</t>
  </si>
  <si>
    <t>7509552902396</t>
  </si>
  <si>
    <t>7509552902402</t>
  </si>
  <si>
    <t>7509552902532</t>
  </si>
  <si>
    <t>7509552902747</t>
  </si>
  <si>
    <t>7509552903348</t>
  </si>
  <si>
    <t>7509552903362</t>
  </si>
  <si>
    <t>ELVIVE RT5 KERATI. CR.TRAT. CAB.DANADO ADU POTE 300ML</t>
  </si>
  <si>
    <t>7509552903416</t>
  </si>
  <si>
    <t>7509552903423</t>
  </si>
  <si>
    <t>7509552904819</t>
  </si>
  <si>
    <t>7509552906202</t>
  </si>
  <si>
    <t>ELVIVE KERA-LISO BRILLO Y SEDOSIDAD 200 CC FCO PL</t>
  </si>
  <si>
    <t>7509552906226</t>
  </si>
  <si>
    <t>ELVIVE KERA-LISO BRI/SEDOS.ACOND. 200 ML FCO PL</t>
  </si>
  <si>
    <t>7509552906233</t>
  </si>
  <si>
    <t>ELVIVE KERA-LISO BRILLO/ SEDOS 400 CC FCO PL</t>
  </si>
  <si>
    <t>7509552906950</t>
  </si>
  <si>
    <t>7509552906974</t>
  </si>
  <si>
    <t>7509552906998</t>
  </si>
  <si>
    <t>7509552907384</t>
  </si>
  <si>
    <t>ELVIVE OLEO EXTRAORD.JALEA DISCIP.TRAT. 100 ML F.P.</t>
  </si>
  <si>
    <t>7509552907759</t>
  </si>
  <si>
    <t>7509552908459</t>
  </si>
  <si>
    <t>7509552908473</t>
  </si>
  <si>
    <t>ELVIVE OLEO EXTRAORDIN.NUT.INTEN.ACO.FCO.PL 200 ML</t>
  </si>
  <si>
    <t>7509552908497</t>
  </si>
  <si>
    <t>7509552908527</t>
  </si>
  <si>
    <t>7509552908558</t>
  </si>
  <si>
    <t>7509552908572</t>
  </si>
  <si>
    <t>7509552909807</t>
  </si>
  <si>
    <t>ELVIVE FIBRALOGY CRE.TRATA.POTE PL. 300 GR</t>
  </si>
  <si>
    <t>7509552909920</t>
  </si>
  <si>
    <t>ELVIVE FIBRALOGY FCO.PL. 200 ML</t>
  </si>
  <si>
    <t>7509552910957</t>
  </si>
  <si>
    <t>7509552911411</t>
  </si>
  <si>
    <t>7509552911459</t>
  </si>
  <si>
    <t>ELVIVE OLEO EXTRA.CURLS RULOS ACON. 400 MLFCO.PL.</t>
  </si>
  <si>
    <t>7509552911473</t>
  </si>
  <si>
    <t>7509552911480</t>
  </si>
  <si>
    <t>ELVIVE OLEO EXTRAORDINARIO CR.TRATAM. 300 GRPOTE</t>
  </si>
  <si>
    <t>7509552912883</t>
  </si>
  <si>
    <t>7509552912913</t>
  </si>
  <si>
    <t>ELVIVE CAIDA RESIST FCO.PL. 200 CC</t>
  </si>
  <si>
    <t>7509552912937</t>
  </si>
  <si>
    <t>7509552912999</t>
  </si>
  <si>
    <t>ELVIVE ARCILLA PURIFICAN FCO.PLAST. 200 ML</t>
  </si>
  <si>
    <t>7509552913002</t>
  </si>
  <si>
    <t>7509552913057</t>
  </si>
  <si>
    <t>7509552915266</t>
  </si>
  <si>
    <t>ELVIVE REPARACIONTOTAL 5 EDI.VERANO 200 MLFCO.PLAST.</t>
  </si>
  <si>
    <t>7509552928549</t>
  </si>
  <si>
    <t>7509552928563</t>
  </si>
  <si>
    <t>7509552928594</t>
  </si>
  <si>
    <t>7509552928617</t>
  </si>
  <si>
    <t>7509552928624</t>
  </si>
  <si>
    <t>7509552928877</t>
  </si>
  <si>
    <t>7509552930337</t>
  </si>
  <si>
    <t>7509552931143</t>
  </si>
  <si>
    <t>7509552937343</t>
  </si>
  <si>
    <t>7509552961478</t>
  </si>
  <si>
    <t>7509552961485</t>
  </si>
  <si>
    <t>7509552961492</t>
  </si>
  <si>
    <t>7509552961515</t>
  </si>
  <si>
    <t>7509552964417</t>
  </si>
  <si>
    <t>7509552964554</t>
  </si>
  <si>
    <t>7730317033257BP1</t>
  </si>
  <si>
    <t>ELVIVE ACOND. FCO.PL. 200 CC +MM SHAMPOO 400 ML</t>
  </si>
  <si>
    <t>7730317033257BP2</t>
  </si>
  <si>
    <t>ELVIVE COLOR VIVE FCO.PL. 400 CCC/ACO.200C</t>
  </si>
  <si>
    <t>7730317033264BP1</t>
  </si>
  <si>
    <t>ELVIVE REPARACIONTOTAL 5 F.P.400 CCC/ACONDIC.F.P.200 CC</t>
  </si>
  <si>
    <t>7730317033264BP2</t>
  </si>
  <si>
    <t>ELVIVE ACOND.FCO.PL. 200 CC + MM SHAMP.REP.TOT.400CC</t>
  </si>
  <si>
    <t>7730317033271BP1</t>
  </si>
  <si>
    <t>7730317033271BP2</t>
  </si>
  <si>
    <t>ELVIVE COLOR VIVE FCO.PLAST. 200 CCC/SHA.400C</t>
  </si>
  <si>
    <t>7730317035701BP1</t>
  </si>
  <si>
    <t>ELVIVE KERA-LISO BRILLO F.P.400 ML+SHAM.F.P. 400ML</t>
  </si>
  <si>
    <t>7730317035701BP2</t>
  </si>
  <si>
    <t>ELVIVE KERA-LISO BRILLO Y SEDO.400CC F.P.C/ACO 400CC F.P</t>
  </si>
  <si>
    <t>7730317037996BP1</t>
  </si>
  <si>
    <t>ELVIVE OLEO EXTRAORD.NUT.INTENSA F.P. 400 CC+ACOND.F.P.200CC</t>
  </si>
  <si>
    <t>7730317037996BP2</t>
  </si>
  <si>
    <t>ELVIVE OLEO EXTR.NUT.INTEN.ACO.200 CCF.P.+SHAMPF.P.400CC</t>
  </si>
  <si>
    <t>7730317051077BP1</t>
  </si>
  <si>
    <t>ELVIVE ARCILLA PURIFICANTE 200 ML FRASC PLAST+SH 400ML FP</t>
  </si>
  <si>
    <t>7730317051077BP2</t>
  </si>
  <si>
    <t>ELVIVE ARCILLA PURIFICANTE 400 ML FRASC PLAST+ACO 200ML FP</t>
  </si>
  <si>
    <t>7730317057345BP1</t>
  </si>
  <si>
    <t>ELVIVE DREAM LONG.CAB/LARGO DAÑADOFP400ML+MM.ACO200 ML PACK</t>
  </si>
  <si>
    <t>7730317057345BP2</t>
  </si>
  <si>
    <t>ELVIVE DREAM LONG.CAB/LARGO DAÑADOFP200ML+MM.SH400 ML PACK</t>
  </si>
  <si>
    <t>7730317058984BP1</t>
  </si>
  <si>
    <t>ELVIVE OLEO EXT.SH.NUTR.INT FP 680ML+MM ACO.FP200ML</t>
  </si>
  <si>
    <t>7730317058984BP2</t>
  </si>
  <si>
    <t>ELVIVE OLEO EXT.ACO.NUTR.INT FP 200 ML+MM SH.FP680ML</t>
  </si>
  <si>
    <t>7730317058991BP1</t>
  </si>
  <si>
    <t>ELVIVE COLORVIVEACO. FP 200ML+MM SH .FP680ML</t>
  </si>
  <si>
    <t>7730317058991BP2</t>
  </si>
  <si>
    <t>ELVIVE COLORVIVESH. FP 680ML+MM ACO.FP200ML</t>
  </si>
  <si>
    <t>7730317060512BP1</t>
  </si>
  <si>
    <t>ELVIVE ARCILLA PURI. HIDR. FP 680ML+MM ACO.FP200ML</t>
  </si>
  <si>
    <t>7730317060512BP2</t>
  </si>
  <si>
    <t>ELVIVE ARCILLA PURI. HIDR. FP 200 ML+MM SH .FP 680ML</t>
  </si>
  <si>
    <t>7730317061885BP1</t>
  </si>
  <si>
    <t>ELVIVE DREAM LONG LISS ANTIFRIZ FCO200ML+MM SH FCO400ML</t>
  </si>
  <si>
    <t>7730317061885BP2</t>
  </si>
  <si>
    <t>ELVIVE DREAM LONG LISS SH ANTIFRIZZ FCO400ML+MM ACO FCO200ML</t>
  </si>
  <si>
    <t>7730317061892BP1</t>
  </si>
  <si>
    <t>ELVIVE DREAM LONG LISS ANTIFRIZ FP400ML+MM ACOND 400ML+CEPIL</t>
  </si>
  <si>
    <t>7730317061892BP2</t>
  </si>
  <si>
    <t>ELVIVE DREAM LONG LISS ACO ANTIFRI FP400ML+MMSHAMP400ML+CEPI</t>
  </si>
  <si>
    <t>7730317061908BP1</t>
  </si>
  <si>
    <t>ELVIVE COLOR VIVE FCO.PLAST. 400 ML+MM ACONDI 400ML+CEPILLO</t>
  </si>
  <si>
    <t>7730317061908BP2</t>
  </si>
  <si>
    <t>ELVIVE COLOR VIVEACOND.FCO.PLAST. 400 ML+SHAMPOO 400ML+CEPIL</t>
  </si>
  <si>
    <t>7730317061915BP1</t>
  </si>
  <si>
    <t>ELVIVE REPARACIONTOTAL 5 FCO.PL 400 CC+MM ACOND 400ML+CEPILL</t>
  </si>
  <si>
    <t>7730317061915BP2</t>
  </si>
  <si>
    <t>ELVIVE REPARACIONTOTAL5 ACOND FP 400 CC+MM SHAMPOO 400ML+CEP</t>
  </si>
  <si>
    <t>7730317061922BP1</t>
  </si>
  <si>
    <t>ELVIVE OLEO EXTRAOR NUT.INTEN.F.P 400 ML+MM ACONDI400ML+CEPI</t>
  </si>
  <si>
    <t>7730317061922BP2</t>
  </si>
  <si>
    <t>ELVIVE OLEO EXTRAO.NUT.INTEN.ACO.F.P.400 ML+MMSHAMPO400ML+CE</t>
  </si>
  <si>
    <t>7730317064220BP1</t>
  </si>
  <si>
    <t>ELVIVE COLOR VIVE FCO.PL 200ML C/G MM ACOND 200ML</t>
  </si>
  <si>
    <t>7730317064220BP2</t>
  </si>
  <si>
    <t>ELVIVE ACON COLOR VIVE FCO.PLAST 200ML G/C MM SHAMPOO 200ML</t>
  </si>
  <si>
    <t>7730317064237BP1</t>
  </si>
  <si>
    <t>7730317064237BP2</t>
  </si>
  <si>
    <t>ELVIVE REPARACIONTOTAL 5 F.P.200 CCC/SHAMPOO F.P.400 CC</t>
  </si>
  <si>
    <t>7730317064343BP1</t>
  </si>
  <si>
    <t>ELVIVE COLORV SH 370ML FCO PACK + ACO MM 200ML</t>
  </si>
  <si>
    <t>7730317064343BP2</t>
  </si>
  <si>
    <t>ELVIVE COLORV ACOND 200ML + SH MM SH 370ML FCO PACK</t>
  </si>
  <si>
    <t>7730317064350BP1</t>
  </si>
  <si>
    <t>ELVIVE SH RT5 370 ML FCO+ ACOND MM 200 ML FCO</t>
  </si>
  <si>
    <t>7730317064350BP2</t>
  </si>
  <si>
    <t>ELVIVE ACOND 200 ML FCO + SH MM RT5 370 ML FCO</t>
  </si>
  <si>
    <t>7730317064367BP1</t>
  </si>
  <si>
    <t>ELVIVE OLEO COCO 370 ML FCO + ACOND MM 200 ML FCO</t>
  </si>
  <si>
    <t>7730317064367BP2</t>
  </si>
  <si>
    <t>ELVIVE OLEO COCO ACOND MM 200 ML FCO + SH MM 370 ML FCO</t>
  </si>
  <si>
    <t>7730317064374BP1</t>
  </si>
  <si>
    <t>ELVIVE DREAM LONG SH 370 ML FCO +ACOND 200 ML FCO</t>
  </si>
  <si>
    <t>7730317064374BP2</t>
  </si>
  <si>
    <t>ELVIVE DREAM LONG ACOND 200 ML FCO + SH MM 370 ML FCO</t>
  </si>
  <si>
    <t>7730317064381BP1</t>
  </si>
  <si>
    <t>ELVIVE ARCILLA SH 370 ML FCO + ACOND MM 200 ML FCO</t>
  </si>
  <si>
    <t>7730317064381BP2</t>
  </si>
  <si>
    <t>ELVIVE ARCILLA ACOND 200 ML FCO + SH MM 370 ML FCO</t>
  </si>
  <si>
    <t>7730317064398BP1</t>
  </si>
  <si>
    <t>ELVIVE DRM LG LISS FCO 370 ML + ACOND 200 ML FCO</t>
  </si>
  <si>
    <t>7730317064398BP2</t>
  </si>
  <si>
    <t>ELVIVE DRM LG LISS ACOND 200 ML FCO + SH MM FCO 370 ML</t>
  </si>
  <si>
    <t>7730317064411BP1</t>
  </si>
  <si>
    <t>ELVIVE COLORVIVE 370 ML FCO +ACOND MM 370 ML FCO +CEP</t>
  </si>
  <si>
    <t>7730317064411BP2</t>
  </si>
  <si>
    <t>ELVIVE COLORVIVE AC 370 ML FCO + SH MM 370 ML FCO +CEP</t>
  </si>
  <si>
    <t>7730317064428BP1</t>
  </si>
  <si>
    <t>ELVIVE RT5 370 ML FCO +ACOND MM 370 ML FCO +CEPILLO</t>
  </si>
  <si>
    <t>7730317064428BP3</t>
  </si>
  <si>
    <t>ELVIVE RT5 ACOND 370 ML FCO +SH MM 370 ML FCO +CEPILLO</t>
  </si>
  <si>
    <t>7730317064435BP1</t>
  </si>
  <si>
    <t>ELVIVE OLEO SH 370 ML FCO +ACOND MM 370 ML FCO +CEPILLO</t>
  </si>
  <si>
    <t>7730317064435BP3</t>
  </si>
  <si>
    <t>ELVIVE OLEO ACOND 370 ML FCO + SH MM 370 ML FCO +CEPILLO</t>
  </si>
  <si>
    <t>7730317064442BP1</t>
  </si>
  <si>
    <t>ELVIVE D. LONG LISS 370 ML FCO+ACOND 370 ML FCO +CEPI</t>
  </si>
  <si>
    <t>7730317064442BP3</t>
  </si>
  <si>
    <t>ELVIVE D. LONG LISS ACOND 370 ML FCO + SH MM 370 ML FCO+CEPI</t>
  </si>
  <si>
    <t>7730317064817BP1</t>
  </si>
  <si>
    <t>ELVIVE DREAM LONG LISS FCO PL 400ML+ MM ACOND 200ML</t>
  </si>
  <si>
    <t>7730317064817BP2</t>
  </si>
  <si>
    <t>ELVIVE ACOND DREAM LONG LISS FP 200ML +MM SHAMPOO 400ML</t>
  </si>
  <si>
    <t>7730317065050BP1</t>
  </si>
  <si>
    <t>ELVIVE HIDRA HIALURONICO FCO.PL.370ML+ MM ACONDIC 200ML</t>
  </si>
  <si>
    <t>7730317065050BP2</t>
  </si>
  <si>
    <t>ELVIVE ACON HIDRA HIALURONICO 200ML + MM SHAMPOO 370ML</t>
  </si>
  <si>
    <t>7730317067061BP1</t>
  </si>
  <si>
    <t>ELVIVE PURPLE SH FCO 200 ML + MM ACOND 150 ML</t>
  </si>
  <si>
    <t>7730317067061BP2</t>
  </si>
  <si>
    <t>ELVIVE PURPLE ACOND 150 ML +MM SH FCO 200 ML</t>
  </si>
  <si>
    <t>7730317067719BP1</t>
  </si>
  <si>
    <t>ELVIVE RT5 FCO PL 680ML + MM ACOND 400ML</t>
  </si>
  <si>
    <t>7730317067719BP2</t>
  </si>
  <si>
    <t>ELVIVE ACOND RT5 FCO PL 400ML + MM SHAMPOO 680ML</t>
  </si>
  <si>
    <t>7730317067726BP1</t>
  </si>
  <si>
    <t>ELVIVE HIDRA HIALURONICO FP 680ML+ MM ACONDIC 370ML</t>
  </si>
  <si>
    <t>7730317067726BP2</t>
  </si>
  <si>
    <t>ELVIVE ACOND HIDRA HIALURONICO 370ML + MM SHAMPOO 680ML</t>
  </si>
  <si>
    <t>7730317067733BP1</t>
  </si>
  <si>
    <t>ELVIVE OLEO EXTRAORDINARI FCO PL 680ML + MM ACOND 400ML</t>
  </si>
  <si>
    <t>7730317067733BP2</t>
  </si>
  <si>
    <t>ELVIVE ACON OLEO EXTRAORDINARIO FP 400ML + MM SHAMPOO 680ML</t>
  </si>
  <si>
    <t>7730317067740BP1</t>
  </si>
  <si>
    <t>ELVIVE ARCILLA PURIFICA FCO.PL 680ML+ MM ACONDIC 400ML</t>
  </si>
  <si>
    <t>7730317067740BP2</t>
  </si>
  <si>
    <t>ELVIVE ARCILLA ACOND PURIFICAN.400ML + MM SHAMPOO 680ML</t>
  </si>
  <si>
    <t>7730317067757BP1</t>
  </si>
  <si>
    <t>ELVIVE COLORVIVE FCO PL 680ML + MM ACOND 400ML</t>
  </si>
  <si>
    <t>7730317067757BP2</t>
  </si>
  <si>
    <t>ELVIVE ACOND COLORVIVE FCO PL 400ML + MM SHAMPOO 680ML</t>
  </si>
  <si>
    <t>7730317068624BP1</t>
  </si>
  <si>
    <t>ELVIVE RT5 FCO.PL.400ML+ MM ACONDIC 200ML</t>
  </si>
  <si>
    <t>7730317068624BP2</t>
  </si>
  <si>
    <t>ELVIVE ACOND RT5 FCO PL 200ML + MM SHAMPOO 400ML</t>
  </si>
  <si>
    <t>7730317068631BP1</t>
  </si>
  <si>
    <t>ELVIVE OLEO EXTRAOR.FCO.PL.200ML +MM ACOND.FCO.PL.200ML</t>
  </si>
  <si>
    <t>7730317068631BP2</t>
  </si>
  <si>
    <t>ELVIVE OLEO EXTRAORDIN ACOND FCO PL 200ML +MM SHAM.F.P.200ML</t>
  </si>
  <si>
    <t>7730317068808BP1</t>
  </si>
  <si>
    <t>ELVIVE COLORVIVE SH 680 ML FCO + ACO MM 370 ML FCO</t>
  </si>
  <si>
    <t>7730317068808BP2</t>
  </si>
  <si>
    <t>ELVIVE COLORVIVE ACO MM 370 ML FCO + SH MM 680 ML FCO</t>
  </si>
  <si>
    <t>7730317068815BP1</t>
  </si>
  <si>
    <t>ELVIVE OLEO EXT SH 680 ML FCO +ACO MM 370 ML</t>
  </si>
  <si>
    <t>7730317068815BP2</t>
  </si>
  <si>
    <t>ELVIVE OLEO EXT ACO MM 370 ML + SH MM 680 ML FCO</t>
  </si>
  <si>
    <t>7730317068822BP1</t>
  </si>
  <si>
    <t>ELVIVE RT5 SH FCO 680 ML + ACOND MM 370 ML FCO</t>
  </si>
  <si>
    <t>7730317068822BP2</t>
  </si>
  <si>
    <t>ELVIVE RT5 ACOND 370 ML FCO + SH MM FCO 680 ML</t>
  </si>
  <si>
    <t>7730317069928BP1</t>
  </si>
  <si>
    <t>ELVIVE HIALURONICO 370 ML FCO + ACOND 370 ML FCO + CEP</t>
  </si>
  <si>
    <t>7730317069928BP3</t>
  </si>
  <si>
    <t>ELVIVE HIALURONICO ACOND 370 ML FCO + SH MM 370 ML FCO + CEP</t>
  </si>
  <si>
    <t>7730317069942BP1</t>
  </si>
  <si>
    <t>ELVIVE SH COLORVIVE 370ML FCO +ACOND MM 400 ML FCO+CEP</t>
  </si>
  <si>
    <t>7730317069942BP3</t>
  </si>
  <si>
    <t>ELVIVE COLORVIVE ACOND 400 ML FCO+SH MM 370ML FCO +CEP</t>
  </si>
  <si>
    <t>7730317071709BP1</t>
  </si>
  <si>
    <t>ELVIVE ARCILLA SHAM 370 ML FCO + ACOND MM 200 ML FCO</t>
  </si>
  <si>
    <t>7730317071709BP2</t>
  </si>
  <si>
    <t>ELVIVE ACOND MM 200 ML FCO + MM ARCILLA SHAM 370 ML FCO</t>
  </si>
  <si>
    <t>7730317074557BP1</t>
  </si>
  <si>
    <t>ELVIVE SH HPURE FCO 370 ML+MM ACO HIALU PURE FCO 370 ML</t>
  </si>
  <si>
    <t>7730317074557BP2</t>
  </si>
  <si>
    <t>ELVIVE ACO H PURE FCO 370 ML+ MM SH HPURE FCO 370 ML</t>
  </si>
  <si>
    <t>7730317075592BP1</t>
  </si>
  <si>
    <t>ELVIVE HIALURONICO PURE SH. FCO 370ML + MM AC FCO 200ML</t>
  </si>
  <si>
    <t>7730317075592BP2</t>
  </si>
  <si>
    <t>ELVIVE HIALURONICO PURE AC FCO 200ML + MM SH FCO 370ML</t>
  </si>
  <si>
    <t>7730317075608BP1</t>
  </si>
  <si>
    <t>ELVIVE PURE SHAMPOO 680 ML + MM ACO. FCO 370 ML</t>
  </si>
  <si>
    <t>7730317075608BP2</t>
  </si>
  <si>
    <t>ELVIVE PURE ACO. FCO 370 ML+ MM SHAMPOO 680 ML</t>
  </si>
  <si>
    <t>7730317076735BP1</t>
  </si>
  <si>
    <t>ELVIVE HIALURONICO P SH 370ML FCO+MM ACO FCO 370ML C/G CEP</t>
  </si>
  <si>
    <t>7730317076735BP2</t>
  </si>
  <si>
    <t>ELVIVE HIALURONICO P ACO 370ML FCO+MM SH FCO 370ML C/G CEP</t>
  </si>
  <si>
    <t>7730317078654BP1</t>
  </si>
  <si>
    <t>ELVIVE HIDRA HIALURONICO. SH ADU REG FCO 370ML + MM AC 200ML</t>
  </si>
  <si>
    <t>7730317078654BP2</t>
  </si>
  <si>
    <t>ELVIVE HIDRA HIALURONICO AC ADU REG FCO 200ML + MM SH 370ML</t>
  </si>
  <si>
    <t>7730317078982</t>
  </si>
  <si>
    <t>ELVIVE HIDRA HIALURONICO SH ADU. FCO 370ML X2UN PRE. ESP.</t>
  </si>
  <si>
    <t>7730317079125BP1</t>
  </si>
  <si>
    <t>ELVIVE GLYCOLIC GLOSS BRILLO SH ADU REG FCO 680ML + MM AC</t>
  </si>
  <si>
    <t>7730317079125BP2</t>
  </si>
  <si>
    <t>ELVIVE GLYCOLIC GLOSS BRILLO AC ADU REG FCO 370ML + MM SH</t>
  </si>
  <si>
    <t>7730317079149BP1</t>
  </si>
  <si>
    <t>ELVIVE PACK COLORVIVE SH ADU REG FCO 370ML + MM AC 200ML</t>
  </si>
  <si>
    <t>7730317079149BP2</t>
  </si>
  <si>
    <t>ELVIVE PACK COLORVIVE AC ADU REG FCO 200ML + MM SH 370ML</t>
  </si>
  <si>
    <t>7730317079408BP1</t>
  </si>
  <si>
    <t>ELVIVE GLYCOLIC GLOSS SH. BRILLO ADU REG FCO 370ML + MM AC</t>
  </si>
  <si>
    <t>7730317079408BP2</t>
  </si>
  <si>
    <t>ELVIVE GLYCOLIC GLOSS AC. BRILLO ADU REG FCO 200ML + MM SH</t>
  </si>
  <si>
    <t>7730317080145BP1</t>
  </si>
  <si>
    <t>ELVIVE RT5 PACK SH REPARADOR ADU REG FCO 370ML + MM AC 200ML</t>
  </si>
  <si>
    <t>7730317080145BP2</t>
  </si>
  <si>
    <t>ELVIVE RT5 PACK AC REPARADOR ADU REG FCO 200ML + MM SH 370ML</t>
  </si>
  <si>
    <t>7730901592337</t>
  </si>
  <si>
    <t>ELVIVE RT5 EXTREME SH RECONSTRUCTOR ADU REG FCO 370ML</t>
  </si>
  <si>
    <t>7773031706434BP1</t>
  </si>
  <si>
    <t>ELVIVE COLORV SH FCO 370 ML+MM ACO FCO 200 ML</t>
  </si>
  <si>
    <t>7773031706434BP2</t>
  </si>
  <si>
    <t>ELVIVE ACO 200 ML+ MM COLORV SHA 370 ML</t>
  </si>
  <si>
    <t>7896014149728</t>
  </si>
  <si>
    <t>ELSEVE/ELVCOLORVIVE ACONDICIO.FCO.PLAST.300 CC IMP</t>
  </si>
  <si>
    <t>7898587761864</t>
  </si>
  <si>
    <t>7898587761888</t>
  </si>
  <si>
    <t>ELVIVE COLOR VIVE ACONDICIONADOR TRATAMIENTO 200ML FCO.PLAST</t>
  </si>
  <si>
    <t>7898587761925</t>
  </si>
  <si>
    <t>7898587761987</t>
  </si>
  <si>
    <t>ELVIVE REPARACION TOTAL 5 FCO.PLAST 400ML</t>
  </si>
  <si>
    <t>7898587762380</t>
  </si>
  <si>
    <t>7898587762403</t>
  </si>
  <si>
    <t>7898587762892</t>
  </si>
  <si>
    <t>7898587772518</t>
  </si>
  <si>
    <t>7898587774925</t>
  </si>
  <si>
    <t>7898587775021</t>
  </si>
  <si>
    <t>ELVIVE OLEO EXTRAORDIN.NUT.INTEN.ACO. 200 MLFCO.PL.</t>
  </si>
  <si>
    <t>7898587775120</t>
  </si>
  <si>
    <t>ELVIVE OLEO EXTRAORDINARIO NUT.INTEN. 200 MLFCO.PL.</t>
  </si>
  <si>
    <t>7898587775137</t>
  </si>
  <si>
    <t>ELVIVE OLEO EXTR.NUT.INTENSA SH DRY ADU REG FCO 200ML</t>
  </si>
  <si>
    <t>7899026414310</t>
  </si>
  <si>
    <t>ELSEVE/ELVNUTRI CERAMIDAS CR.P/PEIN. 250 CCFCO.PL.IMP</t>
  </si>
  <si>
    <t>7899026418042</t>
  </si>
  <si>
    <t>7899026422056</t>
  </si>
  <si>
    <t>7899026422247</t>
  </si>
  <si>
    <t>7899026422254</t>
  </si>
  <si>
    <t>7899026422292</t>
  </si>
  <si>
    <t>ELSEVE/ELVREPARACIONTOTAL 5 CRE.P/PEI. 250 CCFCO.PLAST.</t>
  </si>
  <si>
    <t>7899706154185</t>
  </si>
  <si>
    <t>7899706182812</t>
  </si>
  <si>
    <t>L'OREAL EVER</t>
  </si>
  <si>
    <t>0071249155448</t>
  </si>
  <si>
    <t>L'OREAL HAIR EXPERTISE EVE.MAS.TRATR. 300MLPOTE</t>
  </si>
  <si>
    <t>0071249341346</t>
  </si>
  <si>
    <t>HAIR EXPERTISE</t>
  </si>
  <si>
    <t>L'OREAL HAIR EXP. EVERKERATIN CARE 250 MLTUBO</t>
  </si>
  <si>
    <t>0071249341353</t>
  </si>
  <si>
    <t>L'OREAL HAIR EXPERTISE EVER.KERAT 250 MLTUBO</t>
  </si>
  <si>
    <t>0071249341360</t>
  </si>
  <si>
    <t>0071249341377</t>
  </si>
  <si>
    <t>0071249341384</t>
  </si>
  <si>
    <t>0071249341391</t>
  </si>
  <si>
    <t>0071249341421</t>
  </si>
  <si>
    <t>0071249341445</t>
  </si>
  <si>
    <t>0071249395349</t>
  </si>
  <si>
    <t>0071249395363</t>
  </si>
  <si>
    <t>0071249406915</t>
  </si>
  <si>
    <t>0071249406922</t>
  </si>
  <si>
    <t>0071249645253</t>
  </si>
  <si>
    <t>0071249645260</t>
  </si>
  <si>
    <t>7730317051459BP1</t>
  </si>
  <si>
    <t>LOREAL HAIR EXPERT EVER CREME CAB.SEC 250MLTUBO +MM SH 250ML</t>
  </si>
  <si>
    <t>7730317051459BP2</t>
  </si>
  <si>
    <t>LOREAL HAIR EXPERT EVER CREME CAB.SEC 250MLTUBO +MM ACO250ML</t>
  </si>
  <si>
    <t>7730317051473BP1</t>
  </si>
  <si>
    <t>LOREAL EVER CAB RUBIOS 250 ML POMO + ACO M/M POMO 250 MLPACK</t>
  </si>
  <si>
    <t>7730317051473BP2</t>
  </si>
  <si>
    <t>LOREAL EVER CAB RUBIOS 250 ML POMO + SH M/M POMO 250 MLPACK</t>
  </si>
  <si>
    <t>7730317066927BP1</t>
  </si>
  <si>
    <t>L'OREAL HAIR EXPERTISE EVERPU POMO 250ML+ MM ACON POMO 250ML</t>
  </si>
  <si>
    <t>7730317066927BP2</t>
  </si>
  <si>
    <t>L'OREAL HAIR EXPERTISE EVERPURE ACON POM 250ML+MM SHAM 250ML</t>
  </si>
  <si>
    <t>L'OREAL KIDS</t>
  </si>
  <si>
    <t>7501027218384</t>
  </si>
  <si>
    <t>7501027280640</t>
  </si>
  <si>
    <t>LOREAL KIDS 2 EN 1 MORA AZUL 265 CCFCO. PL.</t>
  </si>
  <si>
    <t>7501027280657</t>
  </si>
  <si>
    <t>7509552780987</t>
  </si>
  <si>
    <t>FRUCTIS</t>
  </si>
  <si>
    <t>0603084082063</t>
  </si>
  <si>
    <t>200063442247</t>
  </si>
  <si>
    <t>FRUCTIS CRECE FUERTE</t>
  </si>
  <si>
    <t>FRUCTIS CRECE FUERTE ACOND. 350 MLFCO.PL.</t>
  </si>
  <si>
    <t>200063976961</t>
  </si>
  <si>
    <t>FRUCTIS FRESCURA VITAMI.ACO F.P 350 ML</t>
  </si>
  <si>
    <t>7501839105247</t>
  </si>
  <si>
    <t>FRUCTIS OIL REPAIR 3 FCO.PLAST. 350 CC</t>
  </si>
  <si>
    <t>7501839192285</t>
  </si>
  <si>
    <t>O FRUCTIS</t>
  </si>
  <si>
    <t>FRUCTIS ONDAS PERFECTAS CR.DEF.ON. 200 CCPOMO</t>
  </si>
  <si>
    <t>7509552792287</t>
  </si>
  <si>
    <t>7509552792294</t>
  </si>
  <si>
    <t>7509552792317</t>
  </si>
  <si>
    <t>7509552795608</t>
  </si>
  <si>
    <t>7509552795646</t>
  </si>
  <si>
    <t>7509552796216</t>
  </si>
  <si>
    <t>7509552798456</t>
  </si>
  <si>
    <t>7509552805260</t>
  </si>
  <si>
    <t>7509552805307</t>
  </si>
  <si>
    <t>7509552805314</t>
  </si>
  <si>
    <t>FRUCTIS ACONDICIONADOR BRILLO VITAMI FCO 200 ML</t>
  </si>
  <si>
    <t>7509552805345</t>
  </si>
  <si>
    <t>7509552805352</t>
  </si>
  <si>
    <t>FRUCTIS GOODBYE DANOS SH ADU REG FCO 200ML</t>
  </si>
  <si>
    <t>7509552805383</t>
  </si>
  <si>
    <t>7509552805390</t>
  </si>
  <si>
    <t>FRUCTIS ACOND GOODBYE DANOS FCO 200 ML.</t>
  </si>
  <si>
    <t>7509552805543</t>
  </si>
  <si>
    <t>FRUCTIS CONTROL Y DEF. LISOS PODEROSOS</t>
  </si>
  <si>
    <t>FRUCTIS CONTROL Y DEFINICIONLISO PODE.ACO.200 CCFCO.PLAST.</t>
  </si>
  <si>
    <t>7509552805581</t>
  </si>
  <si>
    <t>FRUCTIS OIL REPAIR 3 FCO.PLAST. 200 CC</t>
  </si>
  <si>
    <t>7509552805628</t>
  </si>
  <si>
    <t>FRUCTIS OIL REPAIR 3 ACOND. 200 CCFCO.PLAST.</t>
  </si>
  <si>
    <t>7509552816242</t>
  </si>
  <si>
    <t>7509552816266</t>
  </si>
  <si>
    <t>7509552816273</t>
  </si>
  <si>
    <t>7509552816297</t>
  </si>
  <si>
    <t>7509552823837</t>
  </si>
  <si>
    <t>7509552823851</t>
  </si>
  <si>
    <t>7509552823868</t>
  </si>
  <si>
    <t>7509552823899</t>
  </si>
  <si>
    <t>7509552823905</t>
  </si>
  <si>
    <t>7509552823912</t>
  </si>
  <si>
    <t>7509552827002</t>
  </si>
  <si>
    <t>7509552827019</t>
  </si>
  <si>
    <t>7509552828030</t>
  </si>
  <si>
    <t>7509552828078</t>
  </si>
  <si>
    <t>7509552828962</t>
  </si>
  <si>
    <t>7509552830507</t>
  </si>
  <si>
    <t>7509552830583</t>
  </si>
  <si>
    <t>7509552830620</t>
  </si>
  <si>
    <t>7509552830644</t>
  </si>
  <si>
    <t>FRUCTIS ALOE HIDRA BOM CREM/PEI HIDRA/ANTIFRIZZ FP.300ML</t>
  </si>
  <si>
    <t>7509552830965</t>
  </si>
  <si>
    <t>7509552831016</t>
  </si>
  <si>
    <t>7509552841794</t>
  </si>
  <si>
    <t>7509552844153</t>
  </si>
  <si>
    <t>7509552844160</t>
  </si>
  <si>
    <t>7509552844177</t>
  </si>
  <si>
    <t>7509552844184</t>
  </si>
  <si>
    <t>7509552844191</t>
  </si>
  <si>
    <t>7509552844207</t>
  </si>
  <si>
    <t>7509552844214</t>
  </si>
  <si>
    <t>7509552844221</t>
  </si>
  <si>
    <t>7509552849509</t>
  </si>
  <si>
    <t>7509552849516</t>
  </si>
  <si>
    <t>7509552849523</t>
  </si>
  <si>
    <t>7509552849554</t>
  </si>
  <si>
    <t>7509552849561</t>
  </si>
  <si>
    <t>7509552849653</t>
  </si>
  <si>
    <t>7509552849660</t>
  </si>
  <si>
    <t>7509552849691</t>
  </si>
  <si>
    <t>7509552849707</t>
  </si>
  <si>
    <t>7509552849714</t>
  </si>
  <si>
    <t>7509552849721</t>
  </si>
  <si>
    <t>7509552876499</t>
  </si>
  <si>
    <t>7509552876529</t>
  </si>
  <si>
    <t>7509552876604</t>
  </si>
  <si>
    <t>7509552876611</t>
  </si>
  <si>
    <t>7509552876628</t>
  </si>
  <si>
    <t>7509552876635</t>
  </si>
  <si>
    <t>7509552876666</t>
  </si>
  <si>
    <t>7509552901696</t>
  </si>
  <si>
    <t>7509552905663</t>
  </si>
  <si>
    <t>7509552906448</t>
  </si>
  <si>
    <t>7509552906455</t>
  </si>
  <si>
    <t>7509552906479</t>
  </si>
  <si>
    <t>7509552906493</t>
  </si>
  <si>
    <t>FRUCTIS VITAMINADONUTRICION FCO.PLAST. 350 ML</t>
  </si>
  <si>
    <t>7509552908701</t>
  </si>
  <si>
    <t>7509552909647</t>
  </si>
  <si>
    <t>FRUCTIS CRECE FUERTE ACOND. 300 MLFCO.PLAST.</t>
  </si>
  <si>
    <t>7509552909678</t>
  </si>
  <si>
    <t>7509552909913</t>
  </si>
  <si>
    <t>7509552910070</t>
  </si>
  <si>
    <t>FRUCTIS GOODBYE DANOS POSTCOLOR 350 MLFCO.PL.</t>
  </si>
  <si>
    <t>7509552914030</t>
  </si>
  <si>
    <t>7509552914108</t>
  </si>
  <si>
    <t>7509552914276</t>
  </si>
  <si>
    <t>FRUCTIS STOP CAIDACRECE FUER ACOND. 350 MLFCO.PLAST.</t>
  </si>
  <si>
    <t>7509552914429</t>
  </si>
  <si>
    <t>FRUCTIS OIL REPAIR 3 ACOND. 350 CCFCO.PLAST.</t>
  </si>
  <si>
    <t>7509552914641</t>
  </si>
  <si>
    <t>7509552914672</t>
  </si>
  <si>
    <t>FRUCTIS RIZOS PODEROSOS ACOND. 300 MLFCO.PLAST.</t>
  </si>
  <si>
    <t>7509552914696</t>
  </si>
  <si>
    <t>7509552914719</t>
  </si>
  <si>
    <t>FRUCTIS CONT.Y DEFRIZOS POD.OLEO 100 MLFCO.PL.</t>
  </si>
  <si>
    <t>7509552915112</t>
  </si>
  <si>
    <t>7509552920864</t>
  </si>
  <si>
    <t>7509552920888</t>
  </si>
  <si>
    <t>FRUCTIS BRILLO VITAMINADO SH ADU REG FCO 200ML</t>
  </si>
  <si>
    <t>7509552920895</t>
  </si>
  <si>
    <t>FRUCTIS ACOND. BRILLO VITAMINADO FCO 200 ML</t>
  </si>
  <si>
    <t>7509552922226</t>
  </si>
  <si>
    <t>7509552922288</t>
  </si>
  <si>
    <t>7509552922301</t>
  </si>
  <si>
    <t>7509552922325</t>
  </si>
  <si>
    <t>7509552922332</t>
  </si>
  <si>
    <t>7509552930535</t>
  </si>
  <si>
    <t>7509552930559</t>
  </si>
  <si>
    <t>7509552930573</t>
  </si>
  <si>
    <t>7509552932164</t>
  </si>
  <si>
    <t>7509552964035</t>
  </si>
  <si>
    <t>7509552964042</t>
  </si>
  <si>
    <t>7730317051848BP1</t>
  </si>
  <si>
    <t>FRUCTIS BRILLO VITAMINADO350ML F.P.+ACO.200ML F.P</t>
  </si>
  <si>
    <t>7730317051848BP2</t>
  </si>
  <si>
    <t>FRUCTIS BRILLO VITAM.ACO.200 ML FP.+SHA.350ML F.P</t>
  </si>
  <si>
    <t>7730317051855BP1</t>
  </si>
  <si>
    <t>FRUCTIS GOOD BYE DANOS F.P.350 ML + ACO.200 ML FCO.PL.</t>
  </si>
  <si>
    <t>7730317051855BP2</t>
  </si>
  <si>
    <t>FRUCTIS GOOD BYE DANOS ACO.F.P.200 ML+ SHA.350 ML F.P.</t>
  </si>
  <si>
    <t>7730317051862BP1</t>
  </si>
  <si>
    <t>FRUCTIS CONTROL Y DEF.LISO. POD.FCO.P.350ML+ACO.200ML F.P</t>
  </si>
  <si>
    <t>7730317051862BP2</t>
  </si>
  <si>
    <t>FRUCTIS CONTROL Y DEF.LISO. POD.ACO.FP200ML+SHA.350 ML FP</t>
  </si>
  <si>
    <t>7730317051879BP1</t>
  </si>
  <si>
    <t>FRUCTIS OIL REPAIR 3 FCO.PL.200ML ACO.+SHA. 350 ML F.P.</t>
  </si>
  <si>
    <t>7730317051879BP2</t>
  </si>
  <si>
    <t>FRUCTIS OIL REPAIR 3 FCO.PL.350 CC + ACO.200 MLFCO.P.</t>
  </si>
  <si>
    <t>7730317054603BP1</t>
  </si>
  <si>
    <t>FRUCTIS OIL REPAIR ACEITE DE PALTA 200ML FP+ACO350MLPF PACK</t>
  </si>
  <si>
    <t>7730317054603BP2</t>
  </si>
  <si>
    <t>FRUCTIS OIL REPAIR ACEITE DE PALTA350ML FP+ACO 200MLPF PACK</t>
  </si>
  <si>
    <t>7730317059202BP1</t>
  </si>
  <si>
    <t>FRUCTIS BRILLO VITAM FCO 200 ML+MM SH.FCO 650ML</t>
  </si>
  <si>
    <t>7730317059202BP2</t>
  </si>
  <si>
    <t>FRUCTIS BRILLO VITAM FCO 650CC+MM ACO.FCO 200ML</t>
  </si>
  <si>
    <t>7730317059219BP1</t>
  </si>
  <si>
    <t>FRUCTIS GARNIER CTRL&amp;DEF. LISO PODER. SH.F.P.350ML+ACO.200ML</t>
  </si>
  <si>
    <t>7730317059219BP2</t>
  </si>
  <si>
    <t>FRUCTIS GARNIER CTRL&amp;DEF. LISO PODER.ACO.F.P.200ML+SH.350ML</t>
  </si>
  <si>
    <t>7730317061038BP1</t>
  </si>
  <si>
    <t>FRUCTIS GARNIER ALOE HIDRA BOMB FORTIF.FP.200ML+MM SH.350ML</t>
  </si>
  <si>
    <t>7730317061038BP2</t>
  </si>
  <si>
    <t>FRUCTIS GARNIER ALOE HIDRA BOMB FORTIF.FP.350ML+MM ACO.200ML</t>
  </si>
  <si>
    <t>7730317064039BP1</t>
  </si>
  <si>
    <t>FRUCTIS HAIR FOOD AGUACATE FP 300ML+ MM ACOND 300ML</t>
  </si>
  <si>
    <t>7730317064039BP2</t>
  </si>
  <si>
    <t>FRUCTIS HAIR FOOD ACOND AGUACATE FCO 300ML+ MM SHAMPOO 300ML</t>
  </si>
  <si>
    <t>7730317064961BP1</t>
  </si>
  <si>
    <t>FRUCTIS OIL REPAIR FCO.PL 650ML+ MM ACON 200ML</t>
  </si>
  <si>
    <t>7730317064961BP2</t>
  </si>
  <si>
    <t>FRUCTIS ACOND OIL REPAIR FCO.PLAST 200ML+ MM SHAMPOO 650ML</t>
  </si>
  <si>
    <t>7730317064978BP1</t>
  </si>
  <si>
    <t>FRUCTIS OIL REPAIR FCO.PL 350ML+ MM ACON 200ML</t>
  </si>
  <si>
    <t>7730317064978BP2</t>
  </si>
  <si>
    <t>FRUCTIS ACOND OIL REPAIR FCO.PLAST 200ML+ MM SHAMPOO 350ML</t>
  </si>
  <si>
    <t>7730317067047BP1</t>
  </si>
  <si>
    <t>FRUCTIS ALOE HIDRA BOMB FCO 650ML + MM ACO.FCO 200ML</t>
  </si>
  <si>
    <t>7730317067047BP2</t>
  </si>
  <si>
    <t>FRUCTIS ALOE HIDRA BOMB FCO 200 ML+MM SH.FCO 650ML</t>
  </si>
  <si>
    <t>7730317067177BP1</t>
  </si>
  <si>
    <t>FRUCTIS HAIR FOOD BANANA FCO PL 300ML+ MM ACOND 300ML</t>
  </si>
  <si>
    <t>7730317067177BP2</t>
  </si>
  <si>
    <t>FRUCTIS HAIR FOOD ACOND BANANA FCO 300ML+ MM SHAMPOO 300ML</t>
  </si>
  <si>
    <t>7730317067184BP1</t>
  </si>
  <si>
    <t>FRUCTIS HAIR FOOD COCO FCO PL 300ML+ MM ACOND 300ML</t>
  </si>
  <si>
    <t>7730317067184BP2</t>
  </si>
  <si>
    <t>FRUCTIS HAIR FOOD ACOND COCO FCO 300ML+ MM SHAMPOO 300ML</t>
  </si>
  <si>
    <t>7730317067191BP1</t>
  </si>
  <si>
    <t>FRUCTIS HAIR FOOD ALOE FCO PL 300ML+ MM ACOND 300ML</t>
  </si>
  <si>
    <t>7730317067191BP2</t>
  </si>
  <si>
    <t>FRUCTIS HAIR FOOD ACOND ALOE FCO PL 300ML+ MM SHAMPOO 300ML</t>
  </si>
  <si>
    <t>7730317071198BP2</t>
  </si>
  <si>
    <t>FRUCTIS RECARGA NUTRITIVA HIDRANTE FCO.200ML+NUTRISSE TINT.</t>
  </si>
  <si>
    <t>7730317071259BP2</t>
  </si>
  <si>
    <t>7730317071266BP2</t>
  </si>
  <si>
    <t>7730317071273BP2</t>
  </si>
  <si>
    <t>7730317071280BP2</t>
  </si>
  <si>
    <t>7730317071297BP2</t>
  </si>
  <si>
    <t>7730317071303BP2</t>
  </si>
  <si>
    <t>7730317071310BP2</t>
  </si>
  <si>
    <t>7730317071365BP2</t>
  </si>
  <si>
    <t>7730317071372BP2</t>
  </si>
  <si>
    <t>7730317071396BP2</t>
  </si>
  <si>
    <t>7730317071402BP2</t>
  </si>
  <si>
    <t>7730317071419BP2</t>
  </si>
  <si>
    <t>7730317071426BP2</t>
  </si>
  <si>
    <t>7730317071457BP2</t>
  </si>
  <si>
    <t>7730317071464BP2</t>
  </si>
  <si>
    <t>7730317071471BP2</t>
  </si>
  <si>
    <t>7730317071488BP2</t>
  </si>
  <si>
    <t>7730317071495BP2</t>
  </si>
  <si>
    <t>7730317071501BP2</t>
  </si>
  <si>
    <t>7730317071518BP2</t>
  </si>
  <si>
    <t>7730317071525BP2</t>
  </si>
  <si>
    <t>7730317071532BP2</t>
  </si>
  <si>
    <t>7730317071556BP2</t>
  </si>
  <si>
    <t>7730317071563BP2</t>
  </si>
  <si>
    <t>7730317071570BP2</t>
  </si>
  <si>
    <t>7730317071716BP2</t>
  </si>
  <si>
    <t>7730317071723BP2</t>
  </si>
  <si>
    <t>7730317071730BP2</t>
  </si>
  <si>
    <t>7730317071747BP2</t>
  </si>
  <si>
    <t>7730317071754BP2</t>
  </si>
  <si>
    <t>7730317071761BP2</t>
  </si>
  <si>
    <t>7730317074380BP1</t>
  </si>
  <si>
    <t>FRUCTIS SH LISO COCO FCO 350 ML + MM ACOND FCO 200 ML</t>
  </si>
  <si>
    <t>7730317074380BP2</t>
  </si>
  <si>
    <t>FRUCTIS ACOND FCO 200 ML+ MM SH LISO COCO FCO 350 ML</t>
  </si>
  <si>
    <t>7730317075233BP1</t>
  </si>
  <si>
    <t>FRUCTIS RECARGA NUTRITIVA FCO 350 ML + MM ACO FCO 200 ML</t>
  </si>
  <si>
    <t>7730317075233BP2</t>
  </si>
  <si>
    <t>FRUCTIS ACO REC NUTRITIVA PALTA 200 ML+ MM SHA FCO 350 ML</t>
  </si>
  <si>
    <t>7730317078463BP1</t>
  </si>
  <si>
    <t>FRUCTIS GOODBYE DAMAGE PRO SH REG ADU FCO 350ML +MM AC 200ML</t>
  </si>
  <si>
    <t>7730317078463BP2</t>
  </si>
  <si>
    <t>FRUCTIS GOODBYE DAMAGE PRO AC REG ADU FCO 200ML +MM SH 350ML</t>
  </si>
  <si>
    <t>7730317078630</t>
  </si>
  <si>
    <t>FRUCTIS GOODBYE DANOS SH DAMAGE ERASER REG FCO 350ML X2UN</t>
  </si>
  <si>
    <t>7730317078647</t>
  </si>
  <si>
    <t>FRUCTIS ALOE HIDRA BOMB SH. HIDRAT/BRILLA REG FCO 350ML X2UN</t>
  </si>
  <si>
    <t>7730317078890BP1</t>
  </si>
  <si>
    <t>FRUCTIS OIL REPAIR RECARG NUT. SH ADU REG FCO 350ML +MMAC200</t>
  </si>
  <si>
    <t>7730317078890BP2</t>
  </si>
  <si>
    <t>FRUCTIS OIL. REPAIR RECARG NUT AC ADU REG FCO 200ML +MMSH350</t>
  </si>
  <si>
    <t>7730317078906BP1</t>
  </si>
  <si>
    <t>FRUCTIS PACK LISO COCO SH ADU REG FCO 350ML + MM AC 200ML</t>
  </si>
  <si>
    <t>7730317078906BP2</t>
  </si>
  <si>
    <t>FRUCTIS PACK LISO COCO AC ADU REG FCO 200ML + MM SH 350ML</t>
  </si>
  <si>
    <t>7730317079019BP1</t>
  </si>
  <si>
    <t>FRUCTIS OIL REPAIR LISO. COCO SH ADU REG FCO 650ML + MM AC</t>
  </si>
  <si>
    <t>7730317079019BP2</t>
  </si>
  <si>
    <t>FRUCTIS OIL REPAIR LISO COCO AC ADU REG FCO 350ML + MM SH</t>
  </si>
  <si>
    <t>7730317079033BP1</t>
  </si>
  <si>
    <t>FRUCTIS ALOE HIDRA BOOM SH. HIDRAT ADU REG FCO 650ML + MM AC</t>
  </si>
  <si>
    <t>7730317079033BP2</t>
  </si>
  <si>
    <t>FRUCTIS ALOE HIDRA BOOM AC. HIDRAT ADU REG FCO 350ML + MM SH</t>
  </si>
  <si>
    <t>7730317079040BP1</t>
  </si>
  <si>
    <t>FRUCTIS BRILLO VITAMINADO SH. ADU REG FCO 650ML + MM AC</t>
  </si>
  <si>
    <t>7730317079040BP2</t>
  </si>
  <si>
    <t>FRUCTIS BRILLO VITAMINADO AC ADU REG FCO 350ML + MM SH</t>
  </si>
  <si>
    <t>7730317079583BP1</t>
  </si>
  <si>
    <t>FRUCTIS PROBIOTICOS FUERZ SH ADU REG FCO 650ML +MM AC 350ML</t>
  </si>
  <si>
    <t>7730317079583BP2</t>
  </si>
  <si>
    <t>FRUCTIS PROBIOTICO FUERZA AC ADU REG FCO 350ML +MM SH 650ML</t>
  </si>
  <si>
    <t>7730317080169BP1</t>
  </si>
  <si>
    <t>FRUCTIS PAC PROBIOTICOS FUERZA SH ADU REG FCO 350ML +MMAC200</t>
  </si>
  <si>
    <t>7730317080169BP2</t>
  </si>
  <si>
    <t>FRUCTIS PC. PROBIOTICOS FUERZA AC ADU REG FCO 200ML +MMSH350</t>
  </si>
  <si>
    <t>7804960029810</t>
  </si>
  <si>
    <t>FRUCTIS OIL REPAIR CAB.RESECO 350 CCFCO.PL.IMP</t>
  </si>
  <si>
    <t>7899706161763</t>
  </si>
  <si>
    <t>FRUCTIS HAIR FOOD MASC.AGUACATE CAB SECO SACHET 20ML</t>
  </si>
  <si>
    <t>7899706161800</t>
  </si>
  <si>
    <t>FRUCTIS HAIR FOOD COCO MASC.REP CAB.DANADO SACHET 20 ML</t>
  </si>
  <si>
    <t>7899706170611</t>
  </si>
  <si>
    <t>CASTING</t>
  </si>
  <si>
    <t>TINTURAS</t>
  </si>
  <si>
    <t>200076962531</t>
  </si>
  <si>
    <t>CASTING CREME GLOSS POMO 45GR T.77 CHOCO TENTACION KIT</t>
  </si>
  <si>
    <t>7730317009214</t>
  </si>
  <si>
    <t>CASTING CREMEGLOSSCREMA POMOTONO CIRU. 45 GRKIT</t>
  </si>
  <si>
    <t>7896014184439</t>
  </si>
  <si>
    <t>7896014184477</t>
  </si>
  <si>
    <t>7896014184484</t>
  </si>
  <si>
    <t>7896014184491</t>
  </si>
  <si>
    <t>7896014184507</t>
  </si>
  <si>
    <t>7896014184514</t>
  </si>
  <si>
    <t>7896014184538</t>
  </si>
  <si>
    <t>7896014184545</t>
  </si>
  <si>
    <t>7896014184552</t>
  </si>
  <si>
    <t>7896014184569</t>
  </si>
  <si>
    <t>7896014187997</t>
  </si>
  <si>
    <t>7896014188000</t>
  </si>
  <si>
    <t>7896014188017</t>
  </si>
  <si>
    <t>7896014188031</t>
  </si>
  <si>
    <t>7899026496507</t>
  </si>
  <si>
    <t>7899026496514</t>
  </si>
  <si>
    <t>7899706135887</t>
  </si>
  <si>
    <t>200083041128</t>
  </si>
  <si>
    <t>NUTRISSE COR INTENSA PERM. CREM. TUBO 45GR T.210 KIT</t>
  </si>
  <si>
    <t>200085564921</t>
  </si>
  <si>
    <t>NUTRISSE COR INTENSA PERM. CR. TUBO 45GR T.20 NEG.AZU. KIT</t>
  </si>
  <si>
    <t>7509552828894</t>
  </si>
  <si>
    <t>7896014151257</t>
  </si>
  <si>
    <t>NUTRISSE COR INTENSA PAER. CRE. TUBO 45GR T.6.0 RUB.OSC. KIT</t>
  </si>
  <si>
    <t>7898587770651</t>
  </si>
  <si>
    <t>7898587770668</t>
  </si>
  <si>
    <t>7898587770675</t>
  </si>
  <si>
    <t>NUTRISSE COR INTENSA PERM CASTANO CL DR TUBO 45GR KIT T.N5.3</t>
  </si>
  <si>
    <t>7898587770699</t>
  </si>
  <si>
    <t>7898587770705</t>
  </si>
  <si>
    <t>7898587775908</t>
  </si>
  <si>
    <t>7898587775922</t>
  </si>
  <si>
    <t>7898587775939</t>
  </si>
  <si>
    <t>7898587775946</t>
  </si>
  <si>
    <t>7898587775953</t>
  </si>
  <si>
    <t>NUTRISSE COR INTENSA PERM CR. NEG.AZULA TUBO 45GR KIT T.2.10</t>
  </si>
  <si>
    <t>7899026462533</t>
  </si>
  <si>
    <t>7899026462540</t>
  </si>
  <si>
    <t>7899026462557</t>
  </si>
  <si>
    <t>7899026462564</t>
  </si>
  <si>
    <t>7899026462571</t>
  </si>
  <si>
    <t>7899026462588</t>
  </si>
  <si>
    <t>7899026462595</t>
  </si>
  <si>
    <t>7899026462601</t>
  </si>
  <si>
    <t>7899026462618</t>
  </si>
  <si>
    <t>7899026462625</t>
  </si>
  <si>
    <t>7899026462632</t>
  </si>
  <si>
    <t>7899026462649</t>
  </si>
  <si>
    <t>7899026462656</t>
  </si>
  <si>
    <t>7899026462670</t>
  </si>
  <si>
    <t>7899026462687</t>
  </si>
  <si>
    <t>7899026462694</t>
  </si>
  <si>
    <t>7899026462717</t>
  </si>
  <si>
    <t>7899026462724</t>
  </si>
  <si>
    <t>7899026462748</t>
  </si>
  <si>
    <t>NUTRISSE COR INTENSA T.PERM. CR. NEGRO TUBO 45GR KIT T.2.0</t>
  </si>
  <si>
    <t>7899026462786</t>
  </si>
  <si>
    <t>NUTRISSE COR INTENSA PERM. CASTA.CENI.CAO TB 45GR KIT T.4.15</t>
  </si>
  <si>
    <t>7899026462809</t>
  </si>
  <si>
    <t>NUTRISSE COR INTENSA PERMA. CASTANO CL. TB 45GR KIT T. 5.0</t>
  </si>
  <si>
    <t>7899026462892</t>
  </si>
  <si>
    <t>NUTRISSE COR INTENSA PERM RUB CL.CEN.DR TUBO 45GR KIT TN9.13</t>
  </si>
  <si>
    <t>7899026462922</t>
  </si>
  <si>
    <t>NUTRISSE COR INTENSA T.PERM RUBIO ULT.CL. TB 45GR KIT T.11.1</t>
  </si>
  <si>
    <t>200063625086</t>
  </si>
  <si>
    <t>PREF.EXCELLENCECREMETONO 8 RUBIO CLA.CR.PO.47 GKIT</t>
  </si>
  <si>
    <t>200063643838</t>
  </si>
  <si>
    <t>EXCELLENCECREME COL.TONO 6.66 POMO 47 GRKIT IMP</t>
  </si>
  <si>
    <t>200063806290</t>
  </si>
  <si>
    <t>EXCELLENCECREME TONO 9 POMO KIT 47 GRC/PEI.APL.</t>
  </si>
  <si>
    <t>200076962409</t>
  </si>
  <si>
    <t>EXCELLENCE CR. PERM. POMO 47GR T.51 CAST.CL.CENIZA KIT</t>
  </si>
  <si>
    <t>200076962437</t>
  </si>
  <si>
    <t>EXCELLENCE CR. PERM.POMO 45GR T.8.11 RUB.CL.CEN. PROF KIT</t>
  </si>
  <si>
    <t>200077002942</t>
  </si>
  <si>
    <t>EXCELLENCE CR. PERM. TUBO 45GR T.67 CHOCOLATE</t>
  </si>
  <si>
    <t>200079339619</t>
  </si>
  <si>
    <t>EXCELLENCE PERMAN. CREM. TUBO 47GR T.73 MIEL RUBIO D.</t>
  </si>
  <si>
    <t>200081623900</t>
  </si>
  <si>
    <t>EXCELLENCE CREM.PERM. TUBO 45GR T. 03CASTANO OSCURO KIT</t>
  </si>
  <si>
    <t>200081922378</t>
  </si>
  <si>
    <t>EXCELLENCE CREM. PERM. TUBO 45GR T.01 NEGRO KIT</t>
  </si>
  <si>
    <t>200084009402</t>
  </si>
  <si>
    <t>EXCELLENCE PERM.CREM. TUBO 47GR T.7.17 KIT</t>
  </si>
  <si>
    <t>200095083574</t>
  </si>
  <si>
    <t>EXCELLENCE CREME. PERMA.TUBO 47GR T.7.17 KIT</t>
  </si>
  <si>
    <t>7501027207258</t>
  </si>
  <si>
    <t>7501027235367</t>
  </si>
  <si>
    <t>7501027275042</t>
  </si>
  <si>
    <t>7501027275080</t>
  </si>
  <si>
    <t>7501027275097</t>
  </si>
  <si>
    <t>7501027275127</t>
  </si>
  <si>
    <t>7501027275134</t>
  </si>
  <si>
    <t>7501027275172</t>
  </si>
  <si>
    <t>7501027275226</t>
  </si>
  <si>
    <t>7501027275295</t>
  </si>
  <si>
    <t>7501027275301</t>
  </si>
  <si>
    <t>7506078917491</t>
  </si>
  <si>
    <t>7506078921603</t>
  </si>
  <si>
    <t>7506078935488</t>
  </si>
  <si>
    <t>7506078935501</t>
  </si>
  <si>
    <t>7506078935907</t>
  </si>
  <si>
    <t>7509552791778</t>
  </si>
  <si>
    <t>7509552841831</t>
  </si>
  <si>
    <t>7509552844443</t>
  </si>
  <si>
    <t>7509552844450</t>
  </si>
  <si>
    <t>7509552844467</t>
  </si>
  <si>
    <t>7509552844474</t>
  </si>
  <si>
    <t>7509552844481</t>
  </si>
  <si>
    <t>7509552844498</t>
  </si>
  <si>
    <t>7509552844511</t>
  </si>
  <si>
    <t>7509552850567</t>
  </si>
  <si>
    <t>7509552878196</t>
  </si>
  <si>
    <t>7509552878202</t>
  </si>
  <si>
    <t>7509552878219</t>
  </si>
  <si>
    <t>7509552878226</t>
  </si>
  <si>
    <t>7509552878233</t>
  </si>
  <si>
    <t>7509552878240</t>
  </si>
  <si>
    <t>7509552878257</t>
  </si>
  <si>
    <t>7509552878264</t>
  </si>
  <si>
    <t>7509552878271</t>
  </si>
  <si>
    <t>7509552909531</t>
  </si>
  <si>
    <t>7509552910469</t>
  </si>
  <si>
    <t>EXCELLENCE CREME CREMA POMO 47 GR KIT TONO 121</t>
  </si>
  <si>
    <t>7509552910841</t>
  </si>
  <si>
    <t>7509552910865</t>
  </si>
  <si>
    <t>EXCELLENCE EXTRA FROFUNDO TUBO 45 GR KIT TONO 610</t>
  </si>
  <si>
    <t>7509552910889</t>
  </si>
  <si>
    <t>7509552910896</t>
  </si>
  <si>
    <t>EXCELLENCE EXTRA FROFUNDO TUBO 45 GR KIT TONO 410</t>
  </si>
  <si>
    <t>7509552910902</t>
  </si>
  <si>
    <t>7509552910919</t>
  </si>
  <si>
    <t>7509552911077</t>
  </si>
  <si>
    <t>7509552911794</t>
  </si>
  <si>
    <t>7509552911800</t>
  </si>
  <si>
    <t>7509552911817</t>
  </si>
  <si>
    <t>7509552911831</t>
  </si>
  <si>
    <t>7509552911848</t>
  </si>
  <si>
    <t>7509552948158</t>
  </si>
  <si>
    <t>7509552948202</t>
  </si>
  <si>
    <t>7730317008330BP2</t>
  </si>
  <si>
    <t>EXCELLENCECREME T.93POMO 47 GRKITC/B.EXPNUTRID.LE.HID.PM200M</t>
  </si>
  <si>
    <t>7896014195053</t>
  </si>
  <si>
    <t>EXCELLENCEKERAT RUB.OSC. DOR.T.6.30POMO 47 GRKIT</t>
  </si>
  <si>
    <t>7896014195176</t>
  </si>
  <si>
    <t>EXCELLENCEKERAT TONO 6 POMO 47 GRKIT</t>
  </si>
  <si>
    <t>7899706126786</t>
  </si>
  <si>
    <t>7899706127059</t>
  </si>
  <si>
    <t>7899706127080</t>
  </si>
  <si>
    <t>7899706127103</t>
  </si>
  <si>
    <t>7899706127165</t>
  </si>
  <si>
    <t>7899706127172</t>
  </si>
  <si>
    <t>7899706127196</t>
  </si>
  <si>
    <t>7899706127219</t>
  </si>
  <si>
    <t>7506078967786</t>
  </si>
  <si>
    <t>7506078967793</t>
  </si>
  <si>
    <t>7506078967809</t>
  </si>
  <si>
    <t>7506078967816</t>
  </si>
  <si>
    <t>7509552841862</t>
  </si>
  <si>
    <t>7509552841879</t>
  </si>
  <si>
    <t>7509552917390</t>
  </si>
  <si>
    <t>7509552917406</t>
  </si>
  <si>
    <t>7509552917413</t>
  </si>
  <si>
    <t>7509552917420</t>
  </si>
  <si>
    <t>7509552917437</t>
  </si>
  <si>
    <t>7509552917550</t>
  </si>
  <si>
    <t>200063439928</t>
  </si>
  <si>
    <t>NUTRISSE NUTRICOLORCRE.T.90 POMO KIT 45 GR+ PEINE GT</t>
  </si>
  <si>
    <t>200063470986</t>
  </si>
  <si>
    <t>NUTRISSE TONO 70 CHAMPAA A CREMA POMO 45 GRKIT</t>
  </si>
  <si>
    <t>200063486833</t>
  </si>
  <si>
    <t>NUTRISSE TONO 30 CREMA POMO 45 GRKIT IMP</t>
  </si>
  <si>
    <t>200063570802</t>
  </si>
  <si>
    <t>NUTRISSE TONO 60 CAPUCCINO CREMA POMO 45 GRKIT IMP</t>
  </si>
  <si>
    <t>200063630854</t>
  </si>
  <si>
    <t>NUTRISSE TONO 53 NUEZ CREMA POMO 45 GRKIT IMP</t>
  </si>
  <si>
    <t>200069664499</t>
  </si>
  <si>
    <t>NUTRISSE PERMANENTE TONO 10 POMO 45 GRKIT</t>
  </si>
  <si>
    <t>200080955539</t>
  </si>
  <si>
    <t>NUTRISSE PERM. CREM. TUBO 45GR T.CASTANO CLARO KIT</t>
  </si>
  <si>
    <t>200083870461</t>
  </si>
  <si>
    <t>NUTRISSE COLORISSIMOS PERM.CREM.TUBO 45GR T.462 CIRUELA KIT</t>
  </si>
  <si>
    <t>200084009343</t>
  </si>
  <si>
    <t>NUTRISSE PERMA. CREM. TUBO 45GR T.91 KIT</t>
  </si>
  <si>
    <t>7501027209184</t>
  </si>
  <si>
    <t>7501027209214</t>
  </si>
  <si>
    <t>7501027209221</t>
  </si>
  <si>
    <t>7501027209542</t>
  </si>
  <si>
    <t>7501027209566</t>
  </si>
  <si>
    <t>7501027209580</t>
  </si>
  <si>
    <t>7501027209627</t>
  </si>
  <si>
    <t>7501027209658</t>
  </si>
  <si>
    <t>7501027221780</t>
  </si>
  <si>
    <t>7501839100129</t>
  </si>
  <si>
    <t>7506078959934</t>
  </si>
  <si>
    <t>7506078959972</t>
  </si>
  <si>
    <t>NUTRISSE COLORISSI.CREMA TONO 554 POMO 45 GRKIT</t>
  </si>
  <si>
    <t>7506078959989</t>
  </si>
  <si>
    <t>7506078959996</t>
  </si>
  <si>
    <t>7509552812251</t>
  </si>
  <si>
    <t>7509552812268</t>
  </si>
  <si>
    <t>7509552812275</t>
  </si>
  <si>
    <t>7509552812428</t>
  </si>
  <si>
    <t>7509552812442</t>
  </si>
  <si>
    <t>7509552812534</t>
  </si>
  <si>
    <t>7509552812718</t>
  </si>
  <si>
    <t>7509552816686</t>
  </si>
  <si>
    <t>7509552826579</t>
  </si>
  <si>
    <t>7509552826593</t>
  </si>
  <si>
    <t>7509552826920</t>
  </si>
  <si>
    <t>7509552828863</t>
  </si>
  <si>
    <t>7509552836691</t>
  </si>
  <si>
    <t>7509552836899</t>
  </si>
  <si>
    <t>7509552837094</t>
  </si>
  <si>
    <t>7509552870572</t>
  </si>
  <si>
    <t>7509552870596</t>
  </si>
  <si>
    <t>7509552870602</t>
  </si>
  <si>
    <t>7509552870619</t>
  </si>
  <si>
    <t>7509552870633</t>
  </si>
  <si>
    <t>7509552870640</t>
  </si>
  <si>
    <t>7509552870664</t>
  </si>
  <si>
    <t>7509552870688</t>
  </si>
  <si>
    <t>7509552870695</t>
  </si>
  <si>
    <t>7509552870701</t>
  </si>
  <si>
    <t>7509552870718</t>
  </si>
  <si>
    <t>7509552870732</t>
  </si>
  <si>
    <t>7509552870756</t>
  </si>
  <si>
    <t>7509552901092</t>
  </si>
  <si>
    <t>7509552910315</t>
  </si>
  <si>
    <t>7509552916133</t>
  </si>
  <si>
    <t>7509552916140</t>
  </si>
  <si>
    <t>7509552923810</t>
  </si>
  <si>
    <t>7509552923827</t>
  </si>
  <si>
    <t>7509552923834</t>
  </si>
  <si>
    <t>7509552923841</t>
  </si>
  <si>
    <t>7509552923858</t>
  </si>
  <si>
    <t>7509552923865</t>
  </si>
  <si>
    <t>7509552923919</t>
  </si>
  <si>
    <t>7730317039075BP1</t>
  </si>
  <si>
    <t>NUTRISSE NUTRICOLORCREMAT.81 P.45 GRKIT+MY-MBLIPS LABIAL GT</t>
  </si>
  <si>
    <t>7730317039143BP1</t>
  </si>
  <si>
    <t>NUTRISSE NUTRICOLORCREMA T.60P.45 GRKIT+MY-MBLIPS LABIAL GT</t>
  </si>
  <si>
    <t>7730317039808BP2</t>
  </si>
  <si>
    <t>NUTRISSE NUTRICOLORCREMAT.70 P.45 GRKIT+MY-MBLIPS LABIAL GT</t>
  </si>
  <si>
    <t>7730317039839BP1</t>
  </si>
  <si>
    <t>NUTRISSE NUTRICOLORCREMA T.61P.45 GRKIT+MY-MBLIPS LABIAL GT</t>
  </si>
  <si>
    <t>7730317039884BP1</t>
  </si>
  <si>
    <t>NUTRISSE NUTRICOLORCREMA T.42P.45GRKIT+MY-MBLIPS LABIAL GT</t>
  </si>
  <si>
    <t>7730317039891BP1</t>
  </si>
  <si>
    <t>NUTRISSE NUTRICOLORCREMA T.40P.45 GRKIT+MY-MBLIPS LABIAL GT</t>
  </si>
  <si>
    <t>7730317039914BP1</t>
  </si>
  <si>
    <t>NUTRISSE NUTRICOLORCREMA T.30P.45 GRKIT+MY-MBLIPS LABIAL GT</t>
  </si>
  <si>
    <t>7730317071198BP1</t>
  </si>
  <si>
    <t>NUTRISSE PER.CR.T.45GR T.121 KIT+FRUCTIS RECARGA NUTRITIVA H</t>
  </si>
  <si>
    <t>7730317071259BP1</t>
  </si>
  <si>
    <t>NUTRISSE PER.CR.T.45GR T.40 KIT+FRUCTIS RECARGA NUTRITIVA HI</t>
  </si>
  <si>
    <t>7730317071266BP1</t>
  </si>
  <si>
    <t>NUTRISSE PER.CR.T.45GR T.30 KIT+FRUCTIS RECARGA NUTRITIVA HI</t>
  </si>
  <si>
    <t>7730317071273BP1</t>
  </si>
  <si>
    <t>NUTRISSE PER.CR.T.45GR T.10 KIT+FRUCTIS RECARGA NUTRITIVA HI</t>
  </si>
  <si>
    <t>7730317071280BP1</t>
  </si>
  <si>
    <t>NUTRISSE PER.CR.T.45GR T.4460 KIT+FRUCTIS RECARGA NUTRITIVA</t>
  </si>
  <si>
    <t>7730317071297BP1</t>
  </si>
  <si>
    <t>NUTRISSE PER.CR.T.45GR T.6660 KIT+FRUCTIS RECARGA NUTRITIVA</t>
  </si>
  <si>
    <t>7730317071303BP1</t>
  </si>
  <si>
    <t>NUTRISSE PER.CR.T.45GR T.5562 KIT+FRUCTIS RECARGA NUTRITIVA</t>
  </si>
  <si>
    <t>7730317071310BP1</t>
  </si>
  <si>
    <t>NUTRISSE PER.CR.T.45GR T.61 KIT+FRUCTIS RECARGA NUTRITIVA HI</t>
  </si>
  <si>
    <t>7730317071365BP1</t>
  </si>
  <si>
    <t>NUTRISSE PER.CR.T.45GR T.46 KIT+FRUCTIS RECARGA NUTRITIVA HI</t>
  </si>
  <si>
    <t>7730317071372BP1</t>
  </si>
  <si>
    <t>NUTRISSE PER.CR.T.45GR T.10.13 KIT+FRUCTIS RECARGA NUTRITIVA</t>
  </si>
  <si>
    <t>7730317071396BP1</t>
  </si>
  <si>
    <t>NUTRISSE PER.CR.T.45GR T.77 KIT+FRUCTIS RECARGA NUTRITIVA HI</t>
  </si>
  <si>
    <t>7730317071402BP1</t>
  </si>
  <si>
    <t>NUTRISSE PER.CR.T.45GR T.416 KIT+FRUCTIS RECARGA NUTRITIVA H</t>
  </si>
  <si>
    <t>7730317071419BP1</t>
  </si>
  <si>
    <t>NUTRISSE PER.CR.T.45GR T.462 KIT+FRUCTIS RECARGA NUTRITIVA H</t>
  </si>
  <si>
    <t>7730317071426BP1</t>
  </si>
  <si>
    <t>NUTRISSE PER.CR.T.45GR T.110 KIT+FRUCTIS RECARGA NUTRITIVA H</t>
  </si>
  <si>
    <t>7730317071457BP1</t>
  </si>
  <si>
    <t>NUTRISSE PER.CR.T.45GR T.6646 KIT+FRUCTIS RECARGA NUTRITIVA</t>
  </si>
  <si>
    <t>7730317071464BP1</t>
  </si>
  <si>
    <t>NUTRISSE PER.CR.T.45GR T.734 KIT+FRUCTIS RECARGA NUTRITIVA H</t>
  </si>
  <si>
    <t>7730317071471BP1</t>
  </si>
  <si>
    <t>NUTRISSE PER.CR.T.45GR T.4462 KIT+FRUCTIS RECARGA NUTRITIVA</t>
  </si>
  <si>
    <t>7730317071488BP1</t>
  </si>
  <si>
    <t>NUTRISSE PER.CR.T.45GR T.120 KIT+FRUCTIS RECARGA NUTRITIVA H</t>
  </si>
  <si>
    <t>7730317071495BP1</t>
  </si>
  <si>
    <t>NUTRISSE PER.CR.T.45GR T.93 KIT+FRUCTIS RECARGA NUTRITIVA HI</t>
  </si>
  <si>
    <t>7730317071501BP1</t>
  </si>
  <si>
    <t>NUTRISSE PER.CR.T.45GR T.90 KIT+FRUCTIS RECARGA NUTRITIVA HI</t>
  </si>
  <si>
    <t>7730317071518BP1</t>
  </si>
  <si>
    <t>NUTRISSE PER.CR.T.45GR T.83 KIT+FRUCTIS RECARGA NUTRITIVA HI</t>
  </si>
  <si>
    <t>7730317071525BP1</t>
  </si>
  <si>
    <t>NUTRISSE PER.CR.T.45GR T.80 KIT+FRUCTIS RECARGA NUTRITIVA HI</t>
  </si>
  <si>
    <t>7730317071532BP1</t>
  </si>
  <si>
    <t>NUTRISSE PER.CR.T.45GR T.63 KIT+FRUCTIS RECARGA NUTRITIVA HI</t>
  </si>
  <si>
    <t>7730317071556BP1</t>
  </si>
  <si>
    <t>NUTRISSE PER.CR.T.45GR T.57 KIT+FRUCTIS RECARGA NUTRITIVA HI</t>
  </si>
  <si>
    <t>7730317071563BP1</t>
  </si>
  <si>
    <t>NUTRISSE PER.CR.T.45GR T.53 KIT+FRUCTIS RECARGA NUTRITIVA HI</t>
  </si>
  <si>
    <t>7730317071570BP1</t>
  </si>
  <si>
    <t>NUTRISSE PER.CR.T.45GR T.50 KIT+FRUCTIS RECARGA NUTRITIVA HI</t>
  </si>
  <si>
    <t>7730317071716BP1</t>
  </si>
  <si>
    <t>NUTRISSE PER.CR.T.45GR T.91 KIT+FRUCTIS RECARGA NUTRITIVA HI</t>
  </si>
  <si>
    <t>7730317071723BP1</t>
  </si>
  <si>
    <t>NUTRISSE PER.CR.T.45GR T.81 KIT+FRUCTIS RECARGA NUTRITIVA HI</t>
  </si>
  <si>
    <t>7730317071730BP1</t>
  </si>
  <si>
    <t>NUTRISSE PER.CR.T.45GR T.73 KIT+FRUCTIS RECARGA NUTRITIVA HI</t>
  </si>
  <si>
    <t>7730317071747BP1</t>
  </si>
  <si>
    <t>NUTRISSE PER.CR.T.45GR T.71 KIT+FRUCTIS RECARGA NUTRITIVA HI</t>
  </si>
  <si>
    <t>7730317071754BP1</t>
  </si>
  <si>
    <t>NUTRISSE PER.CR.T.45GR T.70 KIT+FRUCTIS RECARGA NUTRITIVA HI</t>
  </si>
  <si>
    <t>7730317071761BP1</t>
  </si>
  <si>
    <t>NUTRISSE PER.CR.T.45GR T.60 KIT+FRUCTIS RECARGA NUTRITIVA HI</t>
  </si>
  <si>
    <t>7804960970846</t>
  </si>
  <si>
    <t>NUTRISSE TONO 46 BORGONA CREMA POMO 45 GRKIT IMP</t>
  </si>
  <si>
    <t>7896014151301</t>
  </si>
  <si>
    <t>NUTRISSE TONO 70 CREMA POMO 45 GRKIT IMP</t>
  </si>
  <si>
    <t>7896014162406</t>
  </si>
  <si>
    <t>NUTRISSE TONO 93 CREMA POMO 45 GRKIT IMP</t>
  </si>
  <si>
    <t>7896014191512</t>
  </si>
  <si>
    <t>NUTRISSE NUTRICOLORTONO 40 POMO 45 GRKIT</t>
  </si>
  <si>
    <t>7896014191598</t>
  </si>
  <si>
    <t>NUTRISSE NUTRICOLORTONO 53 POMO 45 GRKIT</t>
  </si>
  <si>
    <t>7896014191635</t>
  </si>
  <si>
    <t>NUTRISSE NUTRICOLORTONO 57 POMO 45 GRKIT</t>
  </si>
  <si>
    <t>7896014191666</t>
  </si>
  <si>
    <t>7896014191734</t>
  </si>
  <si>
    <t>NUTRISSE NUTRICOLORTONO 71 POMO 45 GRKIT</t>
  </si>
  <si>
    <t>7896014191758</t>
  </si>
  <si>
    <t>NUTRISSE CRE. PERMANEN. TUBO 45GR T.73 RUBIO DORADO KIT</t>
  </si>
  <si>
    <t>7896014191789</t>
  </si>
  <si>
    <t>NUTRISSE NUTRICOLORTONO 80 POMO 45 GRKIT</t>
  </si>
  <si>
    <t>7896014191796</t>
  </si>
  <si>
    <t>NUTRISSE NUTRICOLORTONO 81 POMO 45 GRKIT</t>
  </si>
  <si>
    <t>7896014191819</t>
  </si>
  <si>
    <t>NUTRISSE NUTRICOLORTONO 83 POMO 45 GRKIT</t>
  </si>
  <si>
    <t>7896014191840</t>
  </si>
  <si>
    <t>7899706115001</t>
  </si>
  <si>
    <t>NUTRISSE NUTRICOLORTONO 30 POMO 45 GRKIT</t>
  </si>
  <si>
    <t>7899706115179</t>
  </si>
  <si>
    <t>NUTRISSE NUTRICOLORCREMA T.57POMO 45 GRKIT</t>
  </si>
  <si>
    <t>7899706115193</t>
  </si>
  <si>
    <t>7899706115216</t>
  </si>
  <si>
    <t>7899706115223</t>
  </si>
  <si>
    <t>NUTRISSE NUTRICOLORTONO 66 POMO 45 GRKIT</t>
  </si>
  <si>
    <t>7899706115391</t>
  </si>
  <si>
    <t>7899706115407</t>
  </si>
  <si>
    <t>7899706115414</t>
  </si>
  <si>
    <t>NUTRISSE NUTRICOLOR CREMA POMO 45 GR KIT TONO 82</t>
  </si>
  <si>
    <t>7899706115421</t>
  </si>
  <si>
    <t>7899706115445</t>
  </si>
  <si>
    <t>7899706115452</t>
  </si>
  <si>
    <t>7899706115469</t>
  </si>
  <si>
    <t>7899706119931</t>
  </si>
  <si>
    <t>7899706119955</t>
  </si>
  <si>
    <t>NUTRISSE COLORISSI. CREMA POMO 45 GR KIT TONO MANZANA</t>
  </si>
  <si>
    <t>8901526566013</t>
  </si>
  <si>
    <t>8901526566020</t>
  </si>
  <si>
    <t>8901526566037</t>
  </si>
  <si>
    <t>8901526566044</t>
  </si>
  <si>
    <t>8901526566051</t>
  </si>
  <si>
    <t>8901526566068</t>
  </si>
  <si>
    <t>8901526566075</t>
  </si>
  <si>
    <t>8901526566082</t>
  </si>
  <si>
    <t>8901526566099</t>
  </si>
  <si>
    <t>8901526606061</t>
  </si>
  <si>
    <t>Category</t>
  </si>
  <si>
    <t>SKU</t>
  </si>
  <si>
    <t>Segment</t>
  </si>
  <si>
    <t>Channel Name</t>
  </si>
  <si>
    <t>Country</t>
  </si>
  <si>
    <t>Uruguay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</si>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</sst>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;\(#,##0\)"/>
  </numFmts>
  <fonts count="9"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0"/>
      <name val="Calibri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66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17" fontId="1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pivotButton="1"/>
    <xf numFmtId="3" fontId="0" fillId="0" borderId="0" xfId="0" applyNumberFormat="1"/>
    <xf numFmtId="0" fontId="0" fillId="3" borderId="0" xfId="0" applyFill="1"/>
    <xf numFmtId="17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" fontId="0" fillId="0" borderId="0" xfId="0" applyNumberFormat="1" applyAlignment="1">
      <alignment horizontal="left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3" fillId="6" borderId="1" xfId="0" applyFont="1" applyFill="1" applyBorder="1"/>
    <xf numFmtId="0" fontId="3" fillId="6" borderId="2" xfId="0" applyFont="1" applyFill="1" applyBorder="1"/>
    <xf numFmtId="9" fontId="0" fillId="0" borderId="0" xfId="2" applyFont="1"/>
    <xf numFmtId="3" fontId="3" fillId="6" borderId="2" xfId="0" applyNumberFormat="1" applyFont="1" applyFill="1" applyBorder="1"/>
    <xf numFmtId="0" fontId="0" fillId="4" borderId="0" xfId="0" applyFill="1"/>
    <xf numFmtId="9" fontId="0" fillId="0" borderId="0" xfId="2" applyFont="1" applyAlignment="1">
      <alignment horizontal="center"/>
    </xf>
    <xf numFmtId="0" fontId="0" fillId="0" borderId="3" xfId="0" applyBorder="1" applyAlignment="1">
      <alignment horizontal="center"/>
    </xf>
    <xf numFmtId="9" fontId="0" fillId="0" borderId="3" xfId="2" applyFont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lef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9" fontId="0" fillId="0" borderId="0" xfId="0" applyNumberFormat="1"/>
    <xf numFmtId="0" fontId="7" fillId="9" borderId="4" xfId="3" applyFont="1" applyFill="1" applyBorder="1" applyAlignment="1">
      <alignment horizontal="left" vertical="top"/>
    </xf>
    <xf numFmtId="0" fontId="6" fillId="0" borderId="0" xfId="3"/>
    <xf numFmtId="0" fontId="8" fillId="10" borderId="4" xfId="3" applyFont="1" applyFill="1" applyBorder="1" applyAlignment="1">
      <alignment vertical="top"/>
    </xf>
    <xf numFmtId="0" fontId="8" fillId="10" borderId="4" xfId="3" applyFont="1" applyFill="1" applyBorder="1" applyAlignment="1">
      <alignment horizontal="right" vertical="top"/>
    </xf>
    <xf numFmtId="166" fontId="8" fillId="10" borderId="4" xfId="3" applyNumberFormat="1" applyFont="1" applyFill="1" applyBorder="1" applyAlignment="1">
      <alignment horizontal="right" vertical="top"/>
    </xf>
    <xf numFmtId="0" fontId="6" fillId="0" borderId="0" xfId="3" applyAlignment="1">
      <alignment horizontal="left"/>
    </xf>
    <xf numFmtId="165" fontId="6" fillId="0" borderId="0" xfId="3" applyNumberFormat="1"/>
    <xf numFmtId="17" fontId="6" fillId="0" borderId="0" xfId="3" applyNumberFormat="1"/>
    <xf numFmtId="9" fontId="0" fillId="0" borderId="0" xfId="4" applyFont="1"/>
    <xf numFmtId="17" fontId="3" fillId="6" borderId="1" xfId="0" applyNumberFormat="1" applyFont="1" applyFill="1" applyBorder="1"/>
    <xf numFmtId="165" fontId="0" fillId="0" borderId="0" xfId="5" applyNumberFormat="1" applyFont="1"/>
    <xf numFmtId="0" fontId="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3" xfId="3" applyBorder="1" applyAlignment="1">
      <alignment horizontal="left"/>
    </xf>
    <xf numFmtId="0" fontId="0" fillId="0" borderId="3" xfId="0" applyBorder="1" applyAlignment="1">
      <alignment horizontal="left"/>
    </xf>
    <xf numFmtId="9" fontId="0" fillId="0" borderId="3" xfId="0" applyNumberFormat="1" applyBorder="1" applyAlignment="1">
      <alignment horizontal="center"/>
    </xf>
    <xf numFmtId="10" fontId="0" fillId="0" borderId="0" xfId="0" applyNumberFormat="1"/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/>
    </xf>
    <xf numFmtId="0" fontId="1" fillId="2" borderId="0" xfId="0" applyFont="1" applyFill="1" applyAlignment="1">
      <alignment horizontal="left" vertical="center"/>
    </xf>
  </cellXfs>
  <cellStyles count="6">
    <cellStyle name="Comma" xfId="1" builtinId="3"/>
    <cellStyle name="Millares 2" xfId="5" xr:uid="{3F0A941E-389D-457B-9D8D-40FCB04F5B52}"/>
    <cellStyle name="Normal" xfId="0" builtinId="0"/>
    <cellStyle name="Normal 2" xfId="3" xr:uid="{926FB37F-3720-490B-B443-DA0E5685CD60}"/>
    <cellStyle name="Percent" xfId="2" builtinId="5"/>
    <cellStyle name="Porcentaje 2" xfId="4" xr:uid="{A7320ACB-9EB4-4CB5-A63C-3968E38F6884}"/>
  </cellStyles>
  <dxfs count="13">
    <dxf>
      <numFmt numFmtId="165" formatCode="_-* #,##0_-;\-* #,##0_-;_-* &quot;-&quot;??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Marcas Elvive</a:t>
            </a:r>
            <a:r>
              <a:rPr lang="es-CO" baseline="0"/>
              <a:t> Moderno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'D. Shipments'!$A$87</c:f>
              <c:strCache>
                <c:ptCount val="1"/>
                <c:pt idx="0">
                  <c:v>ELVIVE COLORVIVE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Shipments'!$B$86:$AP$86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Shipments'!$B$87:$AP$87</c:f>
              <c:numCache>
                <c:formatCode>#,##0</c:formatCode>
                <c:ptCount val="41"/>
                <c:pt idx="0">
                  <c:v>10059</c:v>
                </c:pt>
                <c:pt idx="1">
                  <c:v>7998</c:v>
                </c:pt>
                <c:pt idx="2">
                  <c:v>12408</c:v>
                </c:pt>
                <c:pt idx="3">
                  <c:v>4941</c:v>
                </c:pt>
                <c:pt idx="4">
                  <c:v>7275</c:v>
                </c:pt>
                <c:pt idx="5">
                  <c:v>6090</c:v>
                </c:pt>
                <c:pt idx="6">
                  <c:v>6366</c:v>
                </c:pt>
                <c:pt idx="7">
                  <c:v>7458</c:v>
                </c:pt>
                <c:pt idx="8">
                  <c:v>7971</c:v>
                </c:pt>
                <c:pt idx="9">
                  <c:v>9066</c:v>
                </c:pt>
                <c:pt idx="10">
                  <c:v>7113</c:v>
                </c:pt>
                <c:pt idx="11">
                  <c:v>7014</c:v>
                </c:pt>
                <c:pt idx="12">
                  <c:v>12963</c:v>
                </c:pt>
                <c:pt idx="13">
                  <c:v>6963</c:v>
                </c:pt>
                <c:pt idx="14">
                  <c:v>7386</c:v>
                </c:pt>
                <c:pt idx="15">
                  <c:v>6693</c:v>
                </c:pt>
                <c:pt idx="16">
                  <c:v>5184</c:v>
                </c:pt>
                <c:pt idx="17">
                  <c:v>5610</c:v>
                </c:pt>
                <c:pt idx="18">
                  <c:v>4380</c:v>
                </c:pt>
                <c:pt idx="19">
                  <c:v>6111</c:v>
                </c:pt>
                <c:pt idx="20">
                  <c:v>10812</c:v>
                </c:pt>
                <c:pt idx="21">
                  <c:v>4167</c:v>
                </c:pt>
                <c:pt idx="22">
                  <c:v>4773</c:v>
                </c:pt>
                <c:pt idx="23">
                  <c:v>6837</c:v>
                </c:pt>
                <c:pt idx="24">
                  <c:v>9663</c:v>
                </c:pt>
                <c:pt idx="25">
                  <c:v>3558</c:v>
                </c:pt>
                <c:pt idx="26">
                  <c:v>3681</c:v>
                </c:pt>
                <c:pt idx="27">
                  <c:v>7715</c:v>
                </c:pt>
                <c:pt idx="28">
                  <c:v>8604</c:v>
                </c:pt>
                <c:pt idx="29">
                  <c:v>8997</c:v>
                </c:pt>
                <c:pt idx="30">
                  <c:v>4902</c:v>
                </c:pt>
                <c:pt idx="31">
                  <c:v>7800</c:v>
                </c:pt>
                <c:pt idx="32">
                  <c:v>4581</c:v>
                </c:pt>
                <c:pt idx="33">
                  <c:v>12295</c:v>
                </c:pt>
                <c:pt idx="34">
                  <c:v>5463</c:v>
                </c:pt>
                <c:pt idx="35">
                  <c:v>7800</c:v>
                </c:pt>
                <c:pt idx="36">
                  <c:v>11991</c:v>
                </c:pt>
                <c:pt idx="37">
                  <c:v>10524</c:v>
                </c:pt>
                <c:pt idx="38">
                  <c:v>10692</c:v>
                </c:pt>
                <c:pt idx="39">
                  <c:v>11103</c:v>
                </c:pt>
                <c:pt idx="40">
                  <c:v>7110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D-4EFC-B652-2189FF1EA030}"/>
            </c:ext>
          </c:extLst>
        </c:ser>
        <c:ser>
          <c:idx val="1"/>
          <c:order val="1"/>
          <c:tx>
            <c:strRef>
              <c:f>'D. Shipments'!$A$88</c:f>
              <c:strCache>
                <c:ptCount val="1"/>
                <c:pt idx="0">
                  <c:v>ELVIVE GLYCOLIC GLOSS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Shipments'!$B$86:$AP$86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Shipments'!$B$88:$AP$88</c:f>
              <c:numCache>
                <c:formatCode>#,##0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11151</c:v>
                </c:pt>
                <c:pt idx="27">
                  <c:v>24108</c:v>
                </c:pt>
                <c:pt idx="28">
                  <c:v>4851</c:v>
                </c:pt>
                <c:pt idx="29">
                  <c:v>9141</c:v>
                </c:pt>
                <c:pt idx="30">
                  <c:v>10386</c:v>
                </c:pt>
                <c:pt idx="31">
                  <c:v>12300</c:v>
                </c:pt>
                <c:pt idx="32">
                  <c:v>17693</c:v>
                </c:pt>
                <c:pt idx="33">
                  <c:v>15141</c:v>
                </c:pt>
                <c:pt idx="34">
                  <c:v>12030</c:v>
                </c:pt>
                <c:pt idx="35">
                  <c:v>20124</c:v>
                </c:pt>
                <c:pt idx="36">
                  <c:v>18735</c:v>
                </c:pt>
                <c:pt idx="37">
                  <c:v>18885</c:v>
                </c:pt>
                <c:pt idx="38">
                  <c:v>20616</c:v>
                </c:pt>
                <c:pt idx="39">
                  <c:v>18465</c:v>
                </c:pt>
                <c:pt idx="40">
                  <c:v>15999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D-4EFC-B652-2189FF1EA030}"/>
            </c:ext>
          </c:extLst>
        </c:ser>
        <c:ser>
          <c:idx val="2"/>
          <c:order val="2"/>
          <c:tx>
            <c:strRef>
              <c:f>'D. Shipments'!$A$89</c:f>
              <c:strCache>
                <c:ptCount val="1"/>
                <c:pt idx="0">
                  <c:v>ELVIVE HIALURONICO PURE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Shipments'!$B$86:$AP$86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Shipments'!$B$89:$AP$89</c:f>
              <c:numCache>
                <c:formatCode>#,##0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3246</c:v>
                </c:pt>
                <c:pt idx="15">
                  <c:v>16878</c:v>
                </c:pt>
                <c:pt idx="16">
                  <c:v>5526</c:v>
                </c:pt>
                <c:pt idx="17">
                  <c:v>7740</c:v>
                </c:pt>
                <c:pt idx="18">
                  <c:v>5380</c:v>
                </c:pt>
                <c:pt idx="19">
                  <c:v>5646</c:v>
                </c:pt>
                <c:pt idx="20">
                  <c:v>9792</c:v>
                </c:pt>
                <c:pt idx="21">
                  <c:v>2208</c:v>
                </c:pt>
                <c:pt idx="22">
                  <c:v>2454</c:v>
                </c:pt>
                <c:pt idx="23">
                  <c:v>4632</c:v>
                </c:pt>
                <c:pt idx="24">
                  <c:v>7200</c:v>
                </c:pt>
                <c:pt idx="25">
                  <c:v>11574</c:v>
                </c:pt>
                <c:pt idx="26">
                  <c:v>8850</c:v>
                </c:pt>
                <c:pt idx="27">
                  <c:v>3156</c:v>
                </c:pt>
                <c:pt idx="28">
                  <c:v>8490</c:v>
                </c:pt>
                <c:pt idx="29">
                  <c:v>7902</c:v>
                </c:pt>
                <c:pt idx="30">
                  <c:v>5802</c:v>
                </c:pt>
                <c:pt idx="31">
                  <c:v>9714</c:v>
                </c:pt>
                <c:pt idx="32">
                  <c:v>7518</c:v>
                </c:pt>
                <c:pt idx="33">
                  <c:v>8028</c:v>
                </c:pt>
                <c:pt idx="34">
                  <c:v>6516</c:v>
                </c:pt>
                <c:pt idx="35">
                  <c:v>10014</c:v>
                </c:pt>
                <c:pt idx="36">
                  <c:v>11976</c:v>
                </c:pt>
                <c:pt idx="37">
                  <c:v>9036</c:v>
                </c:pt>
                <c:pt idx="38">
                  <c:v>13278</c:v>
                </c:pt>
                <c:pt idx="39">
                  <c:v>10800</c:v>
                </c:pt>
                <c:pt idx="40">
                  <c:v>9744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1D-4EFC-B652-2189FF1EA030}"/>
            </c:ext>
          </c:extLst>
        </c:ser>
        <c:ser>
          <c:idx val="3"/>
          <c:order val="3"/>
          <c:tx>
            <c:strRef>
              <c:f>'D. Shipments'!$A$90</c:f>
              <c:strCache>
                <c:ptCount val="1"/>
                <c:pt idx="0">
                  <c:v>ELVIVE HIDRA HIALURONICO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Shipments'!$B$86:$AP$86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Shipments'!$B$90:$AP$90</c:f>
              <c:numCache>
                <c:formatCode>#,##0</c:formatCode>
                <c:ptCount val="41"/>
                <c:pt idx="0">
                  <c:v>19548</c:v>
                </c:pt>
                <c:pt idx="1">
                  <c:v>4774</c:v>
                </c:pt>
                <c:pt idx="2">
                  <c:v>17098</c:v>
                </c:pt>
                <c:pt idx="3">
                  <c:v>12682</c:v>
                </c:pt>
                <c:pt idx="4">
                  <c:v>7770</c:v>
                </c:pt>
                <c:pt idx="5">
                  <c:v>6546</c:v>
                </c:pt>
                <c:pt idx="6">
                  <c:v>9084</c:v>
                </c:pt>
                <c:pt idx="7">
                  <c:v>17358</c:v>
                </c:pt>
                <c:pt idx="8">
                  <c:v>10314</c:v>
                </c:pt>
                <c:pt idx="9">
                  <c:v>9696</c:v>
                </c:pt>
                <c:pt idx="10">
                  <c:v>19596</c:v>
                </c:pt>
                <c:pt idx="11">
                  <c:v>9006</c:v>
                </c:pt>
                <c:pt idx="12">
                  <c:v>19476</c:v>
                </c:pt>
                <c:pt idx="13">
                  <c:v>16164</c:v>
                </c:pt>
                <c:pt idx="14">
                  <c:v>8334</c:v>
                </c:pt>
                <c:pt idx="15">
                  <c:v>7590</c:v>
                </c:pt>
                <c:pt idx="16">
                  <c:v>10110</c:v>
                </c:pt>
                <c:pt idx="17">
                  <c:v>6636</c:v>
                </c:pt>
                <c:pt idx="18">
                  <c:v>7668</c:v>
                </c:pt>
                <c:pt idx="19">
                  <c:v>8514</c:v>
                </c:pt>
                <c:pt idx="20">
                  <c:v>19062</c:v>
                </c:pt>
                <c:pt idx="21">
                  <c:v>6450</c:v>
                </c:pt>
                <c:pt idx="22">
                  <c:v>5778</c:v>
                </c:pt>
                <c:pt idx="23">
                  <c:v>8118</c:v>
                </c:pt>
                <c:pt idx="24">
                  <c:v>8316</c:v>
                </c:pt>
                <c:pt idx="25">
                  <c:v>7128</c:v>
                </c:pt>
                <c:pt idx="26">
                  <c:v>7200</c:v>
                </c:pt>
                <c:pt idx="27">
                  <c:v>8730</c:v>
                </c:pt>
                <c:pt idx="28">
                  <c:v>7950</c:v>
                </c:pt>
                <c:pt idx="29">
                  <c:v>12282</c:v>
                </c:pt>
                <c:pt idx="30">
                  <c:v>10422</c:v>
                </c:pt>
                <c:pt idx="31">
                  <c:v>5694</c:v>
                </c:pt>
                <c:pt idx="32">
                  <c:v>12162</c:v>
                </c:pt>
                <c:pt idx="33">
                  <c:v>15408</c:v>
                </c:pt>
                <c:pt idx="34">
                  <c:v>8532</c:v>
                </c:pt>
                <c:pt idx="35">
                  <c:v>14868</c:v>
                </c:pt>
                <c:pt idx="36">
                  <c:v>15378</c:v>
                </c:pt>
                <c:pt idx="37">
                  <c:v>11130</c:v>
                </c:pt>
                <c:pt idx="38">
                  <c:v>17796</c:v>
                </c:pt>
                <c:pt idx="39">
                  <c:v>11136</c:v>
                </c:pt>
                <c:pt idx="40">
                  <c:v>8850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1D-4EFC-B652-2189FF1EA030}"/>
            </c:ext>
          </c:extLst>
        </c:ser>
        <c:ser>
          <c:idx val="4"/>
          <c:order val="4"/>
          <c:tx>
            <c:strRef>
              <c:f>'D. Shipments'!$A$91</c:f>
              <c:strCache>
                <c:ptCount val="1"/>
                <c:pt idx="0">
                  <c:v>ELVIVE RT5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Shipments'!$B$86:$AP$86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Shipments'!$B$91:$AP$91</c:f>
              <c:numCache>
                <c:formatCode>#,##0</c:formatCode>
                <c:ptCount val="41"/>
                <c:pt idx="0">
                  <c:v>6180</c:v>
                </c:pt>
                <c:pt idx="1">
                  <c:v>8010</c:v>
                </c:pt>
                <c:pt idx="2">
                  <c:v>16508</c:v>
                </c:pt>
                <c:pt idx="3">
                  <c:v>15716</c:v>
                </c:pt>
                <c:pt idx="4">
                  <c:v>10347</c:v>
                </c:pt>
                <c:pt idx="5">
                  <c:v>7128</c:v>
                </c:pt>
                <c:pt idx="6">
                  <c:v>5235</c:v>
                </c:pt>
                <c:pt idx="7">
                  <c:v>11742</c:v>
                </c:pt>
                <c:pt idx="8">
                  <c:v>7461</c:v>
                </c:pt>
                <c:pt idx="9">
                  <c:v>9918</c:v>
                </c:pt>
                <c:pt idx="10">
                  <c:v>12648</c:v>
                </c:pt>
                <c:pt idx="11">
                  <c:v>8223</c:v>
                </c:pt>
                <c:pt idx="12">
                  <c:v>16650</c:v>
                </c:pt>
                <c:pt idx="13">
                  <c:v>10413</c:v>
                </c:pt>
                <c:pt idx="14">
                  <c:v>11043</c:v>
                </c:pt>
                <c:pt idx="15">
                  <c:v>7515</c:v>
                </c:pt>
                <c:pt idx="16">
                  <c:v>5394</c:v>
                </c:pt>
                <c:pt idx="17">
                  <c:v>6243</c:v>
                </c:pt>
                <c:pt idx="18">
                  <c:v>5460</c:v>
                </c:pt>
                <c:pt idx="19">
                  <c:v>4824</c:v>
                </c:pt>
                <c:pt idx="20">
                  <c:v>10107</c:v>
                </c:pt>
                <c:pt idx="21">
                  <c:v>4440</c:v>
                </c:pt>
                <c:pt idx="22">
                  <c:v>4119</c:v>
                </c:pt>
                <c:pt idx="23">
                  <c:v>8640</c:v>
                </c:pt>
                <c:pt idx="24">
                  <c:v>10821</c:v>
                </c:pt>
                <c:pt idx="25">
                  <c:v>13878</c:v>
                </c:pt>
                <c:pt idx="26">
                  <c:v>9144</c:v>
                </c:pt>
                <c:pt idx="27">
                  <c:v>13626</c:v>
                </c:pt>
                <c:pt idx="28">
                  <c:v>7350</c:v>
                </c:pt>
                <c:pt idx="29">
                  <c:v>8319</c:v>
                </c:pt>
                <c:pt idx="30">
                  <c:v>4368</c:v>
                </c:pt>
                <c:pt idx="31">
                  <c:v>11850</c:v>
                </c:pt>
                <c:pt idx="32">
                  <c:v>6105</c:v>
                </c:pt>
                <c:pt idx="33">
                  <c:v>8472</c:v>
                </c:pt>
                <c:pt idx="34">
                  <c:v>9206</c:v>
                </c:pt>
                <c:pt idx="35">
                  <c:v>3216</c:v>
                </c:pt>
                <c:pt idx="36">
                  <c:v>7398</c:v>
                </c:pt>
                <c:pt idx="37">
                  <c:v>9714</c:v>
                </c:pt>
                <c:pt idx="38">
                  <c:v>7950</c:v>
                </c:pt>
                <c:pt idx="39">
                  <c:v>5493</c:v>
                </c:pt>
                <c:pt idx="40">
                  <c:v>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1D-4EFC-B652-2189FF1EA030}"/>
            </c:ext>
          </c:extLst>
        </c:ser>
        <c:ser>
          <c:idx val="5"/>
          <c:order val="5"/>
          <c:tx>
            <c:strRef>
              <c:f>'D. Shipments'!$A$92</c:f>
              <c:strCache>
                <c:ptCount val="1"/>
                <c:pt idx="0">
                  <c:v>ELVIVE RESTO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Shipments'!$B$86:$AP$86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Shipments'!$B$92:$AP$92</c:f>
              <c:numCache>
                <c:formatCode>#,##0</c:formatCode>
                <c:ptCount val="41"/>
                <c:pt idx="0">
                  <c:v>21169</c:v>
                </c:pt>
                <c:pt idx="1">
                  <c:v>26747</c:v>
                </c:pt>
                <c:pt idx="2">
                  <c:v>34413</c:v>
                </c:pt>
                <c:pt idx="3">
                  <c:v>18228</c:v>
                </c:pt>
                <c:pt idx="4">
                  <c:v>15957</c:v>
                </c:pt>
                <c:pt idx="5">
                  <c:v>12945</c:v>
                </c:pt>
                <c:pt idx="6">
                  <c:v>15019</c:v>
                </c:pt>
                <c:pt idx="7">
                  <c:v>15836</c:v>
                </c:pt>
                <c:pt idx="8">
                  <c:v>18560</c:v>
                </c:pt>
                <c:pt idx="9">
                  <c:v>13036</c:v>
                </c:pt>
                <c:pt idx="10">
                  <c:v>13591</c:v>
                </c:pt>
                <c:pt idx="11">
                  <c:v>13530</c:v>
                </c:pt>
                <c:pt idx="12">
                  <c:v>20274</c:v>
                </c:pt>
                <c:pt idx="13">
                  <c:v>17135</c:v>
                </c:pt>
                <c:pt idx="14">
                  <c:v>14835</c:v>
                </c:pt>
                <c:pt idx="15">
                  <c:v>8802</c:v>
                </c:pt>
                <c:pt idx="16">
                  <c:v>15024</c:v>
                </c:pt>
                <c:pt idx="17">
                  <c:v>13903</c:v>
                </c:pt>
                <c:pt idx="18">
                  <c:v>7221</c:v>
                </c:pt>
                <c:pt idx="19">
                  <c:v>7331</c:v>
                </c:pt>
                <c:pt idx="20">
                  <c:v>12467</c:v>
                </c:pt>
                <c:pt idx="21">
                  <c:v>7110</c:v>
                </c:pt>
                <c:pt idx="22">
                  <c:v>13422</c:v>
                </c:pt>
                <c:pt idx="23">
                  <c:v>15105</c:v>
                </c:pt>
                <c:pt idx="24">
                  <c:v>14553</c:v>
                </c:pt>
                <c:pt idx="25">
                  <c:v>13311</c:v>
                </c:pt>
                <c:pt idx="26">
                  <c:v>10006</c:v>
                </c:pt>
                <c:pt idx="27">
                  <c:v>22173</c:v>
                </c:pt>
                <c:pt idx="28">
                  <c:v>6573</c:v>
                </c:pt>
                <c:pt idx="29">
                  <c:v>7836</c:v>
                </c:pt>
                <c:pt idx="30">
                  <c:v>5565</c:v>
                </c:pt>
                <c:pt idx="31">
                  <c:v>4650</c:v>
                </c:pt>
                <c:pt idx="32">
                  <c:v>7455</c:v>
                </c:pt>
                <c:pt idx="33">
                  <c:v>6271</c:v>
                </c:pt>
                <c:pt idx="34">
                  <c:v>6739</c:v>
                </c:pt>
                <c:pt idx="35">
                  <c:v>4358</c:v>
                </c:pt>
                <c:pt idx="36">
                  <c:v>7132</c:v>
                </c:pt>
                <c:pt idx="37">
                  <c:v>6153</c:v>
                </c:pt>
                <c:pt idx="38">
                  <c:v>7317</c:v>
                </c:pt>
                <c:pt idx="39">
                  <c:v>4200</c:v>
                </c:pt>
                <c:pt idx="40">
                  <c:v>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1D-4EFC-B652-2189FF1EA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6875472"/>
        <c:axId val="2046874032"/>
      </c:lineChart>
      <c:dateAx>
        <c:axId val="20468754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6874032"/>
        <c:crosses val="autoZero"/>
        <c:auto val="1"/>
        <c:lblOffset val="100"/>
        <c:baseTimeUnit val="months"/>
        <c:majorUnit val="1"/>
        <c:majorTimeUnit val="months"/>
      </c:dateAx>
      <c:valAx>
        <c:axId val="204687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68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'D. Shipments'!$A$129</c:f>
          <c:strCache>
            <c:ptCount val="1"/>
            <c:pt idx="0">
              <c:v>ELVIVE HIDRA HIALURONICO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'D. Shipments'!$A$130</c:f>
              <c:strCache>
                <c:ptCount val="1"/>
                <c:pt idx="0">
                  <c:v>NIQ</c:v>
                </c:pt>
              </c:strCache>
            </c:strRef>
          </c:tx>
          <c:spPr>
            <a:ln w="28575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Shipments'!$B$129:$AK$129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Shipments'!$B$130:$AK$130</c:f>
              <c:numCache>
                <c:formatCode>_-* #,##0_-;\-* #,##0_-;_-* "-"??_-;_-@_-</c:formatCode>
                <c:ptCount val="36"/>
                <c:pt idx="0">
                  <c:v>6392</c:v>
                </c:pt>
                <c:pt idx="1">
                  <c:v>4458</c:v>
                </c:pt>
                <c:pt idx="2">
                  <c:v>6878</c:v>
                </c:pt>
                <c:pt idx="3">
                  <c:v>9518</c:v>
                </c:pt>
                <c:pt idx="4">
                  <c:v>7709</c:v>
                </c:pt>
                <c:pt idx="5">
                  <c:v>9234</c:v>
                </c:pt>
                <c:pt idx="6">
                  <c:v>15459</c:v>
                </c:pt>
                <c:pt idx="7">
                  <c:v>11141</c:v>
                </c:pt>
                <c:pt idx="8">
                  <c:v>10855.711299999999</c:v>
                </c:pt>
                <c:pt idx="9">
                  <c:v>12549</c:v>
                </c:pt>
                <c:pt idx="10">
                  <c:v>6271</c:v>
                </c:pt>
                <c:pt idx="11">
                  <c:v>5134</c:v>
                </c:pt>
                <c:pt idx="12">
                  <c:v>7691.4354000000003</c:v>
                </c:pt>
                <c:pt idx="13">
                  <c:v>5093.1183000000001</c:v>
                </c:pt>
                <c:pt idx="14">
                  <c:v>6112</c:v>
                </c:pt>
                <c:pt idx="15">
                  <c:v>6602</c:v>
                </c:pt>
                <c:pt idx="16">
                  <c:v>6816</c:v>
                </c:pt>
                <c:pt idx="17">
                  <c:v>5809.6858000000002</c:v>
                </c:pt>
                <c:pt idx="18">
                  <c:v>12086.615700000002</c:v>
                </c:pt>
                <c:pt idx="19">
                  <c:v>5941</c:v>
                </c:pt>
                <c:pt idx="20">
                  <c:v>5681</c:v>
                </c:pt>
                <c:pt idx="21">
                  <c:v>8545</c:v>
                </c:pt>
                <c:pt idx="22">
                  <c:v>4778</c:v>
                </c:pt>
                <c:pt idx="23">
                  <c:v>4673</c:v>
                </c:pt>
                <c:pt idx="24">
                  <c:v>7119</c:v>
                </c:pt>
                <c:pt idx="25">
                  <c:v>6115</c:v>
                </c:pt>
                <c:pt idx="26">
                  <c:v>6000</c:v>
                </c:pt>
                <c:pt idx="27">
                  <c:v>8517</c:v>
                </c:pt>
                <c:pt idx="28">
                  <c:v>7157</c:v>
                </c:pt>
                <c:pt idx="29">
                  <c:v>5883</c:v>
                </c:pt>
                <c:pt idx="30">
                  <c:v>8987</c:v>
                </c:pt>
                <c:pt idx="31">
                  <c:v>8782</c:v>
                </c:pt>
                <c:pt idx="32">
                  <c:v>8128</c:v>
                </c:pt>
                <c:pt idx="33">
                  <c:v>11780</c:v>
                </c:pt>
                <c:pt idx="34">
                  <c:v>6895</c:v>
                </c:pt>
                <c:pt idx="35">
                  <c:v>7447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0-494E-8528-4A112B10B5A2}"/>
            </c:ext>
          </c:extLst>
        </c:ser>
        <c:ser>
          <c:idx val="1"/>
          <c:order val="1"/>
          <c:tx>
            <c:strRef>
              <c:f>'D. Shipments'!$A$131</c:f>
              <c:strCache>
                <c:ptCount val="1"/>
                <c:pt idx="0">
                  <c:v>L'oreal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Shipments'!$B$129:$AK$129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Shipments'!$B$131:$AK$131</c:f>
              <c:numCache>
                <c:formatCode>_-* #,##0_-;\-* #,##0_-;_-* "-"??_-;_-@_-</c:formatCode>
                <c:ptCount val="36"/>
                <c:pt idx="0">
                  <c:v>6546</c:v>
                </c:pt>
                <c:pt idx="1">
                  <c:v>9084</c:v>
                </c:pt>
                <c:pt idx="2">
                  <c:v>17358</c:v>
                </c:pt>
                <c:pt idx="3">
                  <c:v>10314</c:v>
                </c:pt>
                <c:pt idx="4">
                  <c:v>9696</c:v>
                </c:pt>
                <c:pt idx="5">
                  <c:v>19596</c:v>
                </c:pt>
                <c:pt idx="6">
                  <c:v>9006</c:v>
                </c:pt>
                <c:pt idx="7">
                  <c:v>19476</c:v>
                </c:pt>
                <c:pt idx="8">
                  <c:v>16164</c:v>
                </c:pt>
                <c:pt idx="9">
                  <c:v>8334</c:v>
                </c:pt>
                <c:pt idx="10">
                  <c:v>7590</c:v>
                </c:pt>
                <c:pt idx="11">
                  <c:v>10110</c:v>
                </c:pt>
                <c:pt idx="12">
                  <c:v>6636</c:v>
                </c:pt>
                <c:pt idx="13">
                  <c:v>7668</c:v>
                </c:pt>
                <c:pt idx="14">
                  <c:v>8514</c:v>
                </c:pt>
                <c:pt idx="15">
                  <c:v>19062</c:v>
                </c:pt>
                <c:pt idx="16">
                  <c:v>6450</c:v>
                </c:pt>
                <c:pt idx="17">
                  <c:v>5778</c:v>
                </c:pt>
                <c:pt idx="18">
                  <c:v>8118</c:v>
                </c:pt>
                <c:pt idx="19">
                  <c:v>8316</c:v>
                </c:pt>
                <c:pt idx="20">
                  <c:v>7128</c:v>
                </c:pt>
                <c:pt idx="21">
                  <c:v>7200</c:v>
                </c:pt>
                <c:pt idx="22">
                  <c:v>8730</c:v>
                </c:pt>
                <c:pt idx="23">
                  <c:v>7950</c:v>
                </c:pt>
                <c:pt idx="24">
                  <c:v>12282</c:v>
                </c:pt>
                <c:pt idx="25">
                  <c:v>10422</c:v>
                </c:pt>
                <c:pt idx="26">
                  <c:v>5694</c:v>
                </c:pt>
                <c:pt idx="27">
                  <c:v>12162</c:v>
                </c:pt>
                <c:pt idx="28">
                  <c:v>15408</c:v>
                </c:pt>
                <c:pt idx="29">
                  <c:v>8532</c:v>
                </c:pt>
                <c:pt idx="30">
                  <c:v>14868</c:v>
                </c:pt>
                <c:pt idx="31">
                  <c:v>15378</c:v>
                </c:pt>
                <c:pt idx="32">
                  <c:v>11130</c:v>
                </c:pt>
                <c:pt idx="33">
                  <c:v>17796</c:v>
                </c:pt>
                <c:pt idx="34">
                  <c:v>11136</c:v>
                </c:pt>
                <c:pt idx="35">
                  <c:v>8850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0-494E-8528-4A112B10B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361504"/>
        <c:axId val="750359104"/>
      </c:lineChart>
      <c:dateAx>
        <c:axId val="750361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59104"/>
        <c:crosses val="autoZero"/>
        <c:auto val="1"/>
        <c:lblOffset val="100"/>
        <c:baseTimeUnit val="months"/>
        <c:majorUnit val="1"/>
        <c:majorTimeUnit val="months"/>
      </c:dateAx>
      <c:valAx>
        <c:axId val="7503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Submarcas</a:t>
            </a:r>
            <a:r>
              <a:rPr lang="es-CO" baseline="0"/>
              <a:t> L'oreal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'D. Shipments'!$A$21</c:f>
              <c:strCache>
                <c:ptCount val="1"/>
                <c:pt idx="0">
                  <c:v>CASTING CREME GLOSS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Shipments'!$B$21:$AP$21</c:f>
              <c:numCache>
                <c:formatCode>#,##0</c:formatCode>
                <c:ptCount val="41"/>
                <c:pt idx="0">
                  <c:v>807</c:v>
                </c:pt>
                <c:pt idx="1">
                  <c:v>861</c:v>
                </c:pt>
                <c:pt idx="2">
                  <c:v>621</c:v>
                </c:pt>
                <c:pt idx="3">
                  <c:v>500</c:v>
                </c:pt>
                <c:pt idx="4">
                  <c:v>684</c:v>
                </c:pt>
                <c:pt idx="5">
                  <c:v>930</c:v>
                </c:pt>
                <c:pt idx="6">
                  <c:v>549</c:v>
                </c:pt>
                <c:pt idx="7">
                  <c:v>537</c:v>
                </c:pt>
                <c:pt idx="8">
                  <c:v>1230</c:v>
                </c:pt>
                <c:pt idx="9">
                  <c:v>1038</c:v>
                </c:pt>
                <c:pt idx="10">
                  <c:v>588</c:v>
                </c:pt>
                <c:pt idx="11">
                  <c:v>642</c:v>
                </c:pt>
                <c:pt idx="12">
                  <c:v>834</c:v>
                </c:pt>
                <c:pt idx="13">
                  <c:v>786</c:v>
                </c:pt>
                <c:pt idx="14">
                  <c:v>574</c:v>
                </c:pt>
                <c:pt idx="15">
                  <c:v>543</c:v>
                </c:pt>
                <c:pt idx="16">
                  <c:v>876</c:v>
                </c:pt>
                <c:pt idx="17">
                  <c:v>510</c:v>
                </c:pt>
                <c:pt idx="18">
                  <c:v>924</c:v>
                </c:pt>
                <c:pt idx="19">
                  <c:v>888</c:v>
                </c:pt>
                <c:pt idx="20">
                  <c:v>1377</c:v>
                </c:pt>
                <c:pt idx="21">
                  <c:v>612</c:v>
                </c:pt>
                <c:pt idx="22">
                  <c:v>492</c:v>
                </c:pt>
                <c:pt idx="23">
                  <c:v>843</c:v>
                </c:pt>
                <c:pt idx="24">
                  <c:v>963</c:v>
                </c:pt>
                <c:pt idx="25">
                  <c:v>699</c:v>
                </c:pt>
                <c:pt idx="26">
                  <c:v>1191</c:v>
                </c:pt>
                <c:pt idx="27">
                  <c:v>672</c:v>
                </c:pt>
                <c:pt idx="28">
                  <c:v>855</c:v>
                </c:pt>
                <c:pt idx="29">
                  <c:v>648</c:v>
                </c:pt>
                <c:pt idx="30">
                  <c:v>450</c:v>
                </c:pt>
                <c:pt idx="31">
                  <c:v>1233</c:v>
                </c:pt>
                <c:pt idx="32">
                  <c:v>822</c:v>
                </c:pt>
                <c:pt idx="33">
                  <c:v>813</c:v>
                </c:pt>
                <c:pt idx="34">
                  <c:v>939</c:v>
                </c:pt>
                <c:pt idx="35">
                  <c:v>663</c:v>
                </c:pt>
                <c:pt idx="36">
                  <c:v>546</c:v>
                </c:pt>
                <c:pt idx="37">
                  <c:v>516</c:v>
                </c:pt>
                <c:pt idx="38">
                  <c:v>471</c:v>
                </c:pt>
                <c:pt idx="39">
                  <c:v>651</c:v>
                </c:pt>
                <c:pt idx="40">
                  <c:v>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0-494F-9419-C80DCB40C3D4}"/>
            </c:ext>
          </c:extLst>
        </c:ser>
        <c:ser>
          <c:idx val="1"/>
          <c:order val="1"/>
          <c:tx>
            <c:strRef>
              <c:f>'D. Shipments'!$A$22</c:f>
              <c:strCache>
                <c:ptCount val="1"/>
                <c:pt idx="0">
                  <c:v>EXCELL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Shipments'!$B$22:$AP$22</c:f>
              <c:numCache>
                <c:formatCode>#,##0</c:formatCode>
                <c:ptCount val="41"/>
                <c:pt idx="0">
                  <c:v>627</c:v>
                </c:pt>
                <c:pt idx="1">
                  <c:v>564</c:v>
                </c:pt>
                <c:pt idx="2">
                  <c:v>468</c:v>
                </c:pt>
                <c:pt idx="3">
                  <c:v>411</c:v>
                </c:pt>
                <c:pt idx="4">
                  <c:v>468</c:v>
                </c:pt>
                <c:pt idx="5">
                  <c:v>546</c:v>
                </c:pt>
                <c:pt idx="6">
                  <c:v>420</c:v>
                </c:pt>
                <c:pt idx="7">
                  <c:v>417</c:v>
                </c:pt>
                <c:pt idx="8">
                  <c:v>504</c:v>
                </c:pt>
                <c:pt idx="9">
                  <c:v>603</c:v>
                </c:pt>
                <c:pt idx="10">
                  <c:v>321</c:v>
                </c:pt>
                <c:pt idx="11">
                  <c:v>423</c:v>
                </c:pt>
                <c:pt idx="12">
                  <c:v>381</c:v>
                </c:pt>
                <c:pt idx="13">
                  <c:v>645</c:v>
                </c:pt>
                <c:pt idx="14">
                  <c:v>345</c:v>
                </c:pt>
                <c:pt idx="15">
                  <c:v>321</c:v>
                </c:pt>
                <c:pt idx="16">
                  <c:v>378</c:v>
                </c:pt>
                <c:pt idx="17">
                  <c:v>588</c:v>
                </c:pt>
                <c:pt idx="18">
                  <c:v>357</c:v>
                </c:pt>
                <c:pt idx="19">
                  <c:v>357</c:v>
                </c:pt>
                <c:pt idx="20">
                  <c:v>552</c:v>
                </c:pt>
                <c:pt idx="21">
                  <c:v>357</c:v>
                </c:pt>
                <c:pt idx="22">
                  <c:v>273</c:v>
                </c:pt>
                <c:pt idx="23">
                  <c:v>420</c:v>
                </c:pt>
                <c:pt idx="24">
                  <c:v>384</c:v>
                </c:pt>
                <c:pt idx="25">
                  <c:v>285</c:v>
                </c:pt>
                <c:pt idx="26">
                  <c:v>255</c:v>
                </c:pt>
                <c:pt idx="27">
                  <c:v>324</c:v>
                </c:pt>
                <c:pt idx="28">
                  <c:v>345</c:v>
                </c:pt>
                <c:pt idx="29">
                  <c:v>195</c:v>
                </c:pt>
                <c:pt idx="30">
                  <c:v>405</c:v>
                </c:pt>
                <c:pt idx="31">
                  <c:v>354</c:v>
                </c:pt>
                <c:pt idx="32">
                  <c:v>174</c:v>
                </c:pt>
                <c:pt idx="33">
                  <c:v>111</c:v>
                </c:pt>
                <c:pt idx="34">
                  <c:v>687</c:v>
                </c:pt>
                <c:pt idx="35">
                  <c:v>306</c:v>
                </c:pt>
                <c:pt idx="36">
                  <c:v>624</c:v>
                </c:pt>
                <c:pt idx="37">
                  <c:v>429</c:v>
                </c:pt>
                <c:pt idx="38">
                  <c:v>258</c:v>
                </c:pt>
                <c:pt idx="39">
                  <c:v>330</c:v>
                </c:pt>
                <c:pt idx="40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30-494F-9419-C80DCB40C3D4}"/>
            </c:ext>
          </c:extLst>
        </c:ser>
        <c:ser>
          <c:idx val="2"/>
          <c:order val="2"/>
          <c:tx>
            <c:strRef>
              <c:f>'D. Shipments'!$A$23</c:f>
              <c:strCache>
                <c:ptCount val="1"/>
                <c:pt idx="0">
                  <c:v>EXCELLENCE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Shipments'!$B$23:$AP$23</c:f>
              <c:numCache>
                <c:formatCode>#,##0</c:formatCode>
                <c:ptCount val="41"/>
                <c:pt idx="0">
                  <c:v>6039</c:v>
                </c:pt>
                <c:pt idx="1">
                  <c:v>6531</c:v>
                </c:pt>
                <c:pt idx="2">
                  <c:v>4956</c:v>
                </c:pt>
                <c:pt idx="3">
                  <c:v>7416</c:v>
                </c:pt>
                <c:pt idx="4">
                  <c:v>5259</c:v>
                </c:pt>
                <c:pt idx="5">
                  <c:v>4788</c:v>
                </c:pt>
                <c:pt idx="6">
                  <c:v>7074</c:v>
                </c:pt>
                <c:pt idx="7">
                  <c:v>4035</c:v>
                </c:pt>
                <c:pt idx="8">
                  <c:v>4599</c:v>
                </c:pt>
                <c:pt idx="9">
                  <c:v>5865</c:v>
                </c:pt>
                <c:pt idx="10">
                  <c:v>3135</c:v>
                </c:pt>
                <c:pt idx="11">
                  <c:v>3024</c:v>
                </c:pt>
                <c:pt idx="12">
                  <c:v>3813</c:v>
                </c:pt>
                <c:pt idx="13">
                  <c:v>4482</c:v>
                </c:pt>
                <c:pt idx="14">
                  <c:v>3330</c:v>
                </c:pt>
                <c:pt idx="15">
                  <c:v>2724</c:v>
                </c:pt>
                <c:pt idx="16">
                  <c:v>6206</c:v>
                </c:pt>
                <c:pt idx="17">
                  <c:v>3774</c:v>
                </c:pt>
                <c:pt idx="18">
                  <c:v>2481</c:v>
                </c:pt>
                <c:pt idx="19">
                  <c:v>2859</c:v>
                </c:pt>
                <c:pt idx="20">
                  <c:v>4784</c:v>
                </c:pt>
                <c:pt idx="21">
                  <c:v>1731</c:v>
                </c:pt>
                <c:pt idx="22">
                  <c:v>2355</c:v>
                </c:pt>
                <c:pt idx="23">
                  <c:v>2277</c:v>
                </c:pt>
                <c:pt idx="24">
                  <c:v>2433</c:v>
                </c:pt>
                <c:pt idx="25">
                  <c:v>2049</c:v>
                </c:pt>
                <c:pt idx="26">
                  <c:v>2924</c:v>
                </c:pt>
                <c:pt idx="27">
                  <c:v>2756</c:v>
                </c:pt>
                <c:pt idx="28">
                  <c:v>3439</c:v>
                </c:pt>
                <c:pt idx="29">
                  <c:v>2514</c:v>
                </c:pt>
                <c:pt idx="30">
                  <c:v>2481</c:v>
                </c:pt>
                <c:pt idx="31">
                  <c:v>4431</c:v>
                </c:pt>
                <c:pt idx="32">
                  <c:v>2833</c:v>
                </c:pt>
                <c:pt idx="33">
                  <c:v>3171</c:v>
                </c:pt>
                <c:pt idx="34">
                  <c:v>4916</c:v>
                </c:pt>
                <c:pt idx="35">
                  <c:v>2747</c:v>
                </c:pt>
                <c:pt idx="36">
                  <c:v>3012</c:v>
                </c:pt>
                <c:pt idx="37">
                  <c:v>2238</c:v>
                </c:pt>
                <c:pt idx="38">
                  <c:v>2998</c:v>
                </c:pt>
                <c:pt idx="39">
                  <c:v>3765</c:v>
                </c:pt>
                <c:pt idx="40">
                  <c:v>2964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30-494F-9419-C80DCB40C3D4}"/>
            </c:ext>
          </c:extLst>
        </c:ser>
        <c:ser>
          <c:idx val="3"/>
          <c:order val="3"/>
          <c:tx>
            <c:strRef>
              <c:f>'D. Shipments'!$A$24</c:f>
              <c:strCache>
                <c:ptCount val="1"/>
                <c:pt idx="0">
                  <c:v>EXCELLENCE EXTRA PROFUNDO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Shipments'!$B$24:$AP$24</c:f>
              <c:numCache>
                <c:formatCode>#,##0</c:formatCode>
                <c:ptCount val="41"/>
                <c:pt idx="0">
                  <c:v>78</c:v>
                </c:pt>
                <c:pt idx="1">
                  <c:v>204</c:v>
                </c:pt>
                <c:pt idx="2">
                  <c:v>30</c:v>
                </c:pt>
                <c:pt idx="3">
                  <c:v>102</c:v>
                </c:pt>
                <c:pt idx="4">
                  <c:v>63</c:v>
                </c:pt>
                <c:pt idx="5">
                  <c:v>129</c:v>
                </c:pt>
                <c:pt idx="6">
                  <c:v>27</c:v>
                </c:pt>
                <c:pt idx="7">
                  <c:v>39</c:v>
                </c:pt>
                <c:pt idx="8">
                  <c:v>132</c:v>
                </c:pt>
                <c:pt idx="9">
                  <c:v>216</c:v>
                </c:pt>
                <c:pt idx="10">
                  <c:v>81</c:v>
                </c:pt>
                <c:pt idx="11">
                  <c:v>60</c:v>
                </c:pt>
                <c:pt idx="12">
                  <c:v>30</c:v>
                </c:pt>
                <c:pt idx="13">
                  <c:v>105</c:v>
                </c:pt>
                <c:pt idx="14">
                  <c:v>27</c:v>
                </c:pt>
                <c:pt idx="15">
                  <c:v>15</c:v>
                </c:pt>
                <c:pt idx="16">
                  <c:v>111</c:v>
                </c:pt>
                <c:pt idx="17">
                  <c:v>39</c:v>
                </c:pt>
                <c:pt idx="18">
                  <c:v>57</c:v>
                </c:pt>
                <c:pt idx="19">
                  <c:v>30</c:v>
                </c:pt>
                <c:pt idx="20">
                  <c:v>66</c:v>
                </c:pt>
                <c:pt idx="21">
                  <c:v>15</c:v>
                </c:pt>
                <c:pt idx="22">
                  <c:v>12</c:v>
                </c:pt>
                <c:pt idx="23">
                  <c:v>12</c:v>
                </c:pt>
                <c:pt idx="24">
                  <c:v>18</c:v>
                </c:pt>
                <c:pt idx="25">
                  <c:v>36</c:v>
                </c:pt>
                <c:pt idx="26">
                  <c:v>12</c:v>
                </c:pt>
                <c:pt idx="27">
                  <c:v>24</c:v>
                </c:pt>
                <c:pt idx="28">
                  <c:v>0</c:v>
                </c:pt>
                <c:pt idx="29">
                  <c:v>0</c:v>
                </c:pt>
                <c:pt idx="30">
                  <c:v>36</c:v>
                </c:pt>
                <c:pt idx="31">
                  <c:v>0</c:v>
                </c:pt>
                <c:pt idx="32">
                  <c:v>36</c:v>
                </c:pt>
                <c:pt idx="33">
                  <c:v>60</c:v>
                </c:pt>
                <c:pt idx="34">
                  <c:v>69</c:v>
                </c:pt>
                <c:pt idx="35">
                  <c:v>0</c:v>
                </c:pt>
                <c:pt idx="36">
                  <c:v>0</c:v>
                </c:pt>
                <c:pt idx="37">
                  <c:v>12</c:v>
                </c:pt>
                <c:pt idx="38">
                  <c:v>39</c:v>
                </c:pt>
                <c:pt idx="39">
                  <c:v>24</c:v>
                </c:pt>
                <c:pt idx="4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30-494F-9419-C80DCB40C3D4}"/>
            </c:ext>
          </c:extLst>
        </c:ser>
        <c:ser>
          <c:idx val="4"/>
          <c:order val="4"/>
          <c:tx>
            <c:strRef>
              <c:f>'D. Shipments'!$A$25</c:f>
              <c:strCache>
                <c:ptCount val="1"/>
                <c:pt idx="0">
                  <c:v>EXCELLENCE SIN AMONIACO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Shipments'!$B$25:$AP$25</c:f>
              <c:numCache>
                <c:formatCode>#,##0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4041</c:v>
                </c:pt>
                <c:pt idx="19">
                  <c:v>1722</c:v>
                </c:pt>
                <c:pt idx="20">
                  <c:v>507</c:v>
                </c:pt>
                <c:pt idx="21">
                  <c:v>297</c:v>
                </c:pt>
                <c:pt idx="22">
                  <c:v>660</c:v>
                </c:pt>
                <c:pt idx="23">
                  <c:v>2304</c:v>
                </c:pt>
                <c:pt idx="24">
                  <c:v>780</c:v>
                </c:pt>
                <c:pt idx="25">
                  <c:v>525</c:v>
                </c:pt>
                <c:pt idx="26">
                  <c:v>682</c:v>
                </c:pt>
                <c:pt idx="27">
                  <c:v>726</c:v>
                </c:pt>
                <c:pt idx="28">
                  <c:v>1170</c:v>
                </c:pt>
                <c:pt idx="29">
                  <c:v>681</c:v>
                </c:pt>
                <c:pt idx="30">
                  <c:v>710</c:v>
                </c:pt>
                <c:pt idx="31">
                  <c:v>881</c:v>
                </c:pt>
                <c:pt idx="32">
                  <c:v>522</c:v>
                </c:pt>
                <c:pt idx="33">
                  <c:v>903</c:v>
                </c:pt>
                <c:pt idx="34">
                  <c:v>1783</c:v>
                </c:pt>
                <c:pt idx="35">
                  <c:v>588</c:v>
                </c:pt>
                <c:pt idx="36">
                  <c:v>909</c:v>
                </c:pt>
                <c:pt idx="37">
                  <c:v>546</c:v>
                </c:pt>
                <c:pt idx="38">
                  <c:v>804</c:v>
                </c:pt>
                <c:pt idx="39">
                  <c:v>1221</c:v>
                </c:pt>
                <c:pt idx="40">
                  <c:v>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30-494F-9419-C80DCB40C3D4}"/>
            </c:ext>
          </c:extLst>
        </c:ser>
        <c:ser>
          <c:idx val="5"/>
          <c:order val="5"/>
          <c:tx>
            <c:strRef>
              <c:f>'D. Shipments'!$A$26</c:f>
              <c:strCache>
                <c:ptCount val="1"/>
                <c:pt idx="0">
                  <c:v>MAGIC RETOUCH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Shipments'!$B$26:$AP$26</c:f>
              <c:numCache>
                <c:formatCode>#,##0</c:formatCode>
                <c:ptCount val="41"/>
                <c:pt idx="0">
                  <c:v>306</c:v>
                </c:pt>
                <c:pt idx="1">
                  <c:v>90</c:v>
                </c:pt>
                <c:pt idx="2">
                  <c:v>870</c:v>
                </c:pt>
                <c:pt idx="3">
                  <c:v>474</c:v>
                </c:pt>
                <c:pt idx="4">
                  <c:v>210</c:v>
                </c:pt>
                <c:pt idx="5">
                  <c:v>930</c:v>
                </c:pt>
                <c:pt idx="6">
                  <c:v>318</c:v>
                </c:pt>
                <c:pt idx="7">
                  <c:v>174</c:v>
                </c:pt>
                <c:pt idx="8">
                  <c:v>756</c:v>
                </c:pt>
                <c:pt idx="9">
                  <c:v>567</c:v>
                </c:pt>
                <c:pt idx="10">
                  <c:v>534</c:v>
                </c:pt>
                <c:pt idx="11">
                  <c:v>648</c:v>
                </c:pt>
                <c:pt idx="12">
                  <c:v>726</c:v>
                </c:pt>
                <c:pt idx="13">
                  <c:v>702</c:v>
                </c:pt>
                <c:pt idx="14">
                  <c:v>636</c:v>
                </c:pt>
                <c:pt idx="15">
                  <c:v>504</c:v>
                </c:pt>
                <c:pt idx="16">
                  <c:v>702</c:v>
                </c:pt>
                <c:pt idx="17">
                  <c:v>456</c:v>
                </c:pt>
                <c:pt idx="18">
                  <c:v>432</c:v>
                </c:pt>
                <c:pt idx="19">
                  <c:v>474</c:v>
                </c:pt>
                <c:pt idx="20">
                  <c:v>504</c:v>
                </c:pt>
                <c:pt idx="21">
                  <c:v>450</c:v>
                </c:pt>
                <c:pt idx="22">
                  <c:v>462</c:v>
                </c:pt>
                <c:pt idx="23">
                  <c:v>414</c:v>
                </c:pt>
                <c:pt idx="24">
                  <c:v>600</c:v>
                </c:pt>
                <c:pt idx="25">
                  <c:v>384</c:v>
                </c:pt>
                <c:pt idx="26">
                  <c:v>174</c:v>
                </c:pt>
                <c:pt idx="27">
                  <c:v>588</c:v>
                </c:pt>
                <c:pt idx="28">
                  <c:v>372</c:v>
                </c:pt>
                <c:pt idx="29">
                  <c:v>318</c:v>
                </c:pt>
                <c:pt idx="30">
                  <c:v>624</c:v>
                </c:pt>
                <c:pt idx="31">
                  <c:v>432</c:v>
                </c:pt>
                <c:pt idx="32">
                  <c:v>666</c:v>
                </c:pt>
                <c:pt idx="33">
                  <c:v>102</c:v>
                </c:pt>
                <c:pt idx="34">
                  <c:v>930</c:v>
                </c:pt>
                <c:pt idx="35">
                  <c:v>378</c:v>
                </c:pt>
                <c:pt idx="36">
                  <c:v>786</c:v>
                </c:pt>
                <c:pt idx="37">
                  <c:v>618</c:v>
                </c:pt>
                <c:pt idx="38">
                  <c:v>738</c:v>
                </c:pt>
                <c:pt idx="39">
                  <c:v>540</c:v>
                </c:pt>
                <c:pt idx="40">
                  <c:v>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30-494F-9419-C80DCB40C3D4}"/>
            </c:ext>
          </c:extLst>
        </c:ser>
        <c:ser>
          <c:idx val="6"/>
          <c:order val="6"/>
          <c:tx>
            <c:strRef>
              <c:f>'D. Shipments'!$A$27</c:f>
              <c:strCache>
                <c:ptCount val="1"/>
                <c:pt idx="0">
                  <c:v>NUTRISSE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Shipments'!$B$27:$AP$27</c:f>
              <c:numCache>
                <c:formatCode>#,##0</c:formatCode>
                <c:ptCount val="41"/>
                <c:pt idx="0">
                  <c:v>3561</c:v>
                </c:pt>
                <c:pt idx="1">
                  <c:v>3018</c:v>
                </c:pt>
                <c:pt idx="2">
                  <c:v>2229</c:v>
                </c:pt>
                <c:pt idx="3">
                  <c:v>2643</c:v>
                </c:pt>
                <c:pt idx="4">
                  <c:v>2229</c:v>
                </c:pt>
                <c:pt idx="5">
                  <c:v>3435</c:v>
                </c:pt>
                <c:pt idx="6">
                  <c:v>4383</c:v>
                </c:pt>
                <c:pt idx="7">
                  <c:v>8514</c:v>
                </c:pt>
                <c:pt idx="8">
                  <c:v>4119</c:v>
                </c:pt>
                <c:pt idx="9">
                  <c:v>4479</c:v>
                </c:pt>
                <c:pt idx="10">
                  <c:v>1587</c:v>
                </c:pt>
                <c:pt idx="11">
                  <c:v>2535</c:v>
                </c:pt>
                <c:pt idx="12">
                  <c:v>9717</c:v>
                </c:pt>
                <c:pt idx="13">
                  <c:v>1626</c:v>
                </c:pt>
                <c:pt idx="14">
                  <c:v>831</c:v>
                </c:pt>
                <c:pt idx="15">
                  <c:v>744</c:v>
                </c:pt>
                <c:pt idx="16">
                  <c:v>-1215</c:v>
                </c:pt>
                <c:pt idx="17">
                  <c:v>1032</c:v>
                </c:pt>
                <c:pt idx="18">
                  <c:v>786</c:v>
                </c:pt>
                <c:pt idx="19">
                  <c:v>759</c:v>
                </c:pt>
                <c:pt idx="20">
                  <c:v>2964</c:v>
                </c:pt>
                <c:pt idx="21">
                  <c:v>1401</c:v>
                </c:pt>
                <c:pt idx="22">
                  <c:v>1203</c:v>
                </c:pt>
                <c:pt idx="23">
                  <c:v>1266</c:v>
                </c:pt>
                <c:pt idx="24">
                  <c:v>1398</c:v>
                </c:pt>
                <c:pt idx="25">
                  <c:v>456</c:v>
                </c:pt>
                <c:pt idx="26">
                  <c:v>570</c:v>
                </c:pt>
                <c:pt idx="27">
                  <c:v>1653</c:v>
                </c:pt>
                <c:pt idx="28">
                  <c:v>1245</c:v>
                </c:pt>
                <c:pt idx="29">
                  <c:v>1209</c:v>
                </c:pt>
                <c:pt idx="30">
                  <c:v>1146</c:v>
                </c:pt>
                <c:pt idx="31">
                  <c:v>1238</c:v>
                </c:pt>
                <c:pt idx="32">
                  <c:v>1926</c:v>
                </c:pt>
                <c:pt idx="33">
                  <c:v>1266</c:v>
                </c:pt>
                <c:pt idx="34">
                  <c:v>2034</c:v>
                </c:pt>
                <c:pt idx="35">
                  <c:v>1455</c:v>
                </c:pt>
                <c:pt idx="36">
                  <c:v>1605</c:v>
                </c:pt>
                <c:pt idx="37">
                  <c:v>922</c:v>
                </c:pt>
                <c:pt idx="38">
                  <c:v>1575</c:v>
                </c:pt>
                <c:pt idx="39">
                  <c:v>1668</c:v>
                </c:pt>
                <c:pt idx="40">
                  <c:v>1320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30-494F-9419-C80DCB40C3D4}"/>
            </c:ext>
          </c:extLst>
        </c:ser>
        <c:ser>
          <c:idx val="7"/>
          <c:order val="7"/>
          <c:tx>
            <c:strRef>
              <c:f>'D. Shipments'!$A$28</c:f>
              <c:strCache>
                <c:ptCount val="1"/>
                <c:pt idx="0">
                  <c:v>NUTRISSE COLORISSIMO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Shipments'!$B$28:$AP$28</c:f>
              <c:numCache>
                <c:formatCode>#,##0</c:formatCode>
                <c:ptCount val="41"/>
                <c:pt idx="0">
                  <c:v>1542</c:v>
                </c:pt>
                <c:pt idx="1">
                  <c:v>1026</c:v>
                </c:pt>
                <c:pt idx="2">
                  <c:v>912</c:v>
                </c:pt>
                <c:pt idx="3">
                  <c:v>1116</c:v>
                </c:pt>
                <c:pt idx="4">
                  <c:v>936</c:v>
                </c:pt>
                <c:pt idx="5">
                  <c:v>1272</c:v>
                </c:pt>
                <c:pt idx="6">
                  <c:v>1056</c:v>
                </c:pt>
                <c:pt idx="7">
                  <c:v>3510</c:v>
                </c:pt>
                <c:pt idx="8">
                  <c:v>1785</c:v>
                </c:pt>
                <c:pt idx="9">
                  <c:v>3501</c:v>
                </c:pt>
                <c:pt idx="10">
                  <c:v>1317</c:v>
                </c:pt>
                <c:pt idx="11">
                  <c:v>1218</c:v>
                </c:pt>
                <c:pt idx="12">
                  <c:v>1909</c:v>
                </c:pt>
                <c:pt idx="13">
                  <c:v>1107</c:v>
                </c:pt>
                <c:pt idx="14">
                  <c:v>864</c:v>
                </c:pt>
                <c:pt idx="15">
                  <c:v>615</c:v>
                </c:pt>
                <c:pt idx="16">
                  <c:v>1494</c:v>
                </c:pt>
                <c:pt idx="17">
                  <c:v>990</c:v>
                </c:pt>
                <c:pt idx="18">
                  <c:v>717</c:v>
                </c:pt>
                <c:pt idx="19">
                  <c:v>1363</c:v>
                </c:pt>
                <c:pt idx="20">
                  <c:v>1890</c:v>
                </c:pt>
                <c:pt idx="21">
                  <c:v>786</c:v>
                </c:pt>
                <c:pt idx="22">
                  <c:v>546</c:v>
                </c:pt>
                <c:pt idx="23">
                  <c:v>468</c:v>
                </c:pt>
                <c:pt idx="24">
                  <c:v>1362</c:v>
                </c:pt>
                <c:pt idx="25">
                  <c:v>519</c:v>
                </c:pt>
                <c:pt idx="26">
                  <c:v>228</c:v>
                </c:pt>
                <c:pt idx="27">
                  <c:v>1101</c:v>
                </c:pt>
                <c:pt idx="28">
                  <c:v>936</c:v>
                </c:pt>
                <c:pt idx="29">
                  <c:v>657</c:v>
                </c:pt>
                <c:pt idx="30">
                  <c:v>837</c:v>
                </c:pt>
                <c:pt idx="31">
                  <c:v>726</c:v>
                </c:pt>
                <c:pt idx="32">
                  <c:v>996</c:v>
                </c:pt>
                <c:pt idx="33">
                  <c:v>1236</c:v>
                </c:pt>
                <c:pt idx="34">
                  <c:v>762</c:v>
                </c:pt>
                <c:pt idx="35">
                  <c:v>1704</c:v>
                </c:pt>
                <c:pt idx="36">
                  <c:v>1395</c:v>
                </c:pt>
                <c:pt idx="37">
                  <c:v>783</c:v>
                </c:pt>
                <c:pt idx="38">
                  <c:v>684</c:v>
                </c:pt>
                <c:pt idx="39">
                  <c:v>921</c:v>
                </c:pt>
                <c:pt idx="40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30-494F-9419-C80DCB40C3D4}"/>
            </c:ext>
          </c:extLst>
        </c:ser>
        <c:ser>
          <c:idx val="8"/>
          <c:order val="8"/>
          <c:tx>
            <c:strRef>
              <c:f>'D. Shipments'!$A$29</c:f>
              <c:strCache>
                <c:ptCount val="1"/>
                <c:pt idx="0">
                  <c:v>NUTRISSE COR INTENSA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Shipments'!$B$29:$AP$29</c:f>
              <c:numCache>
                <c:formatCode>#,##0</c:formatCode>
                <c:ptCount val="41"/>
                <c:pt idx="0">
                  <c:v>13986</c:v>
                </c:pt>
                <c:pt idx="1">
                  <c:v>24300</c:v>
                </c:pt>
                <c:pt idx="2">
                  <c:v>27888</c:v>
                </c:pt>
                <c:pt idx="3">
                  <c:v>18600</c:v>
                </c:pt>
                <c:pt idx="4">
                  <c:v>20117</c:v>
                </c:pt>
                <c:pt idx="5">
                  <c:v>24894</c:v>
                </c:pt>
                <c:pt idx="6">
                  <c:v>29454</c:v>
                </c:pt>
                <c:pt idx="7">
                  <c:v>18168</c:v>
                </c:pt>
                <c:pt idx="8">
                  <c:v>16440</c:v>
                </c:pt>
                <c:pt idx="9">
                  <c:v>28296</c:v>
                </c:pt>
                <c:pt idx="10">
                  <c:v>14507</c:v>
                </c:pt>
                <c:pt idx="11">
                  <c:v>17448</c:v>
                </c:pt>
                <c:pt idx="12">
                  <c:v>23873</c:v>
                </c:pt>
                <c:pt idx="13">
                  <c:v>23052</c:v>
                </c:pt>
                <c:pt idx="14">
                  <c:v>16901</c:v>
                </c:pt>
                <c:pt idx="15">
                  <c:v>11730</c:v>
                </c:pt>
                <c:pt idx="16">
                  <c:v>28410</c:v>
                </c:pt>
                <c:pt idx="17">
                  <c:v>15822</c:v>
                </c:pt>
                <c:pt idx="18">
                  <c:v>22290</c:v>
                </c:pt>
                <c:pt idx="19">
                  <c:v>17688</c:v>
                </c:pt>
                <c:pt idx="20">
                  <c:v>21504</c:v>
                </c:pt>
                <c:pt idx="21">
                  <c:v>11676</c:v>
                </c:pt>
                <c:pt idx="22">
                  <c:v>10708</c:v>
                </c:pt>
                <c:pt idx="23">
                  <c:v>21498</c:v>
                </c:pt>
                <c:pt idx="24">
                  <c:v>26211</c:v>
                </c:pt>
                <c:pt idx="25">
                  <c:v>10290</c:v>
                </c:pt>
                <c:pt idx="26">
                  <c:v>5406</c:v>
                </c:pt>
                <c:pt idx="27">
                  <c:v>19794</c:v>
                </c:pt>
                <c:pt idx="28">
                  <c:v>16519</c:v>
                </c:pt>
                <c:pt idx="29">
                  <c:v>13656</c:v>
                </c:pt>
                <c:pt idx="30">
                  <c:v>7014</c:v>
                </c:pt>
                <c:pt idx="31">
                  <c:v>10751</c:v>
                </c:pt>
                <c:pt idx="32">
                  <c:v>16308</c:v>
                </c:pt>
                <c:pt idx="33">
                  <c:v>17958</c:v>
                </c:pt>
                <c:pt idx="34">
                  <c:v>19128</c:v>
                </c:pt>
                <c:pt idx="35">
                  <c:v>21239</c:v>
                </c:pt>
                <c:pt idx="36">
                  <c:v>16127</c:v>
                </c:pt>
                <c:pt idx="37">
                  <c:v>15441</c:v>
                </c:pt>
                <c:pt idx="38">
                  <c:v>17520</c:v>
                </c:pt>
                <c:pt idx="39">
                  <c:v>32692</c:v>
                </c:pt>
                <c:pt idx="40">
                  <c:v>21264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30-494F-9419-C80DCB40C3D4}"/>
            </c:ext>
          </c:extLst>
        </c:ser>
        <c:ser>
          <c:idx val="9"/>
          <c:order val="9"/>
          <c:tx>
            <c:strRef>
              <c:f>'D. Shipments'!$A$30</c:f>
              <c:strCache>
                <c:ptCount val="1"/>
                <c:pt idx="0">
                  <c:v>NUTRISSE OLEOS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Shipments'!$B$30:$AP$30</c:f>
              <c:numCache>
                <c:formatCode>#,##0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4548</c:v>
                </c:pt>
                <c:pt idx="26">
                  <c:v>1551</c:v>
                </c:pt>
                <c:pt idx="27">
                  <c:v>854</c:v>
                </c:pt>
                <c:pt idx="28">
                  <c:v>1761</c:v>
                </c:pt>
                <c:pt idx="29">
                  <c:v>2994</c:v>
                </c:pt>
                <c:pt idx="30">
                  <c:v>546</c:v>
                </c:pt>
                <c:pt idx="31">
                  <c:v>275</c:v>
                </c:pt>
                <c:pt idx="32">
                  <c:v>378</c:v>
                </c:pt>
                <c:pt idx="33">
                  <c:v>438</c:v>
                </c:pt>
                <c:pt idx="34">
                  <c:v>411</c:v>
                </c:pt>
                <c:pt idx="35">
                  <c:v>534</c:v>
                </c:pt>
                <c:pt idx="36">
                  <c:v>687</c:v>
                </c:pt>
                <c:pt idx="37">
                  <c:v>546</c:v>
                </c:pt>
                <c:pt idx="38">
                  <c:v>771</c:v>
                </c:pt>
                <c:pt idx="39">
                  <c:v>591</c:v>
                </c:pt>
                <c:pt idx="40">
                  <c:v>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30-494F-9419-C80DCB40C3D4}"/>
            </c:ext>
          </c:extLst>
        </c:ser>
        <c:ser>
          <c:idx val="10"/>
          <c:order val="10"/>
          <c:tx>
            <c:strRef>
              <c:f>'D. Shipments'!$A$31</c:f>
              <c:strCache>
                <c:ptCount val="1"/>
                <c:pt idx="0">
                  <c:v>NUTRISSE RETOCA RAIZ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Shipments'!$B$20:$AP$20</c:f>
              <c:numCache>
                <c:formatCode>mmm\-yy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'D. Shipments'!$B$31:$AP$31</c:f>
              <c:numCache>
                <c:formatCode>#,##0</c:formatCode>
                <c:ptCount val="41"/>
                <c:pt idx="0">
                  <c:v>5514</c:v>
                </c:pt>
                <c:pt idx="1">
                  <c:v>2586</c:v>
                </c:pt>
                <c:pt idx="2">
                  <c:v>4482</c:v>
                </c:pt>
                <c:pt idx="3">
                  <c:v>4152</c:v>
                </c:pt>
                <c:pt idx="4">
                  <c:v>5796</c:v>
                </c:pt>
                <c:pt idx="5">
                  <c:v>8148</c:v>
                </c:pt>
                <c:pt idx="6">
                  <c:v>7515</c:v>
                </c:pt>
                <c:pt idx="7">
                  <c:v>5472</c:v>
                </c:pt>
                <c:pt idx="8">
                  <c:v>6624</c:v>
                </c:pt>
                <c:pt idx="9">
                  <c:v>4434</c:v>
                </c:pt>
                <c:pt idx="10">
                  <c:v>4176</c:v>
                </c:pt>
                <c:pt idx="11">
                  <c:v>5268</c:v>
                </c:pt>
                <c:pt idx="12">
                  <c:v>6060</c:v>
                </c:pt>
                <c:pt idx="13">
                  <c:v>6996</c:v>
                </c:pt>
                <c:pt idx="14">
                  <c:v>3780</c:v>
                </c:pt>
                <c:pt idx="15">
                  <c:v>3078</c:v>
                </c:pt>
                <c:pt idx="16">
                  <c:v>6564</c:v>
                </c:pt>
                <c:pt idx="17">
                  <c:v>3138</c:v>
                </c:pt>
                <c:pt idx="18">
                  <c:v>13086</c:v>
                </c:pt>
                <c:pt idx="19">
                  <c:v>4140</c:v>
                </c:pt>
                <c:pt idx="20">
                  <c:v>5928</c:v>
                </c:pt>
                <c:pt idx="21">
                  <c:v>3726</c:v>
                </c:pt>
                <c:pt idx="22">
                  <c:v>3418</c:v>
                </c:pt>
                <c:pt idx="23">
                  <c:v>4408</c:v>
                </c:pt>
                <c:pt idx="24">
                  <c:v>4714</c:v>
                </c:pt>
                <c:pt idx="25">
                  <c:v>2252</c:v>
                </c:pt>
                <c:pt idx="26">
                  <c:v>2380</c:v>
                </c:pt>
                <c:pt idx="27">
                  <c:v>4716</c:v>
                </c:pt>
                <c:pt idx="28">
                  <c:v>2334</c:v>
                </c:pt>
                <c:pt idx="29">
                  <c:v>2592</c:v>
                </c:pt>
                <c:pt idx="30">
                  <c:v>7800</c:v>
                </c:pt>
                <c:pt idx="31">
                  <c:v>4536</c:v>
                </c:pt>
                <c:pt idx="32">
                  <c:v>2928</c:v>
                </c:pt>
                <c:pt idx="33">
                  <c:v>3396</c:v>
                </c:pt>
                <c:pt idx="34">
                  <c:v>5274</c:v>
                </c:pt>
                <c:pt idx="35">
                  <c:v>2250</c:v>
                </c:pt>
                <c:pt idx="36">
                  <c:v>7170</c:v>
                </c:pt>
                <c:pt idx="37">
                  <c:v>4494</c:v>
                </c:pt>
                <c:pt idx="38">
                  <c:v>4026</c:v>
                </c:pt>
                <c:pt idx="39">
                  <c:v>4698</c:v>
                </c:pt>
                <c:pt idx="40">
                  <c:v>3816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30-494F-9419-C80DCB40C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423984"/>
        <c:axId val="229417744"/>
      </c:lineChart>
      <c:dateAx>
        <c:axId val="2294239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417744"/>
        <c:crosses val="autoZero"/>
        <c:auto val="1"/>
        <c:lblOffset val="100"/>
        <c:baseTimeUnit val="months"/>
        <c:majorUnit val="1"/>
        <c:majorTimeUnit val="months"/>
      </c:dateAx>
      <c:valAx>
        <c:axId val="229417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42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'[1]D. Shipments'!$A$164</c:f>
          <c:strCache>
            <c:ptCount val="1"/>
            <c:pt idx="0">
              <c:v>TOTAL ELVIVE CONSTANTES MODERNO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'[1]D. Shipments'!$A$165</c:f>
              <c:strCache>
                <c:ptCount val="1"/>
                <c:pt idx="0">
                  <c:v>NIQ</c:v>
                </c:pt>
              </c:strCache>
            </c:strRef>
          </c:tx>
          <c:spPr>
            <a:ln w="28575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cat>
            <c:numRef>
              <c:f>'[1]D. Shipments'!$B$164:$AK$164</c:f>
              <c:numCache>
                <c:formatCode>General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'[1]D. Shipments'!$B$165:$AK$165</c:f>
              <c:numCache>
                <c:formatCode>General</c:formatCode>
                <c:ptCount val="36"/>
                <c:pt idx="0">
                  <c:v>43689</c:v>
                </c:pt>
                <c:pt idx="1">
                  <c:v>26217.475200000001</c:v>
                </c:pt>
                <c:pt idx="2">
                  <c:v>27541.999899999999</c:v>
                </c:pt>
                <c:pt idx="3">
                  <c:v>36505</c:v>
                </c:pt>
                <c:pt idx="4">
                  <c:v>32069.333299999998</c:v>
                </c:pt>
                <c:pt idx="5">
                  <c:v>34979.333299999998</c:v>
                </c:pt>
                <c:pt idx="6">
                  <c:v>52341</c:v>
                </c:pt>
                <c:pt idx="7">
                  <c:v>38111.284200000002</c:v>
                </c:pt>
                <c:pt idx="8">
                  <c:v>35161.659800000001</c:v>
                </c:pt>
                <c:pt idx="9">
                  <c:v>42639</c:v>
                </c:pt>
                <c:pt idx="10">
                  <c:v>24843</c:v>
                </c:pt>
                <c:pt idx="11">
                  <c:v>22032</c:v>
                </c:pt>
                <c:pt idx="12">
                  <c:v>28929.857000000004</c:v>
                </c:pt>
                <c:pt idx="13">
                  <c:v>18895.302400000008</c:v>
                </c:pt>
                <c:pt idx="14">
                  <c:v>22148.999799999998</c:v>
                </c:pt>
                <c:pt idx="15">
                  <c:v>24447</c:v>
                </c:pt>
                <c:pt idx="16">
                  <c:v>23908</c:v>
                </c:pt>
                <c:pt idx="17">
                  <c:v>20378.414700000001</c:v>
                </c:pt>
                <c:pt idx="18">
                  <c:v>42383.217300000004</c:v>
                </c:pt>
                <c:pt idx="19">
                  <c:v>24669</c:v>
                </c:pt>
                <c:pt idx="20">
                  <c:v>25135</c:v>
                </c:pt>
                <c:pt idx="21">
                  <c:v>40102</c:v>
                </c:pt>
                <c:pt idx="22">
                  <c:v>22941</c:v>
                </c:pt>
                <c:pt idx="23">
                  <c:v>23000</c:v>
                </c:pt>
                <c:pt idx="24">
                  <c:v>32837</c:v>
                </c:pt>
                <c:pt idx="25">
                  <c:v>21708</c:v>
                </c:pt>
                <c:pt idx="26">
                  <c:v>23137</c:v>
                </c:pt>
                <c:pt idx="27">
                  <c:v>32870</c:v>
                </c:pt>
                <c:pt idx="28">
                  <c:v>26912</c:v>
                </c:pt>
                <c:pt idx="29">
                  <c:v>21205</c:v>
                </c:pt>
                <c:pt idx="30">
                  <c:v>31263</c:v>
                </c:pt>
                <c:pt idx="31">
                  <c:v>27132</c:v>
                </c:pt>
                <c:pt idx="32">
                  <c:v>25936</c:v>
                </c:pt>
                <c:pt idx="33">
                  <c:v>33907</c:v>
                </c:pt>
                <c:pt idx="34">
                  <c:v>20216</c:v>
                </c:pt>
                <c:pt idx="35">
                  <c:v>20889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7-4583-979D-B60870169A60}"/>
            </c:ext>
          </c:extLst>
        </c:ser>
        <c:ser>
          <c:idx val="1"/>
          <c:order val="1"/>
          <c:tx>
            <c:strRef>
              <c:f>'[1]D. Shipments'!$A$166</c:f>
              <c:strCache>
                <c:ptCount val="1"/>
                <c:pt idx="0">
                  <c:v>L'oreal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'[1]D. Shipments'!$B$164:$AK$164</c:f>
              <c:numCache>
                <c:formatCode>General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'[1]D. Shipments'!$B$166:$AK$166</c:f>
              <c:numCache>
                <c:formatCode>General</c:formatCode>
                <c:ptCount val="36"/>
                <c:pt idx="0">
                  <c:v>32709</c:v>
                </c:pt>
                <c:pt idx="1">
                  <c:v>35704</c:v>
                </c:pt>
                <c:pt idx="2">
                  <c:v>52394</c:v>
                </c:pt>
                <c:pt idx="3">
                  <c:v>44306</c:v>
                </c:pt>
                <c:pt idx="4">
                  <c:v>41716</c:v>
                </c:pt>
                <c:pt idx="5">
                  <c:v>52948</c:v>
                </c:pt>
                <c:pt idx="6">
                  <c:v>37773</c:v>
                </c:pt>
                <c:pt idx="7">
                  <c:v>69363</c:v>
                </c:pt>
                <c:pt idx="8">
                  <c:v>50675</c:v>
                </c:pt>
                <c:pt idx="9">
                  <c:v>41598</c:v>
                </c:pt>
                <c:pt idx="10">
                  <c:v>30600</c:v>
                </c:pt>
                <c:pt idx="11">
                  <c:v>35712</c:v>
                </c:pt>
                <c:pt idx="12">
                  <c:v>32392</c:v>
                </c:pt>
                <c:pt idx="13">
                  <c:v>24729</c:v>
                </c:pt>
                <c:pt idx="14">
                  <c:v>26780</c:v>
                </c:pt>
                <c:pt idx="15">
                  <c:v>52448</c:v>
                </c:pt>
                <c:pt idx="16">
                  <c:v>22167</c:v>
                </c:pt>
                <c:pt idx="17">
                  <c:v>28092</c:v>
                </c:pt>
                <c:pt idx="18">
                  <c:v>38700</c:v>
                </c:pt>
                <c:pt idx="19">
                  <c:v>43353</c:v>
                </c:pt>
                <c:pt idx="20">
                  <c:v>37875</c:v>
                </c:pt>
                <c:pt idx="21">
                  <c:v>30031</c:v>
                </c:pt>
                <c:pt idx="22">
                  <c:v>52244</c:v>
                </c:pt>
                <c:pt idx="23">
                  <c:v>30477</c:v>
                </c:pt>
                <c:pt idx="24">
                  <c:v>37434</c:v>
                </c:pt>
                <c:pt idx="25">
                  <c:v>25257</c:v>
                </c:pt>
                <c:pt idx="26">
                  <c:v>29994</c:v>
                </c:pt>
                <c:pt idx="27">
                  <c:v>30303</c:v>
                </c:pt>
                <c:pt idx="28">
                  <c:v>42446</c:v>
                </c:pt>
                <c:pt idx="29">
                  <c:v>29940</c:v>
                </c:pt>
                <c:pt idx="30">
                  <c:v>30242</c:v>
                </c:pt>
                <c:pt idx="31">
                  <c:v>41899</c:v>
                </c:pt>
                <c:pt idx="32">
                  <c:v>37521</c:v>
                </c:pt>
                <c:pt idx="33">
                  <c:v>43755</c:v>
                </c:pt>
                <c:pt idx="34">
                  <c:v>31932</c:v>
                </c:pt>
                <c:pt idx="35">
                  <c:v>25164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7-4583-979D-B60870169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361504"/>
        <c:axId val="750359104"/>
      </c:lineChart>
      <c:catAx>
        <c:axId val="75036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59104"/>
        <c:crosses val="autoZero"/>
        <c:auto val="1"/>
        <c:lblAlgn val="ctr"/>
        <c:lblOffset val="100"/>
        <c:tickLblSkip val="1"/>
        <c:noMultiLvlLbl val="0"/>
      </c:catAx>
      <c:valAx>
        <c:axId val="7503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'[1]D. Shipments'!$A$193</c:f>
          <c:strCache>
            <c:ptCount val="1"/>
            <c:pt idx="0">
              <c:v>TOTAL ELVIVE NUEVO MODERNO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'[1]D. Shipments'!$A$194</c:f>
              <c:strCache>
                <c:ptCount val="1"/>
                <c:pt idx="0">
                  <c:v>NIQ</c:v>
                </c:pt>
              </c:strCache>
            </c:strRef>
          </c:tx>
          <c:spPr>
            <a:ln w="28575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cat>
            <c:numRef>
              <c:f>'[1]D. Shipments'!$B$193:$AK$193</c:f>
              <c:numCache>
                <c:formatCode>General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'[1]D. Shipments'!$B$194:$AK$194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1481</c:v>
                </c:pt>
                <c:pt idx="11">
                  <c:v>2765</c:v>
                </c:pt>
                <c:pt idx="12">
                  <c:v>5159</c:v>
                </c:pt>
                <c:pt idx="13">
                  <c:v>3316.3553000000002</c:v>
                </c:pt>
                <c:pt idx="14">
                  <c:v>5149</c:v>
                </c:pt>
                <c:pt idx="15">
                  <c:v>3600</c:v>
                </c:pt>
                <c:pt idx="16">
                  <c:v>3632</c:v>
                </c:pt>
                <c:pt idx="17">
                  <c:v>3030.7873</c:v>
                </c:pt>
                <c:pt idx="18">
                  <c:v>5139.4434999999994</c:v>
                </c:pt>
                <c:pt idx="19">
                  <c:v>3334</c:v>
                </c:pt>
                <c:pt idx="20">
                  <c:v>3404</c:v>
                </c:pt>
                <c:pt idx="21">
                  <c:v>6533</c:v>
                </c:pt>
                <c:pt idx="22">
                  <c:v>6736</c:v>
                </c:pt>
                <c:pt idx="23">
                  <c:v>8262</c:v>
                </c:pt>
                <c:pt idx="24">
                  <c:v>17039</c:v>
                </c:pt>
                <c:pt idx="25">
                  <c:v>11056</c:v>
                </c:pt>
                <c:pt idx="26">
                  <c:v>11527</c:v>
                </c:pt>
                <c:pt idx="27">
                  <c:v>18569</c:v>
                </c:pt>
                <c:pt idx="28">
                  <c:v>15551</c:v>
                </c:pt>
                <c:pt idx="29">
                  <c:v>12340</c:v>
                </c:pt>
                <c:pt idx="30">
                  <c:v>17265</c:v>
                </c:pt>
                <c:pt idx="31">
                  <c:v>14275</c:v>
                </c:pt>
                <c:pt idx="32">
                  <c:v>15218</c:v>
                </c:pt>
                <c:pt idx="33">
                  <c:v>24465</c:v>
                </c:pt>
                <c:pt idx="34">
                  <c:v>14817</c:v>
                </c:pt>
                <c:pt idx="35">
                  <c:v>14327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1-4E6A-9678-0BDF3E2FB4E8}"/>
            </c:ext>
          </c:extLst>
        </c:ser>
        <c:ser>
          <c:idx val="1"/>
          <c:order val="1"/>
          <c:tx>
            <c:strRef>
              <c:f>'[1]D. Shipments'!$A$195</c:f>
              <c:strCache>
                <c:ptCount val="1"/>
                <c:pt idx="0">
                  <c:v>L'oreal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'[1]D. Shipments'!$B$193:$AK$193</c:f>
              <c:numCache>
                <c:formatCode>General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'[1]D. Shipments'!$B$195:$AK$195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3246</c:v>
                </c:pt>
                <c:pt idx="10">
                  <c:v>16878</c:v>
                </c:pt>
                <c:pt idx="11">
                  <c:v>5526</c:v>
                </c:pt>
                <c:pt idx="12">
                  <c:v>7740</c:v>
                </c:pt>
                <c:pt idx="13">
                  <c:v>5380</c:v>
                </c:pt>
                <c:pt idx="14">
                  <c:v>5646</c:v>
                </c:pt>
                <c:pt idx="15">
                  <c:v>9792</c:v>
                </c:pt>
                <c:pt idx="16">
                  <c:v>2208</c:v>
                </c:pt>
                <c:pt idx="17">
                  <c:v>2454</c:v>
                </c:pt>
                <c:pt idx="18">
                  <c:v>4632</c:v>
                </c:pt>
                <c:pt idx="19">
                  <c:v>7200</c:v>
                </c:pt>
                <c:pt idx="20">
                  <c:v>11574</c:v>
                </c:pt>
                <c:pt idx="21">
                  <c:v>20001</c:v>
                </c:pt>
                <c:pt idx="22">
                  <c:v>27264</c:v>
                </c:pt>
                <c:pt idx="23">
                  <c:v>13341</c:v>
                </c:pt>
                <c:pt idx="24">
                  <c:v>17043</c:v>
                </c:pt>
                <c:pt idx="25">
                  <c:v>16188</c:v>
                </c:pt>
                <c:pt idx="26">
                  <c:v>22014</c:v>
                </c:pt>
                <c:pt idx="27">
                  <c:v>25211</c:v>
                </c:pt>
                <c:pt idx="28">
                  <c:v>23169</c:v>
                </c:pt>
                <c:pt idx="29">
                  <c:v>18546</c:v>
                </c:pt>
                <c:pt idx="30">
                  <c:v>30138</c:v>
                </c:pt>
                <c:pt idx="31">
                  <c:v>30711</c:v>
                </c:pt>
                <c:pt idx="32">
                  <c:v>27921</c:v>
                </c:pt>
                <c:pt idx="33">
                  <c:v>33894</c:v>
                </c:pt>
                <c:pt idx="34">
                  <c:v>29265</c:v>
                </c:pt>
                <c:pt idx="35">
                  <c:v>25743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1-4E6A-9678-0BDF3E2FB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361504"/>
        <c:axId val="750359104"/>
      </c:lineChart>
      <c:catAx>
        <c:axId val="75036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59104"/>
        <c:crosses val="autoZero"/>
        <c:auto val="1"/>
        <c:lblAlgn val="ctr"/>
        <c:lblOffset val="100"/>
        <c:tickLblSkip val="1"/>
        <c:noMultiLvlLbl val="0"/>
      </c:catAx>
      <c:valAx>
        <c:axId val="7503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'D. Shipments'!$A$382</c:f>
              <c:strCache>
                <c:ptCount val="1"/>
                <c:pt idx="0">
                  <c:v>FRUCTIS ADIOS ESPONJADO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Shipments'!$B$382:$AQ$382</c:f>
              <c:numCache>
                <c:formatCode>#,##0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6912</c:v>
                </c:pt>
                <c:pt idx="18">
                  <c:v>11820</c:v>
                </c:pt>
                <c:pt idx="19">
                  <c:v>1116</c:v>
                </c:pt>
                <c:pt idx="20">
                  <c:v>2436</c:v>
                </c:pt>
                <c:pt idx="21">
                  <c:v>7200</c:v>
                </c:pt>
                <c:pt idx="22">
                  <c:v>432</c:v>
                </c:pt>
                <c:pt idx="23">
                  <c:v>1572</c:v>
                </c:pt>
                <c:pt idx="24">
                  <c:v>2148</c:v>
                </c:pt>
                <c:pt idx="25">
                  <c:v>1176</c:v>
                </c:pt>
                <c:pt idx="26">
                  <c:v>1152</c:v>
                </c:pt>
                <c:pt idx="27">
                  <c:v>1224</c:v>
                </c:pt>
                <c:pt idx="28">
                  <c:v>2388</c:v>
                </c:pt>
                <c:pt idx="29">
                  <c:v>1344</c:v>
                </c:pt>
                <c:pt idx="30">
                  <c:v>1764</c:v>
                </c:pt>
                <c:pt idx="31">
                  <c:v>1944</c:v>
                </c:pt>
                <c:pt idx="32">
                  <c:v>1968</c:v>
                </c:pt>
                <c:pt idx="33">
                  <c:v>3492</c:v>
                </c:pt>
                <c:pt idx="34">
                  <c:v>3360</c:v>
                </c:pt>
                <c:pt idx="35">
                  <c:v>2028</c:v>
                </c:pt>
                <c:pt idx="36">
                  <c:v>2436</c:v>
                </c:pt>
                <c:pt idx="37">
                  <c:v>2940</c:v>
                </c:pt>
                <c:pt idx="38">
                  <c:v>2580</c:v>
                </c:pt>
                <c:pt idx="39">
                  <c:v>1884</c:v>
                </c:pt>
                <c:pt idx="40">
                  <c:v>2520</c:v>
                </c:pt>
                <c:pt idx="41">
                  <c:v>2220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6-4446-A2D0-6B8649E5C5D8}"/>
            </c:ext>
          </c:extLst>
        </c:ser>
        <c:ser>
          <c:idx val="1"/>
          <c:order val="1"/>
          <c:tx>
            <c:strRef>
              <c:f>'D. Shipments'!$A$383</c:f>
              <c:strCache>
                <c:ptCount val="1"/>
                <c:pt idx="0">
                  <c:v>FRUCTIS ALOE HIDRA BOMB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Shipments'!$B$383:$AQ$383</c:f>
              <c:numCache>
                <c:formatCode>#,##0</c:formatCode>
                <c:ptCount val="42"/>
                <c:pt idx="0">
                  <c:v>4680</c:v>
                </c:pt>
                <c:pt idx="1">
                  <c:v>4740</c:v>
                </c:pt>
                <c:pt idx="2">
                  <c:v>5208</c:v>
                </c:pt>
                <c:pt idx="3">
                  <c:v>6780</c:v>
                </c:pt>
                <c:pt idx="4">
                  <c:v>3240</c:v>
                </c:pt>
                <c:pt idx="5">
                  <c:v>8988</c:v>
                </c:pt>
                <c:pt idx="6">
                  <c:v>2544</c:v>
                </c:pt>
                <c:pt idx="7">
                  <c:v>1020</c:v>
                </c:pt>
                <c:pt idx="8">
                  <c:v>4308</c:v>
                </c:pt>
                <c:pt idx="9">
                  <c:v>4044</c:v>
                </c:pt>
                <c:pt idx="10">
                  <c:v>2136</c:v>
                </c:pt>
                <c:pt idx="11">
                  <c:v>3540</c:v>
                </c:pt>
                <c:pt idx="12">
                  <c:v>4824</c:v>
                </c:pt>
                <c:pt idx="13">
                  <c:v>4860</c:v>
                </c:pt>
                <c:pt idx="14">
                  <c:v>1944</c:v>
                </c:pt>
                <c:pt idx="15">
                  <c:v>432</c:v>
                </c:pt>
                <c:pt idx="16">
                  <c:v>1716</c:v>
                </c:pt>
                <c:pt idx="17">
                  <c:v>683</c:v>
                </c:pt>
                <c:pt idx="18">
                  <c:v>624</c:v>
                </c:pt>
                <c:pt idx="19">
                  <c:v>1500</c:v>
                </c:pt>
                <c:pt idx="20">
                  <c:v>1848</c:v>
                </c:pt>
                <c:pt idx="21">
                  <c:v>828</c:v>
                </c:pt>
                <c:pt idx="22">
                  <c:v>792</c:v>
                </c:pt>
                <c:pt idx="23">
                  <c:v>996</c:v>
                </c:pt>
                <c:pt idx="24">
                  <c:v>1572</c:v>
                </c:pt>
                <c:pt idx="25">
                  <c:v>648</c:v>
                </c:pt>
                <c:pt idx="26">
                  <c:v>3276</c:v>
                </c:pt>
                <c:pt idx="27">
                  <c:v>1692</c:v>
                </c:pt>
                <c:pt idx="28">
                  <c:v>732</c:v>
                </c:pt>
                <c:pt idx="29">
                  <c:v>480</c:v>
                </c:pt>
                <c:pt idx="30">
                  <c:v>1020</c:v>
                </c:pt>
                <c:pt idx="31">
                  <c:v>1104</c:v>
                </c:pt>
                <c:pt idx="32">
                  <c:v>600</c:v>
                </c:pt>
                <c:pt idx="33">
                  <c:v>1968</c:v>
                </c:pt>
                <c:pt idx="34">
                  <c:v>2100</c:v>
                </c:pt>
                <c:pt idx="35">
                  <c:v>1248</c:v>
                </c:pt>
                <c:pt idx="36">
                  <c:v>1344</c:v>
                </c:pt>
                <c:pt idx="37">
                  <c:v>1476</c:v>
                </c:pt>
                <c:pt idx="38">
                  <c:v>996</c:v>
                </c:pt>
                <c:pt idx="39">
                  <c:v>1068</c:v>
                </c:pt>
                <c:pt idx="40">
                  <c:v>1992</c:v>
                </c:pt>
                <c:pt idx="41">
                  <c:v>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6-4446-A2D0-6B8649E5C5D8}"/>
            </c:ext>
          </c:extLst>
        </c:ser>
        <c:ser>
          <c:idx val="2"/>
          <c:order val="2"/>
          <c:tx>
            <c:strRef>
              <c:f>'D. Shipments'!$A$384</c:f>
              <c:strCache>
                <c:ptCount val="1"/>
                <c:pt idx="0">
                  <c:v>FRUCTIS ALOE HIDRA CLEAN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Shipments'!$B$384:$AQ$384</c:f>
              <c:numCache>
                <c:formatCode>#,##0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1296</c:v>
                </c:pt>
                <c:pt idx="27">
                  <c:v>228</c:v>
                </c:pt>
                <c:pt idx="28">
                  <c:v>12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6-4446-A2D0-6B8649E5C5D8}"/>
            </c:ext>
          </c:extLst>
        </c:ser>
        <c:ser>
          <c:idx val="3"/>
          <c:order val="3"/>
          <c:tx>
            <c:strRef>
              <c:f>'D. Shipments'!$A$385</c:f>
              <c:strCache>
                <c:ptCount val="1"/>
                <c:pt idx="0">
                  <c:v>FRUCTIS ANTICASPA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Shipments'!$B$385:$AQ$385</c:f>
              <c:numCache>
                <c:formatCode>#,##0</c:formatCode>
                <c:ptCount val="42"/>
                <c:pt idx="0">
                  <c:v>120</c:v>
                </c:pt>
                <c:pt idx="1">
                  <c:v>180</c:v>
                </c:pt>
                <c:pt idx="2">
                  <c:v>120</c:v>
                </c:pt>
                <c:pt idx="3">
                  <c:v>132</c:v>
                </c:pt>
                <c:pt idx="4">
                  <c:v>144</c:v>
                </c:pt>
                <c:pt idx="5">
                  <c:v>132</c:v>
                </c:pt>
                <c:pt idx="6">
                  <c:v>60</c:v>
                </c:pt>
                <c:pt idx="7">
                  <c:v>156</c:v>
                </c:pt>
                <c:pt idx="8">
                  <c:v>156</c:v>
                </c:pt>
                <c:pt idx="9">
                  <c:v>120</c:v>
                </c:pt>
                <c:pt idx="10">
                  <c:v>132</c:v>
                </c:pt>
                <c:pt idx="11">
                  <c:v>36</c:v>
                </c:pt>
                <c:pt idx="12">
                  <c:v>144</c:v>
                </c:pt>
                <c:pt idx="13">
                  <c:v>96</c:v>
                </c:pt>
                <c:pt idx="14">
                  <c:v>108</c:v>
                </c:pt>
                <c:pt idx="15">
                  <c:v>120</c:v>
                </c:pt>
                <c:pt idx="16">
                  <c:v>216</c:v>
                </c:pt>
                <c:pt idx="17">
                  <c:v>120</c:v>
                </c:pt>
                <c:pt idx="18">
                  <c:v>72</c:v>
                </c:pt>
                <c:pt idx="19">
                  <c:v>0</c:v>
                </c:pt>
                <c:pt idx="20">
                  <c:v>0</c:v>
                </c:pt>
                <c:pt idx="21">
                  <c:v>252</c:v>
                </c:pt>
                <c:pt idx="22">
                  <c:v>84</c:v>
                </c:pt>
                <c:pt idx="23">
                  <c:v>120</c:v>
                </c:pt>
                <c:pt idx="24">
                  <c:v>204</c:v>
                </c:pt>
                <c:pt idx="25">
                  <c:v>144</c:v>
                </c:pt>
                <c:pt idx="26">
                  <c:v>83</c:v>
                </c:pt>
                <c:pt idx="27">
                  <c:v>120</c:v>
                </c:pt>
                <c:pt idx="28">
                  <c:v>192</c:v>
                </c:pt>
                <c:pt idx="29">
                  <c:v>60</c:v>
                </c:pt>
                <c:pt idx="30">
                  <c:v>192</c:v>
                </c:pt>
                <c:pt idx="31">
                  <c:v>48</c:v>
                </c:pt>
                <c:pt idx="32">
                  <c:v>252</c:v>
                </c:pt>
                <c:pt idx="33">
                  <c:v>156</c:v>
                </c:pt>
                <c:pt idx="34">
                  <c:v>156</c:v>
                </c:pt>
                <c:pt idx="35">
                  <c:v>72</c:v>
                </c:pt>
                <c:pt idx="36">
                  <c:v>144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46-4446-A2D0-6B8649E5C5D8}"/>
            </c:ext>
          </c:extLst>
        </c:ser>
        <c:ser>
          <c:idx val="4"/>
          <c:order val="4"/>
          <c:tx>
            <c:strRef>
              <c:f>'D. Shipments'!$A$386</c:f>
              <c:strCache>
                <c:ptCount val="1"/>
                <c:pt idx="0">
                  <c:v>FRUCTIS CONTROL Y DEF. RIZOS PODEROSOS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Shipments'!$B$386:$AQ$386</c:f>
              <c:numCache>
                <c:formatCode>#,##0</c:formatCode>
                <c:ptCount val="42"/>
                <c:pt idx="0">
                  <c:v>885</c:v>
                </c:pt>
                <c:pt idx="1">
                  <c:v>594</c:v>
                </c:pt>
                <c:pt idx="2">
                  <c:v>294</c:v>
                </c:pt>
                <c:pt idx="3">
                  <c:v>450</c:v>
                </c:pt>
                <c:pt idx="4">
                  <c:v>294</c:v>
                </c:pt>
                <c:pt idx="5">
                  <c:v>282</c:v>
                </c:pt>
                <c:pt idx="6">
                  <c:v>198</c:v>
                </c:pt>
                <c:pt idx="7">
                  <c:v>342</c:v>
                </c:pt>
                <c:pt idx="8">
                  <c:v>192</c:v>
                </c:pt>
                <c:pt idx="9">
                  <c:v>384</c:v>
                </c:pt>
                <c:pt idx="10">
                  <c:v>321</c:v>
                </c:pt>
                <c:pt idx="11">
                  <c:v>426</c:v>
                </c:pt>
                <c:pt idx="12">
                  <c:v>465</c:v>
                </c:pt>
                <c:pt idx="13">
                  <c:v>480</c:v>
                </c:pt>
                <c:pt idx="14">
                  <c:v>351</c:v>
                </c:pt>
                <c:pt idx="15">
                  <c:v>291</c:v>
                </c:pt>
                <c:pt idx="16">
                  <c:v>318</c:v>
                </c:pt>
                <c:pt idx="17">
                  <c:v>216</c:v>
                </c:pt>
                <c:pt idx="18">
                  <c:v>324</c:v>
                </c:pt>
                <c:pt idx="19">
                  <c:v>261</c:v>
                </c:pt>
                <c:pt idx="20">
                  <c:v>624</c:v>
                </c:pt>
                <c:pt idx="21">
                  <c:v>128</c:v>
                </c:pt>
                <c:pt idx="22">
                  <c:v>246</c:v>
                </c:pt>
                <c:pt idx="23">
                  <c:v>246</c:v>
                </c:pt>
                <c:pt idx="24">
                  <c:v>300</c:v>
                </c:pt>
                <c:pt idx="25">
                  <c:v>500</c:v>
                </c:pt>
                <c:pt idx="26">
                  <c:v>261</c:v>
                </c:pt>
                <c:pt idx="27">
                  <c:v>555</c:v>
                </c:pt>
                <c:pt idx="28">
                  <c:v>447</c:v>
                </c:pt>
                <c:pt idx="29">
                  <c:v>303</c:v>
                </c:pt>
                <c:pt idx="30">
                  <c:v>396</c:v>
                </c:pt>
                <c:pt idx="31">
                  <c:v>291</c:v>
                </c:pt>
                <c:pt idx="32">
                  <c:v>180</c:v>
                </c:pt>
                <c:pt idx="33">
                  <c:v>1419</c:v>
                </c:pt>
                <c:pt idx="34">
                  <c:v>369</c:v>
                </c:pt>
                <c:pt idx="35">
                  <c:v>209</c:v>
                </c:pt>
                <c:pt idx="36">
                  <c:v>564</c:v>
                </c:pt>
                <c:pt idx="37">
                  <c:v>426</c:v>
                </c:pt>
                <c:pt idx="38">
                  <c:v>255</c:v>
                </c:pt>
                <c:pt idx="39">
                  <c:v>306</c:v>
                </c:pt>
                <c:pt idx="40">
                  <c:v>183</c:v>
                </c:pt>
                <c:pt idx="41">
                  <c:v>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46-4446-A2D0-6B8649E5C5D8}"/>
            </c:ext>
          </c:extLst>
        </c:ser>
        <c:ser>
          <c:idx val="5"/>
          <c:order val="5"/>
          <c:tx>
            <c:strRef>
              <c:f>'D. Shipments'!$A$387</c:f>
              <c:strCache>
                <c:ptCount val="1"/>
                <c:pt idx="0">
                  <c:v>FRUCTIS GOODBYE DAMAGE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Shipments'!$B$387:$AQ$387</c:f>
              <c:numCache>
                <c:formatCode>#,##0</c:formatCode>
                <c:ptCount val="42"/>
                <c:pt idx="0">
                  <c:v>6264</c:v>
                </c:pt>
                <c:pt idx="1">
                  <c:v>5412</c:v>
                </c:pt>
                <c:pt idx="2">
                  <c:v>2052</c:v>
                </c:pt>
                <c:pt idx="3">
                  <c:v>2628</c:v>
                </c:pt>
                <c:pt idx="4">
                  <c:v>2964</c:v>
                </c:pt>
                <c:pt idx="5">
                  <c:v>7188</c:v>
                </c:pt>
                <c:pt idx="6">
                  <c:v>1248</c:v>
                </c:pt>
                <c:pt idx="7">
                  <c:v>2892</c:v>
                </c:pt>
                <c:pt idx="8">
                  <c:v>5196</c:v>
                </c:pt>
                <c:pt idx="9">
                  <c:v>2832</c:v>
                </c:pt>
                <c:pt idx="10">
                  <c:v>3816</c:v>
                </c:pt>
                <c:pt idx="11">
                  <c:v>5400</c:v>
                </c:pt>
                <c:pt idx="12">
                  <c:v>6144</c:v>
                </c:pt>
                <c:pt idx="13">
                  <c:v>4152</c:v>
                </c:pt>
                <c:pt idx="14">
                  <c:v>3804</c:v>
                </c:pt>
                <c:pt idx="15">
                  <c:v>3204</c:v>
                </c:pt>
                <c:pt idx="16">
                  <c:v>3540</c:v>
                </c:pt>
                <c:pt idx="17">
                  <c:v>3564</c:v>
                </c:pt>
                <c:pt idx="18">
                  <c:v>5064</c:v>
                </c:pt>
                <c:pt idx="19">
                  <c:v>1332</c:v>
                </c:pt>
                <c:pt idx="20">
                  <c:v>1116</c:v>
                </c:pt>
                <c:pt idx="21">
                  <c:v>210</c:v>
                </c:pt>
                <c:pt idx="22">
                  <c:v>564</c:v>
                </c:pt>
                <c:pt idx="23">
                  <c:v>1212</c:v>
                </c:pt>
                <c:pt idx="24">
                  <c:v>1776</c:v>
                </c:pt>
                <c:pt idx="25">
                  <c:v>864</c:v>
                </c:pt>
                <c:pt idx="26">
                  <c:v>3576</c:v>
                </c:pt>
                <c:pt idx="27">
                  <c:v>1128</c:v>
                </c:pt>
                <c:pt idx="28">
                  <c:v>1128</c:v>
                </c:pt>
                <c:pt idx="29">
                  <c:v>540</c:v>
                </c:pt>
                <c:pt idx="30">
                  <c:v>1152</c:v>
                </c:pt>
                <c:pt idx="31">
                  <c:v>1416</c:v>
                </c:pt>
                <c:pt idx="32">
                  <c:v>1308</c:v>
                </c:pt>
                <c:pt idx="33">
                  <c:v>2436</c:v>
                </c:pt>
                <c:pt idx="34">
                  <c:v>2748</c:v>
                </c:pt>
                <c:pt idx="35">
                  <c:v>2292</c:v>
                </c:pt>
                <c:pt idx="36">
                  <c:v>1404</c:v>
                </c:pt>
                <c:pt idx="37">
                  <c:v>2028</c:v>
                </c:pt>
                <c:pt idx="38">
                  <c:v>1296</c:v>
                </c:pt>
                <c:pt idx="39">
                  <c:v>2076</c:v>
                </c:pt>
                <c:pt idx="40">
                  <c:v>840</c:v>
                </c:pt>
                <c:pt idx="41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46-4446-A2D0-6B8649E5C5D8}"/>
            </c:ext>
          </c:extLst>
        </c:ser>
        <c:ser>
          <c:idx val="6"/>
          <c:order val="6"/>
          <c:tx>
            <c:strRef>
              <c:f>'D. Shipments'!$A$388</c:f>
              <c:strCache>
                <c:ptCount val="1"/>
                <c:pt idx="0">
                  <c:v>FRUCTIS HAIR FOOD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Shipments'!$B$388:$AQ$388</c:f>
              <c:numCache>
                <c:formatCode>#,##0</c:formatCode>
                <c:ptCount val="42"/>
                <c:pt idx="0">
                  <c:v>5406</c:v>
                </c:pt>
                <c:pt idx="1">
                  <c:v>5862</c:v>
                </c:pt>
                <c:pt idx="2">
                  <c:v>3048</c:v>
                </c:pt>
                <c:pt idx="3">
                  <c:v>3186</c:v>
                </c:pt>
                <c:pt idx="4">
                  <c:v>2088</c:v>
                </c:pt>
                <c:pt idx="5">
                  <c:v>2388</c:v>
                </c:pt>
                <c:pt idx="6">
                  <c:v>5394</c:v>
                </c:pt>
                <c:pt idx="7">
                  <c:v>3834</c:v>
                </c:pt>
                <c:pt idx="8">
                  <c:v>2670</c:v>
                </c:pt>
                <c:pt idx="9">
                  <c:v>3156</c:v>
                </c:pt>
                <c:pt idx="10">
                  <c:v>3126</c:v>
                </c:pt>
                <c:pt idx="11">
                  <c:v>3948</c:v>
                </c:pt>
                <c:pt idx="12">
                  <c:v>5676</c:v>
                </c:pt>
                <c:pt idx="13">
                  <c:v>7962</c:v>
                </c:pt>
                <c:pt idx="14">
                  <c:v>5112</c:v>
                </c:pt>
                <c:pt idx="15">
                  <c:v>2628</c:v>
                </c:pt>
                <c:pt idx="16">
                  <c:v>3822</c:v>
                </c:pt>
                <c:pt idx="17">
                  <c:v>1885</c:v>
                </c:pt>
                <c:pt idx="18">
                  <c:v>2064</c:v>
                </c:pt>
                <c:pt idx="19">
                  <c:v>2550</c:v>
                </c:pt>
                <c:pt idx="20">
                  <c:v>5166</c:v>
                </c:pt>
                <c:pt idx="21">
                  <c:v>1182</c:v>
                </c:pt>
                <c:pt idx="22">
                  <c:v>2808</c:v>
                </c:pt>
                <c:pt idx="23">
                  <c:v>3390</c:v>
                </c:pt>
                <c:pt idx="24">
                  <c:v>4374</c:v>
                </c:pt>
                <c:pt idx="25">
                  <c:v>2472</c:v>
                </c:pt>
                <c:pt idx="26">
                  <c:v>3618</c:v>
                </c:pt>
                <c:pt idx="27">
                  <c:v>3972</c:v>
                </c:pt>
                <c:pt idx="28">
                  <c:v>3012</c:v>
                </c:pt>
                <c:pt idx="29">
                  <c:v>2946</c:v>
                </c:pt>
                <c:pt idx="30">
                  <c:v>1782</c:v>
                </c:pt>
                <c:pt idx="31">
                  <c:v>2514</c:v>
                </c:pt>
                <c:pt idx="32">
                  <c:v>2508</c:v>
                </c:pt>
                <c:pt idx="33">
                  <c:v>2490</c:v>
                </c:pt>
                <c:pt idx="34">
                  <c:v>3612</c:v>
                </c:pt>
                <c:pt idx="35">
                  <c:v>2484</c:v>
                </c:pt>
                <c:pt idx="36">
                  <c:v>3504</c:v>
                </c:pt>
                <c:pt idx="37">
                  <c:v>2820</c:v>
                </c:pt>
                <c:pt idx="38">
                  <c:v>2772</c:v>
                </c:pt>
                <c:pt idx="39">
                  <c:v>1398</c:v>
                </c:pt>
                <c:pt idx="40">
                  <c:v>4968</c:v>
                </c:pt>
                <c:pt idx="41">
                  <c:v>4032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46-4446-A2D0-6B8649E5C5D8}"/>
            </c:ext>
          </c:extLst>
        </c:ser>
        <c:ser>
          <c:idx val="7"/>
          <c:order val="7"/>
          <c:tx>
            <c:strRef>
              <c:f>'D. Shipments'!$A$389</c:f>
              <c:strCache>
                <c:ptCount val="1"/>
                <c:pt idx="0">
                  <c:v>FRUCTIS LISO COCO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Shipments'!$B$389:$AQ$389</c:f>
              <c:numCache>
                <c:formatCode>#,##0</c:formatCode>
                <c:ptCount val="42"/>
                <c:pt idx="0">
                  <c:v>8186</c:v>
                </c:pt>
                <c:pt idx="1">
                  <c:v>7644</c:v>
                </c:pt>
                <c:pt idx="2">
                  <c:v>2915</c:v>
                </c:pt>
                <c:pt idx="3">
                  <c:v>4728</c:v>
                </c:pt>
                <c:pt idx="4">
                  <c:v>6264</c:v>
                </c:pt>
                <c:pt idx="5">
                  <c:v>7464</c:v>
                </c:pt>
                <c:pt idx="6">
                  <c:v>2796</c:v>
                </c:pt>
                <c:pt idx="7">
                  <c:v>3108</c:v>
                </c:pt>
                <c:pt idx="8">
                  <c:v>5610</c:v>
                </c:pt>
                <c:pt idx="9">
                  <c:v>5796</c:v>
                </c:pt>
                <c:pt idx="10">
                  <c:v>2988</c:v>
                </c:pt>
                <c:pt idx="11">
                  <c:v>4374</c:v>
                </c:pt>
                <c:pt idx="12">
                  <c:v>5706</c:v>
                </c:pt>
                <c:pt idx="13">
                  <c:v>636</c:v>
                </c:pt>
                <c:pt idx="14">
                  <c:v>3012</c:v>
                </c:pt>
                <c:pt idx="15">
                  <c:v>3360</c:v>
                </c:pt>
                <c:pt idx="16">
                  <c:v>1678</c:v>
                </c:pt>
                <c:pt idx="17">
                  <c:v>2136</c:v>
                </c:pt>
                <c:pt idx="18">
                  <c:v>336</c:v>
                </c:pt>
                <c:pt idx="19">
                  <c:v>264</c:v>
                </c:pt>
                <c:pt idx="20">
                  <c:v>648</c:v>
                </c:pt>
                <c:pt idx="21">
                  <c:v>354</c:v>
                </c:pt>
                <c:pt idx="22">
                  <c:v>1014</c:v>
                </c:pt>
                <c:pt idx="23">
                  <c:v>528</c:v>
                </c:pt>
                <c:pt idx="24">
                  <c:v>504</c:v>
                </c:pt>
                <c:pt idx="25">
                  <c:v>468</c:v>
                </c:pt>
                <c:pt idx="26">
                  <c:v>636</c:v>
                </c:pt>
                <c:pt idx="27">
                  <c:v>510</c:v>
                </c:pt>
                <c:pt idx="28">
                  <c:v>1566</c:v>
                </c:pt>
                <c:pt idx="29">
                  <c:v>1224</c:v>
                </c:pt>
                <c:pt idx="30">
                  <c:v>1572</c:v>
                </c:pt>
                <c:pt idx="31">
                  <c:v>4098</c:v>
                </c:pt>
                <c:pt idx="32">
                  <c:v>4470</c:v>
                </c:pt>
                <c:pt idx="33">
                  <c:v>3855</c:v>
                </c:pt>
                <c:pt idx="34">
                  <c:v>3864</c:v>
                </c:pt>
                <c:pt idx="35">
                  <c:v>4278</c:v>
                </c:pt>
                <c:pt idx="36">
                  <c:v>2928</c:v>
                </c:pt>
                <c:pt idx="37">
                  <c:v>2988</c:v>
                </c:pt>
                <c:pt idx="38">
                  <c:v>2994</c:v>
                </c:pt>
                <c:pt idx="39">
                  <c:v>2838</c:v>
                </c:pt>
                <c:pt idx="40">
                  <c:v>2394</c:v>
                </c:pt>
                <c:pt idx="41">
                  <c:v>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46-4446-A2D0-6B8649E5C5D8}"/>
            </c:ext>
          </c:extLst>
        </c:ser>
        <c:ser>
          <c:idx val="8"/>
          <c:order val="8"/>
          <c:tx>
            <c:strRef>
              <c:f>'D. Shipments'!$A$390</c:f>
              <c:strCache>
                <c:ptCount val="1"/>
                <c:pt idx="0">
                  <c:v>FRUCTIS OIL REPAIR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Shipments'!$B$390:$AQ$390</c:f>
              <c:numCache>
                <c:formatCode>#,##0</c:formatCode>
                <c:ptCount val="42"/>
                <c:pt idx="0">
                  <c:v>357</c:v>
                </c:pt>
                <c:pt idx="1">
                  <c:v>198</c:v>
                </c:pt>
                <c:pt idx="2">
                  <c:v>285</c:v>
                </c:pt>
                <c:pt idx="3">
                  <c:v>165</c:v>
                </c:pt>
                <c:pt idx="4">
                  <c:v>282</c:v>
                </c:pt>
                <c:pt idx="5">
                  <c:v>165</c:v>
                </c:pt>
                <c:pt idx="6">
                  <c:v>219</c:v>
                </c:pt>
                <c:pt idx="7">
                  <c:v>141</c:v>
                </c:pt>
                <c:pt idx="8">
                  <c:v>210</c:v>
                </c:pt>
                <c:pt idx="9">
                  <c:v>255</c:v>
                </c:pt>
                <c:pt idx="10">
                  <c:v>123</c:v>
                </c:pt>
                <c:pt idx="11">
                  <c:v>207</c:v>
                </c:pt>
                <c:pt idx="12">
                  <c:v>408</c:v>
                </c:pt>
                <c:pt idx="13">
                  <c:v>576</c:v>
                </c:pt>
                <c:pt idx="14">
                  <c:v>684</c:v>
                </c:pt>
                <c:pt idx="15">
                  <c:v>881</c:v>
                </c:pt>
                <c:pt idx="16">
                  <c:v>132</c:v>
                </c:pt>
                <c:pt idx="17">
                  <c:v>30</c:v>
                </c:pt>
                <c:pt idx="18">
                  <c:v>714</c:v>
                </c:pt>
                <c:pt idx="19">
                  <c:v>672</c:v>
                </c:pt>
                <c:pt idx="20">
                  <c:v>228</c:v>
                </c:pt>
                <c:pt idx="21">
                  <c:v>324</c:v>
                </c:pt>
                <c:pt idx="22">
                  <c:v>168</c:v>
                </c:pt>
                <c:pt idx="23">
                  <c:v>240</c:v>
                </c:pt>
                <c:pt idx="24">
                  <c:v>300</c:v>
                </c:pt>
                <c:pt idx="25">
                  <c:v>24</c:v>
                </c:pt>
                <c:pt idx="26">
                  <c:v>0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46-4446-A2D0-6B8649E5C5D8}"/>
            </c:ext>
          </c:extLst>
        </c:ser>
        <c:ser>
          <c:idx val="9"/>
          <c:order val="9"/>
          <c:tx>
            <c:strRef>
              <c:f>'D. Shipments'!$A$391</c:f>
              <c:strCache>
                <c:ptCount val="1"/>
                <c:pt idx="0">
                  <c:v>FRUCTIS OIL REPAIR LISO COCO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Shipments'!$B$391:$AQ$391</c:f>
              <c:numCache>
                <c:formatCode>#,##0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108</c:v>
                </c:pt>
                <c:pt idx="31">
                  <c:v>528</c:v>
                </c:pt>
                <c:pt idx="32">
                  <c:v>864</c:v>
                </c:pt>
                <c:pt idx="33">
                  <c:v>60</c:v>
                </c:pt>
                <c:pt idx="34">
                  <c:v>0</c:v>
                </c:pt>
                <c:pt idx="35">
                  <c:v>792</c:v>
                </c:pt>
                <c:pt idx="36">
                  <c:v>444</c:v>
                </c:pt>
                <c:pt idx="37">
                  <c:v>444</c:v>
                </c:pt>
                <c:pt idx="38">
                  <c:v>336</c:v>
                </c:pt>
                <c:pt idx="39">
                  <c:v>264</c:v>
                </c:pt>
                <c:pt idx="40">
                  <c:v>168</c:v>
                </c:pt>
                <c:pt idx="41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46-4446-A2D0-6B8649E5C5D8}"/>
            </c:ext>
          </c:extLst>
        </c:ser>
        <c:ser>
          <c:idx val="10"/>
          <c:order val="10"/>
          <c:tx>
            <c:strRef>
              <c:f>'D. Shipments'!$A$392</c:f>
              <c:strCache>
                <c:ptCount val="1"/>
                <c:pt idx="0">
                  <c:v>FRUCTIS OIL REPAIR RECARGA NUTRITIVA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Shipments'!$B$392:$AQ$392</c:f>
              <c:numCache>
                <c:formatCode>#,##0</c:formatCode>
                <c:ptCount val="42"/>
                <c:pt idx="0">
                  <c:v>10152</c:v>
                </c:pt>
                <c:pt idx="1">
                  <c:v>7685</c:v>
                </c:pt>
                <c:pt idx="2">
                  <c:v>2157</c:v>
                </c:pt>
                <c:pt idx="3">
                  <c:v>6688</c:v>
                </c:pt>
                <c:pt idx="4">
                  <c:v>3240</c:v>
                </c:pt>
                <c:pt idx="5">
                  <c:v>6663</c:v>
                </c:pt>
                <c:pt idx="6">
                  <c:v>1512</c:v>
                </c:pt>
                <c:pt idx="7">
                  <c:v>13455</c:v>
                </c:pt>
                <c:pt idx="8">
                  <c:v>8100</c:v>
                </c:pt>
                <c:pt idx="9">
                  <c:v>2781</c:v>
                </c:pt>
                <c:pt idx="10">
                  <c:v>1977</c:v>
                </c:pt>
                <c:pt idx="11">
                  <c:v>3558</c:v>
                </c:pt>
                <c:pt idx="12">
                  <c:v>5676</c:v>
                </c:pt>
                <c:pt idx="13">
                  <c:v>5808</c:v>
                </c:pt>
                <c:pt idx="14">
                  <c:v>3297</c:v>
                </c:pt>
                <c:pt idx="15">
                  <c:v>2565</c:v>
                </c:pt>
                <c:pt idx="16">
                  <c:v>3507</c:v>
                </c:pt>
                <c:pt idx="17">
                  <c:v>2037</c:v>
                </c:pt>
                <c:pt idx="18">
                  <c:v>3625</c:v>
                </c:pt>
                <c:pt idx="19">
                  <c:v>1872</c:v>
                </c:pt>
                <c:pt idx="20">
                  <c:v>2844</c:v>
                </c:pt>
                <c:pt idx="21">
                  <c:v>678</c:v>
                </c:pt>
                <c:pt idx="22">
                  <c:v>1620</c:v>
                </c:pt>
                <c:pt idx="23">
                  <c:v>1503</c:v>
                </c:pt>
                <c:pt idx="24">
                  <c:v>2468</c:v>
                </c:pt>
                <c:pt idx="25">
                  <c:v>1257</c:v>
                </c:pt>
                <c:pt idx="26">
                  <c:v>1110</c:v>
                </c:pt>
                <c:pt idx="27">
                  <c:v>2190</c:v>
                </c:pt>
                <c:pt idx="28">
                  <c:v>1477</c:v>
                </c:pt>
                <c:pt idx="29">
                  <c:v>963</c:v>
                </c:pt>
                <c:pt idx="30">
                  <c:v>1083</c:v>
                </c:pt>
                <c:pt idx="31">
                  <c:v>948</c:v>
                </c:pt>
                <c:pt idx="32">
                  <c:v>1812</c:v>
                </c:pt>
                <c:pt idx="33">
                  <c:v>2469</c:v>
                </c:pt>
                <c:pt idx="34">
                  <c:v>2167</c:v>
                </c:pt>
                <c:pt idx="35">
                  <c:v>1386</c:v>
                </c:pt>
                <c:pt idx="36">
                  <c:v>2631</c:v>
                </c:pt>
                <c:pt idx="37">
                  <c:v>2436</c:v>
                </c:pt>
                <c:pt idx="38">
                  <c:v>1784</c:v>
                </c:pt>
                <c:pt idx="39">
                  <c:v>1872</c:v>
                </c:pt>
                <c:pt idx="40">
                  <c:v>1875</c:v>
                </c:pt>
                <c:pt idx="41">
                  <c:v>1808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46-4446-A2D0-6B8649E5C5D8}"/>
            </c:ext>
          </c:extLst>
        </c:ser>
        <c:ser>
          <c:idx val="11"/>
          <c:order val="11"/>
          <c:tx>
            <c:strRef>
              <c:f>'D. Shipments'!$A$393</c:f>
              <c:strCache>
                <c:ptCount val="1"/>
                <c:pt idx="0">
                  <c:v>FRUCTIS PROBIOTICOS FUERZA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Shipments'!$B$393:$AQ$393</c:f>
              <c:numCache>
                <c:formatCode>#,##0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5532</c:v>
                </c:pt>
                <c:pt idx="31">
                  <c:v>9168</c:v>
                </c:pt>
                <c:pt idx="32">
                  <c:v>4884</c:v>
                </c:pt>
                <c:pt idx="33">
                  <c:v>2676</c:v>
                </c:pt>
                <c:pt idx="34">
                  <c:v>4044</c:v>
                </c:pt>
                <c:pt idx="35">
                  <c:v>2388</c:v>
                </c:pt>
                <c:pt idx="36">
                  <c:v>1128</c:v>
                </c:pt>
                <c:pt idx="37">
                  <c:v>3120</c:v>
                </c:pt>
                <c:pt idx="38">
                  <c:v>4788</c:v>
                </c:pt>
                <c:pt idx="39">
                  <c:v>5880</c:v>
                </c:pt>
                <c:pt idx="40">
                  <c:v>5328</c:v>
                </c:pt>
                <c:pt idx="41">
                  <c:v>5028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46-4446-A2D0-6B8649E5C5D8}"/>
            </c:ext>
          </c:extLst>
        </c:ser>
        <c:ser>
          <c:idx val="12"/>
          <c:order val="12"/>
          <c:tx>
            <c:strRef>
              <c:f>'D. Shipments'!$A$394</c:f>
              <c:strCache>
                <c:ptCount val="1"/>
                <c:pt idx="0">
                  <c:v>FRUCTIS SLEEK AND SHINE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Shipments'!$B$394:$AQ$394</c:f>
              <c:numCache>
                <c:formatCode>#,##0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1092</c:v>
                </c:pt>
                <c:pt idx="18">
                  <c:v>1449</c:v>
                </c:pt>
                <c:pt idx="19">
                  <c:v>330</c:v>
                </c:pt>
                <c:pt idx="20">
                  <c:v>258</c:v>
                </c:pt>
                <c:pt idx="21">
                  <c:v>21</c:v>
                </c:pt>
                <c:pt idx="22">
                  <c:v>0</c:v>
                </c:pt>
                <c:pt idx="23">
                  <c:v>450</c:v>
                </c:pt>
                <c:pt idx="24">
                  <c:v>186</c:v>
                </c:pt>
                <c:pt idx="25">
                  <c:v>0</c:v>
                </c:pt>
                <c:pt idx="26">
                  <c:v>24</c:v>
                </c:pt>
                <c:pt idx="27">
                  <c:v>300</c:v>
                </c:pt>
                <c:pt idx="28">
                  <c:v>198</c:v>
                </c:pt>
                <c:pt idx="29">
                  <c:v>108</c:v>
                </c:pt>
                <c:pt idx="30">
                  <c:v>162</c:v>
                </c:pt>
                <c:pt idx="31">
                  <c:v>156</c:v>
                </c:pt>
                <c:pt idx="32">
                  <c:v>96</c:v>
                </c:pt>
                <c:pt idx="33">
                  <c:v>108</c:v>
                </c:pt>
                <c:pt idx="34">
                  <c:v>156</c:v>
                </c:pt>
                <c:pt idx="35">
                  <c:v>120</c:v>
                </c:pt>
                <c:pt idx="36">
                  <c:v>72</c:v>
                </c:pt>
                <c:pt idx="37">
                  <c:v>120</c:v>
                </c:pt>
                <c:pt idx="38">
                  <c:v>66</c:v>
                </c:pt>
                <c:pt idx="39">
                  <c:v>102</c:v>
                </c:pt>
                <c:pt idx="40">
                  <c:v>60</c:v>
                </c:pt>
                <c:pt idx="41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46-4446-A2D0-6B8649E5C5D8}"/>
            </c:ext>
          </c:extLst>
        </c:ser>
        <c:ser>
          <c:idx val="13"/>
          <c:order val="13"/>
          <c:tx>
            <c:strRef>
              <c:f>'D. Shipments'!$A$395</c:f>
              <c:strCache>
                <c:ptCount val="1"/>
                <c:pt idx="0">
                  <c:v>FRUCTIS STOP CAIDA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Shipments'!$B$395:$AQ$395</c:f>
              <c:numCache>
                <c:formatCode>#,##0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3021</c:v>
                </c:pt>
                <c:pt idx="5">
                  <c:v>3993</c:v>
                </c:pt>
                <c:pt idx="6">
                  <c:v>486</c:v>
                </c:pt>
                <c:pt idx="7">
                  <c:v>195</c:v>
                </c:pt>
                <c:pt idx="8">
                  <c:v>243</c:v>
                </c:pt>
                <c:pt idx="9">
                  <c:v>321</c:v>
                </c:pt>
                <c:pt idx="10">
                  <c:v>237</c:v>
                </c:pt>
                <c:pt idx="11">
                  <c:v>471</c:v>
                </c:pt>
                <c:pt idx="12">
                  <c:v>525</c:v>
                </c:pt>
                <c:pt idx="13">
                  <c:v>1074</c:v>
                </c:pt>
                <c:pt idx="14">
                  <c:v>228</c:v>
                </c:pt>
                <c:pt idx="15">
                  <c:v>381</c:v>
                </c:pt>
                <c:pt idx="16">
                  <c:v>531</c:v>
                </c:pt>
                <c:pt idx="17">
                  <c:v>135</c:v>
                </c:pt>
                <c:pt idx="18">
                  <c:v>279</c:v>
                </c:pt>
                <c:pt idx="19">
                  <c:v>399</c:v>
                </c:pt>
                <c:pt idx="20">
                  <c:v>606</c:v>
                </c:pt>
                <c:pt idx="21">
                  <c:v>135</c:v>
                </c:pt>
                <c:pt idx="22">
                  <c:v>276</c:v>
                </c:pt>
                <c:pt idx="23">
                  <c:v>261</c:v>
                </c:pt>
                <c:pt idx="24">
                  <c:v>336</c:v>
                </c:pt>
                <c:pt idx="25">
                  <c:v>273</c:v>
                </c:pt>
                <c:pt idx="26">
                  <c:v>351</c:v>
                </c:pt>
                <c:pt idx="27">
                  <c:v>351</c:v>
                </c:pt>
                <c:pt idx="28">
                  <c:v>285</c:v>
                </c:pt>
                <c:pt idx="29">
                  <c:v>312</c:v>
                </c:pt>
                <c:pt idx="30">
                  <c:v>306</c:v>
                </c:pt>
                <c:pt idx="31">
                  <c:v>219</c:v>
                </c:pt>
                <c:pt idx="32">
                  <c:v>141</c:v>
                </c:pt>
                <c:pt idx="33">
                  <c:v>747</c:v>
                </c:pt>
                <c:pt idx="34">
                  <c:v>273</c:v>
                </c:pt>
                <c:pt idx="35">
                  <c:v>141</c:v>
                </c:pt>
                <c:pt idx="36">
                  <c:v>540</c:v>
                </c:pt>
                <c:pt idx="37">
                  <c:v>297</c:v>
                </c:pt>
                <c:pt idx="38">
                  <c:v>321</c:v>
                </c:pt>
                <c:pt idx="39">
                  <c:v>171</c:v>
                </c:pt>
                <c:pt idx="40">
                  <c:v>147</c:v>
                </c:pt>
                <c:pt idx="41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46-4446-A2D0-6B8649E5C5D8}"/>
            </c:ext>
          </c:extLst>
        </c:ser>
        <c:ser>
          <c:idx val="14"/>
          <c:order val="14"/>
          <c:tx>
            <c:strRef>
              <c:f>'D. Shipments'!$A$396</c:f>
              <c:strCache>
                <c:ptCount val="1"/>
                <c:pt idx="0">
                  <c:v>FRUCTIS STOP CAIDA CRECER FUERTE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Shipments'!$B$396:$AQ$396</c:f>
              <c:numCache>
                <c:formatCode>#,##0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1752</c:v>
                </c:pt>
                <c:pt idx="5">
                  <c:v>2592</c:v>
                </c:pt>
                <c:pt idx="6">
                  <c:v>300</c:v>
                </c:pt>
                <c:pt idx="7">
                  <c:v>192</c:v>
                </c:pt>
                <c:pt idx="8">
                  <c:v>384</c:v>
                </c:pt>
                <c:pt idx="9">
                  <c:v>348</c:v>
                </c:pt>
                <c:pt idx="10">
                  <c:v>264</c:v>
                </c:pt>
                <c:pt idx="11">
                  <c:v>516</c:v>
                </c:pt>
                <c:pt idx="12">
                  <c:v>696</c:v>
                </c:pt>
                <c:pt idx="13">
                  <c:v>588</c:v>
                </c:pt>
                <c:pt idx="14">
                  <c:v>396</c:v>
                </c:pt>
                <c:pt idx="15">
                  <c:v>324</c:v>
                </c:pt>
                <c:pt idx="16">
                  <c:v>756</c:v>
                </c:pt>
                <c:pt idx="17">
                  <c:v>336</c:v>
                </c:pt>
                <c:pt idx="18">
                  <c:v>180</c:v>
                </c:pt>
                <c:pt idx="19">
                  <c:v>216</c:v>
                </c:pt>
                <c:pt idx="20">
                  <c:v>0</c:v>
                </c:pt>
                <c:pt idx="21">
                  <c:v>180</c:v>
                </c:pt>
                <c:pt idx="22">
                  <c:v>660</c:v>
                </c:pt>
                <c:pt idx="23">
                  <c:v>468</c:v>
                </c:pt>
                <c:pt idx="24">
                  <c:v>348</c:v>
                </c:pt>
                <c:pt idx="25">
                  <c:v>240</c:v>
                </c:pt>
                <c:pt idx="26">
                  <c:v>240</c:v>
                </c:pt>
                <c:pt idx="27">
                  <c:v>672</c:v>
                </c:pt>
                <c:pt idx="28">
                  <c:v>456</c:v>
                </c:pt>
                <c:pt idx="29">
                  <c:v>732</c:v>
                </c:pt>
                <c:pt idx="30">
                  <c:v>372</c:v>
                </c:pt>
                <c:pt idx="31">
                  <c:v>156</c:v>
                </c:pt>
                <c:pt idx="32">
                  <c:v>240</c:v>
                </c:pt>
                <c:pt idx="33">
                  <c:v>1068</c:v>
                </c:pt>
                <c:pt idx="34">
                  <c:v>768</c:v>
                </c:pt>
                <c:pt idx="35">
                  <c:v>180</c:v>
                </c:pt>
                <c:pt idx="36">
                  <c:v>252</c:v>
                </c:pt>
                <c:pt idx="37">
                  <c:v>132</c:v>
                </c:pt>
                <c:pt idx="38">
                  <c:v>276</c:v>
                </c:pt>
                <c:pt idx="39">
                  <c:v>396</c:v>
                </c:pt>
                <c:pt idx="40">
                  <c:v>276</c:v>
                </c:pt>
                <c:pt idx="41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46-4446-A2D0-6B8649E5C5D8}"/>
            </c:ext>
          </c:extLst>
        </c:ser>
        <c:ser>
          <c:idx val="15"/>
          <c:order val="15"/>
          <c:tx>
            <c:strRef>
              <c:f>'D. Shipments'!$A$397</c:f>
              <c:strCache>
                <c:ptCount val="1"/>
                <c:pt idx="0">
                  <c:v>FRUCTIS VITAMINADO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Shipments'!$B$381:$AQ$381</c:f>
              <c:numCache>
                <c:formatCode>mmm\-yy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'D. Shipments'!$B$397:$AQ$397</c:f>
              <c:numCache>
                <c:formatCode>#,##0</c:formatCode>
                <c:ptCount val="42"/>
                <c:pt idx="0">
                  <c:v>5952</c:v>
                </c:pt>
                <c:pt idx="1">
                  <c:v>5856</c:v>
                </c:pt>
                <c:pt idx="2">
                  <c:v>2784</c:v>
                </c:pt>
                <c:pt idx="3">
                  <c:v>7308</c:v>
                </c:pt>
                <c:pt idx="4">
                  <c:v>7020</c:v>
                </c:pt>
                <c:pt idx="5">
                  <c:v>6984</c:v>
                </c:pt>
                <c:pt idx="6">
                  <c:v>3456</c:v>
                </c:pt>
                <c:pt idx="7">
                  <c:v>3672</c:v>
                </c:pt>
                <c:pt idx="8">
                  <c:v>5940</c:v>
                </c:pt>
                <c:pt idx="9">
                  <c:v>5388</c:v>
                </c:pt>
                <c:pt idx="10">
                  <c:v>3936</c:v>
                </c:pt>
                <c:pt idx="11">
                  <c:v>5520</c:v>
                </c:pt>
                <c:pt idx="12">
                  <c:v>9576</c:v>
                </c:pt>
                <c:pt idx="13">
                  <c:v>5736</c:v>
                </c:pt>
                <c:pt idx="14">
                  <c:v>2412</c:v>
                </c:pt>
                <c:pt idx="15">
                  <c:v>3108</c:v>
                </c:pt>
                <c:pt idx="16">
                  <c:v>4200</c:v>
                </c:pt>
                <c:pt idx="17">
                  <c:v>4320</c:v>
                </c:pt>
                <c:pt idx="18">
                  <c:v>7860</c:v>
                </c:pt>
                <c:pt idx="19">
                  <c:v>3924</c:v>
                </c:pt>
                <c:pt idx="20">
                  <c:v>5676</c:v>
                </c:pt>
                <c:pt idx="21">
                  <c:v>768</c:v>
                </c:pt>
                <c:pt idx="22">
                  <c:v>2280</c:v>
                </c:pt>
                <c:pt idx="23">
                  <c:v>1692</c:v>
                </c:pt>
                <c:pt idx="24">
                  <c:v>1440</c:v>
                </c:pt>
                <c:pt idx="25">
                  <c:v>1140</c:v>
                </c:pt>
                <c:pt idx="26">
                  <c:v>3672</c:v>
                </c:pt>
                <c:pt idx="27">
                  <c:v>2184</c:v>
                </c:pt>
                <c:pt idx="28">
                  <c:v>1644</c:v>
                </c:pt>
                <c:pt idx="29">
                  <c:v>3288</c:v>
                </c:pt>
                <c:pt idx="30">
                  <c:v>1356</c:v>
                </c:pt>
                <c:pt idx="31">
                  <c:v>1728</c:v>
                </c:pt>
                <c:pt idx="32">
                  <c:v>1980</c:v>
                </c:pt>
                <c:pt idx="33">
                  <c:v>3180</c:v>
                </c:pt>
                <c:pt idx="34">
                  <c:v>5136</c:v>
                </c:pt>
                <c:pt idx="35">
                  <c:v>2364</c:v>
                </c:pt>
                <c:pt idx="36">
                  <c:v>1656</c:v>
                </c:pt>
                <c:pt idx="37">
                  <c:v>1836</c:v>
                </c:pt>
                <c:pt idx="38">
                  <c:v>2016</c:v>
                </c:pt>
                <c:pt idx="39">
                  <c:v>1464</c:v>
                </c:pt>
                <c:pt idx="40">
                  <c:v>2136</c:v>
                </c:pt>
                <c:pt idx="41">
                  <c:v>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C46-4446-A2D0-6B8649E5C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498208"/>
        <c:axId val="1624498688"/>
      </c:lineChart>
      <c:dateAx>
        <c:axId val="1624498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4498688"/>
        <c:crosses val="autoZero"/>
        <c:auto val="1"/>
        <c:lblOffset val="100"/>
        <c:baseTimeUnit val="months"/>
      </c:dateAx>
      <c:valAx>
        <c:axId val="16244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449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'D. Shipments'!$A$129</c:f>
          <c:strCache>
            <c:ptCount val="1"/>
            <c:pt idx="0">
              <c:v>ELVIVE HIDRA HIALURONICO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'D. Shipments'!$A$259</c:f>
              <c:strCache>
                <c:ptCount val="1"/>
                <c:pt idx="0">
                  <c:v>NIQ</c:v>
                </c:pt>
              </c:strCache>
            </c:strRef>
          </c:tx>
          <c:spPr>
            <a:ln w="28575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Shipments'!$B$258:$AK$258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Shipments'!$B$259:$AK$259</c:f>
              <c:numCache>
                <c:formatCode>_-* #,##0_-;\-* #,##0_-;_-* "-"??_-;_-@_-</c:formatCode>
                <c:ptCount val="36"/>
                <c:pt idx="0">
                  <c:v>33226</c:v>
                </c:pt>
                <c:pt idx="1">
                  <c:v>29844</c:v>
                </c:pt>
                <c:pt idx="2">
                  <c:v>32924</c:v>
                </c:pt>
                <c:pt idx="3">
                  <c:v>28977</c:v>
                </c:pt>
                <c:pt idx="4">
                  <c:v>31323</c:v>
                </c:pt>
                <c:pt idx="5">
                  <c:v>29651</c:v>
                </c:pt>
                <c:pt idx="6">
                  <c:v>29032</c:v>
                </c:pt>
                <c:pt idx="7">
                  <c:v>31664</c:v>
                </c:pt>
                <c:pt idx="8">
                  <c:v>32479</c:v>
                </c:pt>
                <c:pt idx="9">
                  <c:v>27492</c:v>
                </c:pt>
                <c:pt idx="10">
                  <c:v>27894</c:v>
                </c:pt>
                <c:pt idx="11">
                  <c:v>21325</c:v>
                </c:pt>
                <c:pt idx="12">
                  <c:v>19468</c:v>
                </c:pt>
                <c:pt idx="13">
                  <c:v>21839</c:v>
                </c:pt>
                <c:pt idx="14">
                  <c:v>22183</c:v>
                </c:pt>
                <c:pt idx="15">
                  <c:v>24333</c:v>
                </c:pt>
                <c:pt idx="16">
                  <c:v>21158</c:v>
                </c:pt>
                <c:pt idx="17">
                  <c:v>19586</c:v>
                </c:pt>
                <c:pt idx="18">
                  <c:v>21319</c:v>
                </c:pt>
                <c:pt idx="19">
                  <c:v>26161</c:v>
                </c:pt>
                <c:pt idx="20">
                  <c:v>25475</c:v>
                </c:pt>
                <c:pt idx="21">
                  <c:v>24948</c:v>
                </c:pt>
                <c:pt idx="22">
                  <c:v>27130</c:v>
                </c:pt>
                <c:pt idx="23">
                  <c:v>22988</c:v>
                </c:pt>
                <c:pt idx="24">
                  <c:v>23155</c:v>
                </c:pt>
                <c:pt idx="25">
                  <c:v>22667</c:v>
                </c:pt>
                <c:pt idx="26">
                  <c:v>24910</c:v>
                </c:pt>
                <c:pt idx="27">
                  <c:v>19707</c:v>
                </c:pt>
                <c:pt idx="28">
                  <c:v>18982</c:v>
                </c:pt>
                <c:pt idx="29">
                  <c:v>16478</c:v>
                </c:pt>
                <c:pt idx="30">
                  <c:v>17540</c:v>
                </c:pt>
                <c:pt idx="31">
                  <c:v>17245</c:v>
                </c:pt>
                <c:pt idx="32">
                  <c:v>18818</c:v>
                </c:pt>
                <c:pt idx="33">
                  <c:v>17932</c:v>
                </c:pt>
                <c:pt idx="34">
                  <c:v>14972</c:v>
                </c:pt>
                <c:pt idx="35">
                  <c:v>13552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D-4B88-8D08-9C9901305A59}"/>
            </c:ext>
          </c:extLst>
        </c:ser>
        <c:ser>
          <c:idx val="1"/>
          <c:order val="1"/>
          <c:tx>
            <c:strRef>
              <c:f>'D. Shipments'!$A$260</c:f>
              <c:strCache>
                <c:ptCount val="1"/>
                <c:pt idx="0">
                  <c:v>L'oreal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Shipments'!$B$258:$AK$258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Shipments'!$B$260:$AK$260</c:f>
              <c:numCache>
                <c:formatCode>_-* #,##0_-;\-* #,##0_-;_-* "-"??_-;_-@_-</c:formatCode>
                <c:ptCount val="36"/>
                <c:pt idx="0">
                  <c:v>46205</c:v>
                </c:pt>
                <c:pt idx="1">
                  <c:v>59107</c:v>
                </c:pt>
                <c:pt idx="2">
                  <c:v>50385</c:v>
                </c:pt>
                <c:pt idx="3">
                  <c:v>37425</c:v>
                </c:pt>
                <c:pt idx="4">
                  <c:v>36697</c:v>
                </c:pt>
                <c:pt idx="5">
                  <c:v>25269</c:v>
                </c:pt>
                <c:pt idx="6">
                  <c:v>37958</c:v>
                </c:pt>
                <c:pt idx="7">
                  <c:v>17838</c:v>
                </c:pt>
                <c:pt idx="8">
                  <c:v>35703</c:v>
                </c:pt>
                <c:pt idx="9">
                  <c:v>22468</c:v>
                </c:pt>
                <c:pt idx="10">
                  <c:v>26647</c:v>
                </c:pt>
                <c:pt idx="11">
                  <c:v>17163</c:v>
                </c:pt>
                <c:pt idx="12">
                  <c:v>34224</c:v>
                </c:pt>
                <c:pt idx="13">
                  <c:v>26654</c:v>
                </c:pt>
                <c:pt idx="14">
                  <c:v>30304</c:v>
                </c:pt>
                <c:pt idx="15">
                  <c:v>20400</c:v>
                </c:pt>
                <c:pt idx="16">
                  <c:v>19464</c:v>
                </c:pt>
                <c:pt idx="17">
                  <c:v>13732</c:v>
                </c:pt>
                <c:pt idx="18">
                  <c:v>19473</c:v>
                </c:pt>
                <c:pt idx="19">
                  <c:v>13080</c:v>
                </c:pt>
                <c:pt idx="20">
                  <c:v>14181</c:v>
                </c:pt>
                <c:pt idx="21">
                  <c:v>5802</c:v>
                </c:pt>
                <c:pt idx="22">
                  <c:v>29804</c:v>
                </c:pt>
                <c:pt idx="23">
                  <c:v>14877</c:v>
                </c:pt>
                <c:pt idx="24">
                  <c:v>17583</c:v>
                </c:pt>
                <c:pt idx="25">
                  <c:v>12780</c:v>
                </c:pt>
                <c:pt idx="26">
                  <c:v>15522</c:v>
                </c:pt>
                <c:pt idx="27">
                  <c:v>23711</c:v>
                </c:pt>
                <c:pt idx="28">
                  <c:v>10029</c:v>
                </c:pt>
                <c:pt idx="29">
                  <c:v>22956</c:v>
                </c:pt>
                <c:pt idx="30">
                  <c:v>8229</c:v>
                </c:pt>
                <c:pt idx="31">
                  <c:v>9285</c:v>
                </c:pt>
                <c:pt idx="32">
                  <c:v>6252</c:v>
                </c:pt>
                <c:pt idx="33">
                  <c:v>9787</c:v>
                </c:pt>
                <c:pt idx="34">
                  <c:v>14868</c:v>
                </c:pt>
                <c:pt idx="35">
                  <c:v>6072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D-4B88-8D08-9C9901305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361504"/>
        <c:axId val="750359104"/>
      </c:lineChart>
      <c:dateAx>
        <c:axId val="750361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59104"/>
        <c:crosses val="autoZero"/>
        <c:auto val="1"/>
        <c:lblOffset val="100"/>
        <c:baseTimeUnit val="months"/>
        <c:majorUnit val="1"/>
        <c:majorTimeUnit val="months"/>
      </c:dateAx>
      <c:valAx>
        <c:axId val="7503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'D. Shipments'!$A$291</c:f>
          <c:strCache>
            <c:ptCount val="1"/>
            <c:pt idx="0">
              <c:v>TOTAL ELVIVE CONSTANTES TRD+FARM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'D. Shipments'!$A$292</c:f>
              <c:strCache>
                <c:ptCount val="1"/>
                <c:pt idx="0">
                  <c:v>NIQ</c:v>
                </c:pt>
              </c:strCache>
            </c:strRef>
          </c:tx>
          <c:spPr>
            <a:ln w="28575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Shipments'!$B$291:$AK$291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Shipments'!$B$292:$AK$292</c:f>
              <c:numCache>
                <c:formatCode>_-* #,##0_-;\-* #,##0_-;_-* "-"??_-;_-@_-</c:formatCode>
                <c:ptCount val="36"/>
                <c:pt idx="0">
                  <c:v>74865</c:v>
                </c:pt>
                <c:pt idx="1">
                  <c:v>70797</c:v>
                </c:pt>
                <c:pt idx="2">
                  <c:v>73331</c:v>
                </c:pt>
                <c:pt idx="3">
                  <c:v>70264</c:v>
                </c:pt>
                <c:pt idx="4">
                  <c:v>73650</c:v>
                </c:pt>
                <c:pt idx="5">
                  <c:v>74497</c:v>
                </c:pt>
                <c:pt idx="6">
                  <c:v>75193</c:v>
                </c:pt>
                <c:pt idx="7">
                  <c:v>81810</c:v>
                </c:pt>
                <c:pt idx="8">
                  <c:v>82994</c:v>
                </c:pt>
                <c:pt idx="9">
                  <c:v>78383</c:v>
                </c:pt>
                <c:pt idx="10">
                  <c:v>79381</c:v>
                </c:pt>
                <c:pt idx="11">
                  <c:v>61514</c:v>
                </c:pt>
                <c:pt idx="12">
                  <c:v>55140</c:v>
                </c:pt>
                <c:pt idx="13">
                  <c:v>60822</c:v>
                </c:pt>
                <c:pt idx="14">
                  <c:v>63206</c:v>
                </c:pt>
                <c:pt idx="15">
                  <c:v>66601</c:v>
                </c:pt>
                <c:pt idx="16">
                  <c:v>60455</c:v>
                </c:pt>
                <c:pt idx="17">
                  <c:v>57091</c:v>
                </c:pt>
                <c:pt idx="18">
                  <c:v>61021</c:v>
                </c:pt>
                <c:pt idx="19">
                  <c:v>68388</c:v>
                </c:pt>
                <c:pt idx="20">
                  <c:v>67413</c:v>
                </c:pt>
                <c:pt idx="21">
                  <c:v>63761</c:v>
                </c:pt>
                <c:pt idx="22">
                  <c:v>64840</c:v>
                </c:pt>
                <c:pt idx="23">
                  <c:v>55162</c:v>
                </c:pt>
                <c:pt idx="24">
                  <c:v>57137</c:v>
                </c:pt>
                <c:pt idx="25">
                  <c:v>59236</c:v>
                </c:pt>
                <c:pt idx="26">
                  <c:v>58937</c:v>
                </c:pt>
                <c:pt idx="27">
                  <c:v>55737</c:v>
                </c:pt>
                <c:pt idx="28">
                  <c:v>54050</c:v>
                </c:pt>
                <c:pt idx="29">
                  <c:v>49803</c:v>
                </c:pt>
                <c:pt idx="30">
                  <c:v>52440</c:v>
                </c:pt>
                <c:pt idx="31">
                  <c:v>53101</c:v>
                </c:pt>
                <c:pt idx="32">
                  <c:v>56822</c:v>
                </c:pt>
                <c:pt idx="33">
                  <c:v>51487</c:v>
                </c:pt>
                <c:pt idx="34">
                  <c:v>47172</c:v>
                </c:pt>
                <c:pt idx="35">
                  <c:v>44469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9-49E6-9F88-FC5090D4A78B}"/>
            </c:ext>
          </c:extLst>
        </c:ser>
        <c:ser>
          <c:idx val="1"/>
          <c:order val="1"/>
          <c:tx>
            <c:strRef>
              <c:f>'D. Shipments'!$A$293</c:f>
              <c:strCache>
                <c:ptCount val="1"/>
                <c:pt idx="0">
                  <c:v>L'oreal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Shipments'!$B$291:$AK$291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Shipments'!$B$293:$AK$293</c:f>
              <c:numCache>
                <c:formatCode>_-* #,##0_-;\-* #,##0_-;_-* "-"??_-;_-@_-</c:formatCode>
                <c:ptCount val="36"/>
                <c:pt idx="0">
                  <c:v>109442</c:v>
                </c:pt>
                <c:pt idx="1">
                  <c:v>128282</c:v>
                </c:pt>
                <c:pt idx="2">
                  <c:v>132003</c:v>
                </c:pt>
                <c:pt idx="3">
                  <c:v>106189</c:v>
                </c:pt>
                <c:pt idx="4">
                  <c:v>105320</c:v>
                </c:pt>
                <c:pt idx="5">
                  <c:v>91296</c:v>
                </c:pt>
                <c:pt idx="6">
                  <c:v>87478</c:v>
                </c:pt>
                <c:pt idx="7">
                  <c:v>62889</c:v>
                </c:pt>
                <c:pt idx="8">
                  <c:v>94665</c:v>
                </c:pt>
                <c:pt idx="9">
                  <c:v>90924</c:v>
                </c:pt>
                <c:pt idx="10">
                  <c:v>72862</c:v>
                </c:pt>
                <c:pt idx="11">
                  <c:v>76009</c:v>
                </c:pt>
                <c:pt idx="12">
                  <c:v>104224</c:v>
                </c:pt>
                <c:pt idx="13">
                  <c:v>86742</c:v>
                </c:pt>
                <c:pt idx="14">
                  <c:v>93619</c:v>
                </c:pt>
                <c:pt idx="15">
                  <c:v>77862</c:v>
                </c:pt>
                <c:pt idx="16">
                  <c:v>71434</c:v>
                </c:pt>
                <c:pt idx="17">
                  <c:v>70867</c:v>
                </c:pt>
                <c:pt idx="18">
                  <c:v>90762</c:v>
                </c:pt>
                <c:pt idx="19">
                  <c:v>54516</c:v>
                </c:pt>
                <c:pt idx="20">
                  <c:v>78355</c:v>
                </c:pt>
                <c:pt idx="21">
                  <c:v>16602</c:v>
                </c:pt>
                <c:pt idx="22">
                  <c:v>54962</c:v>
                </c:pt>
                <c:pt idx="23">
                  <c:v>58551</c:v>
                </c:pt>
                <c:pt idx="24">
                  <c:v>63966</c:v>
                </c:pt>
                <c:pt idx="25">
                  <c:v>54928</c:v>
                </c:pt>
                <c:pt idx="26">
                  <c:v>70197</c:v>
                </c:pt>
                <c:pt idx="27">
                  <c:v>56753</c:v>
                </c:pt>
                <c:pt idx="28">
                  <c:v>49874</c:v>
                </c:pt>
                <c:pt idx="29">
                  <c:v>75079</c:v>
                </c:pt>
                <c:pt idx="30">
                  <c:v>52242</c:v>
                </c:pt>
                <c:pt idx="31">
                  <c:v>37510</c:v>
                </c:pt>
                <c:pt idx="32">
                  <c:v>70318</c:v>
                </c:pt>
                <c:pt idx="33">
                  <c:v>65905</c:v>
                </c:pt>
                <c:pt idx="34">
                  <c:v>47003</c:v>
                </c:pt>
                <c:pt idx="35">
                  <c:v>40248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9-49E6-9F88-FC5090D4A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361504"/>
        <c:axId val="750359104"/>
      </c:lineChart>
      <c:dateAx>
        <c:axId val="750361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59104"/>
        <c:crosses val="autoZero"/>
        <c:auto val="1"/>
        <c:lblOffset val="100"/>
        <c:baseTimeUnit val="months"/>
        <c:majorUnit val="1"/>
      </c:dateAx>
      <c:valAx>
        <c:axId val="7503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'D. Shipments'!$A$320</c:f>
          <c:strCache>
            <c:ptCount val="1"/>
            <c:pt idx="0">
              <c:v>TOTAL ELVIVE NUEVO TRAD+FARM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'D. Shipments'!$A$321</c:f>
              <c:strCache>
                <c:ptCount val="1"/>
                <c:pt idx="0">
                  <c:v>NIQ</c:v>
                </c:pt>
              </c:strCache>
            </c:strRef>
          </c:tx>
          <c:spPr>
            <a:ln w="28575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Shipments'!$B$320:$AK$320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Shipments'!$B$321:$AK$321</c:f>
              <c:numCache>
                <c:formatCode>_-* #,##0_-;\-* #,##0_-;_-* "-"??_-;_-@_-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523</c:v>
                </c:pt>
                <c:pt idx="12">
                  <c:v>3221</c:v>
                </c:pt>
                <c:pt idx="13">
                  <c:v>4814</c:v>
                </c:pt>
                <c:pt idx="14">
                  <c:v>5598</c:v>
                </c:pt>
                <c:pt idx="15">
                  <c:v>5954</c:v>
                </c:pt>
                <c:pt idx="16">
                  <c:v>8314</c:v>
                </c:pt>
                <c:pt idx="17">
                  <c:v>7047</c:v>
                </c:pt>
                <c:pt idx="18">
                  <c:v>6189</c:v>
                </c:pt>
                <c:pt idx="19">
                  <c:v>6348</c:v>
                </c:pt>
                <c:pt idx="20">
                  <c:v>5471</c:v>
                </c:pt>
                <c:pt idx="21">
                  <c:v>6103</c:v>
                </c:pt>
                <c:pt idx="22">
                  <c:v>7612</c:v>
                </c:pt>
                <c:pt idx="23">
                  <c:v>8869</c:v>
                </c:pt>
                <c:pt idx="24">
                  <c:v>11332</c:v>
                </c:pt>
                <c:pt idx="25">
                  <c:v>13814</c:v>
                </c:pt>
                <c:pt idx="26">
                  <c:v>13674</c:v>
                </c:pt>
                <c:pt idx="27">
                  <c:v>16331</c:v>
                </c:pt>
                <c:pt idx="28">
                  <c:v>17623</c:v>
                </c:pt>
                <c:pt idx="29">
                  <c:v>18345</c:v>
                </c:pt>
                <c:pt idx="30">
                  <c:v>23451</c:v>
                </c:pt>
                <c:pt idx="31">
                  <c:v>19273</c:v>
                </c:pt>
                <c:pt idx="32">
                  <c:v>20217</c:v>
                </c:pt>
                <c:pt idx="33">
                  <c:v>23464</c:v>
                </c:pt>
                <c:pt idx="34">
                  <c:v>18400</c:v>
                </c:pt>
                <c:pt idx="35">
                  <c:v>20640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E-4756-90FB-38E9D92429C4}"/>
            </c:ext>
          </c:extLst>
        </c:ser>
        <c:ser>
          <c:idx val="1"/>
          <c:order val="1"/>
          <c:tx>
            <c:strRef>
              <c:f>'D. Shipments'!$A$322</c:f>
              <c:strCache>
                <c:ptCount val="1"/>
                <c:pt idx="0">
                  <c:v>L'oreal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Shipments'!$B$320:$AK$320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Shipments'!$B$322:$AK$322</c:f>
              <c:numCache>
                <c:formatCode>_-* #,##0_-;\-* #,##0_-;_-* "-"??_-;_-@_-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21270</c:v>
                </c:pt>
                <c:pt idx="16">
                  <c:v>13140</c:v>
                </c:pt>
                <c:pt idx="17">
                  <c:v>10472</c:v>
                </c:pt>
                <c:pt idx="18">
                  <c:v>10320</c:v>
                </c:pt>
                <c:pt idx="19">
                  <c:v>14808</c:v>
                </c:pt>
                <c:pt idx="20">
                  <c:v>16888</c:v>
                </c:pt>
                <c:pt idx="21">
                  <c:v>2730</c:v>
                </c:pt>
                <c:pt idx="22">
                  <c:v>4656</c:v>
                </c:pt>
                <c:pt idx="23">
                  <c:v>6372</c:v>
                </c:pt>
                <c:pt idx="24">
                  <c:v>14736</c:v>
                </c:pt>
                <c:pt idx="25">
                  <c:v>10578</c:v>
                </c:pt>
                <c:pt idx="26">
                  <c:v>48408</c:v>
                </c:pt>
                <c:pt idx="27">
                  <c:v>25977</c:v>
                </c:pt>
                <c:pt idx="28">
                  <c:v>10239</c:v>
                </c:pt>
                <c:pt idx="29">
                  <c:v>18053</c:v>
                </c:pt>
                <c:pt idx="30">
                  <c:v>40032</c:v>
                </c:pt>
                <c:pt idx="31">
                  <c:v>23466</c:v>
                </c:pt>
                <c:pt idx="32">
                  <c:v>49070</c:v>
                </c:pt>
                <c:pt idx="33">
                  <c:v>62907</c:v>
                </c:pt>
                <c:pt idx="34">
                  <c:v>18595</c:v>
                </c:pt>
                <c:pt idx="35">
                  <c:v>27435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BE-4756-90FB-38E9D9242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361504"/>
        <c:axId val="750359104"/>
      </c:lineChart>
      <c:dateAx>
        <c:axId val="750361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59104"/>
        <c:crosses val="autoZero"/>
        <c:auto val="1"/>
        <c:lblOffset val="100"/>
        <c:baseTimeUnit val="months"/>
        <c:majorUnit val="1"/>
      </c:dateAx>
      <c:valAx>
        <c:axId val="7503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03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'D. Shipments'!$A$339</c:f>
          <c:strCache>
            <c:ptCount val="1"/>
            <c:pt idx="0">
              <c:v>TOTAL ELVIVE CONSTANTES TRD+FARM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'D. Shipments'!$A$342</c:f>
              <c:strCache>
                <c:ptCount val="1"/>
                <c:pt idx="0">
                  <c:v>DN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'D. Shipments'!$B$339:$AK$339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Shipments'!$B$342:$AK$342</c:f>
              <c:numCache>
                <c:formatCode>0%</c:formatCode>
                <c:ptCount val="36"/>
                <c:pt idx="0">
                  <c:v>0.17699999999999999</c:v>
                </c:pt>
                <c:pt idx="1">
                  <c:v>0.18</c:v>
                </c:pt>
                <c:pt idx="2">
                  <c:v>0.18099999999999999</c:v>
                </c:pt>
                <c:pt idx="3">
                  <c:v>0.183</c:v>
                </c:pt>
                <c:pt idx="4">
                  <c:v>0.187</c:v>
                </c:pt>
                <c:pt idx="5">
                  <c:v>0.191</c:v>
                </c:pt>
                <c:pt idx="6">
                  <c:v>0.192</c:v>
                </c:pt>
                <c:pt idx="7">
                  <c:v>0.186</c:v>
                </c:pt>
                <c:pt idx="8">
                  <c:v>0.185</c:v>
                </c:pt>
                <c:pt idx="9">
                  <c:v>0.185</c:v>
                </c:pt>
                <c:pt idx="10">
                  <c:v>0.17399999999999999</c:v>
                </c:pt>
                <c:pt idx="11">
                  <c:v>0.183</c:v>
                </c:pt>
                <c:pt idx="12">
                  <c:v>0.183</c:v>
                </c:pt>
                <c:pt idx="13">
                  <c:v>0.18</c:v>
                </c:pt>
                <c:pt idx="14">
                  <c:v>0.17499999999999999</c:v>
                </c:pt>
                <c:pt idx="15">
                  <c:v>0.17299999999999999</c:v>
                </c:pt>
                <c:pt idx="16">
                  <c:v>0.17799999999999999</c:v>
                </c:pt>
                <c:pt idx="17">
                  <c:v>0.184</c:v>
                </c:pt>
                <c:pt idx="18">
                  <c:v>0.18099999999999999</c:v>
                </c:pt>
                <c:pt idx="19">
                  <c:v>0.17299999999999999</c:v>
                </c:pt>
                <c:pt idx="20">
                  <c:v>0.16900000000000001</c:v>
                </c:pt>
                <c:pt idx="21">
                  <c:v>0.17100000000000001</c:v>
                </c:pt>
                <c:pt idx="22">
                  <c:v>0.17599999999999999</c:v>
                </c:pt>
                <c:pt idx="23">
                  <c:v>0.17899999999999999</c:v>
                </c:pt>
                <c:pt idx="24">
                  <c:v>0.18099999999999999</c:v>
                </c:pt>
                <c:pt idx="25">
                  <c:v>0.17399999999999999</c:v>
                </c:pt>
                <c:pt idx="26">
                  <c:v>0.17599999999999999</c:v>
                </c:pt>
                <c:pt idx="27">
                  <c:v>0.184</c:v>
                </c:pt>
                <c:pt idx="28">
                  <c:v>0.17299999999999999</c:v>
                </c:pt>
                <c:pt idx="29">
                  <c:v>0.17599999999999999</c:v>
                </c:pt>
                <c:pt idx="30">
                  <c:v>0.17100000000000001</c:v>
                </c:pt>
                <c:pt idx="31">
                  <c:v>0.17100000000000001</c:v>
                </c:pt>
                <c:pt idx="32">
                  <c:v>0.17199999999999999</c:v>
                </c:pt>
                <c:pt idx="33">
                  <c:v>0.16400000000000001</c:v>
                </c:pt>
                <c:pt idx="34">
                  <c:v>0.16600000000000001</c:v>
                </c:pt>
                <c:pt idx="35">
                  <c:v>0.16300000000000001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9-4279-B1F6-274D9D8E9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0706624"/>
        <c:axId val="119070230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'D. Shipments'!$A$343</c15:sqref>
                        </c15:formulaRef>
                      </c:ext>
                    </c:extLst>
                    <c:strCache>
                      <c:ptCount val="1"/>
                      <c:pt idx="0">
                        <c:v>DW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'D. Shipments'!$B$339:$AK$339</c15:sqref>
                        </c15:formulaRef>
                      </c:ext>
                    </c:extLst>
                    <c:numCache>
                      <c:formatCode>mmm\-yy</c:formatCode>
                      <c:ptCount val="36"/>
                      <c:pt idx="0">
                        <c:v>44713</c:v>
                      </c:pt>
                      <c:pt idx="1">
                        <c:v>44743</c:v>
                      </c:pt>
                      <c:pt idx="2">
                        <c:v>44774</c:v>
                      </c:pt>
                      <c:pt idx="3">
                        <c:v>44805</c:v>
                      </c:pt>
                      <c:pt idx="4">
                        <c:v>44835</c:v>
                      </c:pt>
                      <c:pt idx="5">
                        <c:v>44866</c:v>
                      </c:pt>
                      <c:pt idx="6">
                        <c:v>44896</c:v>
                      </c:pt>
                      <c:pt idx="7">
                        <c:v>44927</c:v>
                      </c:pt>
                      <c:pt idx="8">
                        <c:v>44958</c:v>
                      </c:pt>
                      <c:pt idx="9">
                        <c:v>44986</c:v>
                      </c:pt>
                      <c:pt idx="10">
                        <c:v>45017</c:v>
                      </c:pt>
                      <c:pt idx="11">
                        <c:v>45047</c:v>
                      </c:pt>
                      <c:pt idx="12">
                        <c:v>45078</c:v>
                      </c:pt>
                      <c:pt idx="13">
                        <c:v>45108</c:v>
                      </c:pt>
                      <c:pt idx="14">
                        <c:v>45139</c:v>
                      </c:pt>
                      <c:pt idx="15">
                        <c:v>45170</c:v>
                      </c:pt>
                      <c:pt idx="16">
                        <c:v>45200</c:v>
                      </c:pt>
                      <c:pt idx="17">
                        <c:v>45231</c:v>
                      </c:pt>
                      <c:pt idx="18">
                        <c:v>45261</c:v>
                      </c:pt>
                      <c:pt idx="19">
                        <c:v>45292</c:v>
                      </c:pt>
                      <c:pt idx="20">
                        <c:v>45323</c:v>
                      </c:pt>
                      <c:pt idx="21">
                        <c:v>45352</c:v>
                      </c:pt>
                      <c:pt idx="22">
                        <c:v>45383</c:v>
                      </c:pt>
                      <c:pt idx="23">
                        <c:v>45413</c:v>
                      </c:pt>
                      <c:pt idx="24">
                        <c:v>45444</c:v>
                      </c:pt>
                      <c:pt idx="25">
                        <c:v>45474</c:v>
                      </c:pt>
                      <c:pt idx="26">
                        <c:v>45505</c:v>
                      </c:pt>
                      <c:pt idx="27">
                        <c:v>45536</c:v>
                      </c:pt>
                      <c:pt idx="28">
                        <c:v>45566</c:v>
                      </c:pt>
                      <c:pt idx="29">
                        <c:v>45597</c:v>
                      </c:pt>
                      <c:pt idx="30">
                        <c:v>45627</c:v>
                      </c:pt>
                      <c:pt idx="31">
                        <c:v>45658</c:v>
                      </c:pt>
                      <c:pt idx="32">
                        <c:v>45689</c:v>
                      </c:pt>
                      <c:pt idx="33">
                        <c:v>45717</c:v>
                      </c:pt>
                      <c:pt idx="34">
                        <c:v>45748</c:v>
                      </c:pt>
                      <c:pt idx="35">
                        <c:v>45778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'D. Shipments'!$B$343:$AK$343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0.84299999999999997</c:v>
                      </c:pt>
                      <c:pt idx="1">
                        <c:v>0.85399999999999998</c:v>
                      </c:pt>
                      <c:pt idx="2">
                        <c:v>0.83699999999999997</c:v>
                      </c:pt>
                      <c:pt idx="3">
                        <c:v>0.84</c:v>
                      </c:pt>
                      <c:pt idx="4">
                        <c:v>0.84599999999999997</c:v>
                      </c:pt>
                      <c:pt idx="5">
                        <c:v>0.83899999999999997</c:v>
                      </c:pt>
                      <c:pt idx="6">
                        <c:v>0.83899999999999997</c:v>
                      </c:pt>
                      <c:pt idx="7">
                        <c:v>0.84699999999999998</c:v>
                      </c:pt>
                      <c:pt idx="8">
                        <c:v>0.85499999999999998</c:v>
                      </c:pt>
                      <c:pt idx="9">
                        <c:v>0.85699999999999998</c:v>
                      </c:pt>
                      <c:pt idx="10">
                        <c:v>0.84</c:v>
                      </c:pt>
                      <c:pt idx="11">
                        <c:v>0.84699999999999998</c:v>
                      </c:pt>
                      <c:pt idx="12">
                        <c:v>0.84799999999999998</c:v>
                      </c:pt>
                      <c:pt idx="13">
                        <c:v>0.85399999999999998</c:v>
                      </c:pt>
                      <c:pt idx="14">
                        <c:v>0.85799999999999998</c:v>
                      </c:pt>
                      <c:pt idx="15">
                        <c:v>0.84099999999999997</c:v>
                      </c:pt>
                      <c:pt idx="16">
                        <c:v>0.84</c:v>
                      </c:pt>
                      <c:pt idx="17">
                        <c:v>0.84699999999999998</c:v>
                      </c:pt>
                      <c:pt idx="18">
                        <c:v>0.85099999999999998</c:v>
                      </c:pt>
                      <c:pt idx="19">
                        <c:v>0.86099999999999999</c:v>
                      </c:pt>
                      <c:pt idx="20">
                        <c:v>0.85899999999999999</c:v>
                      </c:pt>
                      <c:pt idx="21">
                        <c:v>0.85299999999999998</c:v>
                      </c:pt>
                      <c:pt idx="22">
                        <c:v>0.84699999999999998</c:v>
                      </c:pt>
                      <c:pt idx="23">
                        <c:v>0.84499999999999997</c:v>
                      </c:pt>
                      <c:pt idx="24">
                        <c:v>0.83499999999999996</c:v>
                      </c:pt>
                      <c:pt idx="25">
                        <c:v>0.82899999999999996</c:v>
                      </c:pt>
                      <c:pt idx="26">
                        <c:v>0.83299999999999996</c:v>
                      </c:pt>
                      <c:pt idx="27">
                        <c:v>0.84599999999999997</c:v>
                      </c:pt>
                      <c:pt idx="28">
                        <c:v>0.83299999999999996</c:v>
                      </c:pt>
                      <c:pt idx="29">
                        <c:v>0.85499999999999998</c:v>
                      </c:pt>
                      <c:pt idx="30">
                        <c:v>0.85599999999999998</c:v>
                      </c:pt>
                      <c:pt idx="31">
                        <c:v>0.872</c:v>
                      </c:pt>
                      <c:pt idx="32">
                        <c:v>0.86599999999999999</c:v>
                      </c:pt>
                      <c:pt idx="33">
                        <c:v>0.85</c:v>
                      </c:pt>
                      <c:pt idx="34">
                        <c:v>0.84199999999999997</c:v>
                      </c:pt>
                      <c:pt idx="35">
                        <c:v>0.84499999999999997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AA9-4279-B1F6-274D9D8E9CC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'D. Shipments'!$A$340</c:f>
              <c:strCache>
                <c:ptCount val="1"/>
                <c:pt idx="0">
                  <c:v>NIQ</c:v>
                </c:pt>
              </c:strCache>
            </c:strRef>
          </c:tx>
          <c:spPr>
            <a:ln w="28575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Shipments'!$B$339:$AK$339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Shipments'!$B$340:$AK$340</c:f>
              <c:numCache>
                <c:formatCode>_-* #,##0_-;\-* #,##0_-;_-* "-"??_-;_-@_-</c:formatCode>
                <c:ptCount val="36"/>
                <c:pt idx="0">
                  <c:v>74865</c:v>
                </c:pt>
                <c:pt idx="1">
                  <c:v>70797</c:v>
                </c:pt>
                <c:pt idx="2">
                  <c:v>73331</c:v>
                </c:pt>
                <c:pt idx="3">
                  <c:v>70264</c:v>
                </c:pt>
                <c:pt idx="4">
                  <c:v>73650</c:v>
                </c:pt>
                <c:pt idx="5">
                  <c:v>74497</c:v>
                </c:pt>
                <c:pt idx="6">
                  <c:v>75193</c:v>
                </c:pt>
                <c:pt idx="7">
                  <c:v>81810</c:v>
                </c:pt>
                <c:pt idx="8">
                  <c:v>82994</c:v>
                </c:pt>
                <c:pt idx="9">
                  <c:v>78383</c:v>
                </c:pt>
                <c:pt idx="10">
                  <c:v>79381</c:v>
                </c:pt>
                <c:pt idx="11">
                  <c:v>61514</c:v>
                </c:pt>
                <c:pt idx="12">
                  <c:v>55140</c:v>
                </c:pt>
                <c:pt idx="13">
                  <c:v>60822</c:v>
                </c:pt>
                <c:pt idx="14">
                  <c:v>63206</c:v>
                </c:pt>
                <c:pt idx="15">
                  <c:v>66601</c:v>
                </c:pt>
                <c:pt idx="16">
                  <c:v>60455</c:v>
                </c:pt>
                <c:pt idx="17">
                  <c:v>57091</c:v>
                </c:pt>
                <c:pt idx="18">
                  <c:v>61021</c:v>
                </c:pt>
                <c:pt idx="19">
                  <c:v>68388</c:v>
                </c:pt>
                <c:pt idx="20">
                  <c:v>67413</c:v>
                </c:pt>
                <c:pt idx="21">
                  <c:v>63761</c:v>
                </c:pt>
                <c:pt idx="22">
                  <c:v>64840</c:v>
                </c:pt>
                <c:pt idx="23">
                  <c:v>55162</c:v>
                </c:pt>
                <c:pt idx="24">
                  <c:v>57137</c:v>
                </c:pt>
                <c:pt idx="25">
                  <c:v>59236</c:v>
                </c:pt>
                <c:pt idx="26">
                  <c:v>58937</c:v>
                </c:pt>
                <c:pt idx="27">
                  <c:v>55737</c:v>
                </c:pt>
                <c:pt idx="28">
                  <c:v>54050</c:v>
                </c:pt>
                <c:pt idx="29">
                  <c:v>49803</c:v>
                </c:pt>
                <c:pt idx="30">
                  <c:v>52440</c:v>
                </c:pt>
                <c:pt idx="31">
                  <c:v>53101</c:v>
                </c:pt>
                <c:pt idx="32">
                  <c:v>56822</c:v>
                </c:pt>
                <c:pt idx="33">
                  <c:v>51487</c:v>
                </c:pt>
                <c:pt idx="34">
                  <c:v>47172</c:v>
                </c:pt>
                <c:pt idx="35">
                  <c:v>44469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A9-4279-B1F6-274D9D8E9CC2}"/>
            </c:ext>
          </c:extLst>
        </c:ser>
        <c:ser>
          <c:idx val="1"/>
          <c:order val="1"/>
          <c:tx>
            <c:strRef>
              <c:f>'D. Shipments'!$A$341</c:f>
              <c:strCache>
                <c:ptCount val="1"/>
                <c:pt idx="0">
                  <c:v>L'oreal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Shipments'!$B$339:$AK$339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Shipments'!$B$341:$AK$341</c:f>
              <c:numCache>
                <c:formatCode>_-* #,##0_-;\-* #,##0_-;_-* "-"??_-;_-@_-</c:formatCode>
                <c:ptCount val="36"/>
                <c:pt idx="0">
                  <c:v>109442</c:v>
                </c:pt>
                <c:pt idx="1">
                  <c:v>128282</c:v>
                </c:pt>
                <c:pt idx="2">
                  <c:v>132003</c:v>
                </c:pt>
                <c:pt idx="3">
                  <c:v>106189</c:v>
                </c:pt>
                <c:pt idx="4">
                  <c:v>105320</c:v>
                </c:pt>
                <c:pt idx="5">
                  <c:v>91296</c:v>
                </c:pt>
                <c:pt idx="6">
                  <c:v>87478</c:v>
                </c:pt>
                <c:pt idx="7">
                  <c:v>62889</c:v>
                </c:pt>
                <c:pt idx="8">
                  <c:v>94665</c:v>
                </c:pt>
                <c:pt idx="9">
                  <c:v>90924</c:v>
                </c:pt>
                <c:pt idx="10">
                  <c:v>72862</c:v>
                </c:pt>
                <c:pt idx="11">
                  <c:v>76009</c:v>
                </c:pt>
                <c:pt idx="12">
                  <c:v>104224</c:v>
                </c:pt>
                <c:pt idx="13">
                  <c:v>86742</c:v>
                </c:pt>
                <c:pt idx="14">
                  <c:v>93619</c:v>
                </c:pt>
                <c:pt idx="15">
                  <c:v>77862</c:v>
                </c:pt>
                <c:pt idx="16">
                  <c:v>71434</c:v>
                </c:pt>
                <c:pt idx="17">
                  <c:v>70867</c:v>
                </c:pt>
                <c:pt idx="18">
                  <c:v>90762</c:v>
                </c:pt>
                <c:pt idx="19">
                  <c:v>54516</c:v>
                </c:pt>
                <c:pt idx="20">
                  <c:v>78355</c:v>
                </c:pt>
                <c:pt idx="21">
                  <c:v>16602</c:v>
                </c:pt>
                <c:pt idx="22">
                  <c:v>54962</c:v>
                </c:pt>
                <c:pt idx="23">
                  <c:v>58551</c:v>
                </c:pt>
                <c:pt idx="24">
                  <c:v>63966</c:v>
                </c:pt>
                <c:pt idx="25">
                  <c:v>54928</c:v>
                </c:pt>
                <c:pt idx="26">
                  <c:v>70197</c:v>
                </c:pt>
                <c:pt idx="27">
                  <c:v>56753</c:v>
                </c:pt>
                <c:pt idx="28">
                  <c:v>49874</c:v>
                </c:pt>
                <c:pt idx="29">
                  <c:v>75079</c:v>
                </c:pt>
                <c:pt idx="30">
                  <c:v>52242</c:v>
                </c:pt>
                <c:pt idx="31">
                  <c:v>37510</c:v>
                </c:pt>
                <c:pt idx="32">
                  <c:v>70318</c:v>
                </c:pt>
                <c:pt idx="33">
                  <c:v>65905</c:v>
                </c:pt>
                <c:pt idx="34">
                  <c:v>47003</c:v>
                </c:pt>
                <c:pt idx="35">
                  <c:v>40248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A9-4279-B1F6-274D9D8E9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866256"/>
        <c:axId val="1550865296"/>
      </c:lineChart>
      <c:dateAx>
        <c:axId val="1550866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65296"/>
        <c:crosses val="autoZero"/>
        <c:auto val="1"/>
        <c:lblOffset val="100"/>
        <c:baseTimeUnit val="months"/>
      </c:dateAx>
      <c:valAx>
        <c:axId val="15508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66256"/>
        <c:crosses val="autoZero"/>
        <c:crossBetween val="between"/>
      </c:valAx>
      <c:valAx>
        <c:axId val="11907023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0706624"/>
        <c:crosses val="max"/>
        <c:crossBetween val="between"/>
      </c:valAx>
      <c:dateAx>
        <c:axId val="119070662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19070230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'D. Shipments'!$A$339</c:f>
          <c:strCache>
            <c:ptCount val="1"/>
            <c:pt idx="0">
              <c:v>TOTAL ELVIVE CONSTANTES TRD+FARM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'D. Shipments'!$A$343</c:f>
              <c:strCache>
                <c:ptCount val="1"/>
                <c:pt idx="0">
                  <c:v>DW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'D. Shipments'!$B$339:$AK$339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  <c:extLst xmlns:c15="http://schemas.microsoft.com/office/drawing/2012/chart"/>
            </c:numRef>
          </c:cat>
          <c:val>
            <c:numRef>
              <c:f>'D. Shipments'!$B$343:$AK$343</c:f>
              <c:numCache>
                <c:formatCode>0%</c:formatCode>
                <c:ptCount val="36"/>
                <c:pt idx="0">
                  <c:v>0.84299999999999997</c:v>
                </c:pt>
                <c:pt idx="1">
                  <c:v>0.85399999999999998</c:v>
                </c:pt>
                <c:pt idx="2">
                  <c:v>0.83699999999999997</c:v>
                </c:pt>
                <c:pt idx="3">
                  <c:v>0.84</c:v>
                </c:pt>
                <c:pt idx="4">
                  <c:v>0.84599999999999997</c:v>
                </c:pt>
                <c:pt idx="5">
                  <c:v>0.83899999999999997</c:v>
                </c:pt>
                <c:pt idx="6">
                  <c:v>0.83899999999999997</c:v>
                </c:pt>
                <c:pt idx="7">
                  <c:v>0.84699999999999998</c:v>
                </c:pt>
                <c:pt idx="8">
                  <c:v>0.85499999999999998</c:v>
                </c:pt>
                <c:pt idx="9">
                  <c:v>0.85699999999999998</c:v>
                </c:pt>
                <c:pt idx="10">
                  <c:v>0.84</c:v>
                </c:pt>
                <c:pt idx="11">
                  <c:v>0.84699999999999998</c:v>
                </c:pt>
                <c:pt idx="12">
                  <c:v>0.84799999999999998</c:v>
                </c:pt>
                <c:pt idx="13">
                  <c:v>0.85399999999999998</c:v>
                </c:pt>
                <c:pt idx="14">
                  <c:v>0.85799999999999998</c:v>
                </c:pt>
                <c:pt idx="15">
                  <c:v>0.84099999999999997</c:v>
                </c:pt>
                <c:pt idx="16">
                  <c:v>0.84</c:v>
                </c:pt>
                <c:pt idx="17">
                  <c:v>0.84699999999999998</c:v>
                </c:pt>
                <c:pt idx="18">
                  <c:v>0.85099999999999998</c:v>
                </c:pt>
                <c:pt idx="19">
                  <c:v>0.86099999999999999</c:v>
                </c:pt>
                <c:pt idx="20">
                  <c:v>0.85899999999999999</c:v>
                </c:pt>
                <c:pt idx="21">
                  <c:v>0.85299999999999998</c:v>
                </c:pt>
                <c:pt idx="22">
                  <c:v>0.84699999999999998</c:v>
                </c:pt>
                <c:pt idx="23">
                  <c:v>0.84499999999999997</c:v>
                </c:pt>
                <c:pt idx="24">
                  <c:v>0.83499999999999996</c:v>
                </c:pt>
                <c:pt idx="25">
                  <c:v>0.82899999999999996</c:v>
                </c:pt>
                <c:pt idx="26">
                  <c:v>0.83299999999999996</c:v>
                </c:pt>
                <c:pt idx="27">
                  <c:v>0.84599999999999997</c:v>
                </c:pt>
                <c:pt idx="28">
                  <c:v>0.83299999999999996</c:v>
                </c:pt>
                <c:pt idx="29">
                  <c:v>0.85499999999999998</c:v>
                </c:pt>
                <c:pt idx="30">
                  <c:v>0.85599999999999998</c:v>
                </c:pt>
                <c:pt idx="31">
                  <c:v>0.872</c:v>
                </c:pt>
                <c:pt idx="32">
                  <c:v>0.86599999999999999</c:v>
                </c:pt>
                <c:pt idx="33">
                  <c:v>0.85</c:v>
                </c:pt>
                <c:pt idx="34">
                  <c:v>0.84199999999999997</c:v>
                </c:pt>
                <c:pt idx="35">
                  <c:v>0.84499999999999997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9DC9-4B50-8644-7851DA89E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0706624"/>
        <c:axId val="119070230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'D. Shipments'!$A$342</c15:sqref>
                        </c15:formulaRef>
                      </c:ext>
                    </c:extLst>
                    <c:strCache>
                      <c:ptCount val="1"/>
                      <c:pt idx="0">
                        <c:v>DN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'D. Shipments'!$B$339:$AK$339</c15:sqref>
                        </c15:formulaRef>
                      </c:ext>
                    </c:extLst>
                    <c:numCache>
                      <c:formatCode>mmm\-yy</c:formatCode>
                      <c:ptCount val="36"/>
                      <c:pt idx="0">
                        <c:v>44713</c:v>
                      </c:pt>
                      <c:pt idx="1">
                        <c:v>44743</c:v>
                      </c:pt>
                      <c:pt idx="2">
                        <c:v>44774</c:v>
                      </c:pt>
                      <c:pt idx="3">
                        <c:v>44805</c:v>
                      </c:pt>
                      <c:pt idx="4">
                        <c:v>44835</c:v>
                      </c:pt>
                      <c:pt idx="5">
                        <c:v>44866</c:v>
                      </c:pt>
                      <c:pt idx="6">
                        <c:v>44896</c:v>
                      </c:pt>
                      <c:pt idx="7">
                        <c:v>44927</c:v>
                      </c:pt>
                      <c:pt idx="8">
                        <c:v>44958</c:v>
                      </c:pt>
                      <c:pt idx="9">
                        <c:v>44986</c:v>
                      </c:pt>
                      <c:pt idx="10">
                        <c:v>45017</c:v>
                      </c:pt>
                      <c:pt idx="11">
                        <c:v>45047</c:v>
                      </c:pt>
                      <c:pt idx="12">
                        <c:v>45078</c:v>
                      </c:pt>
                      <c:pt idx="13">
                        <c:v>45108</c:v>
                      </c:pt>
                      <c:pt idx="14">
                        <c:v>45139</c:v>
                      </c:pt>
                      <c:pt idx="15">
                        <c:v>45170</c:v>
                      </c:pt>
                      <c:pt idx="16">
                        <c:v>45200</c:v>
                      </c:pt>
                      <c:pt idx="17">
                        <c:v>45231</c:v>
                      </c:pt>
                      <c:pt idx="18">
                        <c:v>45261</c:v>
                      </c:pt>
                      <c:pt idx="19">
                        <c:v>45292</c:v>
                      </c:pt>
                      <c:pt idx="20">
                        <c:v>45323</c:v>
                      </c:pt>
                      <c:pt idx="21">
                        <c:v>45352</c:v>
                      </c:pt>
                      <c:pt idx="22">
                        <c:v>45383</c:v>
                      </c:pt>
                      <c:pt idx="23">
                        <c:v>45413</c:v>
                      </c:pt>
                      <c:pt idx="24">
                        <c:v>45444</c:v>
                      </c:pt>
                      <c:pt idx="25">
                        <c:v>45474</c:v>
                      </c:pt>
                      <c:pt idx="26">
                        <c:v>45505</c:v>
                      </c:pt>
                      <c:pt idx="27">
                        <c:v>45536</c:v>
                      </c:pt>
                      <c:pt idx="28">
                        <c:v>45566</c:v>
                      </c:pt>
                      <c:pt idx="29">
                        <c:v>45597</c:v>
                      </c:pt>
                      <c:pt idx="30">
                        <c:v>45627</c:v>
                      </c:pt>
                      <c:pt idx="31">
                        <c:v>45658</c:v>
                      </c:pt>
                      <c:pt idx="32">
                        <c:v>45689</c:v>
                      </c:pt>
                      <c:pt idx="33">
                        <c:v>45717</c:v>
                      </c:pt>
                      <c:pt idx="34">
                        <c:v>45748</c:v>
                      </c:pt>
                      <c:pt idx="35">
                        <c:v>45778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'D. Shipments'!$B$342:$AK$342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0.17699999999999999</c:v>
                      </c:pt>
                      <c:pt idx="1">
                        <c:v>0.18</c:v>
                      </c:pt>
                      <c:pt idx="2">
                        <c:v>0.18099999999999999</c:v>
                      </c:pt>
                      <c:pt idx="3">
                        <c:v>0.183</c:v>
                      </c:pt>
                      <c:pt idx="4">
                        <c:v>0.187</c:v>
                      </c:pt>
                      <c:pt idx="5">
                        <c:v>0.191</c:v>
                      </c:pt>
                      <c:pt idx="6">
                        <c:v>0.192</c:v>
                      </c:pt>
                      <c:pt idx="7">
                        <c:v>0.186</c:v>
                      </c:pt>
                      <c:pt idx="8">
                        <c:v>0.185</c:v>
                      </c:pt>
                      <c:pt idx="9">
                        <c:v>0.185</c:v>
                      </c:pt>
                      <c:pt idx="10">
                        <c:v>0.17399999999999999</c:v>
                      </c:pt>
                      <c:pt idx="11">
                        <c:v>0.183</c:v>
                      </c:pt>
                      <c:pt idx="12">
                        <c:v>0.183</c:v>
                      </c:pt>
                      <c:pt idx="13">
                        <c:v>0.18</c:v>
                      </c:pt>
                      <c:pt idx="14">
                        <c:v>0.17499999999999999</c:v>
                      </c:pt>
                      <c:pt idx="15">
                        <c:v>0.17299999999999999</c:v>
                      </c:pt>
                      <c:pt idx="16">
                        <c:v>0.17799999999999999</c:v>
                      </c:pt>
                      <c:pt idx="17">
                        <c:v>0.184</c:v>
                      </c:pt>
                      <c:pt idx="18">
                        <c:v>0.18099999999999999</c:v>
                      </c:pt>
                      <c:pt idx="19">
                        <c:v>0.17299999999999999</c:v>
                      </c:pt>
                      <c:pt idx="20">
                        <c:v>0.16900000000000001</c:v>
                      </c:pt>
                      <c:pt idx="21">
                        <c:v>0.17100000000000001</c:v>
                      </c:pt>
                      <c:pt idx="22">
                        <c:v>0.17599999999999999</c:v>
                      </c:pt>
                      <c:pt idx="23">
                        <c:v>0.17899999999999999</c:v>
                      </c:pt>
                      <c:pt idx="24">
                        <c:v>0.18099999999999999</c:v>
                      </c:pt>
                      <c:pt idx="25">
                        <c:v>0.17399999999999999</c:v>
                      </c:pt>
                      <c:pt idx="26">
                        <c:v>0.17599999999999999</c:v>
                      </c:pt>
                      <c:pt idx="27">
                        <c:v>0.184</c:v>
                      </c:pt>
                      <c:pt idx="28">
                        <c:v>0.17299999999999999</c:v>
                      </c:pt>
                      <c:pt idx="29">
                        <c:v>0.17599999999999999</c:v>
                      </c:pt>
                      <c:pt idx="30">
                        <c:v>0.17100000000000001</c:v>
                      </c:pt>
                      <c:pt idx="31">
                        <c:v>0.17100000000000001</c:v>
                      </c:pt>
                      <c:pt idx="32">
                        <c:v>0.17199999999999999</c:v>
                      </c:pt>
                      <c:pt idx="33">
                        <c:v>0.16400000000000001</c:v>
                      </c:pt>
                      <c:pt idx="34">
                        <c:v>0.16600000000000001</c:v>
                      </c:pt>
                      <c:pt idx="35">
                        <c:v>0.16300000000000001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C9-4B50-8644-7851DA89E5F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'D. Shipments'!$A$340</c:f>
              <c:strCache>
                <c:ptCount val="1"/>
                <c:pt idx="0">
                  <c:v>NIQ</c:v>
                </c:pt>
              </c:strCache>
            </c:strRef>
          </c:tx>
          <c:spPr>
            <a:ln w="28575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Shipments'!$B$339:$AK$339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Shipments'!$B$340:$AK$340</c:f>
              <c:numCache>
                <c:formatCode>_-* #,##0_-;\-* #,##0_-;_-* "-"??_-;_-@_-</c:formatCode>
                <c:ptCount val="36"/>
                <c:pt idx="0">
                  <c:v>74865</c:v>
                </c:pt>
                <c:pt idx="1">
                  <c:v>70797</c:v>
                </c:pt>
                <c:pt idx="2">
                  <c:v>73331</c:v>
                </c:pt>
                <c:pt idx="3">
                  <c:v>70264</c:v>
                </c:pt>
                <c:pt idx="4">
                  <c:v>73650</c:v>
                </c:pt>
                <c:pt idx="5">
                  <c:v>74497</c:v>
                </c:pt>
                <c:pt idx="6">
                  <c:v>75193</c:v>
                </c:pt>
                <c:pt idx="7">
                  <c:v>81810</c:v>
                </c:pt>
                <c:pt idx="8">
                  <c:v>82994</c:v>
                </c:pt>
                <c:pt idx="9">
                  <c:v>78383</c:v>
                </c:pt>
                <c:pt idx="10">
                  <c:v>79381</c:v>
                </c:pt>
                <c:pt idx="11">
                  <c:v>61514</c:v>
                </c:pt>
                <c:pt idx="12">
                  <c:v>55140</c:v>
                </c:pt>
                <c:pt idx="13">
                  <c:v>60822</c:v>
                </c:pt>
                <c:pt idx="14">
                  <c:v>63206</c:v>
                </c:pt>
                <c:pt idx="15">
                  <c:v>66601</c:v>
                </c:pt>
                <c:pt idx="16">
                  <c:v>60455</c:v>
                </c:pt>
                <c:pt idx="17">
                  <c:v>57091</c:v>
                </c:pt>
                <c:pt idx="18">
                  <c:v>61021</c:v>
                </c:pt>
                <c:pt idx="19">
                  <c:v>68388</c:v>
                </c:pt>
                <c:pt idx="20">
                  <c:v>67413</c:v>
                </c:pt>
                <c:pt idx="21">
                  <c:v>63761</c:v>
                </c:pt>
                <c:pt idx="22">
                  <c:v>64840</c:v>
                </c:pt>
                <c:pt idx="23">
                  <c:v>55162</c:v>
                </c:pt>
                <c:pt idx="24">
                  <c:v>57137</c:v>
                </c:pt>
                <c:pt idx="25">
                  <c:v>59236</c:v>
                </c:pt>
                <c:pt idx="26">
                  <c:v>58937</c:v>
                </c:pt>
                <c:pt idx="27">
                  <c:v>55737</c:v>
                </c:pt>
                <c:pt idx="28">
                  <c:v>54050</c:v>
                </c:pt>
                <c:pt idx="29">
                  <c:v>49803</c:v>
                </c:pt>
                <c:pt idx="30">
                  <c:v>52440</c:v>
                </c:pt>
                <c:pt idx="31">
                  <c:v>53101</c:v>
                </c:pt>
                <c:pt idx="32">
                  <c:v>56822</c:v>
                </c:pt>
                <c:pt idx="33">
                  <c:v>51487</c:v>
                </c:pt>
                <c:pt idx="34">
                  <c:v>47172</c:v>
                </c:pt>
                <c:pt idx="35">
                  <c:v>44469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C9-4B50-8644-7851DA89E5FD}"/>
            </c:ext>
          </c:extLst>
        </c:ser>
        <c:ser>
          <c:idx val="1"/>
          <c:order val="1"/>
          <c:tx>
            <c:strRef>
              <c:f>'D. Shipments'!$A$341</c:f>
              <c:strCache>
                <c:ptCount val="1"/>
                <c:pt idx="0">
                  <c:v>L'oreal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Shipments'!$B$339:$AK$339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Shipments'!$B$341:$AK$341</c:f>
              <c:numCache>
                <c:formatCode>_-* #,##0_-;\-* #,##0_-;_-* "-"??_-;_-@_-</c:formatCode>
                <c:ptCount val="36"/>
                <c:pt idx="0">
                  <c:v>109442</c:v>
                </c:pt>
                <c:pt idx="1">
                  <c:v>128282</c:v>
                </c:pt>
                <c:pt idx="2">
                  <c:v>132003</c:v>
                </c:pt>
                <c:pt idx="3">
                  <c:v>106189</c:v>
                </c:pt>
                <c:pt idx="4">
                  <c:v>105320</c:v>
                </c:pt>
                <c:pt idx="5">
                  <c:v>91296</c:v>
                </c:pt>
                <c:pt idx="6">
                  <c:v>87478</c:v>
                </c:pt>
                <c:pt idx="7">
                  <c:v>62889</c:v>
                </c:pt>
                <c:pt idx="8">
                  <c:v>94665</c:v>
                </c:pt>
                <c:pt idx="9">
                  <c:v>90924</c:v>
                </c:pt>
                <c:pt idx="10">
                  <c:v>72862</c:v>
                </c:pt>
                <c:pt idx="11">
                  <c:v>76009</c:v>
                </c:pt>
                <c:pt idx="12">
                  <c:v>104224</c:v>
                </c:pt>
                <c:pt idx="13">
                  <c:v>86742</c:v>
                </c:pt>
                <c:pt idx="14">
                  <c:v>93619</c:v>
                </c:pt>
                <c:pt idx="15">
                  <c:v>77862</c:v>
                </c:pt>
                <c:pt idx="16">
                  <c:v>71434</c:v>
                </c:pt>
                <c:pt idx="17">
                  <c:v>70867</c:v>
                </c:pt>
                <c:pt idx="18">
                  <c:v>90762</c:v>
                </c:pt>
                <c:pt idx="19">
                  <c:v>54516</c:v>
                </c:pt>
                <c:pt idx="20">
                  <c:v>78355</c:v>
                </c:pt>
                <c:pt idx="21">
                  <c:v>16602</c:v>
                </c:pt>
                <c:pt idx="22">
                  <c:v>54962</c:v>
                </c:pt>
                <c:pt idx="23">
                  <c:v>58551</c:v>
                </c:pt>
                <c:pt idx="24">
                  <c:v>63966</c:v>
                </c:pt>
                <c:pt idx="25">
                  <c:v>54928</c:v>
                </c:pt>
                <c:pt idx="26">
                  <c:v>70197</c:v>
                </c:pt>
                <c:pt idx="27">
                  <c:v>56753</c:v>
                </c:pt>
                <c:pt idx="28">
                  <c:v>49874</c:v>
                </c:pt>
                <c:pt idx="29">
                  <c:v>75079</c:v>
                </c:pt>
                <c:pt idx="30">
                  <c:v>52242</c:v>
                </c:pt>
                <c:pt idx="31">
                  <c:v>37510</c:v>
                </c:pt>
                <c:pt idx="32">
                  <c:v>70318</c:v>
                </c:pt>
                <c:pt idx="33">
                  <c:v>65905</c:v>
                </c:pt>
                <c:pt idx="34">
                  <c:v>47003</c:v>
                </c:pt>
                <c:pt idx="35">
                  <c:v>40248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C9-4B50-8644-7851DA89E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866256"/>
        <c:axId val="1550865296"/>
      </c:lineChart>
      <c:dateAx>
        <c:axId val="1550866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65296"/>
        <c:crosses val="autoZero"/>
        <c:auto val="1"/>
        <c:lblOffset val="100"/>
        <c:baseTimeUnit val="months"/>
      </c:dateAx>
      <c:valAx>
        <c:axId val="15508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66256"/>
        <c:crosses val="autoZero"/>
        <c:crossBetween val="between"/>
      </c:valAx>
      <c:valAx>
        <c:axId val="1190702304"/>
        <c:scaling>
          <c:orientation val="minMax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0706624"/>
        <c:crosses val="max"/>
        <c:crossBetween val="between"/>
      </c:valAx>
      <c:dateAx>
        <c:axId val="119070662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19070230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'D. Shipments'!$A$360</c:f>
          <c:strCache>
            <c:ptCount val="1"/>
            <c:pt idx="0">
              <c:v>TOTAL ELVIVE NUEVO TRAD+FARM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'D. Shipments'!$A$363</c:f>
              <c:strCache>
                <c:ptCount val="1"/>
                <c:pt idx="0">
                  <c:v>DN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'D. Shipments'!$B$360:$AK$360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Shipments'!$B$363:$AK$363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4.2000000000000003E-2</c:v>
                </c:pt>
                <c:pt idx="11">
                  <c:v>0.04</c:v>
                </c:pt>
                <c:pt idx="12">
                  <c:v>5.0999999999999997E-2</c:v>
                </c:pt>
                <c:pt idx="13">
                  <c:v>5.6000000000000001E-2</c:v>
                </c:pt>
                <c:pt idx="14">
                  <c:v>0.06</c:v>
                </c:pt>
                <c:pt idx="15">
                  <c:v>6.3E-2</c:v>
                </c:pt>
                <c:pt idx="16">
                  <c:v>7.2999999999999995E-2</c:v>
                </c:pt>
                <c:pt idx="17">
                  <c:v>7.4999999999999997E-2</c:v>
                </c:pt>
                <c:pt idx="18">
                  <c:v>7.4999999999999997E-2</c:v>
                </c:pt>
                <c:pt idx="19">
                  <c:v>8.4000000000000005E-2</c:v>
                </c:pt>
                <c:pt idx="20">
                  <c:v>8.7999999999999995E-2</c:v>
                </c:pt>
                <c:pt idx="21">
                  <c:v>9.7000000000000003E-2</c:v>
                </c:pt>
                <c:pt idx="22">
                  <c:v>0.104</c:v>
                </c:pt>
                <c:pt idx="23">
                  <c:v>0.12</c:v>
                </c:pt>
                <c:pt idx="24">
                  <c:v>6.9000000000000006E-2</c:v>
                </c:pt>
                <c:pt idx="25">
                  <c:v>6.9000000000000006E-2</c:v>
                </c:pt>
                <c:pt idx="26">
                  <c:v>7.0000000000000007E-2</c:v>
                </c:pt>
                <c:pt idx="27">
                  <c:v>7.9000000000000001E-2</c:v>
                </c:pt>
                <c:pt idx="28">
                  <c:v>9.5000000000000001E-2</c:v>
                </c:pt>
                <c:pt idx="29">
                  <c:v>9.9000000000000005E-2</c:v>
                </c:pt>
                <c:pt idx="30">
                  <c:v>9.6000000000000002E-2</c:v>
                </c:pt>
                <c:pt idx="31">
                  <c:v>0.1</c:v>
                </c:pt>
                <c:pt idx="32">
                  <c:v>9.7000000000000003E-2</c:v>
                </c:pt>
                <c:pt idx="33">
                  <c:v>9.5000000000000001E-2</c:v>
                </c:pt>
                <c:pt idx="34">
                  <c:v>9.0999999999999998E-2</c:v>
                </c:pt>
                <c:pt idx="35">
                  <c:v>9.2999999999999999E-2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D-4790-87DC-B61E43C5B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7746160"/>
        <c:axId val="142773992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'D. Shipments'!$A$364</c15:sqref>
                        </c15:formulaRef>
                      </c:ext>
                    </c:extLst>
                    <c:strCache>
                      <c:ptCount val="1"/>
                      <c:pt idx="0">
                        <c:v>DW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'D. Shipments'!$B$360:$AK$360</c15:sqref>
                        </c15:formulaRef>
                      </c:ext>
                    </c:extLst>
                    <c:numCache>
                      <c:formatCode>mmm\-yy</c:formatCode>
                      <c:ptCount val="36"/>
                      <c:pt idx="0">
                        <c:v>44713</c:v>
                      </c:pt>
                      <c:pt idx="1">
                        <c:v>44743</c:v>
                      </c:pt>
                      <c:pt idx="2">
                        <c:v>44774</c:v>
                      </c:pt>
                      <c:pt idx="3">
                        <c:v>44805</c:v>
                      </c:pt>
                      <c:pt idx="4">
                        <c:v>44835</c:v>
                      </c:pt>
                      <c:pt idx="5">
                        <c:v>44866</c:v>
                      </c:pt>
                      <c:pt idx="6">
                        <c:v>44896</c:v>
                      </c:pt>
                      <c:pt idx="7">
                        <c:v>44927</c:v>
                      </c:pt>
                      <c:pt idx="8">
                        <c:v>44958</c:v>
                      </c:pt>
                      <c:pt idx="9">
                        <c:v>44986</c:v>
                      </c:pt>
                      <c:pt idx="10">
                        <c:v>45017</c:v>
                      </c:pt>
                      <c:pt idx="11">
                        <c:v>45047</c:v>
                      </c:pt>
                      <c:pt idx="12">
                        <c:v>45078</c:v>
                      </c:pt>
                      <c:pt idx="13">
                        <c:v>45108</c:v>
                      </c:pt>
                      <c:pt idx="14">
                        <c:v>45139</c:v>
                      </c:pt>
                      <c:pt idx="15">
                        <c:v>45170</c:v>
                      </c:pt>
                      <c:pt idx="16">
                        <c:v>45200</c:v>
                      </c:pt>
                      <c:pt idx="17">
                        <c:v>45231</c:v>
                      </c:pt>
                      <c:pt idx="18">
                        <c:v>45261</c:v>
                      </c:pt>
                      <c:pt idx="19">
                        <c:v>45292</c:v>
                      </c:pt>
                      <c:pt idx="20">
                        <c:v>45323</c:v>
                      </c:pt>
                      <c:pt idx="21">
                        <c:v>45352</c:v>
                      </c:pt>
                      <c:pt idx="22">
                        <c:v>45383</c:v>
                      </c:pt>
                      <c:pt idx="23">
                        <c:v>45413</c:v>
                      </c:pt>
                      <c:pt idx="24">
                        <c:v>45444</c:v>
                      </c:pt>
                      <c:pt idx="25">
                        <c:v>45474</c:v>
                      </c:pt>
                      <c:pt idx="26">
                        <c:v>45505</c:v>
                      </c:pt>
                      <c:pt idx="27">
                        <c:v>45536</c:v>
                      </c:pt>
                      <c:pt idx="28">
                        <c:v>45566</c:v>
                      </c:pt>
                      <c:pt idx="29">
                        <c:v>45597</c:v>
                      </c:pt>
                      <c:pt idx="30">
                        <c:v>45627</c:v>
                      </c:pt>
                      <c:pt idx="31">
                        <c:v>45658</c:v>
                      </c:pt>
                      <c:pt idx="32">
                        <c:v>45689</c:v>
                      </c:pt>
                      <c:pt idx="33">
                        <c:v>45717</c:v>
                      </c:pt>
                      <c:pt idx="34">
                        <c:v>45748</c:v>
                      </c:pt>
                      <c:pt idx="35">
                        <c:v>45778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'D. Shipments'!$B$364:$AK$364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0.24399999999999999</c:v>
                      </c:pt>
                      <c:pt idx="11">
                        <c:v>0.47</c:v>
                      </c:pt>
                      <c:pt idx="12">
                        <c:v>0.51700000000000002</c:v>
                      </c:pt>
                      <c:pt idx="13">
                        <c:v>0.52500000000000002</c:v>
                      </c:pt>
                      <c:pt idx="14">
                        <c:v>0.56599999999999995</c:v>
                      </c:pt>
                      <c:pt idx="15">
                        <c:v>0.54300000000000004</c:v>
                      </c:pt>
                      <c:pt idx="16">
                        <c:v>0.59799999999999998</c:v>
                      </c:pt>
                      <c:pt idx="17">
                        <c:v>0.65600000000000003</c:v>
                      </c:pt>
                      <c:pt idx="18">
                        <c:v>0.65700000000000003</c:v>
                      </c:pt>
                      <c:pt idx="19">
                        <c:v>0.67400000000000004</c:v>
                      </c:pt>
                      <c:pt idx="20">
                        <c:v>0.66</c:v>
                      </c:pt>
                      <c:pt idx="21">
                        <c:v>0.66100000000000003</c:v>
                      </c:pt>
                      <c:pt idx="22">
                        <c:v>0.66600000000000004</c:v>
                      </c:pt>
                      <c:pt idx="23">
                        <c:v>0.68899999999999995</c:v>
                      </c:pt>
                      <c:pt idx="24">
                        <c:v>0.68600000000000005</c:v>
                      </c:pt>
                      <c:pt idx="25">
                        <c:v>0.66600000000000004</c:v>
                      </c:pt>
                      <c:pt idx="26">
                        <c:v>0.69599999999999995</c:v>
                      </c:pt>
                      <c:pt idx="27">
                        <c:v>0.74399999999999999</c:v>
                      </c:pt>
                      <c:pt idx="28">
                        <c:v>0.749</c:v>
                      </c:pt>
                      <c:pt idx="29">
                        <c:v>0.77200000000000002</c:v>
                      </c:pt>
                      <c:pt idx="30">
                        <c:v>0.77700000000000002</c:v>
                      </c:pt>
                      <c:pt idx="31">
                        <c:v>0.80900000000000005</c:v>
                      </c:pt>
                      <c:pt idx="32">
                        <c:v>0.79200000000000004</c:v>
                      </c:pt>
                      <c:pt idx="33">
                        <c:v>0.78</c:v>
                      </c:pt>
                      <c:pt idx="34">
                        <c:v>0.77400000000000002</c:v>
                      </c:pt>
                      <c:pt idx="35">
                        <c:v>0.79300000000000004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82D-4790-87DC-B61E43C5B5E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'D. Shipments'!$A$361</c:f>
              <c:strCache>
                <c:ptCount val="1"/>
                <c:pt idx="0">
                  <c:v>NIQ</c:v>
                </c:pt>
              </c:strCache>
            </c:strRef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Shipments'!$B$360:$AK$360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Shipments'!$B$361:$AK$361</c:f>
              <c:numCache>
                <c:formatCode>_-* #,##0_-;\-* #,##0_-;_-* "-"??_-;_-@_-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523</c:v>
                </c:pt>
                <c:pt idx="12">
                  <c:v>3221</c:v>
                </c:pt>
                <c:pt idx="13">
                  <c:v>4814</c:v>
                </c:pt>
                <c:pt idx="14">
                  <c:v>5598</c:v>
                </c:pt>
                <c:pt idx="15">
                  <c:v>5954</c:v>
                </c:pt>
                <c:pt idx="16">
                  <c:v>8314</c:v>
                </c:pt>
                <c:pt idx="17">
                  <c:v>7047</c:v>
                </c:pt>
                <c:pt idx="18">
                  <c:v>6189</c:v>
                </c:pt>
                <c:pt idx="19">
                  <c:v>6348</c:v>
                </c:pt>
                <c:pt idx="20">
                  <c:v>5471</c:v>
                </c:pt>
                <c:pt idx="21">
                  <c:v>6103</c:v>
                </c:pt>
                <c:pt idx="22">
                  <c:v>7612</c:v>
                </c:pt>
                <c:pt idx="23">
                  <c:v>8869</c:v>
                </c:pt>
                <c:pt idx="24">
                  <c:v>11332</c:v>
                </c:pt>
                <c:pt idx="25">
                  <c:v>13814</c:v>
                </c:pt>
                <c:pt idx="26">
                  <c:v>13674</c:v>
                </c:pt>
                <c:pt idx="27">
                  <c:v>16331</c:v>
                </c:pt>
                <c:pt idx="28">
                  <c:v>17623</c:v>
                </c:pt>
                <c:pt idx="29">
                  <c:v>18345</c:v>
                </c:pt>
                <c:pt idx="30">
                  <c:v>23451</c:v>
                </c:pt>
                <c:pt idx="31">
                  <c:v>19273</c:v>
                </c:pt>
                <c:pt idx="32">
                  <c:v>20217</c:v>
                </c:pt>
                <c:pt idx="33">
                  <c:v>23464</c:v>
                </c:pt>
                <c:pt idx="34">
                  <c:v>18400</c:v>
                </c:pt>
                <c:pt idx="35">
                  <c:v>20640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D-4790-87DC-B61E43C5B5E4}"/>
            </c:ext>
          </c:extLst>
        </c:ser>
        <c:ser>
          <c:idx val="1"/>
          <c:order val="1"/>
          <c:tx>
            <c:strRef>
              <c:f>'D. Shipments'!$A$362</c:f>
              <c:strCache>
                <c:ptCount val="1"/>
                <c:pt idx="0">
                  <c:v>L'oreal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Shipments'!$B$360:$AK$360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Shipments'!$B$362:$AK$362</c:f>
              <c:numCache>
                <c:formatCode>_-* #,##0_-;\-* #,##0_-;_-* "-"??_-;_-@_-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21270</c:v>
                </c:pt>
                <c:pt idx="16">
                  <c:v>13140</c:v>
                </c:pt>
                <c:pt idx="17">
                  <c:v>10472</c:v>
                </c:pt>
                <c:pt idx="18">
                  <c:v>10320</c:v>
                </c:pt>
                <c:pt idx="19">
                  <c:v>14808</c:v>
                </c:pt>
                <c:pt idx="20">
                  <c:v>16888</c:v>
                </c:pt>
                <c:pt idx="21">
                  <c:v>2730</c:v>
                </c:pt>
                <c:pt idx="22">
                  <c:v>4656</c:v>
                </c:pt>
                <c:pt idx="23">
                  <c:v>6372</c:v>
                </c:pt>
                <c:pt idx="24">
                  <c:v>14736</c:v>
                </c:pt>
                <c:pt idx="25">
                  <c:v>10578</c:v>
                </c:pt>
                <c:pt idx="26">
                  <c:v>48408</c:v>
                </c:pt>
                <c:pt idx="27">
                  <c:v>25977</c:v>
                </c:pt>
                <c:pt idx="28">
                  <c:v>10239</c:v>
                </c:pt>
                <c:pt idx="29">
                  <c:v>18053</c:v>
                </c:pt>
                <c:pt idx="30">
                  <c:v>40032</c:v>
                </c:pt>
                <c:pt idx="31">
                  <c:v>23466</c:v>
                </c:pt>
                <c:pt idx="32">
                  <c:v>49070</c:v>
                </c:pt>
                <c:pt idx="33">
                  <c:v>62907</c:v>
                </c:pt>
                <c:pt idx="34">
                  <c:v>18595</c:v>
                </c:pt>
                <c:pt idx="35">
                  <c:v>27435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2D-4790-87DC-B61E43C5B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7861296"/>
        <c:axId val="1427866096"/>
      </c:lineChart>
      <c:dateAx>
        <c:axId val="1427861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7866096"/>
        <c:crosses val="autoZero"/>
        <c:auto val="1"/>
        <c:lblOffset val="100"/>
        <c:baseTimeUnit val="months"/>
      </c:dateAx>
      <c:valAx>
        <c:axId val="14278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7861296"/>
        <c:crosses val="autoZero"/>
        <c:crossBetween val="between"/>
      </c:valAx>
      <c:valAx>
        <c:axId val="14277399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7746160"/>
        <c:crosses val="max"/>
        <c:crossBetween val="between"/>
      </c:valAx>
      <c:dateAx>
        <c:axId val="14277461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277399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'D. Shipments'!$A$360</c:f>
          <c:strCache>
            <c:ptCount val="1"/>
            <c:pt idx="0">
              <c:v>TOTAL ELVIVE NUEVO TRAD+FARM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'D. Shipments'!$A$364</c:f>
              <c:strCache>
                <c:ptCount val="1"/>
                <c:pt idx="0">
                  <c:v>DW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'D. Shipments'!$B$360:$AK$360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  <c:extLst xmlns:c15="http://schemas.microsoft.com/office/drawing/2012/chart"/>
            </c:numRef>
          </c:cat>
          <c:val>
            <c:numRef>
              <c:f>'D. Shipments'!$B$364:$AK$364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0.24399999999999999</c:v>
                </c:pt>
                <c:pt idx="11">
                  <c:v>0.47</c:v>
                </c:pt>
                <c:pt idx="12">
                  <c:v>0.51700000000000002</c:v>
                </c:pt>
                <c:pt idx="13">
                  <c:v>0.52500000000000002</c:v>
                </c:pt>
                <c:pt idx="14">
                  <c:v>0.56599999999999995</c:v>
                </c:pt>
                <c:pt idx="15">
                  <c:v>0.54300000000000004</c:v>
                </c:pt>
                <c:pt idx="16">
                  <c:v>0.59799999999999998</c:v>
                </c:pt>
                <c:pt idx="17">
                  <c:v>0.65600000000000003</c:v>
                </c:pt>
                <c:pt idx="18">
                  <c:v>0.65700000000000003</c:v>
                </c:pt>
                <c:pt idx="19">
                  <c:v>0.67400000000000004</c:v>
                </c:pt>
                <c:pt idx="20">
                  <c:v>0.66</c:v>
                </c:pt>
                <c:pt idx="21">
                  <c:v>0.66100000000000003</c:v>
                </c:pt>
                <c:pt idx="22">
                  <c:v>0.66600000000000004</c:v>
                </c:pt>
                <c:pt idx="23">
                  <c:v>0.68899999999999995</c:v>
                </c:pt>
                <c:pt idx="24">
                  <c:v>0.68600000000000005</c:v>
                </c:pt>
                <c:pt idx="25">
                  <c:v>0.66600000000000004</c:v>
                </c:pt>
                <c:pt idx="26">
                  <c:v>0.69599999999999995</c:v>
                </c:pt>
                <c:pt idx="27">
                  <c:v>0.74399999999999999</c:v>
                </c:pt>
                <c:pt idx="28">
                  <c:v>0.749</c:v>
                </c:pt>
                <c:pt idx="29">
                  <c:v>0.77200000000000002</c:v>
                </c:pt>
                <c:pt idx="30">
                  <c:v>0.77700000000000002</c:v>
                </c:pt>
                <c:pt idx="31">
                  <c:v>0.80900000000000005</c:v>
                </c:pt>
                <c:pt idx="32">
                  <c:v>0.79200000000000004</c:v>
                </c:pt>
                <c:pt idx="33">
                  <c:v>0.78</c:v>
                </c:pt>
                <c:pt idx="34">
                  <c:v>0.77400000000000002</c:v>
                </c:pt>
                <c:pt idx="35">
                  <c:v>0.79300000000000004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C7A6-422F-97D8-5CBAB874A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7746160"/>
        <c:axId val="142773992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'D. Shipments'!$A$363</c15:sqref>
                        </c15:formulaRef>
                      </c:ext>
                    </c:extLst>
                    <c:strCache>
                      <c:ptCount val="1"/>
                      <c:pt idx="0">
                        <c:v>DN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'D. Shipments'!$B$360:$AK$360</c15:sqref>
                        </c15:formulaRef>
                      </c:ext>
                    </c:extLst>
                    <c:numCache>
                      <c:formatCode>mmm\-yy</c:formatCode>
                      <c:ptCount val="36"/>
                      <c:pt idx="0">
                        <c:v>44713</c:v>
                      </c:pt>
                      <c:pt idx="1">
                        <c:v>44743</c:v>
                      </c:pt>
                      <c:pt idx="2">
                        <c:v>44774</c:v>
                      </c:pt>
                      <c:pt idx="3">
                        <c:v>44805</c:v>
                      </c:pt>
                      <c:pt idx="4">
                        <c:v>44835</c:v>
                      </c:pt>
                      <c:pt idx="5">
                        <c:v>44866</c:v>
                      </c:pt>
                      <c:pt idx="6">
                        <c:v>44896</c:v>
                      </c:pt>
                      <c:pt idx="7">
                        <c:v>44927</c:v>
                      </c:pt>
                      <c:pt idx="8">
                        <c:v>44958</c:v>
                      </c:pt>
                      <c:pt idx="9">
                        <c:v>44986</c:v>
                      </c:pt>
                      <c:pt idx="10">
                        <c:v>45017</c:v>
                      </c:pt>
                      <c:pt idx="11">
                        <c:v>45047</c:v>
                      </c:pt>
                      <c:pt idx="12">
                        <c:v>45078</c:v>
                      </c:pt>
                      <c:pt idx="13">
                        <c:v>45108</c:v>
                      </c:pt>
                      <c:pt idx="14">
                        <c:v>45139</c:v>
                      </c:pt>
                      <c:pt idx="15">
                        <c:v>45170</c:v>
                      </c:pt>
                      <c:pt idx="16">
                        <c:v>45200</c:v>
                      </c:pt>
                      <c:pt idx="17">
                        <c:v>45231</c:v>
                      </c:pt>
                      <c:pt idx="18">
                        <c:v>45261</c:v>
                      </c:pt>
                      <c:pt idx="19">
                        <c:v>45292</c:v>
                      </c:pt>
                      <c:pt idx="20">
                        <c:v>45323</c:v>
                      </c:pt>
                      <c:pt idx="21">
                        <c:v>45352</c:v>
                      </c:pt>
                      <c:pt idx="22">
                        <c:v>45383</c:v>
                      </c:pt>
                      <c:pt idx="23">
                        <c:v>45413</c:v>
                      </c:pt>
                      <c:pt idx="24">
                        <c:v>45444</c:v>
                      </c:pt>
                      <c:pt idx="25">
                        <c:v>45474</c:v>
                      </c:pt>
                      <c:pt idx="26">
                        <c:v>45505</c:v>
                      </c:pt>
                      <c:pt idx="27">
                        <c:v>45536</c:v>
                      </c:pt>
                      <c:pt idx="28">
                        <c:v>45566</c:v>
                      </c:pt>
                      <c:pt idx="29">
                        <c:v>45597</c:v>
                      </c:pt>
                      <c:pt idx="30">
                        <c:v>45627</c:v>
                      </c:pt>
                      <c:pt idx="31">
                        <c:v>45658</c:v>
                      </c:pt>
                      <c:pt idx="32">
                        <c:v>45689</c:v>
                      </c:pt>
                      <c:pt idx="33">
                        <c:v>45717</c:v>
                      </c:pt>
                      <c:pt idx="34">
                        <c:v>45748</c:v>
                      </c:pt>
                      <c:pt idx="35">
                        <c:v>45778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'D. Shipments'!$B$363:$AK$363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4.2000000000000003E-2</c:v>
                      </c:pt>
                      <c:pt idx="11">
                        <c:v>0.04</c:v>
                      </c:pt>
                      <c:pt idx="12">
                        <c:v>5.0999999999999997E-2</c:v>
                      </c:pt>
                      <c:pt idx="13">
                        <c:v>5.6000000000000001E-2</c:v>
                      </c:pt>
                      <c:pt idx="14">
                        <c:v>0.06</c:v>
                      </c:pt>
                      <c:pt idx="15">
                        <c:v>6.3E-2</c:v>
                      </c:pt>
                      <c:pt idx="16">
                        <c:v>7.2999999999999995E-2</c:v>
                      </c:pt>
                      <c:pt idx="17">
                        <c:v>7.4999999999999997E-2</c:v>
                      </c:pt>
                      <c:pt idx="18">
                        <c:v>7.4999999999999997E-2</c:v>
                      </c:pt>
                      <c:pt idx="19">
                        <c:v>8.4000000000000005E-2</c:v>
                      </c:pt>
                      <c:pt idx="20">
                        <c:v>8.7999999999999995E-2</c:v>
                      </c:pt>
                      <c:pt idx="21">
                        <c:v>9.7000000000000003E-2</c:v>
                      </c:pt>
                      <c:pt idx="22">
                        <c:v>0.104</c:v>
                      </c:pt>
                      <c:pt idx="23">
                        <c:v>0.12</c:v>
                      </c:pt>
                      <c:pt idx="24">
                        <c:v>6.9000000000000006E-2</c:v>
                      </c:pt>
                      <c:pt idx="25">
                        <c:v>6.9000000000000006E-2</c:v>
                      </c:pt>
                      <c:pt idx="26">
                        <c:v>7.0000000000000007E-2</c:v>
                      </c:pt>
                      <c:pt idx="27">
                        <c:v>7.9000000000000001E-2</c:v>
                      </c:pt>
                      <c:pt idx="28">
                        <c:v>9.5000000000000001E-2</c:v>
                      </c:pt>
                      <c:pt idx="29">
                        <c:v>9.9000000000000005E-2</c:v>
                      </c:pt>
                      <c:pt idx="30">
                        <c:v>9.6000000000000002E-2</c:v>
                      </c:pt>
                      <c:pt idx="31">
                        <c:v>0.1</c:v>
                      </c:pt>
                      <c:pt idx="32">
                        <c:v>9.7000000000000003E-2</c:v>
                      </c:pt>
                      <c:pt idx="33">
                        <c:v>9.5000000000000001E-2</c:v>
                      </c:pt>
                      <c:pt idx="34">
                        <c:v>9.0999999999999998E-2</c:v>
                      </c:pt>
                      <c:pt idx="35">
                        <c:v>9.2999999999999999E-2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A6-422F-97D8-5CBAB874AC2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'D. Shipments'!$A$361</c:f>
              <c:strCache>
                <c:ptCount val="1"/>
                <c:pt idx="0">
                  <c:v>NIQ</c:v>
                </c:pt>
              </c:strCache>
            </c:strRef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Shipments'!$B$360:$AK$360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Shipments'!$B$361:$AK$361</c:f>
              <c:numCache>
                <c:formatCode>_-* #,##0_-;\-* #,##0_-;_-* "-"??_-;_-@_-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523</c:v>
                </c:pt>
                <c:pt idx="12">
                  <c:v>3221</c:v>
                </c:pt>
                <c:pt idx="13">
                  <c:v>4814</c:v>
                </c:pt>
                <c:pt idx="14">
                  <c:v>5598</c:v>
                </c:pt>
                <c:pt idx="15">
                  <c:v>5954</c:v>
                </c:pt>
                <c:pt idx="16">
                  <c:v>8314</c:v>
                </c:pt>
                <c:pt idx="17">
                  <c:v>7047</c:v>
                </c:pt>
                <c:pt idx="18">
                  <c:v>6189</c:v>
                </c:pt>
                <c:pt idx="19">
                  <c:v>6348</c:v>
                </c:pt>
                <c:pt idx="20">
                  <c:v>5471</c:v>
                </c:pt>
                <c:pt idx="21">
                  <c:v>6103</c:v>
                </c:pt>
                <c:pt idx="22">
                  <c:v>7612</c:v>
                </c:pt>
                <c:pt idx="23">
                  <c:v>8869</c:v>
                </c:pt>
                <c:pt idx="24">
                  <c:v>11332</c:v>
                </c:pt>
                <c:pt idx="25">
                  <c:v>13814</c:v>
                </c:pt>
                <c:pt idx="26">
                  <c:v>13674</c:v>
                </c:pt>
                <c:pt idx="27">
                  <c:v>16331</c:v>
                </c:pt>
                <c:pt idx="28">
                  <c:v>17623</c:v>
                </c:pt>
                <c:pt idx="29">
                  <c:v>18345</c:v>
                </c:pt>
                <c:pt idx="30">
                  <c:v>23451</c:v>
                </c:pt>
                <c:pt idx="31">
                  <c:v>19273</c:v>
                </c:pt>
                <c:pt idx="32">
                  <c:v>20217</c:v>
                </c:pt>
                <c:pt idx="33">
                  <c:v>23464</c:v>
                </c:pt>
                <c:pt idx="34">
                  <c:v>18400</c:v>
                </c:pt>
                <c:pt idx="35">
                  <c:v>20640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A6-422F-97D8-5CBAB874AC21}"/>
            </c:ext>
          </c:extLst>
        </c:ser>
        <c:ser>
          <c:idx val="1"/>
          <c:order val="1"/>
          <c:tx>
            <c:strRef>
              <c:f>'D. Shipments'!$A$362</c:f>
              <c:strCache>
                <c:ptCount val="1"/>
                <c:pt idx="0">
                  <c:v>L'oreal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'D. Shipments'!$B$360:$AK$360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Shipments'!$B$362:$AK$362</c:f>
              <c:numCache>
                <c:formatCode>_-* #,##0_-;\-* #,##0_-;_-* "-"??_-;_-@_-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21270</c:v>
                </c:pt>
                <c:pt idx="16">
                  <c:v>13140</c:v>
                </c:pt>
                <c:pt idx="17">
                  <c:v>10472</c:v>
                </c:pt>
                <c:pt idx="18">
                  <c:v>10320</c:v>
                </c:pt>
                <c:pt idx="19">
                  <c:v>14808</c:v>
                </c:pt>
                <c:pt idx="20">
                  <c:v>16888</c:v>
                </c:pt>
                <c:pt idx="21">
                  <c:v>2730</c:v>
                </c:pt>
                <c:pt idx="22">
                  <c:v>4656</c:v>
                </c:pt>
                <c:pt idx="23">
                  <c:v>6372</c:v>
                </c:pt>
                <c:pt idx="24">
                  <c:v>14736</c:v>
                </c:pt>
                <c:pt idx="25">
                  <c:v>10578</c:v>
                </c:pt>
                <c:pt idx="26">
                  <c:v>48408</c:v>
                </c:pt>
                <c:pt idx="27">
                  <c:v>25977</c:v>
                </c:pt>
                <c:pt idx="28">
                  <c:v>10239</c:v>
                </c:pt>
                <c:pt idx="29">
                  <c:v>18053</c:v>
                </c:pt>
                <c:pt idx="30">
                  <c:v>40032</c:v>
                </c:pt>
                <c:pt idx="31">
                  <c:v>23466</c:v>
                </c:pt>
                <c:pt idx="32">
                  <c:v>49070</c:v>
                </c:pt>
                <c:pt idx="33">
                  <c:v>62907</c:v>
                </c:pt>
                <c:pt idx="34">
                  <c:v>18595</c:v>
                </c:pt>
                <c:pt idx="35">
                  <c:v>27435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A6-422F-97D8-5CBAB874A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7861296"/>
        <c:axId val="1427866096"/>
      </c:lineChart>
      <c:dateAx>
        <c:axId val="1427861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7866096"/>
        <c:crosses val="autoZero"/>
        <c:auto val="1"/>
        <c:lblOffset val="100"/>
        <c:baseTimeUnit val="months"/>
      </c:dateAx>
      <c:valAx>
        <c:axId val="14278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7861296"/>
        <c:crosses val="autoZero"/>
        <c:crossBetween val="between"/>
      </c:valAx>
      <c:valAx>
        <c:axId val="14277399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7746160"/>
        <c:crosses val="max"/>
        <c:crossBetween val="between"/>
      </c:valAx>
      <c:dateAx>
        <c:axId val="14277461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277399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'D. HairCare ST'!$A$37</c:f>
              <c:strCache>
                <c:ptCount val="1"/>
                <c:pt idx="0">
                  <c:v>ELVIVE COLORVIVE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'D. HairCare ST'!$B$36:$AK$36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HairCare ST'!$B$37:$AK$37</c:f>
              <c:numCache>
                <c:formatCode>_-* #,##0_-;\-* #,##0_-;_-* "-"??_-;_-@_-</c:formatCode>
                <c:ptCount val="36"/>
                <c:pt idx="0">
                  <c:v>6512</c:v>
                </c:pt>
                <c:pt idx="1">
                  <c:v>4039.6188000000002</c:v>
                </c:pt>
                <c:pt idx="2">
                  <c:v>4145</c:v>
                </c:pt>
                <c:pt idx="3">
                  <c:v>5626</c:v>
                </c:pt>
                <c:pt idx="4">
                  <c:v>5232</c:v>
                </c:pt>
                <c:pt idx="5">
                  <c:v>5682</c:v>
                </c:pt>
                <c:pt idx="6">
                  <c:v>8203</c:v>
                </c:pt>
                <c:pt idx="7">
                  <c:v>6097</c:v>
                </c:pt>
                <c:pt idx="8">
                  <c:v>5822</c:v>
                </c:pt>
                <c:pt idx="9">
                  <c:v>6812</c:v>
                </c:pt>
                <c:pt idx="10">
                  <c:v>4250</c:v>
                </c:pt>
                <c:pt idx="11">
                  <c:v>3790</c:v>
                </c:pt>
                <c:pt idx="12">
                  <c:v>4672</c:v>
                </c:pt>
                <c:pt idx="13">
                  <c:v>3303.9341000000004</c:v>
                </c:pt>
                <c:pt idx="14">
                  <c:v>3745</c:v>
                </c:pt>
                <c:pt idx="15">
                  <c:v>4535</c:v>
                </c:pt>
                <c:pt idx="16">
                  <c:v>4280</c:v>
                </c:pt>
                <c:pt idx="17">
                  <c:v>3991.4403999999995</c:v>
                </c:pt>
                <c:pt idx="18">
                  <c:v>7336.5758000000005</c:v>
                </c:pt>
                <c:pt idx="19">
                  <c:v>4531</c:v>
                </c:pt>
                <c:pt idx="20">
                  <c:v>4316</c:v>
                </c:pt>
                <c:pt idx="21">
                  <c:v>5717</c:v>
                </c:pt>
                <c:pt idx="22">
                  <c:v>3365</c:v>
                </c:pt>
                <c:pt idx="23">
                  <c:v>3507</c:v>
                </c:pt>
                <c:pt idx="24">
                  <c:v>5731</c:v>
                </c:pt>
                <c:pt idx="25">
                  <c:v>4078</c:v>
                </c:pt>
                <c:pt idx="26">
                  <c:v>4923</c:v>
                </c:pt>
                <c:pt idx="27">
                  <c:v>6437</c:v>
                </c:pt>
                <c:pt idx="28">
                  <c:v>4390</c:v>
                </c:pt>
                <c:pt idx="29">
                  <c:v>4074</c:v>
                </c:pt>
                <c:pt idx="30">
                  <c:v>6600</c:v>
                </c:pt>
                <c:pt idx="31">
                  <c:v>5699</c:v>
                </c:pt>
                <c:pt idx="32">
                  <c:v>6139</c:v>
                </c:pt>
                <c:pt idx="33">
                  <c:v>7875</c:v>
                </c:pt>
                <c:pt idx="34">
                  <c:v>5106</c:v>
                </c:pt>
                <c:pt idx="35">
                  <c:v>5230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B-4842-8FB3-9E523E3F0D4C}"/>
            </c:ext>
          </c:extLst>
        </c:ser>
        <c:ser>
          <c:idx val="1"/>
          <c:order val="1"/>
          <c:tx>
            <c:strRef>
              <c:f>'D. HairCare ST'!$A$38</c:f>
              <c:strCache>
                <c:ptCount val="1"/>
                <c:pt idx="0">
                  <c:v>ELVIVE GLYCOLIC GLOSS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'D. HairCare ST'!$B$36:$AK$36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HairCare ST'!$B$38:$AK$38</c:f>
              <c:numCache>
                <c:formatCode>_-* #,##0_-;\-* #,##0_-;_-* "-"??_-;_-@_-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48</c:v>
                </c:pt>
                <c:pt idx="22">
                  <c:v>2675</c:v>
                </c:pt>
                <c:pt idx="23">
                  <c:v>4828</c:v>
                </c:pt>
                <c:pt idx="24">
                  <c:v>8448</c:v>
                </c:pt>
                <c:pt idx="25">
                  <c:v>5621</c:v>
                </c:pt>
                <c:pt idx="26">
                  <c:v>6407</c:v>
                </c:pt>
                <c:pt idx="27">
                  <c:v>10835</c:v>
                </c:pt>
                <c:pt idx="28">
                  <c:v>9857</c:v>
                </c:pt>
                <c:pt idx="29">
                  <c:v>8047</c:v>
                </c:pt>
                <c:pt idx="30">
                  <c:v>10478</c:v>
                </c:pt>
                <c:pt idx="31">
                  <c:v>8619</c:v>
                </c:pt>
                <c:pt idx="32">
                  <c:v>9028</c:v>
                </c:pt>
                <c:pt idx="33">
                  <c:v>14693</c:v>
                </c:pt>
                <c:pt idx="34">
                  <c:v>8844</c:v>
                </c:pt>
                <c:pt idx="35">
                  <c:v>8680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B-4842-8FB3-9E523E3F0D4C}"/>
            </c:ext>
          </c:extLst>
        </c:ser>
        <c:ser>
          <c:idx val="2"/>
          <c:order val="2"/>
          <c:tx>
            <c:strRef>
              <c:f>'D. HairCare ST'!$A$39</c:f>
              <c:strCache>
                <c:ptCount val="1"/>
                <c:pt idx="0">
                  <c:v>ELVIVE HIALURONICO PURE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'D. HairCare ST'!$B$36:$AK$36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HairCare ST'!$B$39:$AK$39</c:f>
              <c:numCache>
                <c:formatCode>_-* #,##0_-;\-* #,##0_-;_-* "-"??_-;_-@_-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1481</c:v>
                </c:pt>
                <c:pt idx="11">
                  <c:v>2765</c:v>
                </c:pt>
                <c:pt idx="12">
                  <c:v>5159</c:v>
                </c:pt>
                <c:pt idx="13">
                  <c:v>3316.3553000000002</c:v>
                </c:pt>
                <c:pt idx="14">
                  <c:v>5149</c:v>
                </c:pt>
                <c:pt idx="15">
                  <c:v>3600</c:v>
                </c:pt>
                <c:pt idx="16">
                  <c:v>3632</c:v>
                </c:pt>
                <c:pt idx="17">
                  <c:v>3030.7873</c:v>
                </c:pt>
                <c:pt idx="18">
                  <c:v>5139.4434999999994</c:v>
                </c:pt>
                <c:pt idx="19">
                  <c:v>3334</c:v>
                </c:pt>
                <c:pt idx="20">
                  <c:v>3404</c:v>
                </c:pt>
                <c:pt idx="21">
                  <c:v>6485</c:v>
                </c:pt>
                <c:pt idx="22">
                  <c:v>4061</c:v>
                </c:pt>
                <c:pt idx="23">
                  <c:v>3434</c:v>
                </c:pt>
                <c:pt idx="24">
                  <c:v>8591</c:v>
                </c:pt>
                <c:pt idx="25">
                  <c:v>5435</c:v>
                </c:pt>
                <c:pt idx="26">
                  <c:v>5120</c:v>
                </c:pt>
                <c:pt idx="27">
                  <c:v>7734</c:v>
                </c:pt>
                <c:pt idx="28">
                  <c:v>5694</c:v>
                </c:pt>
                <c:pt idx="29">
                  <c:v>4293</c:v>
                </c:pt>
                <c:pt idx="30">
                  <c:v>6787</c:v>
                </c:pt>
                <c:pt idx="31">
                  <c:v>5656</c:v>
                </c:pt>
                <c:pt idx="32">
                  <c:v>6190</c:v>
                </c:pt>
                <c:pt idx="33">
                  <c:v>9772</c:v>
                </c:pt>
                <c:pt idx="34">
                  <c:v>5973</c:v>
                </c:pt>
                <c:pt idx="35">
                  <c:v>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1B-4842-8FB3-9E523E3F0D4C}"/>
            </c:ext>
          </c:extLst>
        </c:ser>
        <c:ser>
          <c:idx val="3"/>
          <c:order val="3"/>
          <c:tx>
            <c:strRef>
              <c:f>'D. HairCare ST'!$A$40</c:f>
              <c:strCache>
                <c:ptCount val="1"/>
                <c:pt idx="0">
                  <c:v>ELVIVE HIDRA HIALURONICO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'D. HairCare ST'!$B$36:$AK$36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HairCare ST'!$B$40:$AK$40</c:f>
              <c:numCache>
                <c:formatCode>_-* #,##0_-;\-* #,##0_-;_-* "-"??_-;_-@_-</c:formatCode>
                <c:ptCount val="36"/>
                <c:pt idx="0">
                  <c:v>6392</c:v>
                </c:pt>
                <c:pt idx="1">
                  <c:v>4458</c:v>
                </c:pt>
                <c:pt idx="2">
                  <c:v>6878</c:v>
                </c:pt>
                <c:pt idx="3">
                  <c:v>9518</c:v>
                </c:pt>
                <c:pt idx="4">
                  <c:v>7709</c:v>
                </c:pt>
                <c:pt idx="5">
                  <c:v>9234</c:v>
                </c:pt>
                <c:pt idx="6">
                  <c:v>15459</c:v>
                </c:pt>
                <c:pt idx="7">
                  <c:v>11141</c:v>
                </c:pt>
                <c:pt idx="8">
                  <c:v>10855.711299999999</c:v>
                </c:pt>
                <c:pt idx="9">
                  <c:v>12549</c:v>
                </c:pt>
                <c:pt idx="10">
                  <c:v>6271</c:v>
                </c:pt>
                <c:pt idx="11">
                  <c:v>5134</c:v>
                </c:pt>
                <c:pt idx="12">
                  <c:v>7691.4354000000003</c:v>
                </c:pt>
                <c:pt idx="13">
                  <c:v>5093.1183000000001</c:v>
                </c:pt>
                <c:pt idx="14">
                  <c:v>6112</c:v>
                </c:pt>
                <c:pt idx="15">
                  <c:v>6602</c:v>
                </c:pt>
                <c:pt idx="16">
                  <c:v>6816</c:v>
                </c:pt>
                <c:pt idx="17">
                  <c:v>5809.6858000000002</c:v>
                </c:pt>
                <c:pt idx="18">
                  <c:v>12086.615700000002</c:v>
                </c:pt>
                <c:pt idx="19">
                  <c:v>5941</c:v>
                </c:pt>
                <c:pt idx="20">
                  <c:v>5681</c:v>
                </c:pt>
                <c:pt idx="21">
                  <c:v>8545</c:v>
                </c:pt>
                <c:pt idx="22">
                  <c:v>4778</c:v>
                </c:pt>
                <c:pt idx="23">
                  <c:v>4673</c:v>
                </c:pt>
                <c:pt idx="24">
                  <c:v>7119</c:v>
                </c:pt>
                <c:pt idx="25">
                  <c:v>6115</c:v>
                </c:pt>
                <c:pt idx="26">
                  <c:v>6000</c:v>
                </c:pt>
                <c:pt idx="27">
                  <c:v>8517</c:v>
                </c:pt>
                <c:pt idx="28">
                  <c:v>7157</c:v>
                </c:pt>
                <c:pt idx="29">
                  <c:v>5883</c:v>
                </c:pt>
                <c:pt idx="30">
                  <c:v>8987</c:v>
                </c:pt>
                <c:pt idx="31">
                  <c:v>8782</c:v>
                </c:pt>
                <c:pt idx="32">
                  <c:v>8128</c:v>
                </c:pt>
                <c:pt idx="33">
                  <c:v>11780</c:v>
                </c:pt>
                <c:pt idx="34">
                  <c:v>6895</c:v>
                </c:pt>
                <c:pt idx="35">
                  <c:v>7447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1B-4842-8FB3-9E523E3F0D4C}"/>
            </c:ext>
          </c:extLst>
        </c:ser>
        <c:ser>
          <c:idx val="4"/>
          <c:order val="4"/>
          <c:tx>
            <c:strRef>
              <c:f>'D. HairCare ST'!$A$41</c:f>
              <c:strCache>
                <c:ptCount val="1"/>
                <c:pt idx="0">
                  <c:v>ELVIVE RT5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'D. HairCare ST'!$B$36:$AK$36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HairCare ST'!$B$41:$AK$41</c:f>
              <c:numCache>
                <c:formatCode>_-* #,##0_-;\-* #,##0_-;_-* "-"??_-;_-@_-</c:formatCode>
                <c:ptCount val="36"/>
                <c:pt idx="0">
                  <c:v>12886</c:v>
                </c:pt>
                <c:pt idx="1">
                  <c:v>6822.1547</c:v>
                </c:pt>
                <c:pt idx="2">
                  <c:v>6101.9998999999998</c:v>
                </c:pt>
                <c:pt idx="3">
                  <c:v>7826</c:v>
                </c:pt>
                <c:pt idx="4">
                  <c:v>7447.3333000000002</c:v>
                </c:pt>
                <c:pt idx="5">
                  <c:v>8157.3333000000002</c:v>
                </c:pt>
                <c:pt idx="6">
                  <c:v>12035</c:v>
                </c:pt>
                <c:pt idx="7">
                  <c:v>7957</c:v>
                </c:pt>
                <c:pt idx="8">
                  <c:v>7493.2371000000003</c:v>
                </c:pt>
                <c:pt idx="9">
                  <c:v>10294</c:v>
                </c:pt>
                <c:pt idx="10">
                  <c:v>6304</c:v>
                </c:pt>
                <c:pt idx="11">
                  <c:v>5834</c:v>
                </c:pt>
                <c:pt idx="12">
                  <c:v>6168.7685000000001</c:v>
                </c:pt>
                <c:pt idx="13">
                  <c:v>4066.7630999999997</c:v>
                </c:pt>
                <c:pt idx="14">
                  <c:v>4848.9997999999996</c:v>
                </c:pt>
                <c:pt idx="15">
                  <c:v>4992</c:v>
                </c:pt>
                <c:pt idx="16">
                  <c:v>4421</c:v>
                </c:pt>
                <c:pt idx="17">
                  <c:v>4026.2584999999999</c:v>
                </c:pt>
                <c:pt idx="18">
                  <c:v>8047.6571999999996</c:v>
                </c:pt>
                <c:pt idx="19">
                  <c:v>5222</c:v>
                </c:pt>
                <c:pt idx="20">
                  <c:v>5626</c:v>
                </c:pt>
                <c:pt idx="21">
                  <c:v>10738</c:v>
                </c:pt>
                <c:pt idx="22">
                  <c:v>6740</c:v>
                </c:pt>
                <c:pt idx="23">
                  <c:v>5688</c:v>
                </c:pt>
                <c:pt idx="24">
                  <c:v>7846</c:v>
                </c:pt>
                <c:pt idx="25">
                  <c:v>4635</c:v>
                </c:pt>
                <c:pt idx="26">
                  <c:v>5890</c:v>
                </c:pt>
                <c:pt idx="27">
                  <c:v>8178</c:v>
                </c:pt>
                <c:pt idx="28">
                  <c:v>7109</c:v>
                </c:pt>
                <c:pt idx="29">
                  <c:v>5398</c:v>
                </c:pt>
                <c:pt idx="30">
                  <c:v>7582</c:v>
                </c:pt>
                <c:pt idx="31">
                  <c:v>5298</c:v>
                </c:pt>
                <c:pt idx="32">
                  <c:v>5825</c:v>
                </c:pt>
                <c:pt idx="33">
                  <c:v>7485</c:v>
                </c:pt>
                <c:pt idx="34">
                  <c:v>4192</c:v>
                </c:pt>
                <c:pt idx="35">
                  <c:v>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1B-4842-8FB3-9E523E3F0D4C}"/>
            </c:ext>
          </c:extLst>
        </c:ser>
        <c:ser>
          <c:idx val="5"/>
          <c:order val="5"/>
          <c:tx>
            <c:strRef>
              <c:f>'D. HairCare ST'!$A$42</c:f>
              <c:strCache>
                <c:ptCount val="1"/>
                <c:pt idx="0">
                  <c:v>ELVIVE RESTO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'D. HairCare ST'!$B$36:$AK$36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HairCare ST'!$B$42:$AK$42</c:f>
              <c:numCache>
                <c:formatCode>_-* #,##0_-;\-* #,##0_-;_-* "-"??_-;_-@_-</c:formatCode>
                <c:ptCount val="36"/>
                <c:pt idx="0">
                  <c:v>17899</c:v>
                </c:pt>
                <c:pt idx="1">
                  <c:v>10897.701700000001</c:v>
                </c:pt>
                <c:pt idx="2">
                  <c:v>10417</c:v>
                </c:pt>
                <c:pt idx="3">
                  <c:v>13535</c:v>
                </c:pt>
                <c:pt idx="4">
                  <c:v>11681</c:v>
                </c:pt>
                <c:pt idx="5">
                  <c:v>11906</c:v>
                </c:pt>
                <c:pt idx="6">
                  <c:v>16644</c:v>
                </c:pt>
                <c:pt idx="7">
                  <c:v>12916.284200000002</c:v>
                </c:pt>
                <c:pt idx="8">
                  <c:v>10990.7114</c:v>
                </c:pt>
                <c:pt idx="9">
                  <c:v>12984</c:v>
                </c:pt>
                <c:pt idx="10">
                  <c:v>8018</c:v>
                </c:pt>
                <c:pt idx="11">
                  <c:v>7274</c:v>
                </c:pt>
                <c:pt idx="12">
                  <c:v>10397.653100000003</c:v>
                </c:pt>
                <c:pt idx="13">
                  <c:v>6431.4869000000072</c:v>
                </c:pt>
                <c:pt idx="14">
                  <c:v>7443</c:v>
                </c:pt>
                <c:pt idx="15">
                  <c:v>8318</c:v>
                </c:pt>
                <c:pt idx="16">
                  <c:v>8391</c:v>
                </c:pt>
                <c:pt idx="17">
                  <c:v>6551.0300000000025</c:v>
                </c:pt>
                <c:pt idx="18">
                  <c:v>14912.368600000002</c:v>
                </c:pt>
                <c:pt idx="19">
                  <c:v>8975</c:v>
                </c:pt>
                <c:pt idx="20">
                  <c:v>9512</c:v>
                </c:pt>
                <c:pt idx="21">
                  <c:v>15102</c:v>
                </c:pt>
                <c:pt idx="22">
                  <c:v>8058</c:v>
                </c:pt>
                <c:pt idx="23">
                  <c:v>9132</c:v>
                </c:pt>
                <c:pt idx="24">
                  <c:v>12141</c:v>
                </c:pt>
                <c:pt idx="25">
                  <c:v>6880</c:v>
                </c:pt>
                <c:pt idx="26">
                  <c:v>6324</c:v>
                </c:pt>
                <c:pt idx="27">
                  <c:v>9738</c:v>
                </c:pt>
                <c:pt idx="28">
                  <c:v>8256</c:v>
                </c:pt>
                <c:pt idx="29">
                  <c:v>5850</c:v>
                </c:pt>
                <c:pt idx="30">
                  <c:v>8094</c:v>
                </c:pt>
                <c:pt idx="31">
                  <c:v>7353</c:v>
                </c:pt>
                <c:pt idx="32">
                  <c:v>5844</c:v>
                </c:pt>
                <c:pt idx="33">
                  <c:v>6767</c:v>
                </c:pt>
                <c:pt idx="34">
                  <c:v>4023</c:v>
                </c:pt>
                <c:pt idx="35">
                  <c:v>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1B-4842-8FB3-9E523E3F0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431584"/>
        <c:axId val="646410464"/>
      </c:lineChart>
      <c:dateAx>
        <c:axId val="646431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6410464"/>
        <c:crosses val="autoZero"/>
        <c:auto val="1"/>
        <c:lblOffset val="100"/>
        <c:baseTimeUnit val="months"/>
      </c:dateAx>
      <c:valAx>
        <c:axId val="64641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643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Submarcas  NIQ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'D. HairColor ST'!$A$19</c:f>
              <c:strCache>
                <c:ptCount val="1"/>
                <c:pt idx="0">
                  <c:v>CASTING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ST'!$B$19:$AK$19</c:f>
              <c:numCache>
                <c:formatCode>_-* #,##0_-;\-* #,##0_-;_-* "-"??_-;_-@_-</c:formatCode>
                <c:ptCount val="3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D-4C6C-BB48-76139DFBE6A6}"/>
            </c:ext>
          </c:extLst>
        </c:ser>
        <c:ser>
          <c:idx val="1"/>
          <c:order val="1"/>
          <c:tx>
            <c:strRef>
              <c:f>'D. HairColor ST'!$A$20</c:f>
              <c:strCache>
                <c:ptCount val="1"/>
                <c:pt idx="0">
                  <c:v>CASTING CREME GLOSS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ST'!$B$20:$AK$20</c:f>
              <c:numCache>
                <c:formatCode>_-* #,##0_-;\-* #,##0_-;_-* "-"??_-;_-@_-</c:formatCode>
                <c:ptCount val="36"/>
                <c:pt idx="0">
                  <c:v>715</c:v>
                </c:pt>
                <c:pt idx="1">
                  <c:v>503</c:v>
                </c:pt>
                <c:pt idx="2">
                  <c:v>477</c:v>
                </c:pt>
                <c:pt idx="3">
                  <c:v>646</c:v>
                </c:pt>
                <c:pt idx="4">
                  <c:v>507</c:v>
                </c:pt>
                <c:pt idx="5">
                  <c:v>455</c:v>
                </c:pt>
                <c:pt idx="6">
                  <c:v>726</c:v>
                </c:pt>
                <c:pt idx="7">
                  <c:v>520</c:v>
                </c:pt>
                <c:pt idx="8">
                  <c:v>495</c:v>
                </c:pt>
                <c:pt idx="9">
                  <c:v>772</c:v>
                </c:pt>
                <c:pt idx="10">
                  <c:v>654</c:v>
                </c:pt>
                <c:pt idx="11">
                  <c:v>439</c:v>
                </c:pt>
                <c:pt idx="12">
                  <c:v>587</c:v>
                </c:pt>
                <c:pt idx="13">
                  <c:v>391.98700000000002</c:v>
                </c:pt>
                <c:pt idx="14">
                  <c:v>399</c:v>
                </c:pt>
                <c:pt idx="15">
                  <c:v>635</c:v>
                </c:pt>
                <c:pt idx="16">
                  <c:v>505</c:v>
                </c:pt>
                <c:pt idx="17">
                  <c:v>489.21440000000001</c:v>
                </c:pt>
                <c:pt idx="18">
                  <c:v>690.62099999999998</c:v>
                </c:pt>
                <c:pt idx="19">
                  <c:v>475</c:v>
                </c:pt>
                <c:pt idx="20">
                  <c:v>459</c:v>
                </c:pt>
                <c:pt idx="21">
                  <c:v>723</c:v>
                </c:pt>
                <c:pt idx="22">
                  <c:v>421</c:v>
                </c:pt>
                <c:pt idx="23">
                  <c:v>426</c:v>
                </c:pt>
                <c:pt idx="24">
                  <c:v>559</c:v>
                </c:pt>
                <c:pt idx="25">
                  <c:v>450</c:v>
                </c:pt>
                <c:pt idx="26">
                  <c:v>414</c:v>
                </c:pt>
                <c:pt idx="27">
                  <c:v>693</c:v>
                </c:pt>
                <c:pt idx="28">
                  <c:v>430</c:v>
                </c:pt>
                <c:pt idx="29">
                  <c:v>416</c:v>
                </c:pt>
                <c:pt idx="30">
                  <c:v>657</c:v>
                </c:pt>
                <c:pt idx="31">
                  <c:v>433</c:v>
                </c:pt>
                <c:pt idx="32">
                  <c:v>477</c:v>
                </c:pt>
                <c:pt idx="33">
                  <c:v>715</c:v>
                </c:pt>
                <c:pt idx="34">
                  <c:v>416</c:v>
                </c:pt>
                <c:pt idx="35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AD-4C6C-BB48-76139DFBE6A6}"/>
            </c:ext>
          </c:extLst>
        </c:ser>
        <c:ser>
          <c:idx val="2"/>
          <c:order val="2"/>
          <c:tx>
            <c:strRef>
              <c:f>'D. HairColor ST'!$A$21</c:f>
              <c:strCache>
                <c:ptCount val="1"/>
                <c:pt idx="0">
                  <c:v>EXCELL 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ST'!$B$21:$AK$21</c:f>
              <c:numCache>
                <c:formatCode>_-* #,##0_-;\-* #,##0_-;_-* "-"??_-;_-@_-</c:formatCode>
                <c:ptCount val="36"/>
                <c:pt idx="0">
                  <c:v>551</c:v>
                </c:pt>
                <c:pt idx="1">
                  <c:v>380</c:v>
                </c:pt>
                <c:pt idx="2">
                  <c:v>392</c:v>
                </c:pt>
                <c:pt idx="3">
                  <c:v>525</c:v>
                </c:pt>
                <c:pt idx="4">
                  <c:v>401</c:v>
                </c:pt>
                <c:pt idx="5">
                  <c:v>381</c:v>
                </c:pt>
                <c:pt idx="6">
                  <c:v>465</c:v>
                </c:pt>
                <c:pt idx="7">
                  <c:v>357</c:v>
                </c:pt>
                <c:pt idx="8">
                  <c:v>347</c:v>
                </c:pt>
                <c:pt idx="9">
                  <c:v>408</c:v>
                </c:pt>
                <c:pt idx="10">
                  <c:v>318</c:v>
                </c:pt>
                <c:pt idx="11">
                  <c:v>289</c:v>
                </c:pt>
                <c:pt idx="12">
                  <c:v>360</c:v>
                </c:pt>
                <c:pt idx="13">
                  <c:v>316.18420000000003</c:v>
                </c:pt>
                <c:pt idx="14">
                  <c:v>288</c:v>
                </c:pt>
                <c:pt idx="15">
                  <c:v>389</c:v>
                </c:pt>
                <c:pt idx="16">
                  <c:v>341</c:v>
                </c:pt>
                <c:pt idx="17">
                  <c:v>321</c:v>
                </c:pt>
                <c:pt idx="18">
                  <c:v>465</c:v>
                </c:pt>
                <c:pt idx="19">
                  <c:v>310</c:v>
                </c:pt>
                <c:pt idx="20">
                  <c:v>317</c:v>
                </c:pt>
                <c:pt idx="21">
                  <c:v>413</c:v>
                </c:pt>
                <c:pt idx="22">
                  <c:v>281</c:v>
                </c:pt>
                <c:pt idx="23">
                  <c:v>275</c:v>
                </c:pt>
                <c:pt idx="24">
                  <c:v>307</c:v>
                </c:pt>
                <c:pt idx="25">
                  <c:v>292</c:v>
                </c:pt>
                <c:pt idx="26">
                  <c:v>246</c:v>
                </c:pt>
                <c:pt idx="27">
                  <c:v>269</c:v>
                </c:pt>
                <c:pt idx="28">
                  <c:v>198</c:v>
                </c:pt>
                <c:pt idx="29">
                  <c:v>319</c:v>
                </c:pt>
                <c:pt idx="30">
                  <c:v>360</c:v>
                </c:pt>
                <c:pt idx="31">
                  <c:v>295</c:v>
                </c:pt>
                <c:pt idx="32">
                  <c:v>318</c:v>
                </c:pt>
                <c:pt idx="33">
                  <c:v>413</c:v>
                </c:pt>
                <c:pt idx="34">
                  <c:v>295</c:v>
                </c:pt>
                <c:pt idx="3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AD-4C6C-BB48-76139DFBE6A6}"/>
            </c:ext>
          </c:extLst>
        </c:ser>
        <c:ser>
          <c:idx val="3"/>
          <c:order val="3"/>
          <c:tx>
            <c:strRef>
              <c:f>'D. HairColor ST'!$A$22</c:f>
              <c:strCache>
                <c:ptCount val="1"/>
                <c:pt idx="0">
                  <c:v>EXCELLENCE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ST'!$B$22:$AK$22</c:f>
              <c:numCache>
                <c:formatCode>_-* #,##0_-;\-* #,##0_-;_-* "-"??_-;_-@_-</c:formatCode>
                <c:ptCount val="36"/>
                <c:pt idx="0">
                  <c:v>6329</c:v>
                </c:pt>
                <c:pt idx="1">
                  <c:v>3425.4641000000001</c:v>
                </c:pt>
                <c:pt idx="2">
                  <c:v>3265</c:v>
                </c:pt>
                <c:pt idx="3">
                  <c:v>4704</c:v>
                </c:pt>
                <c:pt idx="4">
                  <c:v>4018</c:v>
                </c:pt>
                <c:pt idx="5">
                  <c:v>3603</c:v>
                </c:pt>
                <c:pt idx="6">
                  <c:v>5156</c:v>
                </c:pt>
                <c:pt idx="7">
                  <c:v>3566</c:v>
                </c:pt>
                <c:pt idx="8">
                  <c:v>3051</c:v>
                </c:pt>
                <c:pt idx="9">
                  <c:v>4396</c:v>
                </c:pt>
                <c:pt idx="10">
                  <c:v>2682</c:v>
                </c:pt>
                <c:pt idx="11">
                  <c:v>2551</c:v>
                </c:pt>
                <c:pt idx="12">
                  <c:v>3448</c:v>
                </c:pt>
                <c:pt idx="13">
                  <c:v>2185.7764999999999</c:v>
                </c:pt>
                <c:pt idx="14">
                  <c:v>2309</c:v>
                </c:pt>
                <c:pt idx="15">
                  <c:v>2969</c:v>
                </c:pt>
                <c:pt idx="16">
                  <c:v>2106</c:v>
                </c:pt>
                <c:pt idx="17">
                  <c:v>2225</c:v>
                </c:pt>
                <c:pt idx="18">
                  <c:v>2903.9104000000002</c:v>
                </c:pt>
                <c:pt idx="19">
                  <c:v>1963</c:v>
                </c:pt>
                <c:pt idx="20">
                  <c:v>2118</c:v>
                </c:pt>
                <c:pt idx="21">
                  <c:v>3195</c:v>
                </c:pt>
                <c:pt idx="22">
                  <c:v>1988</c:v>
                </c:pt>
                <c:pt idx="23">
                  <c:v>1738</c:v>
                </c:pt>
                <c:pt idx="24">
                  <c:v>2809</c:v>
                </c:pt>
                <c:pt idx="25">
                  <c:v>2022</c:v>
                </c:pt>
                <c:pt idx="26">
                  <c:v>2448</c:v>
                </c:pt>
                <c:pt idx="27">
                  <c:v>3005</c:v>
                </c:pt>
                <c:pt idx="28">
                  <c:v>1802</c:v>
                </c:pt>
                <c:pt idx="29">
                  <c:v>1945</c:v>
                </c:pt>
                <c:pt idx="30">
                  <c:v>2741</c:v>
                </c:pt>
                <c:pt idx="31">
                  <c:v>1899</c:v>
                </c:pt>
                <c:pt idx="32">
                  <c:v>1947</c:v>
                </c:pt>
                <c:pt idx="33">
                  <c:v>2808</c:v>
                </c:pt>
                <c:pt idx="34">
                  <c:v>2260</c:v>
                </c:pt>
                <c:pt idx="35">
                  <c:v>2087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AD-4C6C-BB48-76139DFBE6A6}"/>
            </c:ext>
          </c:extLst>
        </c:ser>
        <c:ser>
          <c:idx val="4"/>
          <c:order val="4"/>
          <c:tx>
            <c:strRef>
              <c:f>'D. HairColor ST'!$A$23</c:f>
              <c:strCache>
                <c:ptCount val="1"/>
                <c:pt idx="0">
                  <c:v>EXCELLENCE EXTRA PROFUNDO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ST'!$B$23:$AK$23</c:f>
              <c:numCache>
                <c:formatCode>_-* #,##0_-;\-* #,##0_-;_-* "-"??_-;_-@_-</c:formatCode>
                <c:ptCount val="36"/>
                <c:pt idx="0">
                  <c:v>48</c:v>
                </c:pt>
                <c:pt idx="1">
                  <c:v>36</c:v>
                </c:pt>
                <c:pt idx="2">
                  <c:v>33</c:v>
                </c:pt>
                <c:pt idx="3">
                  <c:v>72</c:v>
                </c:pt>
                <c:pt idx="4">
                  <c:v>45</c:v>
                </c:pt>
                <c:pt idx="5">
                  <c:v>33</c:v>
                </c:pt>
                <c:pt idx="6">
                  <c:v>56</c:v>
                </c:pt>
                <c:pt idx="7">
                  <c:v>44</c:v>
                </c:pt>
                <c:pt idx="8">
                  <c:v>40</c:v>
                </c:pt>
                <c:pt idx="9">
                  <c:v>65</c:v>
                </c:pt>
                <c:pt idx="10">
                  <c:v>24</c:v>
                </c:pt>
                <c:pt idx="11">
                  <c:v>25</c:v>
                </c:pt>
                <c:pt idx="12">
                  <c:v>48</c:v>
                </c:pt>
                <c:pt idx="13">
                  <c:v>20</c:v>
                </c:pt>
                <c:pt idx="14">
                  <c:v>21</c:v>
                </c:pt>
                <c:pt idx="15">
                  <c:v>39</c:v>
                </c:pt>
                <c:pt idx="16">
                  <c:v>18</c:v>
                </c:pt>
                <c:pt idx="17">
                  <c:v>21</c:v>
                </c:pt>
                <c:pt idx="18">
                  <c:v>29</c:v>
                </c:pt>
                <c:pt idx="19">
                  <c:v>14</c:v>
                </c:pt>
                <c:pt idx="20">
                  <c:v>13</c:v>
                </c:pt>
                <c:pt idx="21">
                  <c:v>43</c:v>
                </c:pt>
                <c:pt idx="22">
                  <c:v>16</c:v>
                </c:pt>
                <c:pt idx="23">
                  <c:v>8</c:v>
                </c:pt>
                <c:pt idx="24">
                  <c:v>25</c:v>
                </c:pt>
                <c:pt idx="25">
                  <c:v>13</c:v>
                </c:pt>
                <c:pt idx="26">
                  <c:v>10</c:v>
                </c:pt>
                <c:pt idx="27">
                  <c:v>33</c:v>
                </c:pt>
                <c:pt idx="28">
                  <c:v>22</c:v>
                </c:pt>
                <c:pt idx="29">
                  <c:v>15</c:v>
                </c:pt>
                <c:pt idx="30">
                  <c:v>20</c:v>
                </c:pt>
                <c:pt idx="31">
                  <c:v>12</c:v>
                </c:pt>
                <c:pt idx="32">
                  <c:v>18</c:v>
                </c:pt>
                <c:pt idx="33">
                  <c:v>26</c:v>
                </c:pt>
                <c:pt idx="34">
                  <c:v>15</c:v>
                </c:pt>
                <c:pt idx="3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AD-4C6C-BB48-76139DFBE6A6}"/>
            </c:ext>
          </c:extLst>
        </c:ser>
        <c:ser>
          <c:idx val="5"/>
          <c:order val="5"/>
          <c:tx>
            <c:strRef>
              <c:f>'D. HairColor ST'!$A$24</c:f>
              <c:strCache>
                <c:ptCount val="1"/>
                <c:pt idx="0">
                  <c:v>EXCELLENCE SIN AMONIACO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ST'!$B$24:$AK$24</c:f>
              <c:numCache>
                <c:formatCode>_-* #,##0_-;\-* #,##0_-;_-* "-"??_-;_-@_-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102</c:v>
                </c:pt>
                <c:pt idx="14">
                  <c:v>233</c:v>
                </c:pt>
                <c:pt idx="15">
                  <c:v>396</c:v>
                </c:pt>
                <c:pt idx="16">
                  <c:v>527</c:v>
                </c:pt>
                <c:pt idx="17">
                  <c:v>473</c:v>
                </c:pt>
                <c:pt idx="18">
                  <c:v>644.19669999999996</c:v>
                </c:pt>
                <c:pt idx="19">
                  <c:v>474</c:v>
                </c:pt>
                <c:pt idx="20">
                  <c:v>556</c:v>
                </c:pt>
                <c:pt idx="21">
                  <c:v>888</c:v>
                </c:pt>
                <c:pt idx="22">
                  <c:v>579</c:v>
                </c:pt>
                <c:pt idx="23">
                  <c:v>456</c:v>
                </c:pt>
                <c:pt idx="24">
                  <c:v>710</c:v>
                </c:pt>
                <c:pt idx="25">
                  <c:v>580</c:v>
                </c:pt>
                <c:pt idx="26">
                  <c:v>525</c:v>
                </c:pt>
                <c:pt idx="27">
                  <c:v>900</c:v>
                </c:pt>
                <c:pt idx="28">
                  <c:v>629</c:v>
                </c:pt>
                <c:pt idx="29">
                  <c:v>850</c:v>
                </c:pt>
                <c:pt idx="30">
                  <c:v>893</c:v>
                </c:pt>
                <c:pt idx="31">
                  <c:v>552</c:v>
                </c:pt>
                <c:pt idx="32">
                  <c:v>673</c:v>
                </c:pt>
                <c:pt idx="33">
                  <c:v>1227</c:v>
                </c:pt>
                <c:pt idx="34">
                  <c:v>965</c:v>
                </c:pt>
                <c:pt idx="35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AD-4C6C-BB48-76139DFBE6A6}"/>
            </c:ext>
          </c:extLst>
        </c:ser>
        <c:ser>
          <c:idx val="6"/>
          <c:order val="6"/>
          <c:tx>
            <c:strRef>
              <c:f>'D. HairColor ST'!$A$25</c:f>
              <c:strCache>
                <c:ptCount val="1"/>
                <c:pt idx="0">
                  <c:v>MAGIC RETOUCH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ST'!$B$25:$AK$25</c:f>
              <c:numCache>
                <c:formatCode>_-* #,##0_-;\-* #,##0_-;_-* "-"??_-;_-@_-</c:formatCode>
                <c:ptCount val="36"/>
                <c:pt idx="0">
                  <c:v>401</c:v>
                </c:pt>
                <c:pt idx="1">
                  <c:v>298.30939999999998</c:v>
                </c:pt>
                <c:pt idx="2">
                  <c:v>299</c:v>
                </c:pt>
                <c:pt idx="3">
                  <c:v>371</c:v>
                </c:pt>
                <c:pt idx="4">
                  <c:v>335</c:v>
                </c:pt>
                <c:pt idx="5">
                  <c:v>300</c:v>
                </c:pt>
                <c:pt idx="6">
                  <c:v>611</c:v>
                </c:pt>
                <c:pt idx="7">
                  <c:v>411</c:v>
                </c:pt>
                <c:pt idx="8">
                  <c:v>344</c:v>
                </c:pt>
                <c:pt idx="9">
                  <c:v>365</c:v>
                </c:pt>
                <c:pt idx="10">
                  <c:v>344</c:v>
                </c:pt>
                <c:pt idx="11">
                  <c:v>292</c:v>
                </c:pt>
                <c:pt idx="12">
                  <c:v>417</c:v>
                </c:pt>
                <c:pt idx="13">
                  <c:v>321.19740000000002</c:v>
                </c:pt>
                <c:pt idx="14">
                  <c:v>302</c:v>
                </c:pt>
                <c:pt idx="15">
                  <c:v>419</c:v>
                </c:pt>
                <c:pt idx="16">
                  <c:v>347</c:v>
                </c:pt>
                <c:pt idx="17">
                  <c:v>336</c:v>
                </c:pt>
                <c:pt idx="18">
                  <c:v>524</c:v>
                </c:pt>
                <c:pt idx="19">
                  <c:v>410</c:v>
                </c:pt>
                <c:pt idx="20">
                  <c:v>425</c:v>
                </c:pt>
                <c:pt idx="21">
                  <c:v>530</c:v>
                </c:pt>
                <c:pt idx="22">
                  <c:v>294</c:v>
                </c:pt>
                <c:pt idx="23">
                  <c:v>338</c:v>
                </c:pt>
                <c:pt idx="24">
                  <c:v>401</c:v>
                </c:pt>
                <c:pt idx="25">
                  <c:v>341</c:v>
                </c:pt>
                <c:pt idx="26">
                  <c:v>287</c:v>
                </c:pt>
                <c:pt idx="27">
                  <c:v>451</c:v>
                </c:pt>
                <c:pt idx="28">
                  <c:v>284</c:v>
                </c:pt>
                <c:pt idx="29">
                  <c:v>315</c:v>
                </c:pt>
                <c:pt idx="30">
                  <c:v>502</c:v>
                </c:pt>
                <c:pt idx="31">
                  <c:v>443</c:v>
                </c:pt>
                <c:pt idx="32">
                  <c:v>430</c:v>
                </c:pt>
                <c:pt idx="33">
                  <c:v>442</c:v>
                </c:pt>
                <c:pt idx="34">
                  <c:v>352</c:v>
                </c:pt>
                <c:pt idx="35">
                  <c:v>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AD-4C6C-BB48-76139DFBE6A6}"/>
            </c:ext>
          </c:extLst>
        </c:ser>
        <c:ser>
          <c:idx val="7"/>
          <c:order val="7"/>
          <c:tx>
            <c:strRef>
              <c:f>'D. HairColor ST'!$A$26</c:f>
              <c:strCache>
                <c:ptCount val="1"/>
                <c:pt idx="0">
                  <c:v>NUTRISSE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ST'!$B$26:$AK$26</c:f>
              <c:numCache>
                <c:formatCode>_-* #,##0_-;\-* #,##0_-;_-* "-"??_-;_-@_-</c:formatCode>
                <c:ptCount val="36"/>
                <c:pt idx="0">
                  <c:v>3128</c:v>
                </c:pt>
                <c:pt idx="1">
                  <c:v>1527.1547</c:v>
                </c:pt>
                <c:pt idx="2">
                  <c:v>2208</c:v>
                </c:pt>
                <c:pt idx="3">
                  <c:v>2635</c:v>
                </c:pt>
                <c:pt idx="4">
                  <c:v>1994</c:v>
                </c:pt>
                <c:pt idx="5">
                  <c:v>2309</c:v>
                </c:pt>
                <c:pt idx="6">
                  <c:v>3378</c:v>
                </c:pt>
                <c:pt idx="7">
                  <c:v>2758</c:v>
                </c:pt>
                <c:pt idx="8">
                  <c:v>2580</c:v>
                </c:pt>
                <c:pt idx="9">
                  <c:v>3547</c:v>
                </c:pt>
                <c:pt idx="10">
                  <c:v>2403</c:v>
                </c:pt>
                <c:pt idx="11">
                  <c:v>2139</c:v>
                </c:pt>
                <c:pt idx="12">
                  <c:v>2454</c:v>
                </c:pt>
                <c:pt idx="13">
                  <c:v>1522.5921000000001</c:v>
                </c:pt>
                <c:pt idx="14">
                  <c:v>1449</c:v>
                </c:pt>
                <c:pt idx="15">
                  <c:v>1875</c:v>
                </c:pt>
                <c:pt idx="16">
                  <c:v>1299</c:v>
                </c:pt>
                <c:pt idx="17">
                  <c:v>1415.6353000000001</c:v>
                </c:pt>
                <c:pt idx="18">
                  <c:v>1886.2068999999999</c:v>
                </c:pt>
                <c:pt idx="19">
                  <c:v>1264</c:v>
                </c:pt>
                <c:pt idx="20">
                  <c:v>1616</c:v>
                </c:pt>
                <c:pt idx="21">
                  <c:v>1887</c:v>
                </c:pt>
                <c:pt idx="22">
                  <c:v>1421</c:v>
                </c:pt>
                <c:pt idx="23">
                  <c:v>1279</c:v>
                </c:pt>
                <c:pt idx="24">
                  <c:v>1657</c:v>
                </c:pt>
                <c:pt idx="25">
                  <c:v>1230</c:v>
                </c:pt>
                <c:pt idx="26">
                  <c:v>1086</c:v>
                </c:pt>
                <c:pt idx="27">
                  <c:v>1816</c:v>
                </c:pt>
                <c:pt idx="28">
                  <c:v>1039</c:v>
                </c:pt>
                <c:pt idx="29">
                  <c:v>970</c:v>
                </c:pt>
                <c:pt idx="30">
                  <c:v>1461</c:v>
                </c:pt>
                <c:pt idx="31">
                  <c:v>1177</c:v>
                </c:pt>
                <c:pt idx="32">
                  <c:v>1234</c:v>
                </c:pt>
                <c:pt idx="33">
                  <c:v>1446</c:v>
                </c:pt>
                <c:pt idx="34">
                  <c:v>1071</c:v>
                </c:pt>
                <c:pt idx="35">
                  <c:v>1140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DAD-4C6C-BB48-76139DFBE6A6}"/>
            </c:ext>
          </c:extLst>
        </c:ser>
        <c:ser>
          <c:idx val="8"/>
          <c:order val="8"/>
          <c:tx>
            <c:strRef>
              <c:f>'D. HairColor ST'!$A$27</c:f>
              <c:strCache>
                <c:ptCount val="1"/>
                <c:pt idx="0">
                  <c:v>NUTRISSE COLORISSIMO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ST'!$B$27:$AK$27</c:f>
              <c:numCache>
                <c:formatCode>_-* #,##0_-;\-* #,##0_-;_-* "-"??_-;_-@_-</c:formatCode>
                <c:ptCount val="36"/>
                <c:pt idx="0">
                  <c:v>1354</c:v>
                </c:pt>
                <c:pt idx="1">
                  <c:v>624</c:v>
                </c:pt>
                <c:pt idx="2">
                  <c:v>858</c:v>
                </c:pt>
                <c:pt idx="3">
                  <c:v>533</c:v>
                </c:pt>
                <c:pt idx="4">
                  <c:v>388</c:v>
                </c:pt>
                <c:pt idx="5">
                  <c:v>927</c:v>
                </c:pt>
                <c:pt idx="6">
                  <c:v>1344</c:v>
                </c:pt>
                <c:pt idx="7">
                  <c:v>863</c:v>
                </c:pt>
                <c:pt idx="8">
                  <c:v>869</c:v>
                </c:pt>
                <c:pt idx="9">
                  <c:v>1176</c:v>
                </c:pt>
                <c:pt idx="10">
                  <c:v>809</c:v>
                </c:pt>
                <c:pt idx="11">
                  <c:v>749</c:v>
                </c:pt>
                <c:pt idx="12">
                  <c:v>1030</c:v>
                </c:pt>
                <c:pt idx="13">
                  <c:v>577.19740000000002</c:v>
                </c:pt>
                <c:pt idx="14">
                  <c:v>667</c:v>
                </c:pt>
                <c:pt idx="15">
                  <c:v>957</c:v>
                </c:pt>
                <c:pt idx="16">
                  <c:v>763</c:v>
                </c:pt>
                <c:pt idx="17">
                  <c:v>854.46070000000009</c:v>
                </c:pt>
                <c:pt idx="18">
                  <c:v>1306.8624000000002</c:v>
                </c:pt>
                <c:pt idx="19">
                  <c:v>707</c:v>
                </c:pt>
                <c:pt idx="20">
                  <c:v>868</c:v>
                </c:pt>
                <c:pt idx="21">
                  <c:v>1127</c:v>
                </c:pt>
                <c:pt idx="22">
                  <c:v>635</c:v>
                </c:pt>
                <c:pt idx="23">
                  <c:v>617</c:v>
                </c:pt>
                <c:pt idx="24">
                  <c:v>831</c:v>
                </c:pt>
                <c:pt idx="25">
                  <c:v>689</c:v>
                </c:pt>
                <c:pt idx="26">
                  <c:v>504</c:v>
                </c:pt>
                <c:pt idx="27">
                  <c:v>870</c:v>
                </c:pt>
                <c:pt idx="28">
                  <c:v>554</c:v>
                </c:pt>
                <c:pt idx="29">
                  <c:v>559</c:v>
                </c:pt>
                <c:pt idx="30">
                  <c:v>818</c:v>
                </c:pt>
                <c:pt idx="31">
                  <c:v>611</c:v>
                </c:pt>
                <c:pt idx="32">
                  <c:v>600</c:v>
                </c:pt>
                <c:pt idx="33">
                  <c:v>770</c:v>
                </c:pt>
                <c:pt idx="34">
                  <c:v>583</c:v>
                </c:pt>
                <c:pt idx="35">
                  <c:v>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AD-4C6C-BB48-76139DFBE6A6}"/>
            </c:ext>
          </c:extLst>
        </c:ser>
        <c:ser>
          <c:idx val="9"/>
          <c:order val="9"/>
          <c:tx>
            <c:strRef>
              <c:f>'D. HairColor ST'!$A$28</c:f>
              <c:strCache>
                <c:ptCount val="1"/>
                <c:pt idx="0">
                  <c:v>NUTRISSE COR INTENSA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ST'!$B$28:$AK$28</c:f>
              <c:numCache>
                <c:formatCode>_-* #,##0_-;\-* #,##0_-;_-* "-"??_-;_-@_-</c:formatCode>
                <c:ptCount val="36"/>
                <c:pt idx="0">
                  <c:v>22708</c:v>
                </c:pt>
                <c:pt idx="1">
                  <c:v>15424.856399999997</c:v>
                </c:pt>
                <c:pt idx="2">
                  <c:v>14798</c:v>
                </c:pt>
                <c:pt idx="3">
                  <c:v>19052</c:v>
                </c:pt>
                <c:pt idx="4">
                  <c:v>14919</c:v>
                </c:pt>
                <c:pt idx="5">
                  <c:v>15920</c:v>
                </c:pt>
                <c:pt idx="6">
                  <c:v>21063</c:v>
                </c:pt>
                <c:pt idx="7">
                  <c:v>14224</c:v>
                </c:pt>
                <c:pt idx="8">
                  <c:v>15217</c:v>
                </c:pt>
                <c:pt idx="9">
                  <c:v>18889</c:v>
                </c:pt>
                <c:pt idx="10">
                  <c:v>15213</c:v>
                </c:pt>
                <c:pt idx="11">
                  <c:v>13033</c:v>
                </c:pt>
                <c:pt idx="12">
                  <c:v>19284.435400000002</c:v>
                </c:pt>
                <c:pt idx="13">
                  <c:v>14019.539500000003</c:v>
                </c:pt>
                <c:pt idx="14">
                  <c:v>14573</c:v>
                </c:pt>
                <c:pt idx="15">
                  <c:v>16468</c:v>
                </c:pt>
                <c:pt idx="16">
                  <c:v>13123</c:v>
                </c:pt>
                <c:pt idx="17">
                  <c:v>13193.386999999999</c:v>
                </c:pt>
                <c:pt idx="18">
                  <c:v>19338.3197</c:v>
                </c:pt>
                <c:pt idx="19">
                  <c:v>12689</c:v>
                </c:pt>
                <c:pt idx="20">
                  <c:v>12882</c:v>
                </c:pt>
                <c:pt idx="21">
                  <c:v>15537</c:v>
                </c:pt>
                <c:pt idx="22">
                  <c:v>11189</c:v>
                </c:pt>
                <c:pt idx="23">
                  <c:v>11570</c:v>
                </c:pt>
                <c:pt idx="24">
                  <c:v>15044</c:v>
                </c:pt>
                <c:pt idx="25">
                  <c:v>10903</c:v>
                </c:pt>
                <c:pt idx="26">
                  <c:v>9729</c:v>
                </c:pt>
                <c:pt idx="27">
                  <c:v>13236</c:v>
                </c:pt>
                <c:pt idx="28">
                  <c:v>10719</c:v>
                </c:pt>
                <c:pt idx="29">
                  <c:v>12415</c:v>
                </c:pt>
                <c:pt idx="30">
                  <c:v>17635</c:v>
                </c:pt>
                <c:pt idx="31">
                  <c:v>13628</c:v>
                </c:pt>
                <c:pt idx="32">
                  <c:v>11831</c:v>
                </c:pt>
                <c:pt idx="33">
                  <c:v>17591</c:v>
                </c:pt>
                <c:pt idx="34">
                  <c:v>15073</c:v>
                </c:pt>
                <c:pt idx="35">
                  <c:v>15967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DAD-4C6C-BB48-76139DFBE6A6}"/>
            </c:ext>
          </c:extLst>
        </c:ser>
        <c:ser>
          <c:idx val="10"/>
          <c:order val="10"/>
          <c:tx>
            <c:strRef>
              <c:f>'D. HairColor ST'!$A$29</c:f>
              <c:strCache>
                <c:ptCount val="1"/>
                <c:pt idx="0">
                  <c:v>NUTRISSE OLEOS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ST'!$B$29:$AK$29</c:f>
              <c:numCache>
                <c:formatCode>_-* #,##0_-;\-* #,##0_-;_-* "-"??_-;_-@_-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25</c:v>
                </c:pt>
                <c:pt idx="21">
                  <c:v>445</c:v>
                </c:pt>
                <c:pt idx="22">
                  <c:v>366</c:v>
                </c:pt>
                <c:pt idx="23">
                  <c:v>500</c:v>
                </c:pt>
                <c:pt idx="24">
                  <c:v>545</c:v>
                </c:pt>
                <c:pt idx="25">
                  <c:v>462</c:v>
                </c:pt>
                <c:pt idx="26">
                  <c:v>328</c:v>
                </c:pt>
                <c:pt idx="27">
                  <c:v>429</c:v>
                </c:pt>
                <c:pt idx="28">
                  <c:v>286</c:v>
                </c:pt>
                <c:pt idx="29">
                  <c:v>357</c:v>
                </c:pt>
                <c:pt idx="30">
                  <c:v>539</c:v>
                </c:pt>
                <c:pt idx="31">
                  <c:v>616</c:v>
                </c:pt>
                <c:pt idx="32">
                  <c:v>531</c:v>
                </c:pt>
                <c:pt idx="33">
                  <c:v>638</c:v>
                </c:pt>
                <c:pt idx="34">
                  <c:v>572</c:v>
                </c:pt>
                <c:pt idx="35">
                  <c:v>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AD-4C6C-BB48-76139DFBE6A6}"/>
            </c:ext>
          </c:extLst>
        </c:ser>
        <c:ser>
          <c:idx val="11"/>
          <c:order val="11"/>
          <c:tx>
            <c:strRef>
              <c:f>'D. HairColor ST'!$A$30</c:f>
              <c:strCache>
                <c:ptCount val="1"/>
                <c:pt idx="0">
                  <c:v>NUTRISSE RETOCA RAIZ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'D. HairColor ST'!$B$18:$AK$18</c:f>
              <c:numCache>
                <c:formatCode>mmm\-yy</c:formatCode>
                <c:ptCount val="36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  <c:pt idx="12">
                  <c:v>45078</c:v>
                </c:pt>
                <c:pt idx="13">
                  <c:v>45108</c:v>
                </c:pt>
                <c:pt idx="14">
                  <c:v>45139</c:v>
                </c:pt>
                <c:pt idx="15">
                  <c:v>45170</c:v>
                </c:pt>
                <c:pt idx="16">
                  <c:v>45200</c:v>
                </c:pt>
                <c:pt idx="17">
                  <c:v>45231</c:v>
                </c:pt>
                <c:pt idx="18">
                  <c:v>45261</c:v>
                </c:pt>
                <c:pt idx="19">
                  <c:v>45292</c:v>
                </c:pt>
                <c:pt idx="20">
                  <c:v>45323</c:v>
                </c:pt>
                <c:pt idx="21">
                  <c:v>45352</c:v>
                </c:pt>
                <c:pt idx="22">
                  <c:v>45383</c:v>
                </c:pt>
                <c:pt idx="23">
                  <c:v>45413</c:v>
                </c:pt>
                <c:pt idx="24">
                  <c:v>45444</c:v>
                </c:pt>
                <c:pt idx="25">
                  <c:v>45474</c:v>
                </c:pt>
                <c:pt idx="26">
                  <c:v>45505</c:v>
                </c:pt>
                <c:pt idx="27">
                  <c:v>45536</c:v>
                </c:pt>
                <c:pt idx="28">
                  <c:v>45566</c:v>
                </c:pt>
                <c:pt idx="29">
                  <c:v>45597</c:v>
                </c:pt>
                <c:pt idx="30">
                  <c:v>45627</c:v>
                </c:pt>
                <c:pt idx="31">
                  <c:v>45658</c:v>
                </c:pt>
                <c:pt idx="32">
                  <c:v>45689</c:v>
                </c:pt>
                <c:pt idx="33">
                  <c:v>45717</c:v>
                </c:pt>
                <c:pt idx="34">
                  <c:v>45748</c:v>
                </c:pt>
                <c:pt idx="35">
                  <c:v>45778</c:v>
                </c:pt>
              </c:numCache>
            </c:numRef>
          </c:cat>
          <c:val>
            <c:numRef>
              <c:f>'D. HairColor ST'!$B$30:$AK$30</c:f>
              <c:numCache>
                <c:formatCode>_-* #,##0_-;\-* #,##0_-;_-* "-"??_-;_-@_-</c:formatCode>
                <c:ptCount val="36"/>
                <c:pt idx="0">
                  <c:v>4565</c:v>
                </c:pt>
                <c:pt idx="1">
                  <c:v>4034.2376000000004</c:v>
                </c:pt>
                <c:pt idx="2">
                  <c:v>4321</c:v>
                </c:pt>
                <c:pt idx="3">
                  <c:v>5195</c:v>
                </c:pt>
                <c:pt idx="4">
                  <c:v>4287</c:v>
                </c:pt>
                <c:pt idx="5">
                  <c:v>4531</c:v>
                </c:pt>
                <c:pt idx="6">
                  <c:v>5695</c:v>
                </c:pt>
                <c:pt idx="7">
                  <c:v>4255</c:v>
                </c:pt>
                <c:pt idx="8">
                  <c:v>4570</c:v>
                </c:pt>
                <c:pt idx="9">
                  <c:v>6136</c:v>
                </c:pt>
                <c:pt idx="10">
                  <c:v>5066</c:v>
                </c:pt>
                <c:pt idx="11">
                  <c:v>4285</c:v>
                </c:pt>
                <c:pt idx="12">
                  <c:v>5212</c:v>
                </c:pt>
                <c:pt idx="13">
                  <c:v>3956.5790000000002</c:v>
                </c:pt>
                <c:pt idx="14">
                  <c:v>4060</c:v>
                </c:pt>
                <c:pt idx="15">
                  <c:v>5812</c:v>
                </c:pt>
                <c:pt idx="16">
                  <c:v>4225</c:v>
                </c:pt>
                <c:pt idx="17">
                  <c:v>4245.3199000000004</c:v>
                </c:pt>
                <c:pt idx="18">
                  <c:v>5852.9287000000004</c:v>
                </c:pt>
                <c:pt idx="19">
                  <c:v>3846</c:v>
                </c:pt>
                <c:pt idx="20">
                  <c:v>4285</c:v>
                </c:pt>
                <c:pt idx="21">
                  <c:v>4857</c:v>
                </c:pt>
                <c:pt idx="22">
                  <c:v>3401</c:v>
                </c:pt>
                <c:pt idx="23">
                  <c:v>3319</c:v>
                </c:pt>
                <c:pt idx="24">
                  <c:v>3655</c:v>
                </c:pt>
                <c:pt idx="25">
                  <c:v>4040</c:v>
                </c:pt>
                <c:pt idx="26">
                  <c:v>3765</c:v>
                </c:pt>
                <c:pt idx="27">
                  <c:v>4427</c:v>
                </c:pt>
                <c:pt idx="28">
                  <c:v>3236</c:v>
                </c:pt>
                <c:pt idx="29">
                  <c:v>3152</c:v>
                </c:pt>
                <c:pt idx="30">
                  <c:v>4540</c:v>
                </c:pt>
                <c:pt idx="31">
                  <c:v>3470</c:v>
                </c:pt>
                <c:pt idx="32">
                  <c:v>4551</c:v>
                </c:pt>
                <c:pt idx="33">
                  <c:v>4847</c:v>
                </c:pt>
                <c:pt idx="34">
                  <c:v>3682</c:v>
                </c:pt>
                <c:pt idx="35">
                  <c:v>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DAD-4C6C-BB48-76139DFBE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375424"/>
        <c:axId val="646396064"/>
      </c:lineChart>
      <c:dateAx>
        <c:axId val="646375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6396064"/>
        <c:crosses val="autoZero"/>
        <c:auto val="1"/>
        <c:lblOffset val="100"/>
        <c:baseTimeUnit val="months"/>
      </c:dateAx>
      <c:valAx>
        <c:axId val="64639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637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93</xdr:row>
      <xdr:rowOff>0</xdr:rowOff>
    </xdr:from>
    <xdr:to>
      <xdr:col>4</xdr:col>
      <xdr:colOff>869950</xdr:colOff>
      <xdr:row>108</xdr:row>
      <xdr:rowOff>146050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6EE3EF8-9BF8-41A9-AF18-E3F3C0769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131</xdr:row>
      <xdr:rowOff>0</xdr:rowOff>
    </xdr:from>
    <xdr:to>
      <xdr:col>3</xdr:col>
      <xdr:colOff>412750</xdr:colOff>
      <xdr:row>145</xdr:row>
      <xdr:rowOff>165100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4B11880-4108-48EA-8738-EE94DA13F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5</xdr:col>
      <xdr:colOff>1071563</xdr:colOff>
      <xdr:row>57</xdr:row>
      <xdr:rowOff>23812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8569618-13A9-45BA-939A-4A26D41D5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164</xdr:row>
      <xdr:rowOff>0</xdr:rowOff>
    </xdr:from>
    <xdr:to>
      <xdr:col>3</xdr:col>
      <xdr:colOff>412750</xdr:colOff>
      <xdr:row>178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222774-AF23-4156-9739-5AF241B7C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193</xdr:row>
      <xdr:rowOff>0</xdr:rowOff>
    </xdr:from>
    <xdr:to>
      <xdr:col>3</xdr:col>
      <xdr:colOff>412750</xdr:colOff>
      <xdr:row>207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87BA1A-4B38-461F-9BAE-1B1AE8664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399</xdr:row>
      <xdr:rowOff>190499</xdr:rowOff>
    </xdr:from>
    <xdr:to>
      <xdr:col>8</xdr:col>
      <xdr:colOff>571500</xdr:colOff>
      <xdr:row>419</xdr:row>
      <xdr:rowOff>154781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47D0306-B688-4FE1-ABCF-28D6C8BFA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11906</xdr:colOff>
      <xdr:row>260</xdr:row>
      <xdr:rowOff>0</xdr:rowOff>
    </xdr:from>
    <xdr:to>
      <xdr:col>3</xdr:col>
      <xdr:colOff>424656</xdr:colOff>
      <xdr:row>274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94C76F-660D-499A-9DDB-F1BE2F556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293</xdr:row>
      <xdr:rowOff>0</xdr:rowOff>
    </xdr:from>
    <xdr:to>
      <xdr:col>3</xdr:col>
      <xdr:colOff>412750</xdr:colOff>
      <xdr:row>307</xdr:row>
      <xdr:rowOff>165100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6DFDF0F-DADB-4533-9194-39DA6AAE3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322</xdr:row>
      <xdr:rowOff>0</xdr:rowOff>
    </xdr:from>
    <xdr:to>
      <xdr:col>3</xdr:col>
      <xdr:colOff>412750</xdr:colOff>
      <xdr:row>336</xdr:row>
      <xdr:rowOff>165100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5D84C7C-8749-4C78-9905-C25730FC2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343</xdr:row>
      <xdr:rowOff>47625</xdr:rowOff>
    </xdr:from>
    <xdr:to>
      <xdr:col>2</xdr:col>
      <xdr:colOff>666750</xdr:colOff>
      <xdr:row>357</xdr:row>
      <xdr:rowOff>123825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2E3541E-4E78-4F1C-99E6-B462F5F16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343</xdr:row>
      <xdr:rowOff>0</xdr:rowOff>
    </xdr:from>
    <xdr:to>
      <xdr:col>8</xdr:col>
      <xdr:colOff>511969</xdr:colOff>
      <xdr:row>357</xdr:row>
      <xdr:rowOff>76200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0962082-1BF0-4243-B53C-1E829152F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364</xdr:row>
      <xdr:rowOff>0</xdr:rowOff>
    </xdr:from>
    <xdr:to>
      <xdr:col>2</xdr:col>
      <xdr:colOff>666750</xdr:colOff>
      <xdr:row>378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9F3FBEE-C939-4148-82C9-C834AFE62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364</xdr:row>
      <xdr:rowOff>0</xdr:rowOff>
    </xdr:from>
    <xdr:to>
      <xdr:col>8</xdr:col>
      <xdr:colOff>521073</xdr:colOff>
      <xdr:row>378</xdr:row>
      <xdr:rowOff>76200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A372EB1-B015-4DA8-AC16-6E55E84CE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1</xdr:col>
      <xdr:colOff>1981200</xdr:colOff>
      <xdr:row>58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9FEBB7-0096-433B-BCEF-9054AEC4F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3</xdr:col>
      <xdr:colOff>0</xdr:colOff>
      <xdr:row>50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F3B015-9CB9-4046-BB63-D651E7AE9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fa4002\Documents\Playbook\Playbook%20Tools%20Coberturas\Paises\Uruguay\L'oreal\Copia%20de%20SELL%20IN%20-%20HAIR%20CARE%20%20HAIR%20COLOR%20-%20Por%20item%20(version%201).xlsb.xlsx" TargetMode="External"/><Relationship Id="rId1" Type="http://schemas.openxmlformats.org/officeDocument/2006/relationships/externalLinkPath" Target="https://nielsenenterprise-my.sharepoint.com/personal/fabian_diaz_nielseniq_com/Documents/Documents/Paises/Uruguay/L'oreal/Jul_25/Copia%20de%20SELL%20IN%20-%20HAIR%20CARE%20%20HAIR%20COLOR%20-%20Por%20item%20(version%201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  <sheetName val="D. Shipments"/>
      <sheetName val="Shipments"/>
      <sheetName val="Hoja5"/>
      <sheetName val="D. HairCare ST"/>
      <sheetName val="HairCare ST"/>
      <sheetName val="D. HairColor ST"/>
      <sheetName val="HairColor ST"/>
    </sheetNames>
    <sheetDataSet>
      <sheetData sheetId="0" refreshError="1"/>
      <sheetData sheetId="1">
        <row r="164">
          <cell r="A164" t="str">
            <v>TOTAL ELVIVE CONSTANTES MODERNO</v>
          </cell>
          <cell r="B164">
            <v>44713</v>
          </cell>
          <cell r="C164">
            <v>44743</v>
          </cell>
          <cell r="D164">
            <v>44774</v>
          </cell>
          <cell r="E164">
            <v>44805</v>
          </cell>
          <cell r="F164">
            <v>44835</v>
          </cell>
          <cell r="G164">
            <v>44866</v>
          </cell>
          <cell r="H164">
            <v>44896</v>
          </cell>
          <cell r="I164">
            <v>44927</v>
          </cell>
          <cell r="J164">
            <v>44958</v>
          </cell>
          <cell r="K164">
            <v>44986</v>
          </cell>
          <cell r="L164">
            <v>45017</v>
          </cell>
          <cell r="M164">
            <v>45047</v>
          </cell>
          <cell r="N164">
            <v>45078</v>
          </cell>
          <cell r="O164">
            <v>45108</v>
          </cell>
          <cell r="P164">
            <v>45139</v>
          </cell>
          <cell r="Q164">
            <v>45170</v>
          </cell>
          <cell r="R164">
            <v>45200</v>
          </cell>
          <cell r="S164">
            <v>45231</v>
          </cell>
          <cell r="T164">
            <v>45261</v>
          </cell>
          <cell r="U164">
            <v>45292</v>
          </cell>
          <cell r="V164">
            <v>45323</v>
          </cell>
          <cell r="W164">
            <v>45352</v>
          </cell>
          <cell r="X164">
            <v>45383</v>
          </cell>
          <cell r="Y164">
            <v>45413</v>
          </cell>
          <cell r="Z164">
            <v>45444</v>
          </cell>
          <cell r="AA164">
            <v>45474</v>
          </cell>
          <cell r="AB164">
            <v>45505</v>
          </cell>
          <cell r="AC164">
            <v>45536</v>
          </cell>
          <cell r="AD164">
            <v>45566</v>
          </cell>
          <cell r="AE164">
            <v>45597</v>
          </cell>
          <cell r="AF164">
            <v>45627</v>
          </cell>
          <cell r="AG164">
            <v>45658</v>
          </cell>
          <cell r="AH164">
            <v>45689</v>
          </cell>
          <cell r="AI164">
            <v>45717</v>
          </cell>
          <cell r="AJ164">
            <v>45748</v>
          </cell>
          <cell r="AK164">
            <v>45778</v>
          </cell>
        </row>
        <row r="165">
          <cell r="A165" t="str">
            <v>NIQ</v>
          </cell>
          <cell r="B165">
            <v>43689</v>
          </cell>
          <cell r="C165">
            <v>26217.475200000001</v>
          </cell>
          <cell r="D165">
            <v>27541.999899999999</v>
          </cell>
          <cell r="E165">
            <v>36505</v>
          </cell>
          <cell r="F165">
            <v>32069.333299999998</v>
          </cell>
          <cell r="G165">
            <v>34979.333299999998</v>
          </cell>
          <cell r="H165">
            <v>52341</v>
          </cell>
          <cell r="I165">
            <v>38111.284200000002</v>
          </cell>
          <cell r="J165">
            <v>35161.659800000001</v>
          </cell>
          <cell r="K165">
            <v>42639</v>
          </cell>
          <cell r="L165">
            <v>24843</v>
          </cell>
          <cell r="M165">
            <v>22032</v>
          </cell>
          <cell r="N165">
            <v>28929.857000000004</v>
          </cell>
          <cell r="O165">
            <v>18895.302400000008</v>
          </cell>
          <cell r="P165">
            <v>22148.999799999998</v>
          </cell>
          <cell r="Q165">
            <v>24447</v>
          </cell>
          <cell r="R165">
            <v>23908</v>
          </cell>
          <cell r="S165">
            <v>20378.414700000001</v>
          </cell>
          <cell r="T165">
            <v>42383.217300000004</v>
          </cell>
          <cell r="U165">
            <v>24669</v>
          </cell>
          <cell r="V165">
            <v>25135</v>
          </cell>
          <cell r="W165">
            <v>40102</v>
          </cell>
          <cell r="X165">
            <v>22941</v>
          </cell>
          <cell r="Y165">
            <v>23000</v>
          </cell>
          <cell r="Z165">
            <v>32837</v>
          </cell>
          <cell r="AA165">
            <v>21708</v>
          </cell>
          <cell r="AB165">
            <v>23137</v>
          </cell>
          <cell r="AC165">
            <v>32870</v>
          </cell>
          <cell r="AD165">
            <v>26912</v>
          </cell>
          <cell r="AE165">
            <v>21205</v>
          </cell>
          <cell r="AF165">
            <v>31263</v>
          </cell>
          <cell r="AG165">
            <v>27132</v>
          </cell>
          <cell r="AH165">
            <v>25936</v>
          </cell>
          <cell r="AI165">
            <v>33907</v>
          </cell>
          <cell r="AJ165">
            <v>20216</v>
          </cell>
          <cell r="AK165">
            <v>20889</v>
          </cell>
        </row>
        <row r="166">
          <cell r="A166" t="str">
            <v>L'oreal</v>
          </cell>
          <cell r="B166">
            <v>32709</v>
          </cell>
          <cell r="C166">
            <v>35704</v>
          </cell>
          <cell r="D166">
            <v>52394</v>
          </cell>
          <cell r="E166">
            <v>44306</v>
          </cell>
          <cell r="F166">
            <v>41716</v>
          </cell>
          <cell r="G166">
            <v>52948</v>
          </cell>
          <cell r="H166">
            <v>37773</v>
          </cell>
          <cell r="I166">
            <v>69363</v>
          </cell>
          <cell r="J166">
            <v>50675</v>
          </cell>
          <cell r="K166">
            <v>41598</v>
          </cell>
          <cell r="L166">
            <v>30600</v>
          </cell>
          <cell r="M166">
            <v>35712</v>
          </cell>
          <cell r="N166">
            <v>32392</v>
          </cell>
          <cell r="O166">
            <v>24729</v>
          </cell>
          <cell r="P166">
            <v>26780</v>
          </cell>
          <cell r="Q166">
            <v>52448</v>
          </cell>
          <cell r="R166">
            <v>22167</v>
          </cell>
          <cell r="S166">
            <v>28092</v>
          </cell>
          <cell r="T166">
            <v>38700</v>
          </cell>
          <cell r="U166">
            <v>43353</v>
          </cell>
          <cell r="V166">
            <v>37875</v>
          </cell>
          <cell r="W166">
            <v>30031</v>
          </cell>
          <cell r="X166">
            <v>52244</v>
          </cell>
          <cell r="Y166">
            <v>30477</v>
          </cell>
          <cell r="Z166">
            <v>37434</v>
          </cell>
          <cell r="AA166">
            <v>25257</v>
          </cell>
          <cell r="AB166">
            <v>29994</v>
          </cell>
          <cell r="AC166">
            <v>30303</v>
          </cell>
          <cell r="AD166">
            <v>42446</v>
          </cell>
          <cell r="AE166">
            <v>29940</v>
          </cell>
          <cell r="AF166">
            <v>30242</v>
          </cell>
          <cell r="AG166">
            <v>41899</v>
          </cell>
          <cell r="AH166">
            <v>37521</v>
          </cell>
          <cell r="AI166">
            <v>43755</v>
          </cell>
          <cell r="AJ166">
            <v>31932</v>
          </cell>
          <cell r="AK166">
            <v>25164</v>
          </cell>
        </row>
        <row r="193">
          <cell r="A193" t="str">
            <v>TOTAL ELVIVE NUEVO MODERNO</v>
          </cell>
          <cell r="B193">
            <v>44713</v>
          </cell>
          <cell r="C193">
            <v>44743</v>
          </cell>
          <cell r="D193">
            <v>44774</v>
          </cell>
          <cell r="E193">
            <v>44805</v>
          </cell>
          <cell r="F193">
            <v>44835</v>
          </cell>
          <cell r="G193">
            <v>44866</v>
          </cell>
          <cell r="H193">
            <v>44896</v>
          </cell>
          <cell r="I193">
            <v>44927</v>
          </cell>
          <cell r="J193">
            <v>44958</v>
          </cell>
          <cell r="K193">
            <v>44986</v>
          </cell>
          <cell r="L193">
            <v>45017</v>
          </cell>
          <cell r="M193">
            <v>45047</v>
          </cell>
          <cell r="N193">
            <v>45078</v>
          </cell>
          <cell r="O193">
            <v>45108</v>
          </cell>
          <cell r="P193">
            <v>45139</v>
          </cell>
          <cell r="Q193">
            <v>45170</v>
          </cell>
          <cell r="R193">
            <v>45200</v>
          </cell>
          <cell r="S193">
            <v>45231</v>
          </cell>
          <cell r="T193">
            <v>45261</v>
          </cell>
          <cell r="U193">
            <v>45292</v>
          </cell>
          <cell r="V193">
            <v>45323</v>
          </cell>
          <cell r="W193">
            <v>45352</v>
          </cell>
          <cell r="X193">
            <v>45383</v>
          </cell>
          <cell r="Y193">
            <v>45413</v>
          </cell>
          <cell r="Z193">
            <v>45444</v>
          </cell>
          <cell r="AA193">
            <v>45474</v>
          </cell>
          <cell r="AB193">
            <v>45505</v>
          </cell>
          <cell r="AC193">
            <v>45536</v>
          </cell>
          <cell r="AD193">
            <v>45566</v>
          </cell>
          <cell r="AE193">
            <v>45597</v>
          </cell>
          <cell r="AF193">
            <v>45627</v>
          </cell>
          <cell r="AG193">
            <v>45658</v>
          </cell>
          <cell r="AH193">
            <v>45689</v>
          </cell>
          <cell r="AI193">
            <v>45717</v>
          </cell>
          <cell r="AJ193">
            <v>45748</v>
          </cell>
          <cell r="AK193">
            <v>45778</v>
          </cell>
        </row>
        <row r="194">
          <cell r="A194" t="str">
            <v>NIQ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1481</v>
          </cell>
          <cell r="M194">
            <v>2765</v>
          </cell>
          <cell r="N194">
            <v>5159</v>
          </cell>
          <cell r="O194">
            <v>3316.3553000000002</v>
          </cell>
          <cell r="P194">
            <v>5149</v>
          </cell>
          <cell r="Q194">
            <v>3600</v>
          </cell>
          <cell r="R194">
            <v>3632</v>
          </cell>
          <cell r="S194">
            <v>3030.7873</v>
          </cell>
          <cell r="T194">
            <v>5139.4434999999994</v>
          </cell>
          <cell r="U194">
            <v>3334</v>
          </cell>
          <cell r="V194">
            <v>3404</v>
          </cell>
          <cell r="W194">
            <v>6533</v>
          </cell>
          <cell r="X194">
            <v>6736</v>
          </cell>
          <cell r="Y194">
            <v>8262</v>
          </cell>
          <cell r="Z194">
            <v>17039</v>
          </cell>
          <cell r="AA194">
            <v>11056</v>
          </cell>
          <cell r="AB194">
            <v>11527</v>
          </cell>
          <cell r="AC194">
            <v>18569</v>
          </cell>
          <cell r="AD194">
            <v>15551</v>
          </cell>
          <cell r="AE194">
            <v>12340</v>
          </cell>
          <cell r="AF194">
            <v>17265</v>
          </cell>
          <cell r="AG194">
            <v>14275</v>
          </cell>
          <cell r="AH194">
            <v>15218</v>
          </cell>
          <cell r="AI194">
            <v>24465</v>
          </cell>
          <cell r="AJ194">
            <v>14817</v>
          </cell>
          <cell r="AK194">
            <v>14327</v>
          </cell>
        </row>
        <row r="195">
          <cell r="A195" t="str">
            <v>L'oreal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3246</v>
          </cell>
          <cell r="L195">
            <v>16878</v>
          </cell>
          <cell r="M195">
            <v>5526</v>
          </cell>
          <cell r="N195">
            <v>7740</v>
          </cell>
          <cell r="O195">
            <v>5380</v>
          </cell>
          <cell r="P195">
            <v>5646</v>
          </cell>
          <cell r="Q195">
            <v>9792</v>
          </cell>
          <cell r="R195">
            <v>2208</v>
          </cell>
          <cell r="S195">
            <v>2454</v>
          </cell>
          <cell r="T195">
            <v>4632</v>
          </cell>
          <cell r="U195">
            <v>7200</v>
          </cell>
          <cell r="V195">
            <v>11574</v>
          </cell>
          <cell r="W195">
            <v>20001</v>
          </cell>
          <cell r="X195">
            <v>27264</v>
          </cell>
          <cell r="Y195">
            <v>13341</v>
          </cell>
          <cell r="Z195">
            <v>17043</v>
          </cell>
          <cell r="AA195">
            <v>16188</v>
          </cell>
          <cell r="AB195">
            <v>22014</v>
          </cell>
          <cell r="AC195">
            <v>25211</v>
          </cell>
          <cell r="AD195">
            <v>23169</v>
          </cell>
          <cell r="AE195">
            <v>18546</v>
          </cell>
          <cell r="AF195">
            <v>30138</v>
          </cell>
          <cell r="AG195">
            <v>30711</v>
          </cell>
          <cell r="AH195">
            <v>27921</v>
          </cell>
          <cell r="AI195">
            <v>33894</v>
          </cell>
          <cell r="AJ195">
            <v>29265</v>
          </cell>
          <cell r="AK195">
            <v>25743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elsenenterprise-my.sharepoint.com/Users/difa4002/Downloads/UY_L'oreal_HairCare_Scan_0725%20(1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elsenenterprise-my.sharepoint.com/Users/difa4002/Downloads/UY_L'oreal_HairColor_ST_0825%20(1)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Diaz" refreshedDate="45872.947153472225" createdVersion="8" refreshedVersion="8" minRefreshableVersion="3" recordCount="1727" xr:uid="{C48835B2-D1F1-4B7A-9FE0-9BDB8B16F012}">
  <cacheSource type="worksheet">
    <worksheetSource ref="D1:AW1728" sheet="Shipments"/>
  </cacheSource>
  <cacheFields count="51">
    <cacheField name="Fabricante" numFmtId="0">
      <sharedItems/>
    </cacheField>
    <cacheField name="CANAL" numFmtId="0">
      <sharedItems count="5">
        <s v="FOOD"/>
        <s v="DRUG"/>
        <s v="OTROS"/>
        <s v="INDIRECTO"/>
        <s v="PURE PLAYERS"/>
      </sharedItems>
    </cacheField>
    <cacheField name="Canal NIQ" numFmtId="0">
      <sharedItems count="4">
        <s v="Moderno"/>
        <s v="Farmacia y Perfumeria"/>
        <s v="No NIQ"/>
        <s v="Tradicional"/>
      </sharedItems>
    </cacheField>
    <cacheField name="EJE" numFmtId="0">
      <sharedItems count="2">
        <s v="Hair Care"/>
        <s v="Hair Color"/>
      </sharedItems>
    </cacheField>
    <cacheField name="MARCA" numFmtId="0">
      <sharedItems count="12">
        <s v="Elnett"/>
        <s v="Elseve Haircare"/>
        <s v="Ever Haircare"/>
        <s v="Fructis"/>
        <s v="L'Oreal Kids"/>
        <s v="Studio Line"/>
        <s v="Casting"/>
        <s v="Color Sensation"/>
        <s v="Excellence Color"/>
        <s v="Magic Retouch"/>
        <s v="Men Expert"/>
        <s v="Nutrisse"/>
      </sharedItems>
    </cacheField>
    <cacheField name="EAN" numFmtId="1">
      <sharedItems containsSemiMixedTypes="0" containsString="0" containsNumber="1" containsInteger="1" minValue="71249119297" maxValue="8901526606061"/>
    </cacheField>
    <cacheField name="Brand" numFmtId="1">
      <sharedItems count="58">
        <s v="Laca Elnet"/>
        <s v="ELVIVE PURPLE"/>
        <s v="ELVIVE CAIDA RESIST"/>
        <s v="ELVIVE COLORVIVE"/>
        <s v="ELVIVE RT5"/>
        <s v="ELVIVE ARCILLA EXTRAO."/>
        <s v="ELVIVE OLEO EXTR.NUT.UNIVERSAL"/>
        <s v="ELVIVE OLEO EXTR.NUT.INTENSA"/>
        <s v="ELVIVE ARCILLA PURIFICAN"/>
        <s v="ELVIVE HIDRATACION NOCTURNA"/>
        <s v="ELVIVE DREAM LONG"/>
        <s v="ELVIVE COCO"/>
        <s v="ELVIVE DREAM LONG LISS"/>
        <s v="ELVIVE HIDRA HIALURONICO"/>
        <s v="ELVIVE OLEO COCO"/>
        <s v="ELVIVE RT EXTREME"/>
        <s v="ELVIVE OLEO EXT. RIZOS DEFI."/>
        <s v="ELVIVE HIALURONICO PURE"/>
        <s v="ELVIVE OLEO EXTR.TRATAMIENTO"/>
        <s v="ELVIVE OLEO EXTRAORDINARIO"/>
        <s v="ELVIVE GLYCOLIC GLOSS"/>
        <s v="ELVIVE DREAM LISO"/>
        <s v="ELVIVE CITRUS"/>
        <s v="ELVIVE RT5 CICA"/>
        <s v="EVER PURE"/>
        <s v="EVER CREME"/>
        <s v="FRUCTIS SLEEK AND SHINE"/>
        <s v="FRUCTIS HAIR FOOD"/>
        <s v="FRUCTIS STOP CAIDA"/>
        <s v="FRUCTIS VITAMINADO"/>
        <s v="FRUCTIS GOODBYE DAMAGE"/>
        <s v="FRUCTIS LISO COCO"/>
        <s v="FRUCTIS OIL REPAIR"/>
        <s v="FRUCTIS OIL REPAIR RECARGA NUTRITIVA"/>
        <s v="FRUCTIS ALOE HIDRA BOMB"/>
        <s v="FRUCTIS ADIOS ESPONJADO"/>
        <s v="FRUCTIS ANTICASPA"/>
        <s v="FRUCTIS STOP CAIDA CRECER FUERTE"/>
        <s v="FRUCTIS CONTROL Y DEF. RIZOS PODEROSOS"/>
        <s v="FRUCTIS ALOE HIDRA CLEAN"/>
        <s v="FRUCTIS OIL REPAIR LISO COCO"/>
        <s v="FRUCTIS PROBIOTICOS FUERZA"/>
        <s v="LOREAL KIDS"/>
        <s v="Gel Line Studio"/>
        <s v="Clean Gel Line Studio"/>
        <s v="Greal Out Line Studio"/>
        <s v="Gel Invisi Fix Line Studio"/>
        <s v="CASTING CREME GLOSS"/>
        <s v="NUTRISSE COR INTENSA"/>
        <s v="EXCELLENCE"/>
        <s v="EXCELLENCE SIN AMONIACO"/>
        <s v="EXCELLENCE EXTRA PROFUNDO"/>
        <s v="MAGIC RETOUCH"/>
        <s v="EXCELL 5"/>
        <s v="NUTRISSE"/>
        <s v="NUTRISSE COLORISSIMO"/>
        <s v="NUTRISSE OLEOS"/>
        <s v="NUTRISSE RETOCA RAIZ"/>
      </sharedItems>
    </cacheField>
    <cacheField name="Item" numFmtId="1">
      <sharedItems count="470">
        <s v="Laca Elnet"/>
        <s v="ELVIVE VIOLETA MATIZADOR FCO.PL 200ML"/>
        <s v="ELVIVE VIOLETA ACOND MATIZADOR POMO 150ML"/>
        <s v="ELVIVE CAIDA RESIST SERUM ANTI-HAIR AMIN FCO 102 ML"/>
        <s v="ELVIVE COLOR VIVEFCO.PL. 400 CC"/>
        <s v="ELVIVE COLOR VIVEACONDICIO.FCO PLAST 400 ML"/>
        <s v="ELVIVE REPARACIONTOTAL 5 FCO.PL. 400 CC"/>
        <s v="ELVIVE REPARACIONTOTAL 5 ACONDICIO. 400 MLFCO.PLAST."/>
        <s v="ELVIVE REPARACION TOTAL 5 CREMA P/PEINAR . FCO PLAS 300 ML"/>
        <s v="ELVIVE COLOR VIVEFCO.PL. 200 CC"/>
        <s v="ELVIVE REPARACION TOTAL 5 FCO.PLAST. 200 CC"/>
        <s v="ELVIVE SHAMPOO PURIFICANTE ARCILLA EXT 200 ML"/>
        <s v="ELVIVE ACONDICIONADOR ARCILLA EXTRAORD FCO 200 ML"/>
        <s v="ELVIVE O.EXTRAORD NUTR UNIV 200 ML"/>
        <s v="ELVIVE OLEO EXTR.NUT.INTENS COCO CAB.SECO ADU REG FCO 200ML"/>
        <s v="ELVIVE ARCILLA PURIFICANTE FCO.PLAST 200ML"/>
        <s v="ELVIVE ARCILLA PURIFICANTE SH ANT. CASP. FCO.PL. 400 ML"/>
        <s v="ELVIVE ARCILLA PURIFICANTE ACOND. FCO.PLAST. 200 ML"/>
        <s v="ELVIVE LOREAL OLEO EXTRAORD C/PEI NUT INTEN FCO PLAST300 ML"/>
        <s v="ELVIVE REPARACION TOTAL 5 SH.CICA REPAIR FCO.PL.680ML"/>
        <s v="ELVIVE COLOR VIVE SH. PROTECTOR FCO. PL. 680ML"/>
        <s v="ELVIVE OLEO EXTRAO. SH.NUTRIC.-BRI-SUAVCAB.SECO F.PL. 680ML"/>
        <s v="ELVIVE ARCILLA PURIFICANTE SH FCO. PL. 680ML"/>
        <s v="ELVIVE HID NOCTURNA TRAT FCO 200 GR"/>
        <s v="ELVIVE DREAM LONG CABELLO LARGO DANADO FCO.PL.400ML"/>
        <s v="ELVIVE DREAM LONG CABELLO LARGO DANADO ACO. FCO. 200ML"/>
        <s v="ELVIVE DREAM LONG AC.DESENREDANTE FCO.PL. 400ML"/>
        <s v="ELVIVE DREAM LONG RECONSTRUCTOR FCO PL 200ML"/>
        <s v="ELVIVE DREAM LONG CABELLO LARGO DANADO CREM P/PEI F.P.300ML"/>
        <s v="ELVIVE OLEO EXTRAOR. OLEO COCO ACO.NUTR.INT.F.P.200ML"/>
        <s v="ELVIVE DREAM LONG LISS ANTIFRIZZ FCO 200ML"/>
        <s v="ELVIVE DREAM LONG LISS SH ANTIFRIZZ FCO400ML"/>
        <s v="ELVIVE DREAM LONG LISS ACO ANTIFRIZZ FCO400ML"/>
        <s v="ELVIVE DREAM LONG LISS FCO 200ML"/>
        <s v="ELVIVE ACOND DREAM LONG LISS FCO 200ML"/>
        <s v="ELVIVE SHAMPOO PURPLE FCO 200 ML"/>
        <s v="ELVIVE AC. TRAT. COLORVIVE MATIZADOR FCO 150 ML"/>
        <s v="ELVIVE DREAM LONG LISS ANTIFRIZZ CR./PEINAR FCO 300ML"/>
        <s v="ELVIVE HIDRA HIALURONICO FCO.PL 200ML"/>
        <s v="ELVIVE HIDRA HIALURONICO FCO.PL 370ML"/>
        <s v="ELVIVE HIDRA HIALURONICO FCO.PL 680ML"/>
        <s v="ELVIVE ACON HIDRA HIALURONICO 200ML"/>
        <s v="ELVIVE ACON HIDRA HIALURONICO 370ML"/>
        <s v="ELVIVE CREMA P/PEINAR HIDRA HIALURONICO 300ML"/>
        <s v="ELVIVE COLOR VIVE FCO.PL 370ML"/>
        <s v="ELVIVE OLEO EXT NUTR UNIV FCO PLAST 370ML"/>
        <s v="ELVIVE ACOND OLEO EXT NUTR UNIV FCO PLAST 370ML"/>
        <s v="ELVIVE OLEO COCO FCO PLAST 370ML"/>
        <s v="ELVIVE ACOND OLEO COCO FCO PLAST 370ML"/>
        <s v="ELVIVE CAIDA RESIST FCO.PL 370ML"/>
        <s v="ELVIVE ARCILLA PURIFICAN FCO.PLAST 370ML"/>
        <s v="ELVIVE ACOND ARCILLA PURIFICAN FCO.PLAST 370ML"/>
        <s v="ELVIVE DREAM LONG FCO PLAST 370ML"/>
        <s v="ELVIVE DREAM LONG LISS FCO 370ML"/>
        <s v="ELVIVE CTT HIDRA HIALURONICO 300ML"/>
        <s v="ELVIVE REPARACION TOTAL 5 FCO.PLAST. 370ML"/>
        <s v="ELVIVE ACON REPARACION TOTAL 5 370ML"/>
        <s v="ELVIVE RT EXTREME FCO.PL 370ML"/>
        <s v="ELVIVE ACOND RT EXTREME FCO.PL 370ML"/>
        <s v="ELVIVE OLEO EXTRA RIZOS FCO PLAST 370ML"/>
        <s v="ELVIVE ACOND OLEO EXTRA RIZOS FCO PLAST 370ML"/>
        <s v="ELVIVE ACOND CAIDA RESIST X3 FCO.PLAST 370ML"/>
        <s v="ELVIVE ACOND DREAM LONG LISS FCO 370ML"/>
        <s v="ELVIVE ACOND DREAM LONG FCO PLAST 370ML"/>
        <s v="ELVIVE ACON COLORVIVE FCO PL 370ML"/>
        <s v="ELVIVE ÓLEO EXTRAORDINARIO NUT UNIV POTE 300 GR"/>
        <s v="ELVIVE HIALURONICO PURE SHAMPOO FCO 370 ML"/>
        <s v="ELVIVE HIALU PURE SHAMPOO FCO 680 ML"/>
        <s v="ELVIVE HIALURONICO PURE ACO 370 ML"/>
        <s v="ELVIVE HIALURONICO TRAT PURE POTE 300 GR"/>
        <s v="ELVIVE HIALURONICO PURE SH FCO 200 ML"/>
        <s v="ELVIVE HIALURONICO PURE ACO 200 ML"/>
        <s v="ELVIVE HIALURONICO PURE MICELLAR SH FCO 300 ML"/>
        <s v="ELVIVE CAIDA RESIST FCO 370 ML"/>
        <s v="ELVIVE AC ANTI-HAIR FALL ACO FCO 370 ML"/>
        <s v="ELVIVE CAIDA RESIST CREMA TRAT POTE 300 GR"/>
        <s v="ELVIVE CAIDA RESIST C PEINAR ANTI-HAIR FALL FCO 300ML"/>
        <s v="ELVIVE SHAMPOO HIDRA HIALURONICO FCO 200ML"/>
        <s v="ELVIVE HIDRA HIALURONICO ACOND FCO.200ML"/>
        <s v="ELVIVE COLOR VIVE FCO.PL. 200 ML"/>
        <s v="ELVIVE RT EXTREME SH REPARACION ADU REG FCO 200ML"/>
        <s v="ELVIVE REPARACION TOTAL 5 SH ADU REG FCO 200ML"/>
        <s v="ELVIVE REPARACIONTOTAL 5 FCO.PL. 200 CC"/>
        <s v="ELVIVE COLOR VIVETRATAMI. POTE 300 GR"/>
        <s v="ELVIVE REPARACIONTOTAL 5 CR.TRATAM. 350 CCPOTE"/>
        <s v="ELVIVE REPARACION TOTAL 5 +KERATIN AC ADU REG FCO 200ML"/>
        <s v="ELVIVE COLORVIVE AC ADU REG FCO 200ML"/>
        <s v="ELVIVE OLEO EXTRAORDINARIO TRATAM. 100 MLFCO.PL."/>
        <s v="ELVIVE RT EXTREME FCO.PL. 400 CC"/>
        <s v="ELVIVE RT EXTREMEACOND. FCO.PL. 400 CC"/>
        <s v="ELVIVE RT EXTREMECR.TRATAM.POTE 300 CC"/>
        <s v="ELVIVE COLOR VIVE SHAMPOO FCO 200ML"/>
        <s v="ELVIVE OLEO EXTRAORDINARIO NUT.UNIVER. 400 CCFCO.PL."/>
        <s v="ELVIVE OLEO EXTRAORDINARIO NUT.UNIVER. 400 CCFCO PL."/>
        <s v="ELVIVE OLEO EXTRAORD.NUTRI INT.C.MUY SECO 400CCFCO.P"/>
        <s v="ELIVE OLEO EXTRAORDIN.NUT.INTEN.ACO. 400 MLFCO.PL."/>
        <s v="ELIVE OLEO EXTRAORDINARIO NUT.INTEN.TRAT.300MLPOTE"/>
        <s v="ELVIVE OLEO EXT. TODO TIPO 200 ML FCO PLAST"/>
        <s v="ELVIVE OLEO EXTRAORDINARIO RIZOS DEFINIDOS NUTRIC 400ML FCO"/>
        <s v="ELVIVE OLEO EXTRAORDINARIO CURLS RULOS CRE.P/EI. F.P. 300 ML"/>
        <s v="ELVIVE CAIDA RESIST FCO.PL. 400 CC"/>
        <s v="ELVIVE CAIDA RESIST ACOND. 400 CCFCO.PL."/>
        <s v="ELVIVE ARCILLA PURIFICANTE FCO.PL. 400 ML"/>
        <s v="ELVIVE ARCILLA PURIFICAN.ACOND 400 CCFCO.PL."/>
        <s v="ELVIVE GLYCOLIC GLOSS CREMA DE TRATAMIENTO POTE 300GR"/>
        <s v="ELVIVE GLYCOLIC GLOSS CR.DE TRAT. BRILLO ADU REG FCO 200ML"/>
        <s v="ELVIVE SHAMPOO GLYCOLIC GLOSS FCO 680ML"/>
        <s v="ELVIVE GLYCOLIC GLOSS ACONDICIONADOR FCO 370ML"/>
        <s v="ELVIVE GLYCOLIC GLOSS CREMA PARA PEINAR POTE 300ML"/>
        <s v="ELVIVE GLYCOLIC GLOSS SERUM TRAT INT BRILL REG ADU FCO 100ML"/>
        <s v="ELVIVE GLYCOLIC GLOSS AC BRILLO REG ADU FCO 200ML"/>
        <s v="ELVIVE GLYCOLIC GLOSS SHAMPOO FCO 370ML"/>
        <s v="ELVIVE GLYCOLIC GLOSS SH BRILLO ADU REG FCO 200ML"/>
        <s v="ELVIVE DREAM LISO SH ADU REG FCO 680ML"/>
        <s v="ELVIVE DREAM LISO SH REG ADU FCO 370ML"/>
        <s v="ELVIVE DREAM LISO CR.DE TRAT. ADU REGULAR POTE 300ML"/>
        <s v="ELVIVE DREAM LISO AC ADU REGULAR FCO 370ML"/>
        <s v="ELVIVE DREAM LISO AC REGULAR ADU FCO 200ML"/>
        <s v="ELVIVE DREAM LISO SH. ADU REG FCO 200ML"/>
        <s v="ELVIVE DREAM LISO CR. PEIN. ADU REGULAR POTE 300ML"/>
        <s v="ELVIVE SHAMPOO REPARACION TOTAL 5 200 ML"/>
        <s v="ELVIVE CITRUS FCO.PL. 200 CC"/>
        <s v="ELVIVE CITRUS FCO.PLA. 400 CC"/>
        <s v="ELVIVE OLEO EXTRAORDINARIO TRATAMIEN. 100 MLFCO.PL."/>
        <s v="ELVIVE RT EXTREME FCO.PL. 200 CC"/>
        <s v="ELVIVE OLEO EXTRAORDINARIO NUT.UNIVER. 200 MLFCO.PL."/>
        <s v="ELVIVE OLEO COCO ACONDICIONADOR 200ML FCO.PL."/>
        <s v="ELVIVE OLEO COCO SHAMPOO 200ML FCO. PLAST."/>
        <s v="ELVIVE RT5 CICA RENOV TRATAM. 50 MLFCO.PL."/>
        <s v="ELVIVE REPARACIONTOTAL 5 CICATRI-CERA CAPSULAS 15 GR X 3UN"/>
        <s v="L'OREAL HAIR EXP. EVERPURE REPAIR 250 MLTUBO"/>
        <s v="L'OREAL HAIR EXPERTISE EVER.REPAI 250 MLTUBO"/>
        <s v="LOREAL HAIR EXPERT EVER CREME HYDRATATION SH 250 ML TUBO"/>
        <s v="L'OREAL HAIR EXPERTISE EVER.NOUR. 250 MLTUBO"/>
        <s v="L'OREAL HAIR EXPERTISE EVERBLONDE 250 MLTUBO"/>
        <s v="L'OREAL HAIR EXPERTISE EVE.BLONDE 250 MLTUBO"/>
        <s v="L'OREAL HAIR EXPERTISE EVER PURE VIOLE MATIZADOR POMO 200ML"/>
        <s v="L'OREAL HAIR EXPERTISE ACOND EVER PURE VIOLE MATIZ POM 200ML"/>
        <s v="L'OREAL EVER PURE BONDING REPAIR SH ADU REG POMO 200ML"/>
        <s v="L'OREAL EVER PURE BONDING. REPAIR AC ADU REG POMO 200ML"/>
        <s v="L'OREAL EVER PURE GLOSSING SH ADU REG POMO 250ML"/>
        <s v="L'OREAL EVER PURE GLOSSING AC ADU REG POMO 250ML"/>
        <s v="L'OREAL EVER PURE BONDING REPAIR PRE SH REG 150ML"/>
        <s v="FRUCTIS SLEEK AND SHINE FCO 180ML"/>
        <s v="FRUCTIS HAIR FOOD ALOE VERA SH BARRA 60 GR"/>
        <s v="FRUCTIS HAIR FOOD SANDIA SH BARRA 60 GR"/>
        <s v="FRUCTIS HAIR FOOD COCO SH BARRA 60 GR"/>
        <s v="FRUCTIS HAIR FOOD AGUACATE SH BARRA 60 GR"/>
        <s v="FRUCTIS FOOD SH MANT DE CACAO FCO 300 ML"/>
        <s v="FRUCTIS HAIR FOOD ACO MANT DE CACAO 300 ML"/>
        <s v="FRUCTIS HAIR C PEINAR FOODMANTECA DE CACAO 300 ML"/>
        <s v="FRUCTIS CREMA 10EN1 STOP CAIDA FCO 300 ML"/>
        <s v="FRUCTIS CRECE FUERTE VIT SERUM TRATAMIENTO 30 ML"/>
        <s v="FRUCTIS HAIR FOOD TTO MANTEC POT 350 ML"/>
        <s v="FRUCTIS ACO STOP CAIDA CRECE FUERTE FCO 350 ML"/>
        <s v="FRUCTIS BRILLO VITAMINADO 200 CCFCO.PLAST."/>
        <s v="FRUCTIS BRILLO VITAMINADO ACOND. 200 CCFCO.PLAST."/>
        <s v="FRUCTIS GOODBYE DANOS FCO.PLAST. 200 CC"/>
        <s v="FRUCTIS GOODBYE DANOS ACOND. 200 CCFCO.PLAST."/>
        <s v="FRUCTIS GARNIER OIL REPAIR LISO COCO.CAB.SEC.REB 350 ML F.P."/>
        <s v="FRUCTIS SHAMPOO LISS COCONUT OIL FCO.650 ML"/>
        <s v="FRUCTIS GARNIER OIL REPAIR LISO COCO CAB.SEC.REB 350 ML F.P."/>
        <s v="FRUCTIS GARNIER OIL REPAIR LISO COCONUT CRE P/PEI 300ML F.P."/>
        <s v="FRUCTIS ACO OIL REPAIR LISO COCO 200 ML"/>
        <s v="FRUCTIS SHAMPOO OIL REPAIR LISO COCO FCO 200 ML"/>
        <s v="FRUCTIS GOODBYE DAMAGE SH REPARADOR ADU REG FCO 200ML"/>
        <s v="FRUCTIS ACOND REC NUTRITIVA FCO.200 ML"/>
        <s v="FRUCTIS OIL REPAIR REC NUTRI FCO.PLAST 200ML"/>
        <s v="FRUCTIS ACOND GOODBYE DANOS FRASCO 200 ML"/>
        <s v="FRUCTIS GARNIER OIL REPAIR LISO COCO.CAB.SEC.REB 200 ML F.P."/>
        <s v="FRUCTIS GARNIER OIL REPAIR LISO COCO CAB.SEC.REB 200 ML F.P."/>
        <s v="FRUCTIS HAIR FOOD COCONUT 350 ML POTE"/>
        <s v="FRUCTIS HAIR FOOD BANANA 350 ML POTE"/>
        <s v="FRUCTIS HAIR FOOD AGUACATE 350 ML POTE"/>
        <s v="FRUCTIS ALOE HIDRA BOMB 2EN1 HUMEC/ANTIFRIZZ .FP.350ML"/>
        <s v="FRUCTIS SHAMPOO ALOE HYDRA FCO 650 ML"/>
        <s v="FRUCTIS ALOE HIDRA BOMB AC.HUME/ANTIFRIZZ CA.SE.F.P.350ML"/>
        <s v="FRUCTIS ALOE HIDRA BOMB 2 EN 1 SH CAB DESID. 200 ML FP"/>
        <s v="FRUCTIS ALOE HIDRA BOMB ACO CAB DESID 200 ML FP"/>
        <s v="FRUCTIS HAIR FOOD ALOE VERA MASC.CAP.1MIN.POTE 350ML"/>
        <s v="FRUCTIS HAIR FOOD BANANA SH FUERZA. FP 300 ML"/>
        <s v="FRUCTIS HAIR FOOD ACONDICIONADOR BANANA POTE 300 ML"/>
        <s v="FRUCTIS HAIR FOOD ALOE HIDRA SH CAB DESID. FP 300 ML"/>
        <s v="FRUCTIS HAIR FOOD ALOE VERA ACONDI CAB DESI POTE 300ML"/>
        <s v="FRUCTIS HAIR FOOD COCO SH REPARACION FP 300 ML"/>
        <s v="FRUCTIS HAIR FOOD COCO ACONDI REPA POTE 300 ML"/>
        <s v="FRUCTIS HAIR FOOD AGUACATE SH NUTRI FP 300 ML"/>
        <s v="FRUCTIS HAIR FOOD AGUACATE ACOND NUTRI POTE 300 ML"/>
        <s v="FRUCTIS HAIR FOOD SANDIA FCO PL 300ML"/>
        <s v="FRUCTIS ACOND HAIR FOOD SANDIA FCO PL 300ML"/>
        <s v="FRUCTIS ACOND HAIR FOOD SANDIA FCO PL 350ML"/>
        <s v="FRUCTIS CP/P 10 EN 1 RECARGA NUTRITIVA POTE 300ML"/>
        <s v="FRUCTIS CRE P/P 10 EN 1 RIZOS PODEROSOS POTE 300ML"/>
        <s v="FRUCTIS OIL REPAIR RECARGA NUTRITIVA FCO.PLAST 650ML"/>
        <s v="FRUCTIS OIL REPAIR RECARGA NUTRITIVA FCO.PLAST 350ML"/>
        <s v="FRUCTIS OIL REPAIR RECARGA NUTRITIVA FCO.PLAST 200ML"/>
        <s v="FRUCTIS ACOND OIL REPAIR RECARGA NUTRITIVA FCO PL 200ML"/>
        <s v="FRUCTIS CREMA P/PE OIL REPAIR RECARGA NUTRITIVA POTE 300ML"/>
        <s v="FRUCTIS ACOND OIL REPAIR RECARGA NUTRITIVA FCO PL 350ML"/>
        <s v="FRUCTIS SH ADIOS ESPONJADO 350 ML"/>
        <s v="FRUCTIS SH ADIOS ESPONJADO FCO 650 ML"/>
        <s v="FRUCTIS 10N1 ADIOS ESPONJADO FCO 300 ML"/>
        <s v="FRUCTIS HAIR FOOD PINA SH ANTI-QUIEBRE ADU REG FRASCO 300ML"/>
        <s v="FRUCTIS HAIR FOOD PINA AC ANTI-QUIEBRE ADU REG FRASCO 300ML"/>
        <s v="FRUCTIS HAIR FOOD PINA CR TRAT MASK ANTIQ ADU REG POTE 350ML"/>
        <s v="FRUCTIS ADIOS ESPONJADO ACO FCO 350 ML"/>
        <s v="FRUCTIS ANTICASPA CITR-DETOXFCO.PLAST. 350 CC"/>
        <s v="FRUCTIS OIL REPA. SUP.OLEO 8TRATA.INT. 100 ML FCO.PL."/>
        <s v="FRUCTIS BRILLO VITAMINADO 350 CCFCO.PLAST."/>
        <s v="FRUCTIS BRILLO VITAMINADO 650 CCFCO.PLAST."/>
        <s v="FRUCTIS VITAMINADOFRESCURA FCO.PLAST. 350 ML"/>
        <s v="FRUCTIS GOODBYE DANOS FCO.PLAST. 350 ML"/>
        <s v="FRUCTIS STOP CAIDACREC.FUER.FCO.PLAST. 350 CC"/>
        <s v="FRUCTIS SUPER OLEO POST COLOR TRAT 100 ML FCO PL"/>
        <s v="FRUCTIS GOODBYE DANOS ACOND. 350 MLFCO.PL."/>
        <s v="FRUCTIS BRILLO VITAMINADOACOND. 350 MLFCO.PLAST."/>
        <s v="FRUCTIS CONTROL Y DEFINICIONRIZOS POD. 350 CCFCO.PLAST."/>
        <s v="FRUCTIS CONT.Y DEFRIZO.PODE.CRE.P/PEI. 300 MLFCO.PL."/>
        <s v="FRUCTIS FRESCURA VITAMINA ACOND. 300 CCFCO.PLAST."/>
        <s v="FRUCTIS OIL REPAIR LISO ACO COCO FCO 200 ML"/>
        <s v="FRUCTIS OIL REPAIR RECARGA. NUTRITIVA AC ADU REG FCO 200ML"/>
        <s v="FRUCTIS OIL. REPAIR RECARGA NUTRITIVA SH ADU REG FCO 200ML"/>
        <s v="FRUCTIS ALOE HIDRA CLEAN AC REG. ADU. FCO 200ML"/>
        <s v="FRUCTIS ALOE HIDRA CLEAN SH REG. ADU. FCO 200ML"/>
        <s v="FRUCTIS OIL REPAIR LISO COCO SH REG ADU FCO 200ML"/>
        <s v="FRUCTIS PROBIOTICOS FUERZA SH ADU REG FCO 350ML"/>
        <s v="FRUCTIS PROBIOTICOS FUERZA AC REG ADU FCO 350ML"/>
        <s v="FRUCTIS PROBIOTICOS FUERZA LEAVE 10EN1 CPP REG ADU FCO 300ML"/>
        <s v="FRUCTIS PROBIOTICOS FUERZA SH. REG ADU FCO 650ML"/>
        <s v="FRUCTIS PROBIOTICOS FUERZA SHA ADU REG FRASCO 200ML"/>
        <s v="FRUCTIS PROBIOTICOS FUERZA AC. ADU REG FRASCO 200ML"/>
        <s v="FRUCTIS HAIR FOOD MASC.CAP BANANA CAB.DEBIL SACHET 20ML"/>
        <s v="LOREAL KIDS 2 EN 1EXP.FRESA CREM 265 CCFCO.PL."/>
        <s v="LOREAL KIDS 2 EN 1 MANGO-NARA. 265 CCFRASCO"/>
        <s v="LOREAL KIDS SHAMPOO COOL MELON FCO 265 M L"/>
        <s v="Gel Line Studio"/>
        <s v="Clean Gel Line Studio"/>
        <s v="Greal Out Line Studio"/>
        <s v="Gel Invisi Fix Line Studio"/>
        <s v="CASTING CREMEGLOSSCREMA POMOTONO 810 45 GRKIT"/>
        <s v="CASTING CREMEGLOSSCREMA POMOTONO 415 45 GRKIT"/>
        <s v="CASTING CREMEGLOSSCREMA POMOTONO 500 45 GRKIT"/>
        <s v="CASTING CREMEGLOSSCREMA POMOTONO 700 45 GRKIT"/>
        <s v="CASTING CREMEGLOSSCREMA POMOTONO 713 45 GRKIT"/>
        <s v="CASTING CREMEGLOSSCREMA POMOTONO 600 45 GRKIT"/>
        <s v="CASTING CREMEGLOSSCREMA POMOTONO 550 45 GRKIT"/>
        <s v="CASTING CREMEGLOSSCREMA POMOTONO 210 45 GRKIT"/>
        <s v="CASTING CREMEGLOSSCREMA POMOTONO 316 45 GRKIT"/>
        <s v="CASTING CREMEGLOSSCREMA POMOTONO 426 45 GRKIT"/>
        <s v="CASTING CREMEGLOSSCREMA POMOTONO 300 45 GRKIT"/>
        <s v="CASTING CREMEGLOSSCREMA POMOTONO 535 45 GRKIT"/>
        <s v="CASTING CREMEGLOSSCREMA POMOTONO 400 45 GRKIT"/>
        <s v="CASTING CREMEGLOSSCREMA POMOTONO 200 45 GRKIT"/>
        <s v="CASTING CREME GLOSS CREMA POMO 45 GR KIT TONO 603"/>
        <s v="CASTING CREME GLOSS POMO 45 GR KIT TONO GOLDEN CHOCOLATE"/>
        <s v="CASTING CREME GLOSS S/AMONIAÁ T.670 CHOCO-CARAM POMO45 GRKIT"/>
        <s v="NUTRISSE COR INTENSE PERM.TUBO 45GR T.11.0RUB.EX.CLARO KIT"/>
        <s v="NUTRISSE COR INTENSA CRE.T.5.3 POMO 45 GRMINI KITS"/>
        <s v="NUTRISSE COR INTENSA CRE.T.8.1 POMO 45 GRMINI KITS"/>
        <s v="NUTRISSE COR INTENSA CREMA POMO 45 GR MINI KIT TONO 71"/>
        <s v="NUTRISSE COR INTENSA CRE.T.7.3 POMO 45GRMINI KITS"/>
        <s v="NUTRISSE COR INTENSA CREMA POMO 45 GR MINI KIT TONO 2.1"/>
        <s v="NUTRISSE COR INTENSA CREMA POMO 45 GR MINI KIT TONO 5.52"/>
        <s v="NUTRISSE COR INTENSA CREMA POMO 45 GR MINI KIT TONO 7.7"/>
        <s v="NUTRISSE COR INTENSA CREMA POMO 45 GR MINI KIT TONO 7.3"/>
        <s v="NUTRISSE COR INTENSA CRE.T.1.0 POMO 45 GRMINI KITS"/>
        <s v="NUTRISSE COR INTENSA CRE.T.2.0 POMO 45 GRMINI KITS"/>
        <s v="NUTRISSE COR INTENSA CRE.T.30 POMO 45 GRMINI KITS"/>
        <s v="NUTRISSE COR INTENSA CRE.T.3.16POMO 45 GRMINI KITS"/>
        <s v="NUTRISSE COR INTENSA CRE.T.4.0 POMO 45 GRMINI KITS"/>
        <s v="NUTRISSE COR INTENSA CRE.T.4.15POMO 45 GRMINI KITS"/>
        <s v="NUTRISSE COR INTENSA CRE.T.5.0 POMO 45 GRMINI KITS"/>
        <s v="NUTRISSE COR INTENSA CRE.T.5.62POMO 45 GRMINI KITS"/>
        <s v="NUTRISSE COR INTENSA CRE.T.6.0 POMO 45 GRMINI KITS"/>
        <s v="NUTRISSE COR INTENSA CRE.T.6.35POMO 45 GRMINI KITS"/>
        <s v="NUTRISSE COR INTENSA CRE.T.6.46POMO 45 GRMINI KITS"/>
        <s v="NUTRISSE COR INTENSA CRE.T.6.61POMO 45 GRMINI KITS"/>
        <s v="NUTRISSE COR INTENSA CRE.T.7.0 POMO 45 GRMINI KITS"/>
        <s v="NUTRISSE COR INTENSA CRE.T.8.0 POMO 45 GRMINI KITS"/>
        <s v="NUTRISSE COR INTENSA CRE.T.9.13POMO 45 GRMINI KITS"/>
        <s v="NUTRISSE COR INTENSA CRE.T.11.3POMO 45 GRMINI KITS"/>
        <s v="NUTRISSE COR INTENSA CRE.T.11.1POMO 45 GRMINI KITS"/>
        <s v="EXCELLENCE CREME CREMA POMO 47 GR KIT TONO 7.3"/>
        <s v="EXCELLENCE CREME CREMA POMO 47 GR KIT TONO 6.3"/>
        <s v="EXCELLENCE CREME CREMA POMO 47 GR KIT TONO 4"/>
        <s v="EXCELLENCE CREME CREMA POMO 47 GR KIT TONO 5"/>
        <s v="EXCELLENCE CREME POMO 47 GR KIT TONO 5.1"/>
        <s v="EXCELLENCE CREME CREMA POMO 47 GR KIT TONO 6"/>
        <s v="EXCELLENCE CREME CREMA POMO 47 GR KI TONO 6.1"/>
        <s v="EXCELLENCE CREME CREMA POMO 47 GR KIT TONO 7.1"/>
        <s v="EXCELLENCE CREME CREMA POMO 47 GR KIT TONO 8.1"/>
        <s v="EXCELLENCE CREME CREMA POMO 47 GR KIT TONO 5.3"/>
        <s v="EXCELLENCE CREME CREMA POMO 47 GR KIT TONO 7"/>
        <s v="EXCELLENCE CREME CREMA POMO 47 GR KIT TONO 6.34"/>
        <s v="EXCELLENCE CREME CREMA POMO 47 GR KIT TONO 6.7"/>
        <s v="EXCELLENCE CREME CREMA POMO 47 GR KIT TONO 1"/>
        <s v="EXCELLENCE CREME TRI.PROTE.COLOR POMO 47 GR KIT TONO 3"/>
        <s v="EXCELLENCECREME TONO 8.3 POMO 47 GRKIT"/>
        <s v="EXCELLENCE CREM. PERM. TUBO 47GR T.6.111"/>
        <s v="EXCELLENCE CREME PER. TUBO 45GR T.02 NEGRO PROF. KIT"/>
        <s v="LOREAL EXCELLENCE PERM.TUBO 47GR T.6.12 RUB OSCU.CENIZO KIT"/>
        <s v="EXCELLENCE PERM.CREMA TUBO 47GR T.6.17 KIT"/>
        <s v="EXCELLENCE CREME PERMA. TUBO 47GR T.7.12 KIT"/>
        <s v="LOREAL EXCELLENCE PERM.TUBO 47GR T.7.17 RUBIO CEN.MATTE KIT"/>
        <s v="LOREAL EXCELLENCE PERM.TUBO 47GR T.8.12 RUB.CLARO CEN.KIT"/>
        <s v="LOREAL EXCELLENCE PERM.TUBO47GR T.817 RUBIO CLARO CENIZO KIT"/>
        <s v="LOREAL EXCELLENCE PERM.TUBO 47GR T.9.17 RUB.M.CLARO CEN.KIT"/>
        <s v="EXCELLENCE PERM. CREMA TUBO 47GR T.RUBIO CLARO KIT"/>
        <s v="EXCELLENCE S.AMON.T.UNIVER.PER.CREMA KIT PM.45GR T.1U"/>
        <s v="EXCELLENCE S.AM.T.UNIV.PER.CREMA KIT POMO 45GR T.7U"/>
        <s v="EXCELLENCE S.AM.T.UNIV.PERM.CREMA KIT POMO 45GR T.4U"/>
        <s v="COLORACION EXCELLENCE NUDES 2U SIN AMONI CJ 1.000 UN"/>
        <s v="EXCELLENCE S.AMON.T.UNIV.PERM.CREMA KIT POMO 45GR T.6U"/>
        <s v="EXCELLENCE S.AMO.T.UNIV.PERM.CREM.KIT PM.45GR T.3U"/>
        <s v="EXCELLENCE S.AMON.T.UNIV.PER.CREM.KITPM.45GR T.5U"/>
        <s v="EXCELLENCE S.AM.T.UNI.PER.CREMA KIT PM.45GR T.8U"/>
        <s v="EXCELLEN.S.AM.T.UNIV.PER.CREM.KITPM.45GR T.9U"/>
        <s v="EXCELLENCE CREMA PERM.T.9.3 POMO 47ML"/>
        <s v="EXCELLENCE CREME CREMA POMO 47 GR KIT TONO 6,66"/>
        <s v="EXCELLENCE EXTRA FROFUNDO TUBO 45 GR KIT TONO 810"/>
        <s v="EXCELLENCE EXTRA FROFUNDO TUBO 45 GR KIT TONO 710"/>
        <s v="EXCELLENCE EXTRA PROFUNDO TUBO 45 GR KIT TONO 470"/>
        <s v="EXCELLENCE EXTRA FROFUNDO TUBO 45 GR KIT TONO 280"/>
        <s v="EXCELLENCE EXTRA PROFUNDO TUBO 45 GR KIT TONO 677"/>
        <s v="EXCELLENCE CREME TUBO 45GR T. 120 RUB. ULTRA CLARO KIT"/>
        <s v="EXCELLENCE CREME CREMA POMO 47 GR KIT TONO 7.11"/>
        <s v="EXCELLENCE CREME CREMA POMO 47 GR KIT TONO 8"/>
        <s v="EXCELLENCE CREME CREMA POMO 47 GR KIT TONO 9"/>
        <s v="EXCELLENCE CREME CREMA POMO 47 GR KIT TONO 8.11"/>
        <s v="EXCELLENCE CREME CREMA POMO 47 GR KIT TONO 9.1"/>
        <s v="EXCELLENCE CREME RUBIO ULTRA CLARO NAT. TUBO 45GR KIT T.N120"/>
        <s v="EXCELLENCE CREME CREMA POMO 47 GR KIT TONO 120"/>
        <s v="EXCELLENCECREME T.RUB.OS.ROJ.POMO 47 GRKIT"/>
        <s v="EXCELLENCE CREME CREMA POMO 47 GR KIT TONO RUBIO C.DORADO"/>
        <s v="EXCELLENCE CREME CREMA POMO 47 GR KIT TONO 9.3"/>
        <s v="EXCELLENCE CREME CREMA POMO 47GR T.7.7"/>
        <s v="LOREAL MAGIC RETOUCH AERO. 75MLT.RUBIO CLARO"/>
        <s v="L'OREAL MAGIC RETOUCH RETOQUE DE RAIZ SPRAY 75 ML T.NEGRO"/>
        <s v="L'OREAL MAGIC RETOUCH RETOQUE DE RAIZ SPRAY 75 ML T.CAST.OSC"/>
        <s v="L'OREAL MAGIC RETOUCH RETOQUE RAIZ SPRAY 75 ML T.RUB.CLARO"/>
        <s v="L'OREAL MAGIC RETOUCH RETOQUE RAIZ SPRAY 75 ML T.RUB.OSCURO"/>
        <s v="L'OREAL MAGIC RETOUCH RETOQUE RAIZ SPRAY 75 ML T.CAST.CLARO"/>
        <s v="L'OREAL MAGIC RETOUCH RETOQUE RAIZ SPRAY 75 ML T.ROJO"/>
        <s v="EXCELL 5 MEN EXPERTGEL CREMA T.NEG.NAT.FP. 35 MLKIT"/>
        <s v="EXCELL 5 MEN EXPERTGEL CRE.T.CA.NE.NAT.FP. 35 MLKIT"/>
        <s v="EXCELL 5 MEN EXPERTGEL CRE.T.CA.OSC.NATFP. 35 MLKIT"/>
        <s v="EXCELL 5 MEN EXPERTGEL CRE.T.CA.MED.NATFP. 35 MLKIT"/>
        <s v="NUTRISSE NUTRICOLOR CREMA POMO 45 GR KIT TONO 70"/>
        <s v="NUTRISSE NUTRICOLOR CREMA POMO 45 GR KIT TONO 73"/>
        <s v="NUTRISSE NUTRICOLOR CREMA POMO 45 GR KIT TONO 60"/>
        <s v="NUTRISSE NUTRICOLOR CREMA POMO 45 GR KIT TONO 50"/>
        <s v="NUTRISSE NUTRICOLOR CREMA POMO 45 GR KIT TONO 53"/>
        <s v="NUTRISSE NUTRICOLOR CREMA POMO 45 GR KIT TONO 40"/>
        <s v="NUTRISSE NUTRICOLOR CREMA POMO 45 GR KIT TONO 30"/>
        <s v="NUTRISSE NUTRICOLOR CREMA POMO 45 GR KIT TONO 10"/>
        <s v="NUTRISSE NUTRICOLOR CREMA POMO 45 GR KIT TONO 71"/>
        <s v="NUTRISSE NUTRICOLOR CREMA POMO 45 GR KIT TONO 57"/>
        <s v="NUTRISSE COLORISSI.CREMA TONO 121 POMO 45 GRKIT"/>
        <s v="NUTRISSE COLORISSI.CREMA TONO 5562 POMO 45 GRKIT"/>
        <s v="NUTRISSE COLORISSI.CREMA TONO 6660 POMO 45 GRKIT"/>
        <s v="NUTRISSE COLORISSIMO PERMANA.CREMA. POMO 45GR T.93 KIT"/>
        <s v="NUTRISSE CREMA PERM. TUBO 45GR T.83 RUB.CLARO DORADO ORO KIT"/>
        <s v="NUTRISSE COLORISSIMO PERMA..CREMA TUBO 45GR T.90 KIT"/>
        <s v="NUTRISSE COLORISSIMO.PERM. CRE. TUBO 45GR T.63 KIT"/>
        <s v="NUTRISSE COLORISSIMO PERMA.CRE. TUBO 45GR T.91 KIT"/>
        <s v="NUTRISSE COLORISSIMO PERM. CREM. TUBO 45GR T.80 KIT"/>
        <s v="NUTRISSE COLORISSIMO PERMA. CREM. TUBO 45GR T.81 KIT"/>
        <s v="NUTRISSE COLORISSIMOS CREM. POMO 45 GR KIT ROJ INTENS COBR."/>
        <s v="NUTRISSE COLORISSIMOS CREMA POMO 45 GR KIT NEGRO MAGN."/>
        <s v="NUTRISSE COLORISSIMOS CREMA CIRUELA POMO 45 GR KIT TONO462"/>
        <s v="NUTRISSE COLORISSIMOS CREMA POMO 45 GR KIT LAVANDA"/>
        <s v="NUTRISSE NUTRICOLOR CREMA POMO 45 GR KIT TONO 77"/>
        <s v="NUTRISSE COLORISSIMOS SEXY BROWNIE 45GR KIT"/>
        <s v="NUTRISSE COLORISSIMOS CREMA POMO 45 GR KIT RUBIO CENIZO"/>
        <s v="NUTRISSE COLORISSIMOS CREM.POMO KIT T.10.13 45GR"/>
        <s v="NUTRISSE NUTRICOLOR CREMA POMO 45 GR KIT TONO 46"/>
        <s v="NUTRISSE OLEOS COLOR.CR.PER.T.5.31 45GR KIT"/>
        <s v="NUTRISSE OLEOS COL.CRE.PER.7.35 45GR KIT"/>
        <s v="NUTRISSE OLEOS COL.CRE.PER.RUBIO CENIZO 9.1 45GR KIT"/>
        <s v="NUTRISSE OLEOS COL.CR.PER.RUBIOCLARO 8.0 45GR KIT"/>
        <s v="NUTRISSE OLEOS COLOR.CR.PER.RUB.CEN.NAC. 7.12 45GR KIT"/>
        <s v="NUTRISSE OLEOS COLOR.CREMA PER.RUBIO 7.0 45GR KIT"/>
        <s v="NUTRISSE OLEOS COL.CR.PER.RUB.ROJ.PR.6.66 45GR KIT"/>
        <s v="NUTRISSE OLEOS COL.CREM.PER.RUB.OSC.6.0 45GR KIT"/>
        <s v="NUTRISSE OLEOS COL.CREMA PER.CAST.CLARO 5.0 45GR KIT"/>
        <s v="NUTRISSE OLEOS COLOR.CRE.PER.CASTANO 4.0 45GR KIT"/>
        <s v="NUTRISSE OLEOS COL.CREM.PER.CAST.OSC.3.0 45GR KIT"/>
        <s v="NUTRISSE OLEOS COLOR.CREM.PER.NEGRO 1.0 45GR KIT"/>
        <s v="NUTRISSE OLEOS COL.CREMA PER.RUB.CLARO PLAT.8.12 45GR KIT"/>
        <s v="NUTRISSE COLORISSI CRE.T.4460POMO 45 GR KIT"/>
        <s v="NUTRISSE COLORISSIMOS CREMA POMO 45 GR KIT TONO 4462"/>
        <s v="NUTRISSE EXTRA NUTRICION MASC.NUTRI. POMO 45 GR KIT T.6.34"/>
        <s v="NUTRISSE EXTRA NUTRICION MASC.NUTRI.POMO 45 GR KIT T.7.34"/>
        <s v="NUTRISSE PERMA.CRE. TUBO 45GR T.91 KIT"/>
        <s v="NUTRISSE TONO 80 NECTAR CREMA POMO 45 GRKIT IMP"/>
        <s v="NUTRISSE NUTRICOLORTONO 61 POMO 45 GRKIT"/>
        <s v="NUTRISSE NUTRICOLORCREMA T.63POMO 45 GRKIT"/>
        <s v="NUTRISSE NUTRICOLORT.RUBIO T.80 JAZMIN POMO 45 GRKIT"/>
        <s v="NUTRISSE NUTRICOLORCREMA T.81POMO 45 GRKIT"/>
        <s v="NUTRISSE NUTRICOLORCRE.T.83 POMO 45 GRKIT"/>
        <s v="NUTRISSE NUTRICOLORCR.T.RU.CL.T.90 POMO 45 GRKIT"/>
        <s v="NUTRISSE NUTRICOLORTONO 91 POMO 45 GRKIT"/>
        <s v="NUTRISSE NUTRICOLORCRE.T.93 POMO 45 GRKIT"/>
        <s v="NUTRISSE COLORISSI. CREMA POMO 45 GR KIT TONO COCO"/>
        <s v="NUTRISSE RETOCA RAIZ PERM.CRE.SACHET 20GR T.10 NEG.INTENSO"/>
        <s v="NUTRISSE RETOCA RAIZ PERM.CREMA SACHET 20GR T.NEGRO KIT"/>
        <s v="NUTRISSE RETOCA RAIZ PER.CREMA SACHET 20GRT.30 CAST.OSC."/>
        <s v="NUTRISSE RETOCA RAIZ PERM.CR SACHET 20GR T.50 CAST.CL.KIT"/>
        <s v="NUTRISSE RETOCA RAIZ CREMA PERM.SAC.20GR T.60 RUBIO OS.KIT"/>
        <s v="NUTRISSE RETOCA RAIZ PERM.CR.SACHET 20GR T.67CAST.CHOCO"/>
        <s v="NUTRISSE RETOCA RAIZ PERMA.CRE.SACHET 20GR T.40 CASTANO"/>
        <s v="NUITRISSE RETOCA RAIZ CR.PERM.SACHET 20GR T.70 RUBIOS KIT"/>
        <s v="NUTRISSE RETOCA RAIZ PER.CR.SACH.20GR T.71RUBIO CEN."/>
        <s v="NUTRISSE RET.RAIZ PERMA.CRE.SACHET 20GR T.80 RUBIO CEN."/>
        <s v="ELVIVE ACOND REPARARACION TOTAL 5 FCO 200 ML"/>
        <s v="NUTRISSE COLORISSIMOS RUBIO IRISADO LYCHEE10.12 CJ.45GR KIT"/>
        <e v="#N/A" u="1"/>
        <s v="ELVIVE PURPLE" u="1"/>
        <s v="ELVIVE CAIDA RESIST" u="1"/>
        <s v="ELVIVE COLORVIVE" u="1"/>
        <s v="ELVIVE RT5" u="1"/>
        <s v="ELVIVE ARCILLA EXTRAO." u="1"/>
        <s v="ELVIVE OLEO EXTR.NUT.UNIVERSAL" u="1"/>
        <s v="ELVIVE OLEO EXTR.NUT.INTENSA" u="1"/>
        <s v="ELVIVE ARCILLA PURIFICAN" u="1"/>
        <s v="ELVIVE HIDRATACION NOCTURNA" u="1"/>
        <s v="ELVIVE DREAM LONG" u="1"/>
        <s v="ELVIVE COCO" u="1"/>
        <s v="ELVIVE DREAM LONG LISS" u="1"/>
        <s v="ELVIVE HIDRA HIALURONICO" u="1"/>
        <s v="ELVIVE OLEO COCO" u="1"/>
        <s v="ELVIVE RT EXTREME" u="1"/>
        <s v="ELVIVE OLEO EXT. RIZOS DEFI." u="1"/>
        <s v="ELVIVE HIALURONICO PURE" u="1"/>
        <s v="ELVIVE OLEO EXTR.TRATAMIENTO" u="1"/>
        <s v="ELVIVE OLEO EXTRAORDINARIO" u="1"/>
        <s v="ELVIVE GLYCOLIC GLOSS" u="1"/>
        <s v="ELVIVE DREAM LISO" u="1"/>
        <s v="ELVIVE CITRUS" u="1"/>
        <s v="ELVIVE RT5 CICA" u="1"/>
        <s v="EVER PURE" u="1"/>
        <s v="EVER CREME" u="1"/>
        <s v="FRUCTIS SLEEK AND SHINE" u="1"/>
        <s v="FRUCTIS HAIR FOOD" u="1"/>
        <s v="FRUCTIS STOP CAIDA" u="1"/>
        <s v="FRUCTIS VITAMINADO" u="1"/>
        <s v="FRUCTIS GOODBYE DAMAGE" u="1"/>
        <s v="FRUCTIS LISO COCO" u="1"/>
        <s v="FRUCTIS OIL REPAIR" u="1"/>
        <s v="FRUCTIS OIL REPAIR RECARGA NUTRITIVA" u="1"/>
        <s v="FRUCTIS ALOE HIDRA BOMB" u="1"/>
        <s v="FRUCTIS ADIOS ESPONJADO" u="1"/>
        <s v="FRUCTIS ANTICASPA" u="1"/>
        <s v="FRUCTIS STOP CAIDA CRECER FUERTE" u="1"/>
        <s v="FRUCTIS CONTROL Y DEF. RIZOS PODEROSOS" u="1"/>
        <s v="FRUCTIS ALOE HIDRA CLEAN" u="1"/>
        <s v="FRUCTIS OIL REPAIR LISO COCO" u="1"/>
        <s v="FRUCTIS PROBIOTICOS FUERZA" u="1"/>
        <s v="LOREAL KIDS" u="1"/>
        <s v="CASTING CREME GLOSS" u="1"/>
        <s v="NUTRISSE COR INTENSA" u="1"/>
        <s v="EXCELLENCE" u="1"/>
        <s v="EXCELLENCE SIN AMONIACO" u="1"/>
        <s v="EXCELLENCE EXTRA PROFUNDO" u="1"/>
        <s v="MAGIC RETOUCH" u="1"/>
        <s v="EXCELL 5" u="1"/>
        <s v="NUTRISSE" u="1"/>
        <s v="NUTRISSE COLORISSIMO" u="1"/>
        <s v="NUTRISSE OLEOS" u="1"/>
        <s v="NUTRISSE RETOCA RAIZ" u="1"/>
      </sharedItems>
    </cacheField>
    <cacheField name="Gramaje" numFmtId="1">
      <sharedItems containsMixedTypes="1" containsNumber="1" containsInteger="1" minValue="15" maxValue="680" count="24">
        <s v="Otros"/>
        <n v="200"/>
        <n v="150"/>
        <n v="102"/>
        <n v="400"/>
        <n v="300"/>
        <n v="680"/>
        <n v="370"/>
        <n v="350"/>
        <n v="100"/>
        <n v="50"/>
        <n v="15"/>
        <n v="250"/>
        <n v="180"/>
        <n v="60"/>
        <n v="30"/>
        <n v="650"/>
        <n v="20"/>
        <n v="265"/>
        <n v="45"/>
        <n v="47"/>
        <n v="75"/>
        <n v="35"/>
        <n v="80"/>
      </sharedItems>
    </cacheField>
    <cacheField name="ene-22" numFmtId="3">
      <sharedItems containsSemiMixedTypes="0" containsString="0" containsNumber="1" containsInteger="1" minValue="-420" maxValue="4488"/>
    </cacheField>
    <cacheField name="feb-22" numFmtId="3">
      <sharedItems containsSemiMixedTypes="0" containsString="0" containsNumber="1" containsInteger="1" minValue="0" maxValue="6174"/>
    </cacheField>
    <cacheField name="mar-22" numFmtId="3">
      <sharedItems containsSemiMixedTypes="0" containsString="0" containsNumber="1" containsInteger="1" minValue="-24" maxValue="6968"/>
    </cacheField>
    <cacheField name="abr-22" numFmtId="3">
      <sharedItems containsSemiMixedTypes="0" containsString="0" containsNumber="1" containsInteger="1" minValue="-12" maxValue="6096"/>
    </cacheField>
    <cacheField name="may-22" numFmtId="3">
      <sharedItems containsSemiMixedTypes="0" containsString="0" containsNumber="1" containsInteger="1" minValue="0" maxValue="4990"/>
    </cacheField>
    <cacheField name="jun-22" numFmtId="3">
      <sharedItems containsSemiMixedTypes="0" containsString="0" containsNumber="1" containsInteger="1" minValue="0" maxValue="6672"/>
    </cacheField>
    <cacheField name="jul-22" numFmtId="3">
      <sharedItems containsSemiMixedTypes="0" containsString="0" containsNumber="1" containsInteger="1" minValue="-60" maxValue="5116"/>
    </cacheField>
    <cacheField name="ago-22" numFmtId="3">
      <sharedItems containsSemiMixedTypes="0" containsString="0" containsNumber="1" containsInteger="1" minValue="-48" maxValue="11256"/>
    </cacheField>
    <cacheField name="sep-22" numFmtId="3">
      <sharedItems containsSemiMixedTypes="0" containsString="0" containsNumber="1" containsInteger="1" minValue="0" maxValue="4728"/>
    </cacheField>
    <cacheField name="oct-22" numFmtId="3">
      <sharedItems containsSemiMixedTypes="0" containsString="0" containsNumber="1" containsInteger="1" minValue="0" maxValue="6960"/>
    </cacheField>
    <cacheField name="nov-22" numFmtId="3">
      <sharedItems containsSemiMixedTypes="0" containsString="0" containsNumber="1" containsInteger="1" minValue="-48" maxValue="6588"/>
    </cacheField>
    <cacheField name="dic-22" numFmtId="3">
      <sharedItems containsSemiMixedTypes="0" containsString="0" containsNumber="1" containsInteger="1" minValue="-72" maxValue="5988"/>
    </cacheField>
    <cacheField name="ene-23" numFmtId="3">
      <sharedItems containsSemiMixedTypes="0" containsString="0" containsNumber="1" containsInteger="1" minValue="0" maxValue="5898"/>
    </cacheField>
    <cacheField name="feb-23" numFmtId="3">
      <sharedItems containsSemiMixedTypes="0" containsString="0" containsNumber="1" containsInteger="1" minValue="-15" maxValue="4536"/>
    </cacheField>
    <cacheField name="mar-23" numFmtId="3">
      <sharedItems containsSemiMixedTypes="0" containsString="0" containsNumber="1" containsInteger="1" minValue="0" maxValue="4908"/>
    </cacheField>
    <cacheField name="abr-23" numFmtId="3">
      <sharedItems containsSemiMixedTypes="0" containsString="0" containsNumber="1" containsInteger="1" minValue="-282" maxValue="6858"/>
    </cacheField>
    <cacheField name="may-23" numFmtId="3">
      <sharedItems containsSemiMixedTypes="0" containsString="0" containsNumber="1" containsInteger="1" minValue="-678" maxValue="4164"/>
    </cacheField>
    <cacheField name="jun-23" numFmtId="3">
      <sharedItems containsSemiMixedTypes="0" containsString="0" containsNumber="1" containsInteger="1" minValue="0" maxValue="4740"/>
    </cacheField>
    <cacheField name="jul-23" numFmtId="3">
      <sharedItems containsSemiMixedTypes="0" containsString="0" containsNumber="1" containsInteger="1" minValue="-48" maxValue="6936"/>
    </cacheField>
    <cacheField name="ago-23" numFmtId="3">
      <sharedItems containsSemiMixedTypes="0" containsString="0" containsNumber="1" containsInteger="1" minValue="0" maxValue="4050"/>
    </cacheField>
    <cacheField name="sep-23" numFmtId="3">
      <sharedItems containsSemiMixedTypes="0" containsString="0" containsNumber="1" containsInteger="1" minValue="0" maxValue="5424"/>
    </cacheField>
    <cacheField name="oct-23" numFmtId="3">
      <sharedItems containsSemiMixedTypes="0" containsString="0" containsNumber="1" containsInteger="1" minValue="-18" maxValue="3084"/>
    </cacheField>
    <cacheField name="nov-23" numFmtId="3">
      <sharedItems containsSemiMixedTypes="0" containsString="0" containsNumber="1" containsInteger="1" minValue="0" maxValue="3786"/>
    </cacheField>
    <cacheField name="dic-23" numFmtId="3">
      <sharedItems containsSemiMixedTypes="0" containsString="0" containsNumber="1" containsInteger="1" minValue="-6" maxValue="3828"/>
    </cacheField>
    <cacheField name="ene-24" numFmtId="3">
      <sharedItems containsSemiMixedTypes="0" containsString="0" containsNumber="1" containsInteger="1" minValue="-12" maxValue="3660"/>
    </cacheField>
    <cacheField name="feb-24" numFmtId="3">
      <sharedItems containsSemiMixedTypes="0" containsString="0" containsNumber="1" containsInteger="1" minValue="-19" maxValue="5478"/>
    </cacheField>
    <cacheField name="mar-24" numFmtId="3">
      <sharedItems containsSemiMixedTypes="0" containsString="0" containsNumber="1" containsInteger="1" minValue="-60" maxValue="7320"/>
    </cacheField>
    <cacheField name="abr-24" numFmtId="3">
      <sharedItems containsSemiMixedTypes="0" containsString="0" containsNumber="1" containsInteger="1" minValue="-48" maxValue="6204"/>
    </cacheField>
    <cacheField name="may-24" numFmtId="3">
      <sharedItems containsSemiMixedTypes="0" containsString="0" containsNumber="1" containsInteger="1" minValue="-456" maxValue="4464"/>
    </cacheField>
    <cacheField name="jun-24" numFmtId="3">
      <sharedItems containsSemiMixedTypes="0" containsString="0" containsNumber="1" containsInteger="1" minValue="0" maxValue="6366"/>
    </cacheField>
    <cacheField name="jul-24" numFmtId="3">
      <sharedItems containsSemiMixedTypes="0" containsString="0" containsNumber="1" containsInteger="1" minValue="0" maxValue="4338"/>
    </cacheField>
    <cacheField name="ago-24" numFmtId="3">
      <sharedItems containsSemiMixedTypes="0" containsString="0" containsNumber="1" containsInteger="1" minValue="-144" maxValue="3774"/>
    </cacheField>
    <cacheField name="sep-24" numFmtId="3">
      <sharedItems containsSemiMixedTypes="0" containsString="0" containsNumber="1" containsInteger="1" minValue="-29" maxValue="8912"/>
    </cacheField>
    <cacheField name="oct-24" numFmtId="3">
      <sharedItems containsSemiMixedTypes="0" containsString="0" containsNumber="1" containsInteger="1" minValue="-18" maxValue="6816"/>
    </cacheField>
    <cacheField name="nov-24" numFmtId="3">
      <sharedItems containsSemiMixedTypes="0" containsString="0" containsNumber="1" containsInteger="1" minValue="0" maxValue="3360"/>
    </cacheField>
    <cacheField name="dic-24" numFmtId="3">
      <sharedItems containsSemiMixedTypes="0" containsString="0" containsNumber="1" containsInteger="1" minValue="-228" maxValue="6030"/>
    </cacheField>
    <cacheField name="ene-25" numFmtId="3">
      <sharedItems containsSemiMixedTypes="0" containsString="0" containsNumber="1" containsInteger="1" minValue="0" maxValue="5226"/>
    </cacheField>
    <cacheField name="feb-25" numFmtId="3">
      <sharedItems containsSemiMixedTypes="0" containsString="0" containsNumber="1" containsInteger="1" minValue="-252" maxValue="5328"/>
    </cacheField>
    <cacheField name="mar-25" numFmtId="3">
      <sharedItems containsSemiMixedTypes="0" containsString="0" containsNumber="1" containsInteger="1" minValue="-48" maxValue="6234"/>
    </cacheField>
    <cacheField name="abr-25" numFmtId="3">
      <sharedItems containsSemiMixedTypes="0" containsString="0" containsNumber="1" containsInteger="1" minValue="-12" maxValue="6882"/>
    </cacheField>
    <cacheField name="may-25" numFmtId="3">
      <sharedItems containsSemiMixedTypes="0" containsString="0" containsNumber="1" containsInteger="1" minValue="0" maxValue="8310"/>
    </cacheField>
    <cacheField name="jun-25" numFmtId="3">
      <sharedItems containsSemiMixedTypes="0" containsString="0" containsNumber="1" containsInteger="1" minValue="0" maxValue="101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Diaz" refreshedDate="45873.433679166665" createdVersion="8" refreshedVersion="8" minRefreshableVersion="3" recordCount="494" xr:uid="{025F403C-2C45-4840-B627-5D7E331EABED}">
  <cacheSource type="worksheet">
    <worksheetSource ref="A1:AS495" sheet="HairCare ST" r:id="rId2"/>
  </cacheSource>
  <cacheFields count="45">
    <cacheField name="Markets" numFmtId="0">
      <sharedItems/>
    </cacheField>
    <cacheField name="SH+AC (160+162)" numFmtId="0">
      <sharedItems/>
    </cacheField>
    <cacheField name="FABRICANTE ARM" numFmtId="0">
      <sharedItems/>
    </cacheField>
    <cacheField name="MARCA ARM" numFmtId="0">
      <sharedItems count="4">
        <s v="ELVIVE"/>
        <s v="L'OREAL EVER"/>
        <s v="L'OREAL KIDS"/>
        <s v="FRUCTIS"/>
      </sharedItems>
    </cacheField>
    <cacheField name="UPC" numFmtId="0">
      <sharedItems/>
    </cacheField>
    <cacheField name="BRAND" numFmtId="0">
      <sharedItems count="53">
        <s v="ELVIVE DREAM LONG LISS"/>
        <s v="ELVIVE OLEO EXTR.NUT.INTENSA"/>
        <s v="ELVIVE RT5"/>
        <s v="ELVIVE HYDRA MAX/HYDRA CURL"/>
        <s v="ELVIVE CAIDA RESIST"/>
        <s v="ELVIVE LOW"/>
        <s v="ELVIVE PURPLE"/>
        <s v="ELVIVE COLORVIVE"/>
        <s v="ELVIVE ARCILLA EXTRAO."/>
        <s v="ELVIVE OLEO EXTR.NUT.UNIVERSAL"/>
        <s v="ELVIVE ARCILLA PURIFICAN"/>
        <s v="ELVIVE HIDRATACION NOCTURNA"/>
        <s v="ELVIVE DREAM LONG"/>
        <s v="ELVIVE COCO"/>
        <s v="ELVIVE HIDRA HIALURONICO"/>
        <s v="ELVIVE OLEO COCO"/>
        <s v="ELVIVE RT EXTREME"/>
        <s v="ELVIVE OLEO EXT. RIZOS DEFI."/>
        <s v="ELVIVE OLEO EXT. ED. VERANO"/>
        <s v="ELVIVE HIALURONICO PURE"/>
        <s v="ELVIVE OLEO EXTR.TRATAMIENTO"/>
        <s v="ELVIVE KERA-LISO BRILLO Y SEDOS"/>
        <s v="ELVIVE OLEO EXTRAORDINARIO"/>
        <s v="ELVIVE FIBRALOGY"/>
        <s v="ELVIVE RT5 EDI VERANO"/>
        <s v="ELVIVE GLYCOLIC GLOSS"/>
        <s v="ELVIVE DREAM LISO"/>
        <s v="ELVIVE CITRUS"/>
        <s v="ELVIVE CERAMIDAS R"/>
        <s v="ELVIVE RT5 CICA"/>
        <s v="EVER PURE"/>
        <s v="HAIR EXPERTISE"/>
        <s v="EVER CREME"/>
        <s v="LOREAL KIDS"/>
        <s v="FRUCTIS SLEEK AND SHINE"/>
        <s v="FRUCTIS CRECE FUERTE"/>
        <s v="FRUCTIS VITAMINADO"/>
        <s v="FRUCTIS OIL REPAIR"/>
        <s v="O FRUCTIS"/>
        <s v="FRUCTIS HAIR FOOD"/>
        <s v="FRUCTIS STOP CAIDA"/>
        <s v="FRUCTIS GOODBYE DAMAGE"/>
        <s v="FRUCTIS CONTROL Y DEF. LISOS PODEROSOS"/>
        <s v="FRUCTIS LISO COCO"/>
        <s v="FRUCTIS OIL REPAIR RECARGA NUTRITIVA"/>
        <s v="FRUCTIS ALOE HIDRA BOMB"/>
        <s v="FRUCTIS ADIOS ESPONJADO"/>
        <s v="FRUCTIS ANTICASPA"/>
        <s v="FRUCTIS STOP CAIDA CRECER FUERTE"/>
        <s v="FRUCTIS CONTROL Y DEF. RIZOS PODEROSOS"/>
        <s v="FRUCTIS ALOE HIDRA CLEAN"/>
        <s v="FRUCTIS OIL REPAIR LISO COCO"/>
        <s v="FRUCTIS PROBIOTICOS FUERZA"/>
      </sharedItems>
    </cacheField>
    <cacheField name="ITEM" numFmtId="0">
      <sharedItems/>
    </cacheField>
    <cacheField name="Facts" numFmtId="0">
      <sharedItems/>
    </cacheField>
    <cacheField name="Jun 22 - 5 Sem/Fin 03/07/22" numFmtId="0">
      <sharedItems containsSemiMixedTypes="0" containsString="0" containsNumber="1" containsInteger="1" minValue="0" maxValue="3107"/>
    </cacheField>
    <cacheField name="Jul 22 - 4 Sem/Fin 31/07/22" numFmtId="0">
      <sharedItems containsSemiMixedTypes="0" containsString="0" containsNumber="1" minValue="0" maxValue="1259"/>
    </cacheField>
    <cacheField name="Agosto 22 - 4 Sem/Fin 28/08/22" numFmtId="0">
      <sharedItems containsSemiMixedTypes="0" containsString="0" containsNumber="1" minValue="0" maxValue="1806"/>
    </cacheField>
    <cacheField name="Set 22 - 5 Sem/Fin 02/10/22" numFmtId="0">
      <sharedItems containsSemiMixedTypes="0" containsString="0" containsNumber="1" containsInteger="1" minValue="0" maxValue="1667"/>
    </cacheField>
    <cacheField name="Oct 22 - 4 Sem/Fin 30/10/22" numFmtId="0">
      <sharedItems containsSemiMixedTypes="0" containsString="0" containsNumber="1" minValue="0" maxValue="1712"/>
    </cacheField>
    <cacheField name="Nov 22 - 4 Sem/Fin 27/11/22" numFmtId="0">
      <sharedItems containsSemiMixedTypes="0" containsString="0" containsNumber="1" minValue="0" maxValue="1887"/>
    </cacheField>
    <cacheField name="Dic 22 - 5 Sem/Fin 01/01/23" numFmtId="0">
      <sharedItems containsSemiMixedTypes="0" containsString="0" containsNumber="1" containsInteger="1" minValue="0" maxValue="3446"/>
    </cacheField>
    <cacheField name="Enero 23 - 4 Sem/Fin 29/01/23" numFmtId="0">
      <sharedItems containsSemiMixedTypes="0" containsString="0" containsNumber="1" minValue="0" maxValue="2157"/>
    </cacheField>
    <cacheField name="Feb 23 - 4 Sem/Fin 26/02/23" numFmtId="0">
      <sharedItems containsSemiMixedTypes="0" containsString="0" containsNumber="1" minValue="0" maxValue="2588"/>
    </cacheField>
    <cacheField name="Marzo 23 - 5 Sem/Fin 02/04/23" numFmtId="0">
      <sharedItems containsSemiMixedTypes="0" containsString="0" containsNumber="1" containsInteger="1" minValue="0" maxValue="2589"/>
    </cacheField>
    <cacheField name="Abr 23 - 4 Sem/Fin 30/04/23" numFmtId="0">
      <sharedItems containsSemiMixedTypes="0" containsString="0" containsNumber="1" containsInteger="1" minValue="0" maxValue="1243"/>
    </cacheField>
    <cacheField name="Mayo 23 - 4 Sem/Fin 28/05/23" numFmtId="0">
      <sharedItems containsSemiMixedTypes="0" containsString="0" containsNumber="1" containsInteger="1" minValue="0" maxValue="1554"/>
    </cacheField>
    <cacheField name="Jun 23 - 5 Sem/Fin 02/07/23" numFmtId="0">
      <sharedItems containsSemiMixedTypes="0" containsString="0" containsNumber="1" minValue="0" maxValue="2051"/>
    </cacheField>
    <cacheField name="Jul 23 - 4 Sem/Fin 30/07/23" numFmtId="0">
      <sharedItems containsSemiMixedTypes="0" containsString="0" containsNumber="1" minValue="0" maxValue="1119.3815999999999"/>
    </cacheField>
    <cacheField name="Agosto 23 - 4 Sem/Fin 27/08/23" numFmtId="0">
      <sharedItems containsSemiMixedTypes="0" containsString="0" containsNumber="1" minValue="0" maxValue="1437"/>
    </cacheField>
    <cacheField name="Set 23 - 5 Sem/Fin 01/10/23" numFmtId="0">
      <sharedItems containsSemiMixedTypes="0" containsString="0" containsNumber="1" containsInteger="1" minValue="0" maxValue="1228"/>
    </cacheField>
    <cacheField name="Oct 23 - 4 Sem/Fin 29/10/23" numFmtId="0">
      <sharedItems containsSemiMixedTypes="0" containsString="0" containsNumber="1" containsInteger="1" minValue="0" maxValue="1401"/>
    </cacheField>
    <cacheField name="Nov 23 - 4 Sem/Fin 26/11/23" numFmtId="0">
      <sharedItems containsSemiMixedTypes="0" containsString="0" containsNumber="1" minValue="0" maxValue="1041.5044"/>
    </cacheField>
    <cacheField name="Dic 23 - 5 Sem/Fin 31/12/23" numFmtId="0">
      <sharedItems containsSemiMixedTypes="0" containsString="0" containsNumber="1" minValue="0" maxValue="2566.6610999999998"/>
    </cacheField>
    <cacheField name="Enero 24 - 4 Sem/Fin 28/01/24" numFmtId="0">
      <sharedItems containsSemiMixedTypes="0" containsString="0" containsNumber="1" containsInteger="1" minValue="0" maxValue="1003"/>
    </cacheField>
    <cacheField name="Feb 24 - 4 Sem/Fin 25/02/24" numFmtId="0">
      <sharedItems containsSemiMixedTypes="0" containsString="0" containsNumber="1" containsInteger="1" minValue="0" maxValue="1076"/>
    </cacheField>
    <cacheField name="Marzo 24 - 5 Sem/Fin 31/03/24" numFmtId="0">
      <sharedItems containsSemiMixedTypes="0" containsString="0" containsNumber="1" containsInteger="1" minValue="0" maxValue="2654"/>
    </cacheField>
    <cacheField name="Abr 24 - 4 Sem/Fin 28/04/24" numFmtId="0">
      <sharedItems containsSemiMixedTypes="0" containsString="0" containsNumber="1" containsInteger="1" minValue="0" maxValue="1463"/>
    </cacheField>
    <cacheField name="Mayo 24 - 4 Sem/Fin 26/05/24" numFmtId="0">
      <sharedItems containsSemiMixedTypes="0" containsString="0" containsNumber="1" containsInteger="1" minValue="0" maxValue="1744"/>
    </cacheField>
    <cacheField name="Jun 24 - 5 Sem/Fin 30/06/24" numFmtId="0">
      <sharedItems containsSemiMixedTypes="0" containsString="0" containsNumber="1" containsInteger="1" minValue="0" maxValue="2986"/>
    </cacheField>
    <cacheField name="Jul 24 - 4 Sem/Fin 28/07/24" numFmtId="0">
      <sharedItems containsSemiMixedTypes="0" containsString="0" containsNumber="1" containsInteger="1" minValue="0" maxValue="1623"/>
    </cacheField>
    <cacheField name="Agosto 24 - 4 Sem/Fin 25/08/24" numFmtId="0">
      <sharedItems containsSemiMixedTypes="0" containsString="0" containsNumber="1" containsInteger="1" minValue="0" maxValue="1628"/>
    </cacheField>
    <cacheField name="Set 24 - 5 Sem/Fin 29/09/24" numFmtId="0">
      <sharedItems containsSemiMixedTypes="0" containsString="0" containsNumber="1" containsInteger="1" minValue="0" maxValue="2442"/>
    </cacheField>
    <cacheField name="Oct 24 - 4 Sem/Fin 27/10/24" numFmtId="0">
      <sharedItems containsSemiMixedTypes="0" containsString="0" containsNumber="1" containsInteger="1" minValue="0" maxValue="1548"/>
    </cacheField>
    <cacheField name="Nov 24 - 4 Sem/Fin 24/11/24" numFmtId="0">
      <sharedItems containsSemiMixedTypes="0" containsString="0" containsNumber="1" containsInteger="1" minValue="0" maxValue="1329"/>
    </cacheField>
    <cacheField name="Dic 24 - 5 Sem/Fin 29/12/24" numFmtId="0">
      <sharedItems containsSemiMixedTypes="0" containsString="0" containsNumber="1" containsInteger="1" minValue="0" maxValue="1731"/>
    </cacheField>
    <cacheField name="Enero 25 - 4 Sem/Fin 26/01/25" numFmtId="0">
      <sharedItems containsSemiMixedTypes="0" containsString="0" containsNumber="1" containsInteger="1" minValue="0" maxValue="1380"/>
    </cacheField>
    <cacheField name="Feb 25 - 4 Sem/Fin 23/02/25" numFmtId="0">
      <sharedItems containsSemiMixedTypes="0" containsString="0" containsNumber="1" containsInteger="1" minValue="0" maxValue="1489"/>
    </cacheField>
    <cacheField name="Marzo 25 - 5 Sem/Fin 30/03/25" numFmtId="0">
      <sharedItems containsSemiMixedTypes="0" containsString="0" containsNumber="1" containsInteger="1" minValue="0" maxValue="2528"/>
    </cacheField>
    <cacheField name="Abr 25 - 4 Sem/Fin 27/04/25" numFmtId="0">
      <sharedItems containsSemiMixedTypes="0" containsString="0" containsNumber="1" containsInteger="1" minValue="0" maxValue="1229"/>
    </cacheField>
    <cacheField name="Mayo 25 - 4 Sem/Fin 25/05/25" numFmtId="0">
      <sharedItems containsSemiMixedTypes="0" containsString="0" containsNumber="1" containsInteger="1" minValue="0" maxValue="1500"/>
    </cacheField>
    <cacheField name="Jun 25 - 5 Sem/Fin 29/06/25" numFmtId="0">
      <sharedItems containsSemiMixedTypes="0" containsString="0" containsNumber="1" containsInteger="1" minValue="0" maxValue="15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Diaz" refreshedDate="45873.550964699076" createdVersion="8" refreshedVersion="8" minRefreshableVersion="3" recordCount="279" xr:uid="{A5C6A5A6-229F-40F9-9226-68B867652777}">
  <cacheSource type="worksheet">
    <worksheetSource ref="A1:AS280" sheet="1-Tabla-1" r:id="rId2"/>
  </cacheSource>
  <cacheFields count="45">
    <cacheField name="Markets" numFmtId="0">
      <sharedItems count="1">
        <s v="TOTAL URUGUAY"/>
      </sharedItems>
    </cacheField>
    <cacheField name="TINTURAS" numFmtId="0">
      <sharedItems/>
    </cacheField>
    <cacheField name="FABRICANTE ARM" numFmtId="0">
      <sharedItems/>
    </cacheField>
    <cacheField name="MARCA ARM" numFmtId="0">
      <sharedItems/>
    </cacheField>
    <cacheField name="UPC" numFmtId="0">
      <sharedItems/>
    </cacheField>
    <cacheField name="BRAND" numFmtId="0">
      <sharedItems count="12">
        <s v="CASTING"/>
        <s v="CASTING CREME GLOSS"/>
        <s v="NUTRISSE COR INTENSA"/>
        <s v="EXCELLENCE"/>
        <s v="EXCELLENCE SIN AMONIACO"/>
        <s v="EXCELLENCE EXTRA PROFUNDO"/>
        <s v="EXCELL 5"/>
        <s v="MAGIC RETOUCH"/>
        <s v="NUTRISSE"/>
        <s v="NUTRISSE COLORISSIMO"/>
        <s v="NUTRISSE OLEOS"/>
        <s v="NUTRISSE RETOCA RAIZ"/>
      </sharedItems>
    </cacheField>
    <cacheField name="ITEM" numFmtId="0">
      <sharedItems/>
    </cacheField>
    <cacheField name="Facts" numFmtId="0">
      <sharedItems/>
    </cacheField>
    <cacheField name="Jun 22 - 5 Sem/Fin 03/07/22" numFmtId="0">
      <sharedItems containsSemiMixedTypes="0" containsString="0" containsNumber="1" containsInteger="1" minValue="0" maxValue="1698"/>
    </cacheField>
    <cacheField name="Jul 22 - 4 Sem/Fin 31/07/22" numFmtId="0">
      <sharedItems containsSemiMixedTypes="0" containsString="0" containsNumber="1" minValue="0" maxValue="1125.1547"/>
    </cacheField>
    <cacheField name="Agosto 22 - 4 Sem/Fin 28/08/22" numFmtId="0">
      <sharedItems containsSemiMixedTypes="0" containsString="0" containsNumber="1" containsInteger="1" minValue="0" maxValue="1107"/>
    </cacheField>
    <cacheField name="Set 22 - 5 Sem/Fin 02/10/22" numFmtId="0">
      <sharedItems containsSemiMixedTypes="0" containsString="0" containsNumber="1" containsInteger="1" minValue="0" maxValue="1399"/>
    </cacheField>
    <cacheField name="Oct 22 - 4 Sem/Fin 30/10/22" numFmtId="0">
      <sharedItems containsSemiMixedTypes="0" containsString="0" containsNumber="1" containsInteger="1" minValue="0" maxValue="1200"/>
    </cacheField>
    <cacheField name="Nov 22 - 4 Sem/Fin 27/11/22" numFmtId="0">
      <sharedItems containsSemiMixedTypes="0" containsString="0" containsNumber="1" containsInteger="1" minValue="0" maxValue="1263"/>
    </cacheField>
    <cacheField name="Dic 22 - 5 Sem/Fin 01/01/23" numFmtId="0">
      <sharedItems containsSemiMixedTypes="0" containsString="0" containsNumber="1" containsInteger="1" minValue="0" maxValue="1481"/>
    </cacheField>
    <cacheField name="Enero 23 - 4 Sem/Fin 29/01/23" numFmtId="0">
      <sharedItems containsSemiMixedTypes="0" containsString="0" containsNumber="1" containsInteger="1" minValue="0" maxValue="975"/>
    </cacheField>
    <cacheField name="Feb 23 - 4 Sem/Fin 26/02/23" numFmtId="0">
      <sharedItems containsSemiMixedTypes="0" containsString="0" containsNumber="1" containsInteger="1" minValue="0" maxValue="1124"/>
    </cacheField>
    <cacheField name="Marzo 23 - 5 Sem/Fin 02/04/23" numFmtId="0">
      <sharedItems containsSemiMixedTypes="0" containsString="0" containsNumber="1" containsInteger="1" minValue="0" maxValue="1485"/>
    </cacheField>
    <cacheField name="Abr 23 - 4 Sem/Fin 30/04/23" numFmtId="0">
      <sharedItems containsSemiMixedTypes="0" containsString="0" containsNumber="1" containsInteger="1" minValue="0" maxValue="1195"/>
    </cacheField>
    <cacheField name="Mayo 23 - 4 Sem/Fin 28/05/23" numFmtId="0">
      <sharedItems containsSemiMixedTypes="0" containsString="0" containsNumber="1" containsInteger="1" minValue="0" maxValue="990"/>
    </cacheField>
    <cacheField name="Jun 23 - 5 Sem/Fin 02/07/23" numFmtId="0">
      <sharedItems containsSemiMixedTypes="0" containsString="0" containsNumber="1" minValue="0" maxValue="1479.2176999999999"/>
    </cacheField>
    <cacheField name="Jul 23 - 4 Sem/Fin 30/07/23" numFmtId="0">
      <sharedItems containsSemiMixedTypes="0" containsString="0" containsNumber="1" minValue="0" maxValue="1043.3947000000001"/>
    </cacheField>
    <cacheField name="Agosto 23 - 4 Sem/Fin 27/08/23" numFmtId="0">
      <sharedItems containsSemiMixedTypes="0" containsString="0" containsNumber="1" containsInteger="1" minValue="0" maxValue="1035"/>
    </cacheField>
    <cacheField name="Set 23 - 5 Sem/Fin 01/10/23" numFmtId="0">
      <sharedItems containsSemiMixedTypes="0" containsString="0" containsNumber="1" containsInteger="1" minValue="0" maxValue="1139"/>
    </cacheField>
    <cacheField name="Oct 23 - 4 Sem/Fin 29/10/23" numFmtId="0">
      <sharedItems containsSemiMixedTypes="0" containsString="0" containsNumber="1" containsInteger="1" minValue="0" maxValue="947"/>
    </cacheField>
    <cacheField name="Nov 23 - 4 Sem/Fin 26/11/23" numFmtId="0">
      <sharedItems containsSemiMixedTypes="0" containsString="0" containsNumber="1" minValue="0" maxValue="932.24400000000003"/>
    </cacheField>
    <cacheField name="Dic 23 - 5 Sem/Fin 31/12/23" numFmtId="0">
      <sharedItems containsSemiMixedTypes="0" containsString="0" containsNumber="1" minValue="0" maxValue="1389.9487999999999"/>
    </cacheField>
    <cacheField name="Enero 24 - 4 Sem/Fin 28/01/24" numFmtId="0">
      <sharedItems containsSemiMixedTypes="0" containsString="0" containsNumber="1" containsInteger="1" minValue="0" maxValue="854"/>
    </cacheField>
    <cacheField name="Feb 24 - 4 Sem/Fin 25/02/24" numFmtId="0">
      <sharedItems containsSemiMixedTypes="0" containsString="0" containsNumber="1" containsInteger="1" minValue="0" maxValue="874"/>
    </cacheField>
    <cacheField name="Marzo 24 - 5 Sem/Fin 31/03/24" numFmtId="0">
      <sharedItems containsSemiMixedTypes="0" containsString="0" containsNumber="1" containsInteger="1" minValue="0" maxValue="1221"/>
    </cacheField>
    <cacheField name="Abr 24 - 4 Sem/Fin 28/04/24" numFmtId="0">
      <sharedItems containsSemiMixedTypes="0" containsString="0" containsNumber="1" containsInteger="1" minValue="0" maxValue="798"/>
    </cacheField>
    <cacheField name="Mayo 24 - 4 Sem/Fin 26/05/24" numFmtId="0">
      <sharedItems containsSemiMixedTypes="0" containsString="0" containsNumber="1" containsInteger="1" minValue="0" maxValue="817"/>
    </cacheField>
    <cacheField name="Jun 24 - 5 Sem/Fin 30/06/24" numFmtId="0">
      <sharedItems containsSemiMixedTypes="0" containsString="0" containsNumber="1" containsInteger="1" minValue="0" maxValue="1138"/>
    </cacheField>
    <cacheField name="Jul 24 - 4 Sem/Fin 28/07/24" numFmtId="0">
      <sharedItems containsSemiMixedTypes="0" containsString="0" containsNumber="1" containsInteger="1" minValue="0" maxValue="712"/>
    </cacheField>
    <cacheField name="Agosto 24 - 4 Sem/Fin 25/08/24" numFmtId="0">
      <sharedItems containsSemiMixedTypes="0" containsString="0" containsNumber="1" containsInteger="1" minValue="0" maxValue="652"/>
    </cacheField>
    <cacheField name="Set 24 - 5 Sem/Fin 29/09/24" numFmtId="0">
      <sharedItems containsSemiMixedTypes="0" containsString="0" containsNumber="1" containsInteger="1" minValue="0" maxValue="893"/>
    </cacheField>
    <cacheField name="Oct 24 - 4 Sem/Fin 27/10/24" numFmtId="0">
      <sharedItems containsSemiMixedTypes="0" containsString="0" containsNumber="1" containsInteger="1" minValue="0" maxValue="725"/>
    </cacheField>
    <cacheField name="Nov 24 - 4 Sem/Fin 24/11/24" numFmtId="0">
      <sharedItems containsSemiMixedTypes="0" containsString="0" containsNumber="1" containsInteger="1" minValue="0" maxValue="864"/>
    </cacheField>
    <cacheField name="Dic 24 - 5 Sem/Fin 29/12/24" numFmtId="0">
      <sharedItems containsSemiMixedTypes="0" containsString="0" containsNumber="1" containsInteger="1" minValue="0" maxValue="1063"/>
    </cacheField>
    <cacheField name="Enero 25 - 4 Sem/Fin 26/01/25" numFmtId="0">
      <sharedItems containsSemiMixedTypes="0" containsString="0" containsNumber="1" containsInteger="1" minValue="0" maxValue="816"/>
    </cacheField>
    <cacheField name="Feb 25 - 4 Sem/Fin 23/02/25" numFmtId="0">
      <sharedItems containsSemiMixedTypes="0" containsString="0" containsNumber="1" containsInteger="1" minValue="0" maxValue="750"/>
    </cacheField>
    <cacheField name="Marzo 25 - 5 Sem/Fin 30/03/25" numFmtId="0">
      <sharedItems containsSemiMixedTypes="0" containsString="0" containsNumber="1" containsInteger="1" minValue="0" maxValue="1053"/>
    </cacheField>
    <cacheField name="Abr 25 - 4 Sem/Fin 27/04/25" numFmtId="0">
      <sharedItems containsSemiMixedTypes="0" containsString="0" containsNumber="1" containsInteger="1" minValue="0" maxValue="934"/>
    </cacheField>
    <cacheField name="Mayo 25 - 4 Sem/Fin 25/05/25" numFmtId="0">
      <sharedItems containsSemiMixedTypes="0" containsString="0" containsNumber="1" containsInteger="1" minValue="0" maxValue="1015"/>
    </cacheField>
    <cacheField name="Jun 25 - 5 Sem/Fin 29/06/25" numFmtId="0">
      <sharedItems containsSemiMixedTypes="0" containsString="0" containsNumber="1" containsInteger="1" minValue="0" maxValue="1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7">
  <r>
    <s v="L'Oreal"/>
    <x v="0"/>
    <x v="0"/>
    <x v="0"/>
    <x v="0"/>
    <n v="5601036100037"/>
    <x v="0"/>
    <x v="0"/>
    <x v="0"/>
    <n v="324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0"/>
    <n v="5601036100044"/>
    <x v="0"/>
    <x v="0"/>
    <x v="0"/>
    <n v="228"/>
    <n v="90"/>
    <n v="0"/>
    <n v="0"/>
    <n v="264"/>
    <n v="0"/>
    <n v="372"/>
    <n v="156"/>
    <n v="0"/>
    <n v="0"/>
    <n v="12"/>
    <n v="0"/>
    <n v="0"/>
    <n v="90"/>
    <n v="0"/>
    <n v="108"/>
    <n v="0"/>
    <n v="0"/>
    <n v="36"/>
    <n v="0"/>
    <n v="0"/>
    <n v="24"/>
    <n v="996"/>
    <n v="132"/>
    <n v="192"/>
    <n v="72"/>
    <n v="84"/>
    <n v="240"/>
    <n v="120"/>
    <n v="96"/>
    <n v="54"/>
    <n v="120"/>
    <n v="108"/>
    <n v="156"/>
    <n v="156"/>
    <n v="276"/>
    <n v="186"/>
    <n v="96"/>
    <n v="120"/>
    <n v="156"/>
    <n v="132"/>
    <n v="108"/>
  </r>
  <r>
    <s v="L'Oreal"/>
    <x v="0"/>
    <x v="0"/>
    <x v="0"/>
    <x v="1"/>
    <n v="3600523682799"/>
    <x v="1"/>
    <x v="1"/>
    <x v="1"/>
    <n v="1734"/>
    <n v="876"/>
    <n v="672"/>
    <n v="768"/>
    <n v="888"/>
    <n v="924"/>
    <n v="1766"/>
    <n v="1060"/>
    <n v="1630"/>
    <n v="962"/>
    <n v="9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3600523682850"/>
    <x v="1"/>
    <x v="2"/>
    <x v="2"/>
    <n v="1002"/>
    <n v="576"/>
    <n v="534"/>
    <n v="516"/>
    <n v="522"/>
    <n v="432"/>
    <n v="1208"/>
    <n v="304"/>
    <n v="712"/>
    <n v="296"/>
    <n v="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3600524095567"/>
    <x v="2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4"/>
    <n v="-3"/>
    <n v="684"/>
    <n v="-19"/>
    <n v="248"/>
    <n v="81"/>
    <n v="234"/>
    <n v="264"/>
    <n v="219"/>
    <n v="186"/>
    <n v="42"/>
    <n v="73"/>
    <n v="36"/>
    <n v="60"/>
    <n v="61"/>
    <n v="36"/>
    <n v="45"/>
    <n v="30"/>
    <n v="6"/>
    <n v="6"/>
  </r>
  <r>
    <s v="L'Oreal"/>
    <x v="0"/>
    <x v="0"/>
    <x v="0"/>
    <x v="1"/>
    <n v="7506078926912"/>
    <x v="3"/>
    <x v="4"/>
    <x v="4"/>
    <n v="28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6078926929"/>
    <x v="3"/>
    <x v="5"/>
    <x v="4"/>
    <n v="1218"/>
    <n v="732"/>
    <n v="13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6078947894"/>
    <x v="4"/>
    <x v="6"/>
    <x v="4"/>
    <n v="1032"/>
    <n v="240"/>
    <n v="-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6078947900"/>
    <x v="4"/>
    <x v="7"/>
    <x v="4"/>
    <n v="480"/>
    <n v="312"/>
    <n v="336"/>
    <n v="-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6078947917"/>
    <x v="4"/>
    <x v="8"/>
    <x v="5"/>
    <n v="537"/>
    <n v="201"/>
    <n v="351"/>
    <n v="438"/>
    <n v="69"/>
    <n v="87"/>
    <n v="207"/>
    <n v="105"/>
    <n v="192"/>
    <n v="267"/>
    <n v="297"/>
    <n v="225"/>
    <n v="444"/>
    <n v="162"/>
    <n v="117"/>
    <n v="159"/>
    <n v="249"/>
    <n v="159"/>
    <n v="105"/>
    <n v="126"/>
    <n v="303"/>
    <n v="42"/>
    <n v="210"/>
    <n v="381"/>
    <n v="594"/>
    <n v="54"/>
    <n v="72"/>
    <n v="492"/>
    <n v="219"/>
    <n v="186"/>
    <n v="15"/>
    <n v="558"/>
    <n v="72"/>
    <n v="120"/>
    <n v="108"/>
    <n v="216"/>
    <n v="237"/>
    <n v="825"/>
    <n v="216"/>
    <n v="123"/>
    <n v="162"/>
    <n v="114"/>
  </r>
  <r>
    <s v="L'Oreal"/>
    <x v="0"/>
    <x v="0"/>
    <x v="0"/>
    <x v="1"/>
    <n v="7506078959033"/>
    <x v="3"/>
    <x v="9"/>
    <x v="1"/>
    <n v="1572"/>
    <n v="816"/>
    <n v="1080"/>
    <n v="1092"/>
    <n v="936"/>
    <n v="420"/>
    <n v="636"/>
    <n v="912"/>
    <n v="1068"/>
    <n v="1020"/>
    <n v="756"/>
    <n v="1632"/>
    <n v="1416"/>
    <n v="1020"/>
    <n v="708"/>
    <n v="516"/>
    <n v="828"/>
    <n v="468"/>
    <n v="600"/>
    <n v="420"/>
    <n v="1068"/>
    <n v="768"/>
    <n v="252"/>
    <n v="0"/>
    <n v="192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193831"/>
    <x v="4"/>
    <x v="10"/>
    <x v="1"/>
    <n v="996"/>
    <n v="636"/>
    <n v="1548"/>
    <n v="1236"/>
    <n v="420"/>
    <n v="324"/>
    <n v="252"/>
    <n v="720"/>
    <n v="480"/>
    <n v="612"/>
    <n v="636"/>
    <n v="792"/>
    <n v="1836"/>
    <n v="696"/>
    <n v="1344"/>
    <n v="564"/>
    <n v="900"/>
    <n v="288"/>
    <n v="648"/>
    <n v="528"/>
    <n v="672"/>
    <n v="300"/>
    <n v="396"/>
    <n v="780"/>
    <n v="948"/>
    <n v="0"/>
    <n v="0"/>
    <n v="756"/>
    <n v="648"/>
    <n v="828"/>
    <n v="276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791389"/>
    <x v="5"/>
    <x v="11"/>
    <x v="1"/>
    <n v="0"/>
    <n v="0"/>
    <n v="0"/>
    <n v="0"/>
    <n v="0"/>
    <n v="0"/>
    <n v="0"/>
    <n v="0"/>
    <n v="0"/>
    <n v="0"/>
    <n v="0"/>
    <n v="0"/>
    <n v="0"/>
    <n v="0"/>
    <n v="0"/>
    <n v="156"/>
    <n v="168"/>
    <n v="72"/>
    <n v="132"/>
    <n v="84"/>
    <n v="132"/>
    <n v="96"/>
    <n v="156"/>
    <n v="180"/>
    <n v="108"/>
    <n v="144"/>
    <n v="84"/>
    <n v="72"/>
    <n v="12"/>
    <n v="72"/>
    <n v="48"/>
    <n v="36"/>
    <n v="36"/>
    <n v="0"/>
    <n v="0"/>
    <n v="0"/>
    <n v="0"/>
    <n v="0"/>
    <n v="0"/>
    <n v="0"/>
    <n v="0"/>
    <n v="0"/>
  </r>
  <r>
    <s v="L'Oreal"/>
    <x v="0"/>
    <x v="0"/>
    <x v="0"/>
    <x v="1"/>
    <n v="7509552791396"/>
    <x v="5"/>
    <x v="12"/>
    <x v="1"/>
    <n v="0"/>
    <n v="0"/>
    <n v="0"/>
    <n v="0"/>
    <n v="0"/>
    <n v="0"/>
    <n v="0"/>
    <n v="12"/>
    <n v="12"/>
    <n v="36"/>
    <n v="150"/>
    <n v="204"/>
    <n v="330"/>
    <n v="384"/>
    <n v="306"/>
    <n v="564"/>
    <n v="660"/>
    <n v="432"/>
    <n v="360"/>
    <n v="186"/>
    <n v="672"/>
    <n v="588"/>
    <n v="360"/>
    <n v="35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791457"/>
    <x v="6"/>
    <x v="1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72"/>
    <n v="60"/>
    <n v="180"/>
    <n v="36"/>
    <n v="0"/>
    <n v="12"/>
    <n v="60"/>
    <n v="12"/>
    <n v="72"/>
    <n v="192"/>
    <n v="48"/>
  </r>
  <r>
    <s v="L'Oreal"/>
    <x v="0"/>
    <x v="0"/>
    <x v="0"/>
    <x v="1"/>
    <n v="7509552791860"/>
    <x v="7"/>
    <x v="1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744"/>
    <n v="420"/>
    <n v="48"/>
    <n v="36"/>
    <n v="36"/>
    <n v="12"/>
    <n v="12"/>
    <n v="12"/>
    <n v="24"/>
    <n v="0"/>
    <n v="0"/>
    <n v="108"/>
    <n v="0"/>
  </r>
  <r>
    <s v="L'Oreal"/>
    <x v="0"/>
    <x v="0"/>
    <x v="0"/>
    <x v="1"/>
    <n v="7509552800135"/>
    <x v="8"/>
    <x v="15"/>
    <x v="1"/>
    <n v="240"/>
    <n v="264"/>
    <n v="108"/>
    <n v="84"/>
    <n v="144"/>
    <n v="48"/>
    <n v="120"/>
    <n v="132"/>
    <n v="96"/>
    <n v="324"/>
    <n v="168"/>
    <n v="156"/>
    <n v="216"/>
    <n v="8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00258"/>
    <x v="8"/>
    <x v="16"/>
    <x v="4"/>
    <n v="36"/>
    <n v="0"/>
    <n v="12"/>
    <n v="48"/>
    <n v="0"/>
    <n v="72"/>
    <n v="12"/>
    <n v="36"/>
    <n v="84"/>
    <n v="48"/>
    <n v="36"/>
    <n v="0"/>
    <n v="48"/>
    <n v="48"/>
    <n v="0"/>
    <n v="72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00371"/>
    <x v="8"/>
    <x v="17"/>
    <x v="1"/>
    <n v="288"/>
    <n v="1585"/>
    <n v="900"/>
    <n v="867"/>
    <n v="1302"/>
    <n v="1482"/>
    <n v="888"/>
    <n v="714"/>
    <n v="882"/>
    <n v="462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16334"/>
    <x v="7"/>
    <x v="18"/>
    <x v="5"/>
    <n v="288"/>
    <n v="108"/>
    <n v="240"/>
    <n v="240"/>
    <n v="126"/>
    <n v="60"/>
    <n v="108"/>
    <n v="60"/>
    <n v="150"/>
    <n v="66"/>
    <n v="156"/>
    <n v="312"/>
    <n v="264"/>
    <n v="-6"/>
    <n v="216"/>
    <n v="234"/>
    <n v="186"/>
    <n v="138"/>
    <n v="78"/>
    <n v="42"/>
    <n v="222"/>
    <n v="60"/>
    <n v="96"/>
    <n v="60"/>
    <n v="0"/>
    <n v="0"/>
    <n v="0"/>
    <n v="240"/>
    <n v="114"/>
    <n v="78"/>
    <n v="78"/>
    <n v="96"/>
    <n v="78"/>
    <n v="60"/>
    <n v="102"/>
    <n v="66"/>
    <n v="198"/>
    <n v="243"/>
    <n v="0"/>
    <n v="318"/>
    <n v="162"/>
    <n v="438"/>
  </r>
  <r>
    <s v="L'Oreal"/>
    <x v="0"/>
    <x v="0"/>
    <x v="0"/>
    <x v="1"/>
    <n v="7509552817348"/>
    <x v="4"/>
    <x v="19"/>
    <x v="6"/>
    <n v="276"/>
    <n v="408"/>
    <n v="612"/>
    <n v="972"/>
    <n v="288"/>
    <n v="252"/>
    <n v="240"/>
    <n v="1044"/>
    <n v="666"/>
    <n v="954"/>
    <n v="480"/>
    <n v="630"/>
    <n v="960"/>
    <n v="690"/>
    <n v="330"/>
    <n v="258"/>
    <n v="666"/>
    <n v="192"/>
    <n v="336"/>
    <n v="180"/>
    <n v="1044"/>
    <n v="228"/>
    <n v="258"/>
    <n v="462"/>
    <n v="684"/>
    <n v="486"/>
    <n v="900"/>
    <n v="996"/>
    <n v="672"/>
    <n v="504"/>
    <n v="48"/>
    <n v="1440"/>
    <n v="1188"/>
    <n v="204"/>
    <n v="1980"/>
    <n v="114"/>
    <n v="462"/>
    <n v="486"/>
    <n v="1302"/>
    <n v="714"/>
    <n v="474"/>
    <n v="366"/>
  </r>
  <r>
    <s v="L'Oreal"/>
    <x v="0"/>
    <x v="0"/>
    <x v="0"/>
    <x v="1"/>
    <n v="7509552817393"/>
    <x v="3"/>
    <x v="20"/>
    <x v="6"/>
    <n v="918"/>
    <n v="720"/>
    <n v="228"/>
    <n v="0"/>
    <n v="732"/>
    <n v="276"/>
    <n v="306"/>
    <n v="456"/>
    <n v="906"/>
    <n v="600"/>
    <n v="252"/>
    <n v="648"/>
    <n v="642"/>
    <n v="708"/>
    <n v="294"/>
    <n v="324"/>
    <n v="324"/>
    <n v="252"/>
    <n v="210"/>
    <n v="432"/>
    <n v="534"/>
    <n v="204"/>
    <n v="354"/>
    <n v="318"/>
    <n v="534"/>
    <n v="384"/>
    <n v="594"/>
    <n v="726"/>
    <n v="522"/>
    <n v="240"/>
    <n v="108"/>
    <n v="1158"/>
    <n v="840"/>
    <n v="882"/>
    <n v="126"/>
    <n v="1368"/>
    <n v="204"/>
    <n v="924"/>
    <n v="1332"/>
    <n v="2310"/>
    <n v="432"/>
    <n v="204"/>
  </r>
  <r>
    <s v="L'Oreal"/>
    <x v="0"/>
    <x v="0"/>
    <x v="0"/>
    <x v="1"/>
    <n v="7509552817416"/>
    <x v="7"/>
    <x v="21"/>
    <x v="6"/>
    <n v="124"/>
    <n v="36"/>
    <n v="696"/>
    <n v="336"/>
    <n v="156"/>
    <n v="84"/>
    <n v="318"/>
    <n v="492"/>
    <n v="756"/>
    <n v="630"/>
    <n v="288"/>
    <n v="390"/>
    <n v="432"/>
    <n v="462"/>
    <n v="264"/>
    <n v="312"/>
    <n v="426"/>
    <n v="234"/>
    <n v="144"/>
    <n v="132"/>
    <n v="480"/>
    <n v="132"/>
    <n v="228"/>
    <n v="180"/>
    <n v="492"/>
    <n v="408"/>
    <n v="294"/>
    <n v="834"/>
    <n v="144"/>
    <n v="528"/>
    <n v="24"/>
    <n v="72"/>
    <n v="108"/>
    <n v="180"/>
    <n v="156"/>
    <n v="96"/>
    <n v="108"/>
    <n v="96"/>
    <n v="72"/>
    <n v="144"/>
    <n v="180"/>
    <n v="24"/>
  </r>
  <r>
    <s v="L'Oreal"/>
    <x v="0"/>
    <x v="0"/>
    <x v="0"/>
    <x v="1"/>
    <n v="7509552817430"/>
    <x v="8"/>
    <x v="22"/>
    <x v="6"/>
    <n v="1102"/>
    <n v="132"/>
    <n v="96"/>
    <n v="84"/>
    <n v="72"/>
    <n v="24"/>
    <n v="24"/>
    <n v="48"/>
    <n v="24"/>
    <n v="48"/>
    <n v="60"/>
    <n v="72"/>
    <n v="36"/>
    <n v="24"/>
    <n v="72"/>
    <n v="24"/>
    <n v="108"/>
    <n v="72"/>
    <n v="24"/>
    <n v="48"/>
    <n v="48"/>
    <n v="36"/>
    <n v="12"/>
    <n v="12"/>
    <n v="48"/>
    <n v="24"/>
    <n v="48"/>
    <n v="12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21789"/>
    <x v="9"/>
    <x v="23"/>
    <x v="1"/>
    <n v="0"/>
    <n v="0"/>
    <n v="0"/>
    <n v="0"/>
    <n v="0"/>
    <n v="0"/>
    <n v="0"/>
    <n v="0"/>
    <n v="0"/>
    <n v="0"/>
    <n v="1560"/>
    <n v="912"/>
    <n v="852"/>
    <n v="1596"/>
    <n v="456"/>
    <n v="468"/>
    <n v="168"/>
    <n v="576"/>
    <n v="228"/>
    <n v="480"/>
    <n v="696"/>
    <n v="204"/>
    <n v="216"/>
    <n v="264"/>
    <n v="696"/>
    <n v="120"/>
    <n v="312"/>
    <n v="552"/>
    <n v="240"/>
    <n v="228"/>
    <n v="204"/>
    <n v="144"/>
    <n v="324"/>
    <n v="456"/>
    <n v="288"/>
    <n v="228"/>
    <n v="636"/>
    <n v="384"/>
    <n v="360"/>
    <n v="252"/>
    <n v="84"/>
    <n v="336"/>
  </r>
  <r>
    <s v="L'Oreal"/>
    <x v="0"/>
    <x v="0"/>
    <x v="0"/>
    <x v="1"/>
    <n v="7509552836509"/>
    <x v="10"/>
    <x v="24"/>
    <x v="4"/>
    <n v="1194"/>
    <n v="558"/>
    <n v="96"/>
    <n v="12"/>
    <n v="84"/>
    <n v="0"/>
    <n v="12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36554"/>
    <x v="10"/>
    <x v="25"/>
    <x v="1"/>
    <n v="954"/>
    <n v="738"/>
    <n v="1110"/>
    <n v="1374"/>
    <n v="1068"/>
    <n v="978"/>
    <n v="774"/>
    <n v="1392"/>
    <n v="600"/>
    <n v="444"/>
    <n v="294"/>
    <n v="558"/>
    <n v="1002"/>
    <n v="1248"/>
    <n v="612"/>
    <n v="534"/>
    <n v="588"/>
    <n v="324"/>
    <n v="408"/>
    <n v="846"/>
    <n v="1218"/>
    <n v="732"/>
    <n v="384"/>
    <n v="1008"/>
    <n v="516"/>
    <n v="1806"/>
    <n v="1230"/>
    <n v="1974"/>
    <n v="12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36561"/>
    <x v="10"/>
    <x v="26"/>
    <x v="4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36585"/>
    <x v="10"/>
    <x v="27"/>
    <x v="1"/>
    <n v="24"/>
    <n v="384"/>
    <n v="672"/>
    <n v="384"/>
    <n v="144"/>
    <n v="12"/>
    <n v="108"/>
    <n v="96"/>
    <n v="456"/>
    <n v="108"/>
    <n v="96"/>
    <n v="156"/>
    <n v="156"/>
    <n v="84"/>
    <n v="60"/>
    <n v="48"/>
    <n v="312"/>
    <n v="96"/>
    <n v="60"/>
    <n v="24"/>
    <n v="168"/>
    <n v="0"/>
    <n v="0"/>
    <n v="0"/>
    <n v="348"/>
    <n v="168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36677"/>
    <x v="10"/>
    <x v="28"/>
    <x v="5"/>
    <n v="93"/>
    <n v="78"/>
    <n v="279"/>
    <n v="165"/>
    <n v="51"/>
    <n v="159"/>
    <n v="81"/>
    <n v="33"/>
    <n v="15"/>
    <n v="42"/>
    <n v="36"/>
    <n v="66"/>
    <n v="102"/>
    <n v="39"/>
    <n v="33"/>
    <n v="36"/>
    <n v="138"/>
    <n v="99"/>
    <n v="51"/>
    <n v="183"/>
    <n v="18"/>
    <n v="69"/>
    <n v="60"/>
    <n v="57"/>
    <n v="72"/>
    <n v="45"/>
    <n v="372"/>
    <n v="0"/>
    <n v="48"/>
    <n v="12"/>
    <n v="6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0353"/>
    <x v="11"/>
    <x v="29"/>
    <x v="1"/>
    <n v="1092"/>
    <n v="1308"/>
    <n v="1422"/>
    <n v="1797"/>
    <n v="2316"/>
    <n v="1038"/>
    <n v="990"/>
    <n v="2166"/>
    <n v="1152"/>
    <n v="876"/>
    <n v="1110"/>
    <n v="1098"/>
    <n v="1656"/>
    <n v="1704"/>
    <n v="1026"/>
    <n v="948"/>
    <n v="2562"/>
    <n v="4446"/>
    <n v="474"/>
    <n v="228"/>
    <n v="714"/>
    <n v="288"/>
    <n v="624"/>
    <n v="1248"/>
    <n v="852"/>
    <n v="1920"/>
    <n v="1038"/>
    <n v="4050"/>
    <n v="744"/>
    <n v="252"/>
    <n v="96"/>
    <n v="-144"/>
    <n v="144"/>
    <n v="180"/>
    <n v="240"/>
    <n v="180"/>
    <n v="276"/>
    <n v="408"/>
    <n v="1584"/>
    <n v="0"/>
    <n v="0"/>
    <n v="0"/>
  </r>
  <r>
    <s v="L'Oreal"/>
    <x v="0"/>
    <x v="0"/>
    <x v="0"/>
    <x v="1"/>
    <n v="7509552843019"/>
    <x v="12"/>
    <x v="30"/>
    <x v="1"/>
    <n v="384"/>
    <n v="180"/>
    <n v="240"/>
    <n v="336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3026"/>
    <x v="12"/>
    <x v="31"/>
    <x v="4"/>
    <n v="1854"/>
    <n v="84"/>
    <n v="24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3057"/>
    <x v="12"/>
    <x v="32"/>
    <x v="4"/>
    <n v="192"/>
    <n v="36"/>
    <n v="24"/>
    <n v="144"/>
    <n v="60"/>
    <n v="0"/>
    <n v="-24"/>
    <n v="-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3071"/>
    <x v="12"/>
    <x v="33"/>
    <x v="1"/>
    <n v="0"/>
    <n v="0"/>
    <n v="0"/>
    <n v="0"/>
    <n v="0"/>
    <n v="0"/>
    <n v="0"/>
    <n v="36"/>
    <n v="120"/>
    <n v="324"/>
    <n v="312"/>
    <n v="636"/>
    <n v="492"/>
    <n v="144"/>
    <n v="132"/>
    <n v="48"/>
    <n v="96"/>
    <n v="132"/>
    <n v="72"/>
    <n v="72"/>
    <n v="144"/>
    <n v="84"/>
    <n v="216"/>
    <n v="84"/>
    <n v="132"/>
    <n v="24"/>
    <n v="24"/>
    <n v="24"/>
    <n v="84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3101"/>
    <x v="12"/>
    <x v="34"/>
    <x v="1"/>
    <n v="2034"/>
    <n v="648"/>
    <n v="1080"/>
    <n v="603"/>
    <n v="912"/>
    <n v="768"/>
    <n v="936"/>
    <n v="966"/>
    <n v="840"/>
    <n v="630"/>
    <n v="444"/>
    <n v="552"/>
    <n v="1128"/>
    <n v="1164"/>
    <n v="720"/>
    <n v="378"/>
    <n v="420"/>
    <n v="936"/>
    <n v="330"/>
    <n v="804"/>
    <n v="360"/>
    <n v="60"/>
    <n v="156"/>
    <n v="264"/>
    <n v="252"/>
    <n v="96"/>
    <n v="48"/>
    <n v="132"/>
    <n v="72"/>
    <n v="24"/>
    <n v="96"/>
    <n v="12"/>
    <n v="12"/>
    <n v="0"/>
    <n v="0"/>
    <n v="0"/>
    <n v="96"/>
    <n v="216"/>
    <n v="12"/>
    <n v="0"/>
    <n v="0"/>
    <n v="0"/>
  </r>
  <r>
    <s v="L'Oreal"/>
    <x v="0"/>
    <x v="0"/>
    <x v="0"/>
    <x v="1"/>
    <n v="7509552843132"/>
    <x v="3"/>
    <x v="35"/>
    <x v="1"/>
    <n v="0"/>
    <n v="0"/>
    <n v="0"/>
    <n v="0"/>
    <n v="0"/>
    <n v="0"/>
    <n v="0"/>
    <n v="0"/>
    <n v="0"/>
    <n v="0"/>
    <n v="0"/>
    <n v="708"/>
    <n v="1344"/>
    <n v="972"/>
    <n v="672"/>
    <n v="636"/>
    <n v="216"/>
    <n v="552"/>
    <n v="192"/>
    <n v="2052"/>
    <n v="1068"/>
    <n v="660"/>
    <n v="552"/>
    <n v="804"/>
    <n v="1236"/>
    <n v="600"/>
    <n v="396"/>
    <n v="864"/>
    <n v="540"/>
    <n v="1056"/>
    <n v="468"/>
    <n v="504"/>
    <n v="288"/>
    <n v="1116"/>
    <n v="636"/>
    <n v="144"/>
    <n v="1584"/>
    <n v="768"/>
    <n v="984"/>
    <n v="216"/>
    <n v="0"/>
    <n v="0"/>
  </r>
  <r>
    <s v="L'Oreal"/>
    <x v="0"/>
    <x v="0"/>
    <x v="0"/>
    <x v="1"/>
    <n v="7509552843149"/>
    <x v="3"/>
    <x v="36"/>
    <x v="2"/>
    <n v="0"/>
    <n v="0"/>
    <n v="0"/>
    <n v="0"/>
    <n v="0"/>
    <n v="0"/>
    <n v="0"/>
    <n v="0"/>
    <n v="420"/>
    <n v="1248"/>
    <n v="540"/>
    <n v="354"/>
    <n v="636"/>
    <n v="684"/>
    <n v="300"/>
    <n v="540"/>
    <n v="420"/>
    <n v="360"/>
    <n v="96"/>
    <n v="240"/>
    <n v="864"/>
    <n v="324"/>
    <n v="324"/>
    <n v="480"/>
    <n v="648"/>
    <n v="360"/>
    <n v="324"/>
    <n v="293"/>
    <n v="528"/>
    <n v="288"/>
    <n v="444"/>
    <n v="480"/>
    <n v="312"/>
    <n v="589"/>
    <n v="636"/>
    <n v="534"/>
    <n v="900"/>
    <n v="576"/>
    <n v="588"/>
    <n v="300"/>
    <n v="0"/>
    <n v="0"/>
  </r>
  <r>
    <s v="L'Oreal"/>
    <x v="0"/>
    <x v="0"/>
    <x v="0"/>
    <x v="1"/>
    <n v="7509552843729"/>
    <x v="12"/>
    <x v="37"/>
    <x v="5"/>
    <n v="228"/>
    <n v="0"/>
    <n v="0"/>
    <n v="0"/>
    <n v="0"/>
    <n v="312"/>
    <n v="150"/>
    <n v="48"/>
    <n v="174"/>
    <n v="66"/>
    <n v="126"/>
    <n v="288"/>
    <n v="348"/>
    <n v="156"/>
    <n v="24"/>
    <n v="0"/>
    <n v="0"/>
    <n v="90"/>
    <n v="36"/>
    <n v="60"/>
    <n v="54"/>
    <n v="36"/>
    <n v="120"/>
    <n v="102"/>
    <n v="84"/>
    <n v="6"/>
    <n v="0"/>
    <n v="18"/>
    <n v="54"/>
    <n v="78"/>
    <n v="6"/>
    <n v="6"/>
    <n v="0"/>
    <n v="0"/>
    <n v="0"/>
    <n v="0"/>
    <n v="0"/>
    <n v="0"/>
    <n v="0"/>
    <n v="0"/>
    <n v="0"/>
    <n v="0"/>
  </r>
  <r>
    <s v="L'Oreal"/>
    <x v="0"/>
    <x v="0"/>
    <x v="0"/>
    <x v="1"/>
    <n v="7509552845877"/>
    <x v="13"/>
    <x v="38"/>
    <x v="1"/>
    <n v="4488"/>
    <n v="1056"/>
    <n v="1440"/>
    <n v="2424"/>
    <n v="780"/>
    <n v="624"/>
    <n v="1032"/>
    <n v="1488"/>
    <n v="864"/>
    <n v="768"/>
    <n v="948"/>
    <n v="1020"/>
    <n v="1404"/>
    <n v="1860"/>
    <n v="540"/>
    <n v="900"/>
    <n v="756"/>
    <n v="780"/>
    <n v="912"/>
    <n v="756"/>
    <n v="1320"/>
    <n v="756"/>
    <n v="600"/>
    <n v="40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5884"/>
    <x v="13"/>
    <x v="39"/>
    <x v="7"/>
    <n v="3048"/>
    <n v="1008"/>
    <n v="3908"/>
    <n v="2729"/>
    <n v="2280"/>
    <n v="1830"/>
    <n v="2706"/>
    <n v="5268"/>
    <n v="2328"/>
    <n v="3240"/>
    <n v="6588"/>
    <n v="2514"/>
    <n v="5532"/>
    <n v="3972"/>
    <n v="2442"/>
    <n v="1500"/>
    <n v="2811"/>
    <n v="1830"/>
    <n v="2076"/>
    <n v="2298"/>
    <n v="5424"/>
    <n v="2166"/>
    <n v="1494"/>
    <n v="2358"/>
    <n v="1824"/>
    <n v="3048"/>
    <n v="2346"/>
    <n v="852"/>
    <n v="2568"/>
    <n v="3486"/>
    <n v="3606"/>
    <n v="690"/>
    <n v="3774"/>
    <n v="5568"/>
    <n v="1998"/>
    <n v="3708"/>
    <n v="4242"/>
    <n v="3450"/>
    <n v="4998"/>
    <n v="3354"/>
    <n v="2544"/>
    <n v="2172"/>
  </r>
  <r>
    <s v="L'Oreal"/>
    <x v="0"/>
    <x v="0"/>
    <x v="0"/>
    <x v="1"/>
    <n v="7509552845891"/>
    <x v="13"/>
    <x v="40"/>
    <x v="6"/>
    <n v="1212"/>
    <n v="264"/>
    <n v="2772"/>
    <n v="1164"/>
    <n v="594"/>
    <n v="660"/>
    <n v="366"/>
    <n v="1464"/>
    <n v="1794"/>
    <n v="588"/>
    <n v="1458"/>
    <n v="612"/>
    <n v="2130"/>
    <n v="1800"/>
    <n v="852"/>
    <n v="738"/>
    <n v="1128"/>
    <n v="654"/>
    <n v="576"/>
    <n v="720"/>
    <n v="1914"/>
    <n v="342"/>
    <n v="660"/>
    <n v="552"/>
    <n v="1554"/>
    <n v="1026"/>
    <n v="930"/>
    <n v="1710"/>
    <n v="1170"/>
    <n v="1314"/>
    <n v="366"/>
    <n v="1236"/>
    <n v="1200"/>
    <n v="1068"/>
    <n v="816"/>
    <n v="1824"/>
    <n v="1764"/>
    <n v="1296"/>
    <n v="1068"/>
    <n v="1326"/>
    <n v="1620"/>
    <n v="1830"/>
  </r>
  <r>
    <s v="L'Oreal"/>
    <x v="0"/>
    <x v="0"/>
    <x v="0"/>
    <x v="1"/>
    <n v="7509552845907"/>
    <x v="13"/>
    <x v="41"/>
    <x v="1"/>
    <n v="3408"/>
    <n v="790"/>
    <n v="1422"/>
    <n v="2853"/>
    <n v="1896"/>
    <n v="1950"/>
    <n v="2562"/>
    <n v="5064"/>
    <n v="2316"/>
    <n v="2754"/>
    <n v="5982"/>
    <n v="2172"/>
    <n v="5664"/>
    <n v="4128"/>
    <n v="1470"/>
    <n v="1860"/>
    <n v="2991"/>
    <n v="1818"/>
    <n v="2028"/>
    <n v="2238"/>
    <n v="4536"/>
    <n v="2166"/>
    <n v="1482"/>
    <n v="2250"/>
    <n v="936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5914"/>
    <x v="13"/>
    <x v="42"/>
    <x v="7"/>
    <n v="3132"/>
    <n v="924"/>
    <n v="6038"/>
    <n v="2360"/>
    <n v="1590"/>
    <n v="936"/>
    <n v="1158"/>
    <n v="2652"/>
    <n v="2394"/>
    <n v="1662"/>
    <n v="2928"/>
    <n v="1902"/>
    <n v="2562"/>
    <n v="3060"/>
    <n v="2352"/>
    <n v="1578"/>
    <n v="1896"/>
    <n v="978"/>
    <n v="1596"/>
    <n v="1728"/>
    <n v="3594"/>
    <n v="810"/>
    <n v="1080"/>
    <n v="1548"/>
    <n v="2862"/>
    <n v="2574"/>
    <n v="3396"/>
    <n v="2694"/>
    <n v="1746"/>
    <n v="2874"/>
    <n v="1026"/>
    <n v="2160"/>
    <n v="2388"/>
    <n v="1956"/>
    <n v="2292"/>
    <n v="3888"/>
    <n v="2808"/>
    <n v="3396"/>
    <n v="3936"/>
    <n v="1998"/>
    <n v="1236"/>
    <n v="2538"/>
  </r>
  <r>
    <s v="L'Oreal"/>
    <x v="0"/>
    <x v="0"/>
    <x v="0"/>
    <x v="1"/>
    <n v="7509552845938"/>
    <x v="13"/>
    <x v="43"/>
    <x v="5"/>
    <n v="1920"/>
    <n v="432"/>
    <n v="642"/>
    <n v="552"/>
    <n v="222"/>
    <n v="300"/>
    <n v="576"/>
    <n v="780"/>
    <n v="144"/>
    <n v="264"/>
    <n v="660"/>
    <n v="504"/>
    <n v="1248"/>
    <n v="630"/>
    <n v="354"/>
    <n v="336"/>
    <n v="210"/>
    <n v="192"/>
    <n v="222"/>
    <n v="378"/>
    <n v="1098"/>
    <n v="156"/>
    <n v="210"/>
    <n v="420"/>
    <n v="366"/>
    <n v="0"/>
    <n v="540"/>
    <n v="618"/>
    <n v="372"/>
    <n v="288"/>
    <n v="228"/>
    <n v="282"/>
    <n v="246"/>
    <n v="456"/>
    <n v="210"/>
    <n v="738"/>
    <n v="882"/>
    <n v="762"/>
    <n v="930"/>
    <n v="336"/>
    <n v="174"/>
    <n v="180"/>
  </r>
  <r>
    <s v="L'Oreal"/>
    <x v="0"/>
    <x v="0"/>
    <x v="0"/>
    <x v="1"/>
    <n v="7509552847499"/>
    <x v="3"/>
    <x v="44"/>
    <x v="7"/>
    <n v="120"/>
    <n v="2790"/>
    <n v="4494"/>
    <n v="1563"/>
    <n v="2250"/>
    <n v="2406"/>
    <n v="2472"/>
    <n v="2460"/>
    <n v="2418"/>
    <n v="2430"/>
    <n v="2508"/>
    <n v="1422"/>
    <n v="3312"/>
    <n v="966"/>
    <n v="2478"/>
    <n v="1950"/>
    <n v="1416"/>
    <n v="1662"/>
    <n v="1272"/>
    <n v="1062"/>
    <n v="3264"/>
    <n v="828"/>
    <n v="1260"/>
    <n v="2376"/>
    <n v="2070"/>
    <n v="702"/>
    <n v="666"/>
    <n v="2310"/>
    <n v="2442"/>
    <n v="3042"/>
    <n v="1302"/>
    <n v="1734"/>
    <n v="792"/>
    <n v="4050"/>
    <n v="1080"/>
    <n v="1446"/>
    <n v="3690"/>
    <n v="2424"/>
    <n v="2346"/>
    <n v="2718"/>
    <n v="2736"/>
    <n v="1392"/>
  </r>
  <r>
    <s v="L'Oreal"/>
    <x v="0"/>
    <x v="0"/>
    <x v="0"/>
    <x v="1"/>
    <n v="7509552847505"/>
    <x v="6"/>
    <x v="45"/>
    <x v="7"/>
    <n v="0"/>
    <n v="1296"/>
    <n v="528"/>
    <n v="288"/>
    <n v="132"/>
    <n v="120"/>
    <n v="156"/>
    <n v="204"/>
    <n v="492"/>
    <n v="312"/>
    <n v="276"/>
    <n v="516"/>
    <n v="912"/>
    <n v="312"/>
    <n v="360"/>
    <n v="144"/>
    <n v="432"/>
    <n v="144"/>
    <n v="240"/>
    <n v="216"/>
    <n v="588"/>
    <n v="180"/>
    <n v="480"/>
    <n v="408"/>
    <n v="204"/>
    <n v="12"/>
    <n v="0"/>
    <n v="900"/>
    <n v="216"/>
    <n v="24"/>
    <n v="0"/>
    <n v="0"/>
    <n v="0"/>
    <n v="744"/>
    <n v="288"/>
    <n v="420"/>
    <n v="384"/>
    <n v="360"/>
    <n v="468"/>
    <n v="264"/>
    <n v="156"/>
    <n v="300"/>
  </r>
  <r>
    <s v="L'Oreal"/>
    <x v="0"/>
    <x v="0"/>
    <x v="0"/>
    <x v="1"/>
    <n v="7509552847512"/>
    <x v="6"/>
    <x v="46"/>
    <x v="7"/>
    <n v="0"/>
    <n v="1008"/>
    <n v="1128"/>
    <n v="408"/>
    <n v="240"/>
    <n v="96"/>
    <n v="330"/>
    <n v="648"/>
    <n v="1128"/>
    <n v="750"/>
    <n v="564"/>
    <n v="534"/>
    <n v="1092"/>
    <n v="666"/>
    <n v="420"/>
    <n v="408"/>
    <n v="774"/>
    <n v="366"/>
    <n v="228"/>
    <n v="288"/>
    <n v="779"/>
    <n v="300"/>
    <n v="408"/>
    <n v="408"/>
    <n v="1440"/>
    <n v="660"/>
    <n v="1110"/>
    <n v="1050"/>
    <n v="312"/>
    <n v="708"/>
    <n v="918"/>
    <n v="444"/>
    <n v="612"/>
    <n v="348"/>
    <n v="492"/>
    <n v="384"/>
    <n v="672"/>
    <n v="504"/>
    <n v="516"/>
    <n v="300"/>
    <n v="372"/>
    <n v="396"/>
  </r>
  <r>
    <s v="L'Oreal"/>
    <x v="0"/>
    <x v="0"/>
    <x v="0"/>
    <x v="1"/>
    <n v="7509552847529"/>
    <x v="14"/>
    <x v="47"/>
    <x v="7"/>
    <n v="0"/>
    <n v="1416"/>
    <n v="4764"/>
    <n v="1773"/>
    <n v="2088"/>
    <n v="918"/>
    <n v="1062"/>
    <n v="2094"/>
    <n v="1008"/>
    <n v="708"/>
    <n v="1074"/>
    <n v="1002"/>
    <n v="1320"/>
    <n v="2058"/>
    <n v="2664"/>
    <n v="684"/>
    <n v="2310"/>
    <n v="1926"/>
    <n v="606"/>
    <n v="252"/>
    <n v="882"/>
    <n v="240"/>
    <n v="756"/>
    <n v="1236"/>
    <n v="1056"/>
    <n v="2124"/>
    <n v="1350"/>
    <n v="4122"/>
    <n v="780"/>
    <n v="156"/>
    <n v="144"/>
    <n v="-144"/>
    <n v="684"/>
    <n v="360"/>
    <n v="240"/>
    <n v="96"/>
    <n v="120"/>
    <n v="0"/>
    <n v="0"/>
    <n v="0"/>
    <n v="0"/>
    <n v="0"/>
  </r>
  <r>
    <s v="L'Oreal"/>
    <x v="0"/>
    <x v="0"/>
    <x v="0"/>
    <x v="1"/>
    <n v="7509552847536"/>
    <x v="14"/>
    <x v="48"/>
    <x v="7"/>
    <n v="120"/>
    <n v="792"/>
    <n v="3510"/>
    <n v="168"/>
    <n v="72"/>
    <n v="48"/>
    <n v="84"/>
    <n v="132"/>
    <n v="372"/>
    <n v="240"/>
    <n v="204"/>
    <n v="204"/>
    <n v="144"/>
    <n v="618"/>
    <n v="1890"/>
    <n v="144"/>
    <n v="252"/>
    <n v="132"/>
    <n v="276"/>
    <n v="84"/>
    <n v="420"/>
    <n v="108"/>
    <n v="276"/>
    <n v="276"/>
    <n v="504"/>
    <n v="252"/>
    <n v="516"/>
    <n v="156"/>
    <n v="108"/>
    <n v="144"/>
    <n v="84"/>
    <n v="396"/>
    <n v="852"/>
    <n v="600"/>
    <n v="312"/>
    <n v="516"/>
    <n v="348"/>
    <n v="0"/>
    <n v="0"/>
    <n v="0"/>
    <n v="0"/>
    <n v="0"/>
  </r>
  <r>
    <s v="L'Oreal"/>
    <x v="0"/>
    <x v="0"/>
    <x v="0"/>
    <x v="1"/>
    <n v="7509552847543"/>
    <x v="2"/>
    <x v="49"/>
    <x v="7"/>
    <n v="0"/>
    <n v="0"/>
    <n v="972"/>
    <n v="288"/>
    <n v="168"/>
    <n v="144"/>
    <n v="132"/>
    <n v="228"/>
    <n v="588"/>
    <n v="240"/>
    <n v="192"/>
    <n v="300"/>
    <n v="312"/>
    <n v="228"/>
    <n v="288"/>
    <n v="240"/>
    <n v="30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7550"/>
    <x v="8"/>
    <x v="50"/>
    <x v="7"/>
    <n v="0"/>
    <n v="2113"/>
    <n v="1068"/>
    <n v="807"/>
    <n v="1206"/>
    <n v="1542"/>
    <n v="924"/>
    <n v="810"/>
    <n v="1134"/>
    <n v="678"/>
    <n v="408"/>
    <n v="432"/>
    <n v="402"/>
    <n v="564"/>
    <n v="342"/>
    <n v="396"/>
    <n v="576"/>
    <n v="588"/>
    <n v="324"/>
    <n v="270"/>
    <n v="732"/>
    <n v="672"/>
    <n v="396"/>
    <n v="510"/>
    <n v="144"/>
    <n v="48"/>
    <n v="84"/>
    <n v="264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7574"/>
    <x v="8"/>
    <x v="51"/>
    <x v="7"/>
    <n v="0"/>
    <n v="828"/>
    <n v="96"/>
    <n v="276"/>
    <n v="36"/>
    <n v="72"/>
    <n v="144"/>
    <n v="108"/>
    <n v="156"/>
    <n v="168"/>
    <n v="144"/>
    <n v="120"/>
    <n v="648"/>
    <n v="108"/>
    <n v="120"/>
    <n v="144"/>
    <n v="60"/>
    <n v="72"/>
    <n v="144"/>
    <n v="48"/>
    <n v="252"/>
    <n v="180"/>
    <n v="72"/>
    <n v="132"/>
    <n v="252"/>
    <n v="108"/>
    <n v="60"/>
    <n v="168"/>
    <n v="12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7581"/>
    <x v="10"/>
    <x v="52"/>
    <x v="7"/>
    <n v="0"/>
    <n v="636"/>
    <n v="1206"/>
    <n v="1734"/>
    <n v="1068"/>
    <n v="918"/>
    <n v="798"/>
    <n v="1404"/>
    <n v="768"/>
    <n v="492"/>
    <n v="402"/>
    <n v="654"/>
    <n v="1458"/>
    <n v="1260"/>
    <n v="624"/>
    <n v="498"/>
    <n v="576"/>
    <n v="396"/>
    <n v="396"/>
    <n v="486"/>
    <n v="1194"/>
    <n v="744"/>
    <n v="456"/>
    <n v="1044"/>
    <n v="588"/>
    <n v="1722"/>
    <n v="1122"/>
    <n v="2058"/>
    <n v="12"/>
    <n v="36"/>
    <n v="48"/>
    <n v="12"/>
    <n v="0"/>
    <n v="0"/>
    <n v="0"/>
    <n v="0"/>
    <n v="0"/>
    <n v="0"/>
    <n v="0"/>
    <n v="0"/>
    <n v="0"/>
    <n v="0"/>
  </r>
  <r>
    <s v="L'Oreal"/>
    <x v="0"/>
    <x v="0"/>
    <x v="0"/>
    <x v="1"/>
    <n v="7509552847598"/>
    <x v="12"/>
    <x v="53"/>
    <x v="7"/>
    <n v="0"/>
    <n v="1344"/>
    <n v="4320"/>
    <n v="543"/>
    <n v="708"/>
    <n v="708"/>
    <n v="960"/>
    <n v="918"/>
    <n v="1188"/>
    <n v="678"/>
    <n v="504"/>
    <n v="564"/>
    <n v="948"/>
    <n v="1152"/>
    <n v="708"/>
    <n v="366"/>
    <n v="444"/>
    <n v="852"/>
    <n v="486"/>
    <n v="792"/>
    <n v="480"/>
    <n v="276"/>
    <n v="72"/>
    <n v="168"/>
    <n v="120"/>
    <n v="108"/>
    <n v="132"/>
    <n v="120"/>
    <n v="12"/>
    <n v="36"/>
    <n v="0"/>
    <n v="12"/>
    <n v="0"/>
    <n v="0"/>
    <n v="0"/>
    <n v="0"/>
    <n v="0"/>
    <n v="0"/>
    <n v="0"/>
    <n v="0"/>
    <n v="0"/>
    <n v="0"/>
  </r>
  <r>
    <s v="L'Oreal"/>
    <x v="0"/>
    <x v="0"/>
    <x v="0"/>
    <x v="1"/>
    <n v="7509552847949"/>
    <x v="13"/>
    <x v="54"/>
    <x v="5"/>
    <n v="2340"/>
    <n v="300"/>
    <n v="876"/>
    <n v="600"/>
    <n v="408"/>
    <n v="246"/>
    <n v="684"/>
    <n v="642"/>
    <n v="474"/>
    <n v="420"/>
    <n v="1032"/>
    <n v="282"/>
    <n v="936"/>
    <n v="714"/>
    <n v="324"/>
    <n v="678"/>
    <n v="318"/>
    <n v="384"/>
    <n v="258"/>
    <n v="396"/>
    <n v="1176"/>
    <n v="54"/>
    <n v="252"/>
    <n v="582"/>
    <n v="774"/>
    <n v="480"/>
    <n v="-12"/>
    <n v="1512"/>
    <n v="450"/>
    <n v="882"/>
    <n v="450"/>
    <n v="552"/>
    <n v="564"/>
    <n v="612"/>
    <n v="498"/>
    <n v="798"/>
    <n v="804"/>
    <n v="0"/>
    <n v="1530"/>
    <n v="288"/>
    <n v="240"/>
    <n v="450"/>
  </r>
  <r>
    <s v="L'Oreal"/>
    <x v="0"/>
    <x v="0"/>
    <x v="0"/>
    <x v="1"/>
    <n v="7509552847987"/>
    <x v="4"/>
    <x v="55"/>
    <x v="7"/>
    <n v="144"/>
    <n v="3144"/>
    <n v="5629"/>
    <n v="4834"/>
    <n v="4062"/>
    <n v="2622"/>
    <n v="1842"/>
    <n v="3600"/>
    <n v="2490"/>
    <n v="2982"/>
    <n v="4794"/>
    <n v="2412"/>
    <n v="4974"/>
    <n v="3402"/>
    <n v="3810"/>
    <n v="2622"/>
    <n v="1080"/>
    <n v="2232"/>
    <n v="1416"/>
    <n v="1482"/>
    <n v="2910"/>
    <n v="1560"/>
    <n v="1266"/>
    <n v="2838"/>
    <n v="3384"/>
    <n v="5478"/>
    <n v="3774"/>
    <n v="4350"/>
    <n v="2022"/>
    <n v="2862"/>
    <n v="1740"/>
    <n v="3774"/>
    <n v="1644"/>
    <n v="3144"/>
    <n v="2280"/>
    <n v="1104"/>
    <n v="2190"/>
    <n v="3312"/>
    <n v="1404"/>
    <n v="1512"/>
    <n v="1962"/>
    <n v="3276"/>
  </r>
  <r>
    <s v="L'Oreal"/>
    <x v="0"/>
    <x v="0"/>
    <x v="0"/>
    <x v="1"/>
    <n v="7509552847994"/>
    <x v="4"/>
    <x v="56"/>
    <x v="7"/>
    <n v="120"/>
    <n v="108"/>
    <n v="4019"/>
    <n v="2736"/>
    <n v="492"/>
    <n v="468"/>
    <n v="408"/>
    <n v="1740"/>
    <n v="906"/>
    <n v="2388"/>
    <n v="1824"/>
    <n v="1290"/>
    <n v="1872"/>
    <n v="1374"/>
    <n v="1872"/>
    <n v="462"/>
    <n v="1362"/>
    <n v="420"/>
    <n v="876"/>
    <n v="336"/>
    <n v="1632"/>
    <n v="444"/>
    <n v="606"/>
    <n v="1026"/>
    <n v="1572"/>
    <n v="3180"/>
    <n v="1254"/>
    <n v="1818"/>
    <n v="1164"/>
    <n v="792"/>
    <n v="528"/>
    <n v="1992"/>
    <n v="1668"/>
    <n v="1104"/>
    <n v="2412"/>
    <n v="1194"/>
    <n v="1230"/>
    <n v="2022"/>
    <n v="2286"/>
    <n v="1146"/>
    <n v="738"/>
    <n v="858"/>
  </r>
  <r>
    <s v="L'Oreal"/>
    <x v="0"/>
    <x v="0"/>
    <x v="0"/>
    <x v="1"/>
    <n v="7509552848007"/>
    <x v="15"/>
    <x v="57"/>
    <x v="7"/>
    <n v="0"/>
    <n v="888"/>
    <n v="336"/>
    <n v="288"/>
    <n v="144"/>
    <n v="216"/>
    <n v="300"/>
    <n v="168"/>
    <n v="384"/>
    <n v="276"/>
    <n v="408"/>
    <n v="348"/>
    <n v="312"/>
    <n v="324"/>
    <n v="204"/>
    <n v="108"/>
    <n v="384"/>
    <n v="132"/>
    <n v="396"/>
    <n v="216"/>
    <n v="432"/>
    <n v="276"/>
    <n v="324"/>
    <n v="360"/>
    <n v="672"/>
    <n v="156"/>
    <n v="12"/>
    <n v="336"/>
    <n v="348"/>
    <n v="564"/>
    <n v="84"/>
    <n v="48"/>
    <n v="1296"/>
    <n v="288"/>
    <n v="0"/>
    <n v="0"/>
    <n v="0"/>
    <n v="0"/>
    <n v="0"/>
    <n v="0"/>
    <n v="0"/>
    <n v="0"/>
  </r>
  <r>
    <s v="L'Oreal"/>
    <x v="0"/>
    <x v="0"/>
    <x v="0"/>
    <x v="1"/>
    <n v="7509552848014"/>
    <x v="15"/>
    <x v="58"/>
    <x v="7"/>
    <n v="0"/>
    <n v="1140"/>
    <n v="216"/>
    <n v="324"/>
    <n v="156"/>
    <n v="192"/>
    <n v="276"/>
    <n v="228"/>
    <n v="468"/>
    <n v="324"/>
    <n v="336"/>
    <n v="372"/>
    <n v="324"/>
    <n v="252"/>
    <n v="180"/>
    <n v="132"/>
    <n v="408"/>
    <n v="192"/>
    <n v="372"/>
    <n v="360"/>
    <n v="300"/>
    <n v="348"/>
    <n v="324"/>
    <n v="96"/>
    <n v="336"/>
    <n v="228"/>
    <n v="324"/>
    <n v="228"/>
    <n v="480"/>
    <n v="468"/>
    <n v="228"/>
    <n v="252"/>
    <n v="528"/>
    <n v="312"/>
    <n v="1104"/>
    <n v="192"/>
    <n v="660"/>
    <n v="12"/>
    <n v="1464"/>
    <n v="288"/>
    <n v="372"/>
    <n v="0"/>
  </r>
  <r>
    <s v="L'Oreal"/>
    <x v="0"/>
    <x v="0"/>
    <x v="0"/>
    <x v="1"/>
    <n v="7509552848021"/>
    <x v="16"/>
    <x v="59"/>
    <x v="7"/>
    <n v="0"/>
    <n v="1164"/>
    <n v="180"/>
    <n v="204"/>
    <n v="72"/>
    <n v="48"/>
    <n v="132"/>
    <n v="72"/>
    <n v="84"/>
    <n v="96"/>
    <n v="108"/>
    <n v="120"/>
    <n v="720"/>
    <n v="156"/>
    <n v="72"/>
    <n v="48"/>
    <n v="240"/>
    <n v="24"/>
    <n v="264"/>
    <n v="56"/>
    <n v="0"/>
    <n v="192"/>
    <n v="0"/>
    <n v="0"/>
    <n v="0"/>
    <n v="60"/>
    <n v="60"/>
    <n v="228"/>
    <n v="144"/>
    <n v="120"/>
    <n v="84"/>
    <n v="192"/>
    <n v="204"/>
    <n v="300"/>
    <n v="384"/>
    <n v="0"/>
    <n v="0"/>
    <n v="0"/>
    <n v="0"/>
    <n v="0"/>
    <n v="0"/>
    <n v="0"/>
  </r>
  <r>
    <s v="L'Oreal"/>
    <x v="0"/>
    <x v="0"/>
    <x v="0"/>
    <x v="1"/>
    <n v="7509552848038"/>
    <x v="16"/>
    <x v="60"/>
    <x v="7"/>
    <n v="120"/>
    <n v="816"/>
    <n v="204"/>
    <n v="180"/>
    <n v="108"/>
    <n v="132"/>
    <n v="168"/>
    <n v="48"/>
    <n v="216"/>
    <n v="156"/>
    <n v="144"/>
    <n v="156"/>
    <n v="816"/>
    <n v="120"/>
    <n v="144"/>
    <n v="132"/>
    <n v="180"/>
    <n v="156"/>
    <n v="216"/>
    <n v="96"/>
    <n v="324"/>
    <n v="204"/>
    <n v="192"/>
    <n v="132"/>
    <n v="432"/>
    <n v="168"/>
    <n v="336"/>
    <n v="108"/>
    <n v="204"/>
    <n v="180"/>
    <n v="144"/>
    <n v="168"/>
    <n v="372"/>
    <n v="276"/>
    <n v="852"/>
    <n v="0"/>
    <n v="0"/>
    <n v="0"/>
    <n v="0"/>
    <n v="0"/>
    <n v="0"/>
    <n v="0"/>
  </r>
  <r>
    <s v="L'Oreal"/>
    <x v="0"/>
    <x v="0"/>
    <x v="0"/>
    <x v="1"/>
    <n v="7509552848045"/>
    <x v="2"/>
    <x v="61"/>
    <x v="7"/>
    <n v="0"/>
    <n v="504"/>
    <n v="720"/>
    <n v="36"/>
    <n v="156"/>
    <n v="72"/>
    <n v="312"/>
    <n v="108"/>
    <n v="204"/>
    <n v="192"/>
    <n v="216"/>
    <n v="252"/>
    <n v="96"/>
    <n v="120"/>
    <n v="192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8052"/>
    <x v="12"/>
    <x v="62"/>
    <x v="7"/>
    <n v="0"/>
    <n v="960"/>
    <n v="3288"/>
    <n v="168"/>
    <n v="108"/>
    <n v="84"/>
    <n v="108"/>
    <n v="72"/>
    <n v="504"/>
    <n v="120"/>
    <n v="168"/>
    <n v="192"/>
    <n v="300"/>
    <n v="96"/>
    <n v="216"/>
    <n v="120"/>
    <n v="144"/>
    <n v="60"/>
    <n v="36"/>
    <n v="84"/>
    <n v="192"/>
    <n v="168"/>
    <n v="96"/>
    <n v="120"/>
    <n v="108"/>
    <n v="36"/>
    <n v="24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8069"/>
    <x v="10"/>
    <x v="63"/>
    <x v="7"/>
    <n v="0"/>
    <n v="0"/>
    <n v="1080"/>
    <n v="408"/>
    <n v="156"/>
    <n v="48"/>
    <n v="108"/>
    <n v="96"/>
    <n v="252"/>
    <n v="156"/>
    <n v="156"/>
    <n v="120"/>
    <n v="708"/>
    <n v="60"/>
    <n v="132"/>
    <n v="144"/>
    <n v="144"/>
    <n v="144"/>
    <n v="24"/>
    <n v="24"/>
    <n v="240"/>
    <n v="228"/>
    <n v="156"/>
    <n v="60"/>
    <n v="120"/>
    <n v="108"/>
    <n v="60"/>
    <n v="72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848076"/>
    <x v="3"/>
    <x v="64"/>
    <x v="7"/>
    <n v="0"/>
    <n v="0"/>
    <n v="3168"/>
    <n v="336"/>
    <n v="876"/>
    <n v="396"/>
    <n v="798"/>
    <n v="876"/>
    <n v="1314"/>
    <n v="1224"/>
    <n v="456"/>
    <n v="888"/>
    <n v="1146"/>
    <n v="1224"/>
    <n v="2124"/>
    <n v="576"/>
    <n v="648"/>
    <n v="528"/>
    <n v="450"/>
    <n v="756"/>
    <n v="1242"/>
    <n v="396"/>
    <n v="1020"/>
    <n v="630"/>
    <n v="1470"/>
    <n v="600"/>
    <n v="582"/>
    <n v="870"/>
    <n v="1050"/>
    <n v="504"/>
    <n v="336"/>
    <n v="1686"/>
    <n v="1152"/>
    <n v="1506"/>
    <n v="1086"/>
    <n v="2160"/>
    <n v="936"/>
    <n v="2400"/>
    <n v="1764"/>
    <n v="2514"/>
    <n v="588"/>
    <n v="768"/>
  </r>
  <r>
    <s v="L'Oreal"/>
    <x v="0"/>
    <x v="0"/>
    <x v="0"/>
    <x v="1"/>
    <n v="7509552859119"/>
    <x v="6"/>
    <x v="65"/>
    <x v="5"/>
    <n v="0"/>
    <n v="0"/>
    <n v="0"/>
    <n v="0"/>
    <n v="0"/>
    <n v="0"/>
    <n v="0"/>
    <n v="0"/>
    <n v="0"/>
    <n v="0"/>
    <n v="0"/>
    <n v="0"/>
    <n v="0"/>
    <n v="24"/>
    <n v="12"/>
    <n v="18"/>
    <n v="12"/>
    <n v="48"/>
    <n v="12"/>
    <n v="0"/>
    <n v="6"/>
    <n v="6"/>
    <n v="66"/>
    <n v="0"/>
    <n v="0"/>
    <n v="18"/>
    <n v="74"/>
    <n v="30"/>
    <n v="24"/>
    <n v="12"/>
    <n v="36"/>
    <n v="0"/>
    <n v="72"/>
    <n v="24"/>
    <n v="4"/>
    <n v="0"/>
    <n v="0"/>
    <n v="0"/>
    <n v="18"/>
    <n v="42"/>
    <n v="0"/>
    <n v="30"/>
  </r>
  <r>
    <s v="L'Oreal"/>
    <x v="0"/>
    <x v="0"/>
    <x v="0"/>
    <x v="1"/>
    <n v="7509552874952"/>
    <x v="17"/>
    <x v="66"/>
    <x v="7"/>
    <n v="0"/>
    <n v="0"/>
    <n v="0"/>
    <n v="0"/>
    <n v="0"/>
    <n v="0"/>
    <n v="0"/>
    <n v="0"/>
    <n v="0"/>
    <n v="0"/>
    <n v="0"/>
    <n v="0"/>
    <n v="0"/>
    <n v="0"/>
    <n v="948"/>
    <n v="4980"/>
    <n v="2004"/>
    <n v="3408"/>
    <n v="1886"/>
    <n v="1578"/>
    <n v="2940"/>
    <n v="660"/>
    <n v="588"/>
    <n v="1296"/>
    <n v="2436"/>
    <n v="1530"/>
    <n v="2400"/>
    <n v="828"/>
    <n v="3198"/>
    <n v="2604"/>
    <n v="2154"/>
    <n v="3738"/>
    <n v="3564"/>
    <n v="3108"/>
    <n v="1608"/>
    <n v="2892"/>
    <n v="4062"/>
    <n v="2898"/>
    <n v="2178"/>
    <n v="3162"/>
    <n v="2946"/>
    <n v="2142"/>
  </r>
  <r>
    <s v="L'Oreal"/>
    <x v="0"/>
    <x v="0"/>
    <x v="0"/>
    <x v="1"/>
    <n v="7509552874983"/>
    <x v="17"/>
    <x v="67"/>
    <x v="6"/>
    <n v="0"/>
    <n v="0"/>
    <n v="0"/>
    <n v="0"/>
    <n v="0"/>
    <n v="0"/>
    <n v="0"/>
    <n v="0"/>
    <n v="0"/>
    <n v="0"/>
    <n v="0"/>
    <n v="0"/>
    <n v="0"/>
    <n v="0"/>
    <n v="888"/>
    <n v="3408"/>
    <n v="960"/>
    <n v="1056"/>
    <n v="1038"/>
    <n v="1056"/>
    <n v="2202"/>
    <n v="570"/>
    <n v="684"/>
    <n v="1182"/>
    <n v="1308"/>
    <n v="960"/>
    <n v="624"/>
    <n v="300"/>
    <n v="444"/>
    <n v="804"/>
    <n v="354"/>
    <n v="582"/>
    <n v="672"/>
    <n v="624"/>
    <n v="1518"/>
    <n v="1632"/>
    <n v="1788"/>
    <n v="1458"/>
    <n v="2100"/>
    <n v="1776"/>
    <n v="1416"/>
    <n v="1236"/>
  </r>
  <r>
    <s v="L'Oreal"/>
    <x v="0"/>
    <x v="0"/>
    <x v="0"/>
    <x v="1"/>
    <n v="7509552875010"/>
    <x v="17"/>
    <x v="68"/>
    <x v="7"/>
    <n v="0"/>
    <n v="0"/>
    <n v="0"/>
    <n v="0"/>
    <n v="0"/>
    <n v="0"/>
    <n v="0"/>
    <n v="0"/>
    <n v="0"/>
    <n v="0"/>
    <n v="0"/>
    <n v="0"/>
    <n v="0"/>
    <n v="0"/>
    <n v="948"/>
    <n v="5412"/>
    <n v="1860"/>
    <n v="2820"/>
    <n v="1916"/>
    <n v="1818"/>
    <n v="3462"/>
    <n v="810"/>
    <n v="840"/>
    <n v="1542"/>
    <n v="2316"/>
    <n v="2790"/>
    <n v="1608"/>
    <n v="744"/>
    <n v="864"/>
    <n v="948"/>
    <n v="750"/>
    <n v="2070"/>
    <n v="1056"/>
    <n v="1008"/>
    <n v="1830"/>
    <n v="2808"/>
    <n v="2508"/>
    <n v="3090"/>
    <n v="2700"/>
    <n v="2256"/>
    <n v="1620"/>
    <n v="1440"/>
  </r>
  <r>
    <s v="L'Oreal"/>
    <x v="0"/>
    <x v="0"/>
    <x v="0"/>
    <x v="1"/>
    <n v="7509552875409"/>
    <x v="17"/>
    <x v="69"/>
    <x v="5"/>
    <n v="0"/>
    <n v="0"/>
    <n v="0"/>
    <n v="0"/>
    <n v="0"/>
    <n v="0"/>
    <n v="0"/>
    <n v="0"/>
    <n v="0"/>
    <n v="0"/>
    <n v="0"/>
    <n v="0"/>
    <n v="0"/>
    <n v="0"/>
    <n v="462"/>
    <n v="3078"/>
    <n v="702"/>
    <n v="456"/>
    <n v="540"/>
    <n v="498"/>
    <n v="654"/>
    <n v="156"/>
    <n v="210"/>
    <n v="414"/>
    <n v="636"/>
    <n v="522"/>
    <n v="114"/>
    <n v="588"/>
    <n v="486"/>
    <n v="426"/>
    <n v="234"/>
    <n v="642"/>
    <n v="258"/>
    <n v="84"/>
    <n v="648"/>
    <n v="594"/>
    <n v="1176"/>
    <n v="342"/>
    <n v="942"/>
    <n v="480"/>
    <n v="516"/>
    <n v="504"/>
  </r>
  <r>
    <s v="L'Oreal"/>
    <x v="0"/>
    <x v="0"/>
    <x v="0"/>
    <x v="1"/>
    <n v="7509552876413"/>
    <x v="17"/>
    <x v="7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2988"/>
    <n v="1944"/>
    <n v="348"/>
    <n v="756"/>
    <n v="744"/>
    <n v="660"/>
    <n v="408"/>
    <n v="216"/>
    <n v="684"/>
    <n v="264"/>
    <n v="396"/>
    <n v="288"/>
    <n v="468"/>
    <n v="1068"/>
    <n v="612"/>
    <n v="768"/>
    <n v="720"/>
  </r>
  <r>
    <s v="L'Oreal"/>
    <x v="0"/>
    <x v="0"/>
    <x v="0"/>
    <x v="1"/>
    <n v="7509552876420"/>
    <x v="17"/>
    <x v="7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2760"/>
    <n v="2100"/>
    <n v="336"/>
    <n v="2742"/>
    <n v="2340"/>
    <n v="1566"/>
    <n v="2250"/>
    <n v="1728"/>
    <n v="2484"/>
    <n v="588"/>
    <n v="1608"/>
    <n v="2106"/>
    <n v="738"/>
    <n v="1962"/>
    <n v="2478"/>
    <n v="2478"/>
    <n v="1998"/>
  </r>
  <r>
    <s v="L'Oreal"/>
    <x v="0"/>
    <x v="0"/>
    <x v="0"/>
    <x v="1"/>
    <n v="7509552876642"/>
    <x v="17"/>
    <x v="7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6"/>
    <n v="534"/>
    <n v="12"/>
    <n v="132"/>
    <n v="198"/>
    <n v="24"/>
    <n v="24"/>
    <n v="60"/>
    <n v="12"/>
    <n v="0"/>
    <n v="36"/>
    <n v="84"/>
    <n v="24"/>
    <n v="24"/>
    <n v="36"/>
    <n v="60"/>
    <n v="84"/>
    <n v="48"/>
    <n v="42"/>
    <n v="2328"/>
    <n v="36"/>
    <n v="0"/>
    <n v="0"/>
  </r>
  <r>
    <s v="L'Oreal"/>
    <x v="0"/>
    <x v="0"/>
    <x v="0"/>
    <x v="1"/>
    <n v="7509552889543"/>
    <x v="2"/>
    <x v="7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6"/>
    <n v="2280"/>
    <n v="972"/>
    <n v="636"/>
    <n v="48"/>
    <n v="948"/>
    <n v="-12"/>
    <n v="864"/>
    <n v="1308"/>
    <n v="600"/>
    <n v="540"/>
    <n v="408"/>
    <n v="396"/>
    <n v="504"/>
    <n v="528"/>
    <n v="1248"/>
    <n v="552"/>
    <n v="396"/>
    <n v="480"/>
    <n v="528"/>
  </r>
  <r>
    <s v="L'Oreal"/>
    <x v="0"/>
    <x v="0"/>
    <x v="0"/>
    <x v="1"/>
    <n v="7509552889574"/>
    <x v="2"/>
    <x v="7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6"/>
    <n v="1740"/>
    <n v="1272"/>
    <n v="1080"/>
    <n v="648"/>
    <n v="408"/>
    <n v="312"/>
    <n v="660"/>
    <n v="300"/>
    <n v="204"/>
    <n v="300"/>
    <n v="348"/>
    <n v="360"/>
    <n v="288"/>
    <n v="516"/>
    <n v="900"/>
    <n v="432"/>
    <n v="252"/>
    <n v="252"/>
    <n v="372"/>
  </r>
  <r>
    <s v="L'Oreal"/>
    <x v="0"/>
    <x v="0"/>
    <x v="0"/>
    <x v="1"/>
    <n v="7509552889598"/>
    <x v="2"/>
    <x v="7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294"/>
    <n v="42"/>
    <n v="-6"/>
    <n v="0"/>
    <n v="1170"/>
    <n v="318"/>
    <n v="150"/>
    <n v="198"/>
    <n v="96"/>
    <n v="138"/>
    <n v="156"/>
    <n v="108"/>
    <n v="66"/>
    <n v="174"/>
    <n v="264"/>
    <n v="150"/>
    <n v="132"/>
    <n v="120"/>
    <n v="186"/>
  </r>
  <r>
    <s v="L'Oreal"/>
    <x v="0"/>
    <x v="0"/>
    <x v="0"/>
    <x v="1"/>
    <n v="7509552902082"/>
    <x v="2"/>
    <x v="7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8"/>
    <n v="912"/>
    <n v="300"/>
    <n v="414"/>
    <n v="126"/>
    <n v="174"/>
    <n v="252"/>
    <n v="186"/>
    <n v="84"/>
    <n v="30"/>
    <n v="48"/>
    <n v="162"/>
    <n v="60"/>
    <n v="36"/>
    <n v="54"/>
    <n v="162"/>
    <n v="294"/>
    <n v="36"/>
    <n v="42"/>
    <n v="36"/>
  </r>
  <r>
    <s v="L'Oreal"/>
    <x v="0"/>
    <x v="0"/>
    <x v="0"/>
    <x v="1"/>
    <n v="7509552902112"/>
    <x v="13"/>
    <x v="7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8"/>
    <n v="1092"/>
    <n v="1236"/>
    <n v="348"/>
    <n v="708"/>
    <n v="768"/>
    <n v="924"/>
    <n v="768"/>
    <n v="924"/>
    <n v="648"/>
    <n v="1968"/>
    <n v="480"/>
    <n v="588"/>
    <n v="384"/>
  </r>
  <r>
    <s v="L'Oreal"/>
    <x v="0"/>
    <x v="0"/>
    <x v="0"/>
    <x v="1"/>
    <n v="7509552902341"/>
    <x v="13"/>
    <x v="7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44"/>
    <n v="636"/>
    <n v="2346"/>
    <n v="3510"/>
    <n v="426"/>
    <n v="3282"/>
    <n v="4980"/>
    <n v="1794"/>
    <n v="3144"/>
    <n v="3954"/>
    <n v="1578"/>
    <n v="3366"/>
    <n v="3354"/>
    <n v="2448"/>
    <n v="2220"/>
  </r>
  <r>
    <s v="L'Oreal"/>
    <x v="0"/>
    <x v="0"/>
    <x v="0"/>
    <x v="1"/>
    <n v="7509552902396"/>
    <x v="3"/>
    <x v="79"/>
    <x v="1"/>
    <n v="3186"/>
    <n v="2814"/>
    <n v="1908"/>
    <n v="1755"/>
    <n v="2382"/>
    <n v="2442"/>
    <n v="2052"/>
    <n v="2724"/>
    <n v="1770"/>
    <n v="2370"/>
    <n v="2508"/>
    <n v="1302"/>
    <n v="4284"/>
    <n v="1170"/>
    <n v="792"/>
    <n v="2058"/>
    <n v="1272"/>
    <n v="1614"/>
    <n v="1536"/>
    <n v="1086"/>
    <n v="2652"/>
    <n v="960"/>
    <n v="954"/>
    <n v="2160"/>
    <n v="1722"/>
    <n v="906"/>
    <n v="1074"/>
    <n v="2226"/>
    <n v="2286"/>
    <n v="2766"/>
    <n v="1218"/>
    <n v="1422"/>
    <n v="360"/>
    <n v="300"/>
    <n v="0"/>
    <n v="0"/>
    <n v="0"/>
    <n v="0"/>
    <n v="0"/>
    <n v="0"/>
    <n v="0"/>
    <n v="0"/>
  </r>
  <r>
    <s v="L'Oreal"/>
    <x v="0"/>
    <x v="0"/>
    <x v="0"/>
    <x v="1"/>
    <n v="7509552902402"/>
    <x v="15"/>
    <x v="8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12"/>
    <n v="228"/>
    <n v="192"/>
    <n v="264"/>
    <n v="60"/>
    <n v="84"/>
    <n v="204"/>
    <n v="132"/>
    <n v="120"/>
    <n v="60"/>
    <n v="168"/>
    <n v="156"/>
    <n v="60"/>
  </r>
  <r>
    <s v="L'Oreal"/>
    <x v="0"/>
    <x v="0"/>
    <x v="0"/>
    <x v="1"/>
    <n v="7509552902532"/>
    <x v="4"/>
    <x v="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4"/>
    <n v="0"/>
    <n v="228"/>
    <n v="60"/>
    <n v="924"/>
    <n v="360"/>
    <n v="312"/>
    <n v="576"/>
    <n v="636"/>
    <n v="324"/>
    <n v="240"/>
    <n v="348"/>
    <n v="552"/>
  </r>
  <r>
    <s v="L'Oreal"/>
    <x v="0"/>
    <x v="0"/>
    <x v="0"/>
    <x v="1"/>
    <n v="7509552902747"/>
    <x v="4"/>
    <x v="82"/>
    <x v="1"/>
    <n v="2088"/>
    <n v="2904"/>
    <n v="3662"/>
    <n v="4258"/>
    <n v="4386"/>
    <n v="2922"/>
    <n v="1938"/>
    <n v="4200"/>
    <n v="2442"/>
    <n v="2184"/>
    <n v="3978"/>
    <n v="2568"/>
    <n v="5898"/>
    <n v="3342"/>
    <n v="3300"/>
    <n v="2898"/>
    <n v="744"/>
    <n v="2496"/>
    <n v="1932"/>
    <n v="1842"/>
    <n v="2802"/>
    <n v="1464"/>
    <n v="1194"/>
    <n v="2610"/>
    <n v="3072"/>
    <n v="4608"/>
    <n v="2820"/>
    <n v="4404"/>
    <n v="2262"/>
    <n v="2790"/>
    <n v="1632"/>
    <n v="3450"/>
    <n v="1164"/>
    <n v="2544"/>
    <n v="1656"/>
    <n v="0"/>
    <n v="0"/>
    <n v="0"/>
    <n v="0"/>
    <n v="0"/>
    <n v="0"/>
    <n v="0"/>
  </r>
  <r>
    <s v="L'Oreal"/>
    <x v="0"/>
    <x v="0"/>
    <x v="0"/>
    <x v="1"/>
    <n v="7509552903348"/>
    <x v="3"/>
    <x v="83"/>
    <x v="5"/>
    <n v="147"/>
    <n v="126"/>
    <n v="156"/>
    <n v="195"/>
    <n v="99"/>
    <n v="150"/>
    <n v="102"/>
    <n v="30"/>
    <n v="75"/>
    <n v="174"/>
    <n v="93"/>
    <n v="60"/>
    <n v="183"/>
    <n v="219"/>
    <n v="18"/>
    <n v="93"/>
    <n v="60"/>
    <n v="174"/>
    <n v="24"/>
    <n v="63"/>
    <n v="120"/>
    <n v="27"/>
    <n v="57"/>
    <n v="69"/>
    <n v="63"/>
    <n v="6"/>
    <n v="45"/>
    <n v="426"/>
    <n v="24"/>
    <n v="57"/>
    <n v="54"/>
    <n v="72"/>
    <n v="33"/>
    <n v="6"/>
    <n v="27"/>
    <n v="222"/>
    <n v="231"/>
    <n v="216"/>
    <n v="0"/>
    <n v="3"/>
    <n v="66"/>
    <n v="216"/>
  </r>
  <r>
    <s v="L'Oreal"/>
    <x v="0"/>
    <x v="0"/>
    <x v="0"/>
    <x v="1"/>
    <n v="7509552903362"/>
    <x v="4"/>
    <x v="84"/>
    <x v="8"/>
    <n v="507"/>
    <n v="57"/>
    <n v="363"/>
    <n v="828"/>
    <n v="312"/>
    <n v="261"/>
    <n v="228"/>
    <n v="147"/>
    <n v="207"/>
    <n v="363"/>
    <n v="381"/>
    <n v="234"/>
    <n v="366"/>
    <n v="645"/>
    <n v="78"/>
    <n v="492"/>
    <n v="129"/>
    <n v="246"/>
    <n v="147"/>
    <n v="198"/>
    <n v="576"/>
    <n v="186"/>
    <n v="111"/>
    <n v="459"/>
    <n v="567"/>
    <n v="72"/>
    <n v="324"/>
    <n v="822"/>
    <n v="351"/>
    <n v="333"/>
    <n v="129"/>
    <n v="408"/>
    <n v="309"/>
    <n v="432"/>
    <n v="410"/>
    <n v="276"/>
    <n v="897"/>
    <n v="573"/>
    <n v="510"/>
    <n v="522"/>
    <n v="384"/>
    <n v="507"/>
  </r>
  <r>
    <s v="L'Oreal"/>
    <x v="0"/>
    <x v="0"/>
    <x v="0"/>
    <x v="1"/>
    <n v="7509552903416"/>
    <x v="4"/>
    <x v="8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6"/>
    <n v="1860"/>
    <n v="1908"/>
    <n v="1236"/>
    <n v="1710"/>
    <n v="3048"/>
  </r>
  <r>
    <s v="L'Oreal"/>
    <x v="0"/>
    <x v="0"/>
    <x v="0"/>
    <x v="1"/>
    <n v="7509552903423"/>
    <x v="3"/>
    <x v="8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24"/>
    <n v="0"/>
    <n v="96"/>
    <n v="3090"/>
    <n v="192"/>
    <n v="1146"/>
    <n v="3390"/>
    <n v="2268"/>
    <n v="2970"/>
    <n v="2610"/>
    <n v="2628"/>
    <n v="1452"/>
  </r>
  <r>
    <s v="L'Oreal"/>
    <x v="0"/>
    <x v="0"/>
    <x v="0"/>
    <x v="1"/>
    <n v="7509552904819"/>
    <x v="18"/>
    <x v="87"/>
    <x v="9"/>
    <n v="558"/>
    <n v="420"/>
    <n v="216"/>
    <n v="126"/>
    <n v="174"/>
    <n v="270"/>
    <n v="180"/>
    <n v="126"/>
    <n v="162"/>
    <n v="330"/>
    <n v="168"/>
    <n v="318"/>
    <n v="372"/>
    <n v="336"/>
    <n v="84"/>
    <n v="102"/>
    <n v="324"/>
    <n v="108"/>
    <n v="6"/>
    <n v="9"/>
    <n v="0"/>
    <n v="0"/>
    <n v="126"/>
    <n v="402"/>
    <n v="252"/>
    <n v="0"/>
    <n v="0"/>
    <n v="492"/>
    <n v="324"/>
    <n v="570"/>
    <n v="264"/>
    <n v="381"/>
    <n v="186"/>
    <n v="282"/>
    <n v="174"/>
    <n v="159"/>
    <n v="966"/>
    <n v="-252"/>
    <n v="642"/>
    <n v="888"/>
    <n v="336"/>
    <n v="630"/>
  </r>
  <r>
    <s v="L'Oreal"/>
    <x v="0"/>
    <x v="0"/>
    <x v="0"/>
    <x v="1"/>
    <n v="7509552906950"/>
    <x v="15"/>
    <x v="88"/>
    <x v="4"/>
    <n v="252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06974"/>
    <x v="15"/>
    <x v="89"/>
    <x v="4"/>
    <n v="216"/>
    <n v="48"/>
    <n v="24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06998"/>
    <x v="15"/>
    <x v="90"/>
    <x v="5"/>
    <n v="0"/>
    <n v="0"/>
    <n v="0"/>
    <n v="0"/>
    <n v="0"/>
    <n v="60"/>
    <n v="390"/>
    <n v="99"/>
    <n v="126"/>
    <n v="330"/>
    <n v="144"/>
    <n v="171"/>
    <n v="324"/>
    <n v="231"/>
    <n v="162"/>
    <n v="66"/>
    <n v="0"/>
    <n v="207"/>
    <n v="147"/>
    <n v="135"/>
    <n v="84"/>
    <n v="177"/>
    <n v="261"/>
    <n v="165"/>
    <n v="159"/>
    <n v="171"/>
    <n v="30"/>
    <n v="225"/>
    <n v="291"/>
    <n v="69"/>
    <n v="0"/>
    <n v="201"/>
    <n v="66"/>
    <n v="210"/>
    <n v="204"/>
    <n v="197"/>
    <n v="399"/>
    <n v="390"/>
    <n v="0"/>
    <n v="0"/>
    <n v="0"/>
    <n v="351"/>
  </r>
  <r>
    <s v="L'Oreal"/>
    <x v="0"/>
    <x v="0"/>
    <x v="0"/>
    <x v="1"/>
    <n v="7509552907759"/>
    <x v="3"/>
    <x v="9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2"/>
    <n v="1020"/>
    <n v="948"/>
    <n v="744"/>
    <n v="708"/>
    <n v="756"/>
    <n v="1680"/>
    <n v="780"/>
    <n v="1056"/>
    <n v="948"/>
    <n v="708"/>
    <n v="432"/>
    <n v="660"/>
    <n v="984"/>
  </r>
  <r>
    <s v="L'Oreal"/>
    <x v="0"/>
    <x v="0"/>
    <x v="0"/>
    <x v="1"/>
    <n v="7509552908459"/>
    <x v="6"/>
    <x v="92"/>
    <x v="4"/>
    <n v="600"/>
    <n v="96"/>
    <n v="36"/>
    <n v="84"/>
    <n v="24"/>
    <n v="0"/>
    <n v="-24"/>
    <n v="0"/>
    <n v="0"/>
    <n v="0"/>
    <n v="0"/>
    <n v="0"/>
    <n v="0"/>
    <n v="0"/>
    <n v="0"/>
    <n v="0"/>
    <n v="0"/>
    <n v="0"/>
    <n v="0"/>
    <n v="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08497"/>
    <x v="6"/>
    <x v="93"/>
    <x v="4"/>
    <n v="412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08527"/>
    <x v="7"/>
    <x v="94"/>
    <x v="4"/>
    <n v="324"/>
    <n v="648"/>
    <n v="48"/>
    <n v="120"/>
    <n v="12"/>
    <n v="0"/>
    <n v="0"/>
    <n v="0"/>
    <n v="0"/>
    <n v="2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08558"/>
    <x v="7"/>
    <x v="95"/>
    <x v="4"/>
    <n v="420"/>
    <n v="132"/>
    <n v="108"/>
    <n v="84"/>
    <n v="48"/>
    <n v="12"/>
    <n v="132"/>
    <n v="60"/>
    <n v="12"/>
    <n v="60"/>
    <n v="36"/>
    <n v="60"/>
    <n v="120"/>
    <n v="12"/>
    <n v="12"/>
    <n v="0"/>
    <n v="0"/>
    <n v="0"/>
    <n v="12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08572"/>
    <x v="7"/>
    <x v="96"/>
    <x v="5"/>
    <n v="633"/>
    <n v="216"/>
    <n v="246"/>
    <n v="291"/>
    <n v="279"/>
    <n v="204"/>
    <n v="150"/>
    <n v="120"/>
    <n v="423"/>
    <n v="138"/>
    <n v="246"/>
    <n v="333"/>
    <n v="216"/>
    <n v="573"/>
    <n v="63"/>
    <n v="0"/>
    <n v="0"/>
    <n v="204"/>
    <n v="186"/>
    <n v="153"/>
    <n v="234"/>
    <n v="72"/>
    <n v="108"/>
    <n v="111"/>
    <n v="225"/>
    <n v="234"/>
    <n v="96"/>
    <n v="168"/>
    <n v="270"/>
    <n v="378"/>
    <n v="120"/>
    <n v="240"/>
    <n v="51"/>
    <n v="180"/>
    <n v="153"/>
    <n v="216"/>
    <n v="402"/>
    <n v="300"/>
    <n v="240"/>
    <n v="192"/>
    <n v="126"/>
    <n v="480"/>
  </r>
  <r>
    <s v="L'Oreal"/>
    <x v="0"/>
    <x v="0"/>
    <x v="0"/>
    <x v="1"/>
    <n v="7509552910957"/>
    <x v="19"/>
    <x v="97"/>
    <x v="1"/>
    <n v="276"/>
    <n v="0"/>
    <n v="0"/>
    <n v="0"/>
    <n v="0"/>
    <n v="0"/>
    <n v="0"/>
    <n v="0"/>
    <n v="0"/>
    <n v="0"/>
    <n v="408"/>
    <n v="96"/>
    <n v="252"/>
    <n v="156"/>
    <n v="612"/>
    <n v="228"/>
    <n v="144"/>
    <n v="10"/>
    <n v="48"/>
    <n v="48"/>
    <n v="36"/>
    <n v="144"/>
    <n v="24"/>
    <n v="108"/>
    <n v="708"/>
    <n v="108"/>
    <n v="96"/>
    <n v="444"/>
    <n v="108"/>
    <n v="60"/>
    <n v="84"/>
    <n v="708"/>
    <n v="204"/>
    <n v="24"/>
    <n v="540"/>
    <n v="384"/>
    <n v="348"/>
    <n v="612"/>
    <n v="0"/>
    <n v="348"/>
    <n v="180"/>
    <n v="144"/>
  </r>
  <r>
    <s v="L'Oreal"/>
    <x v="0"/>
    <x v="0"/>
    <x v="0"/>
    <x v="1"/>
    <n v="7509552911411"/>
    <x v="16"/>
    <x v="98"/>
    <x v="4"/>
    <n v="156"/>
    <n v="24"/>
    <n v="12"/>
    <n v="0"/>
    <n v="0"/>
    <n v="0"/>
    <n v="1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11473"/>
    <x v="16"/>
    <x v="99"/>
    <x v="5"/>
    <n v="435"/>
    <n v="117"/>
    <n v="270"/>
    <n v="360"/>
    <n v="117"/>
    <n v="132"/>
    <n v="102"/>
    <n v="72"/>
    <n v="306"/>
    <n v="138"/>
    <n v="273"/>
    <n v="264"/>
    <n v="504"/>
    <n v="2"/>
    <n v="201"/>
    <n v="222"/>
    <n v="180"/>
    <n v="195"/>
    <n v="129"/>
    <n v="93"/>
    <n v="330"/>
    <n v="102"/>
    <n v="69"/>
    <n v="201"/>
    <n v="315"/>
    <n v="124"/>
    <n v="0"/>
    <n v="303"/>
    <n v="204"/>
    <n v="159"/>
    <n v="0"/>
    <n v="90"/>
    <n v="198"/>
    <n v="24"/>
    <n v="114"/>
    <n v="54"/>
    <n v="30"/>
    <n v="66"/>
    <n v="396"/>
    <n v="78"/>
    <n v="102"/>
    <n v="54"/>
  </r>
  <r>
    <s v="L'Oreal"/>
    <x v="0"/>
    <x v="0"/>
    <x v="0"/>
    <x v="1"/>
    <n v="7509552912883"/>
    <x v="2"/>
    <x v="100"/>
    <x v="4"/>
    <n v="336"/>
    <n v="108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12937"/>
    <x v="2"/>
    <x v="101"/>
    <x v="4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13002"/>
    <x v="8"/>
    <x v="102"/>
    <x v="4"/>
    <n v="336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13057"/>
    <x v="8"/>
    <x v="103"/>
    <x v="4"/>
    <n v="1450"/>
    <n v="204"/>
    <n v="96"/>
    <n v="120"/>
    <n v="84"/>
    <n v="0"/>
    <n v="-36"/>
    <n v="-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509552928549"/>
    <x v="20"/>
    <x v="10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5"/>
    <n v="3978"/>
    <n v="495"/>
    <n v="852"/>
    <n v="780"/>
    <n v="657"/>
    <n v="744"/>
    <n v="1257"/>
    <n v="1551"/>
    <n v="1605"/>
    <n v="1209"/>
    <n v="2049"/>
    <n v="1725"/>
    <n v="618"/>
    <n v="363"/>
    <n v="726"/>
  </r>
  <r>
    <s v="L'Oreal"/>
    <x v="0"/>
    <x v="0"/>
    <x v="0"/>
    <x v="1"/>
    <n v="7509552928563"/>
    <x v="20"/>
    <x v="10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1"/>
    <n v="1122"/>
    <n v="243"/>
    <n v="411"/>
    <n v="159"/>
    <n v="147"/>
    <n v="189"/>
    <n v="222"/>
    <n v="102"/>
    <n v="87"/>
    <n v="111"/>
    <n v="84"/>
    <n v="72"/>
  </r>
  <r>
    <s v="L'Oreal"/>
    <x v="0"/>
    <x v="0"/>
    <x v="0"/>
    <x v="1"/>
    <n v="7509552928594"/>
    <x v="20"/>
    <x v="106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8"/>
    <n v="4332"/>
    <n v="444"/>
    <n v="1032"/>
    <n v="516"/>
    <n v="1470"/>
    <n v="1896"/>
    <n v="1062"/>
    <n v="2184"/>
    <n v="4542"/>
    <n v="1890"/>
    <n v="2466"/>
    <n v="3588"/>
    <n v="3204"/>
    <n v="2448"/>
    <n v="1470"/>
  </r>
  <r>
    <s v="L'Oreal"/>
    <x v="0"/>
    <x v="0"/>
    <x v="0"/>
    <x v="1"/>
    <n v="7509552928617"/>
    <x v="20"/>
    <x v="10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0"/>
    <n v="6204"/>
    <n v="1680"/>
    <n v="3012"/>
    <n v="1248"/>
    <n v="2634"/>
    <n v="4428"/>
    <n v="2478"/>
    <n v="3120"/>
    <n v="6030"/>
    <n v="3522"/>
    <n v="4962"/>
    <n v="5748"/>
    <n v="4092"/>
    <n v="3144"/>
    <n v="2994"/>
  </r>
  <r>
    <s v="L'Oreal"/>
    <x v="0"/>
    <x v="0"/>
    <x v="0"/>
    <x v="1"/>
    <n v="7509552928624"/>
    <x v="20"/>
    <x v="10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0"/>
    <n v="3474"/>
    <n v="552"/>
    <n v="918"/>
    <n v="246"/>
    <n v="162"/>
    <n v="356"/>
    <n v="195"/>
    <n v="588"/>
    <n v="1116"/>
    <n v="666"/>
    <n v="2544"/>
    <n v="564"/>
    <n v="366"/>
    <n v="192"/>
    <n v="288"/>
  </r>
  <r>
    <s v="L'Oreal"/>
    <x v="0"/>
    <x v="0"/>
    <x v="0"/>
    <x v="1"/>
    <n v="7509552928877"/>
    <x v="20"/>
    <x v="109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6"/>
    <n v="486"/>
    <n v="378"/>
    <n v="318"/>
    <n v="444"/>
    <n v="294"/>
    <n v="114"/>
    <n v="246"/>
    <n v="372"/>
    <n v="162"/>
    <n v="108"/>
    <n v="264"/>
  </r>
  <r>
    <s v="L'Oreal"/>
    <x v="0"/>
    <x v="0"/>
    <x v="0"/>
    <x v="1"/>
    <n v="7509552930337"/>
    <x v="20"/>
    <x v="11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6"/>
    <n v="2538"/>
    <n v="3540"/>
    <n v="4914"/>
    <n v="1032"/>
    <n v="2106"/>
    <n v="4818"/>
    <n v="1842"/>
    <n v="3060"/>
    <n v="4794"/>
    <n v="4488"/>
    <n v="1902"/>
  </r>
  <r>
    <s v="L'Oreal"/>
    <x v="0"/>
    <x v="0"/>
    <x v="0"/>
    <x v="1"/>
    <n v="7509552931143"/>
    <x v="20"/>
    <x v="11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8"/>
    <n v="6120"/>
    <n v="1680"/>
    <n v="2856"/>
    <n v="972"/>
    <n v="2094"/>
    <n v="4476"/>
    <n v="3522"/>
    <n v="1704"/>
    <n v="2322"/>
    <n v="5226"/>
    <n v="3894"/>
    <n v="3324"/>
    <n v="4362"/>
    <n v="3852"/>
    <n v="1602"/>
  </r>
  <r>
    <s v="L'Oreal"/>
    <x v="0"/>
    <x v="0"/>
    <x v="0"/>
    <x v="1"/>
    <n v="7509552937343"/>
    <x v="20"/>
    <x v="11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0"/>
    <n v="2016"/>
    <n v="1464"/>
    <n v="1236"/>
    <n v="1260"/>
    <n v="1920"/>
    <n v="1068"/>
    <n v="780"/>
    <n v="2148"/>
    <n v="756"/>
    <n v="1320"/>
    <n v="564"/>
  </r>
  <r>
    <s v="L'Oreal"/>
    <x v="0"/>
    <x v="0"/>
    <x v="0"/>
    <x v="1"/>
    <n v="7509552961478"/>
    <x v="21"/>
    <x v="113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64"/>
  </r>
  <r>
    <s v="L'Oreal"/>
    <x v="0"/>
    <x v="0"/>
    <x v="0"/>
    <x v="1"/>
    <n v="7509552961485"/>
    <x v="21"/>
    <x v="11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88"/>
  </r>
  <r>
    <s v="L'Oreal"/>
    <x v="0"/>
    <x v="0"/>
    <x v="0"/>
    <x v="1"/>
    <n v="7509552961492"/>
    <x v="21"/>
    <x v="11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65"/>
  </r>
  <r>
    <s v="L'Oreal"/>
    <x v="0"/>
    <x v="0"/>
    <x v="0"/>
    <x v="1"/>
    <n v="7509552961515"/>
    <x v="21"/>
    <x v="11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64"/>
  </r>
  <r>
    <s v="L'Oreal"/>
    <x v="0"/>
    <x v="0"/>
    <x v="0"/>
    <x v="1"/>
    <n v="7509552964417"/>
    <x v="21"/>
    <x v="11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16"/>
  </r>
  <r>
    <s v="L'Oreal"/>
    <x v="0"/>
    <x v="0"/>
    <x v="0"/>
    <x v="1"/>
    <n v="7509552964554"/>
    <x v="21"/>
    <x v="11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64"/>
  </r>
  <r>
    <s v="L'Oreal"/>
    <x v="0"/>
    <x v="0"/>
    <x v="0"/>
    <x v="1"/>
    <n v="7509552970524"/>
    <x v="21"/>
    <x v="119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"/>
  </r>
  <r>
    <s v="L'Oreal"/>
    <x v="0"/>
    <x v="0"/>
    <x v="0"/>
    <x v="1"/>
    <n v="7898587761864"/>
    <x v="4"/>
    <x v="120"/>
    <x v="1"/>
    <n v="0"/>
    <n v="0"/>
    <n v="0"/>
    <n v="0"/>
    <n v="0"/>
    <n v="0"/>
    <n v="0"/>
    <n v="0"/>
    <n v="0"/>
    <n v="0"/>
    <n v="108"/>
    <n v="-72"/>
    <n v="36"/>
    <n v="36"/>
    <n v="72"/>
    <n v="-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898587762380"/>
    <x v="22"/>
    <x v="121"/>
    <x v="1"/>
    <n v="444"/>
    <n v="360"/>
    <n v="288"/>
    <n v="3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898587762403"/>
    <x v="22"/>
    <x v="122"/>
    <x v="4"/>
    <n v="492"/>
    <n v="420"/>
    <n v="216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898587762892"/>
    <x v="18"/>
    <x v="123"/>
    <x v="9"/>
    <n v="0"/>
    <n v="234"/>
    <n v="102"/>
    <n v="102"/>
    <n v="54"/>
    <n v="120"/>
    <n v="72"/>
    <n v="72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898587772518"/>
    <x v="15"/>
    <x v="124"/>
    <x v="1"/>
    <n v="132"/>
    <n v="180"/>
    <n v="204"/>
    <n v="264"/>
    <n v="84"/>
    <n v="96"/>
    <n v="84"/>
    <n v="12"/>
    <n v="252"/>
    <n v="144"/>
    <n v="60"/>
    <n v="180"/>
    <n v="252"/>
    <n v="84"/>
    <n v="144"/>
    <n v="96"/>
    <n v="360"/>
    <n v="24"/>
    <n v="24"/>
    <n v="48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898587774925"/>
    <x v="6"/>
    <x v="125"/>
    <x v="1"/>
    <n v="264"/>
    <n v="300"/>
    <n v="228"/>
    <n v="204"/>
    <n v="168"/>
    <n v="72"/>
    <n v="168"/>
    <n v="144"/>
    <n v="108"/>
    <n v="360"/>
    <n v="120"/>
    <n v="204"/>
    <n v="216"/>
    <n v="204"/>
    <n v="492"/>
    <n v="96"/>
    <n v="72"/>
    <n v="84"/>
    <n v="36"/>
    <n v="108"/>
    <n v="24"/>
    <n v="108"/>
    <n v="204"/>
    <n v="132"/>
    <n v="48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898587775021"/>
    <x v="11"/>
    <x v="126"/>
    <x v="1"/>
    <n v="-420"/>
    <n v="3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898587775120"/>
    <x v="11"/>
    <x v="127"/>
    <x v="1"/>
    <n v="408"/>
    <n v="168"/>
    <n v="276"/>
    <n v="276"/>
    <n v="168"/>
    <n v="192"/>
    <n v="228"/>
    <n v="156"/>
    <n v="288"/>
    <n v="444"/>
    <n v="276"/>
    <n v="504"/>
    <n v="444"/>
    <n v="288"/>
    <n v="432"/>
    <n v="336"/>
    <n v="756"/>
    <n v="180"/>
    <n v="216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899706154185"/>
    <x v="23"/>
    <x v="128"/>
    <x v="10"/>
    <n v="102"/>
    <n v="180"/>
    <n v="138"/>
    <n v="30"/>
    <n v="126"/>
    <n v="36"/>
    <n v="96"/>
    <n v="78"/>
    <n v="144"/>
    <n v="84"/>
    <n v="12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1"/>
    <n v="7899706182812"/>
    <x v="4"/>
    <x v="129"/>
    <x v="11"/>
    <n v="0"/>
    <n v="0"/>
    <n v="0"/>
    <n v="426"/>
    <n v="318"/>
    <n v="192"/>
    <n v="120"/>
    <n v="186"/>
    <n v="78"/>
    <n v="168"/>
    <n v="150"/>
    <n v="144"/>
    <n v="264"/>
    <n v="66"/>
    <n v="120"/>
    <n v="72"/>
    <n v="252"/>
    <n v="210"/>
    <n v="0"/>
    <n v="132"/>
    <n v="168"/>
    <n v="216"/>
    <n v="78"/>
    <n v="84"/>
    <n v="0"/>
    <n v="0"/>
    <n v="0"/>
    <n v="-12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2"/>
    <n v="71249341360"/>
    <x v="24"/>
    <x v="130"/>
    <x v="12"/>
    <n v="198"/>
    <n v="174"/>
    <n v="210"/>
    <n v="126"/>
    <n v="186"/>
    <n v="102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2"/>
    <n v="71249341377"/>
    <x v="24"/>
    <x v="131"/>
    <x v="12"/>
    <n v="144"/>
    <n v="186"/>
    <n v="78"/>
    <n v="15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2"/>
    <n v="71249341384"/>
    <x v="25"/>
    <x v="132"/>
    <x v="12"/>
    <n v="324"/>
    <n v="246"/>
    <n v="228"/>
    <n v="168"/>
    <n v="162"/>
    <n v="192"/>
    <n v="144"/>
    <n v="210"/>
    <n v="234"/>
    <n v="240"/>
    <n v="354"/>
    <n v="306"/>
    <n v="222"/>
    <n v="342"/>
    <n v="318"/>
    <n v="84"/>
    <n v="144"/>
    <n v="186"/>
    <n v="210"/>
    <n v="114"/>
    <n v="282"/>
    <n v="96"/>
    <n v="96"/>
    <n v="276"/>
    <n v="342"/>
    <n v="270"/>
    <n v="162"/>
    <n v="252"/>
    <n v="162"/>
    <n v="24"/>
    <n v="0"/>
    <n v="192"/>
    <n v="126"/>
    <n v="150"/>
    <n v="138"/>
    <n v="36"/>
    <n v="150"/>
    <n v="156"/>
    <n v="102"/>
    <n v="126"/>
    <n v="234"/>
    <n v="84"/>
  </r>
  <r>
    <s v="L'Oreal"/>
    <x v="0"/>
    <x v="0"/>
    <x v="0"/>
    <x v="2"/>
    <n v="71249341391"/>
    <x v="25"/>
    <x v="133"/>
    <x v="12"/>
    <n v="186"/>
    <n v="102"/>
    <n v="138"/>
    <n v="144"/>
    <n v="114"/>
    <n v="108"/>
    <n v="114"/>
    <n v="114"/>
    <n v="180"/>
    <n v="174"/>
    <n v="168"/>
    <n v="141"/>
    <n v="120"/>
    <n v="96"/>
    <n v="246"/>
    <n v="66"/>
    <n v="96"/>
    <n v="126"/>
    <n v="72"/>
    <n v="90"/>
    <n v="174"/>
    <n v="66"/>
    <n v="72"/>
    <n v="96"/>
    <n v="150"/>
    <n v="222"/>
    <n v="42"/>
    <n v="126"/>
    <n v="60"/>
    <n v="120"/>
    <n v="84"/>
    <n v="84"/>
    <n v="84"/>
    <n v="108"/>
    <n v="66"/>
    <n v="138"/>
    <n v="204"/>
    <n v="78"/>
    <n v="84"/>
    <n v="126"/>
    <n v="138"/>
    <n v="90"/>
  </r>
  <r>
    <s v="L'Oreal"/>
    <x v="0"/>
    <x v="0"/>
    <x v="0"/>
    <x v="2"/>
    <n v="71249341421"/>
    <x v="24"/>
    <x v="134"/>
    <x v="12"/>
    <n v="180"/>
    <n v="60"/>
    <n v="96"/>
    <n v="126"/>
    <n v="66"/>
    <n v="42"/>
    <n v="78"/>
    <n v="96"/>
    <n v="180"/>
    <n v="48"/>
    <n v="156"/>
    <n v="126"/>
    <n v="276"/>
    <n v="156"/>
    <n v="156"/>
    <n v="54"/>
    <n v="90"/>
    <n v="84"/>
    <n v="102"/>
    <n v="96"/>
    <n v="144"/>
    <n v="102"/>
    <n v="36"/>
    <n v="156"/>
    <n v="114"/>
    <n v="612"/>
    <n v="60"/>
    <n v="180"/>
    <n v="108"/>
    <n v="84"/>
    <n v="72"/>
    <n v="78"/>
    <n v="66"/>
    <n v="96"/>
    <n v="47"/>
    <n v="60"/>
    <n v="74"/>
    <n v="102"/>
    <n v="60"/>
    <n v="54"/>
    <n v="168"/>
    <n v="39"/>
  </r>
  <r>
    <s v="L'Oreal"/>
    <x v="0"/>
    <x v="0"/>
    <x v="0"/>
    <x v="2"/>
    <n v="71249341445"/>
    <x v="24"/>
    <x v="135"/>
    <x v="12"/>
    <n v="180"/>
    <n v="48"/>
    <n v="54"/>
    <n v="54"/>
    <n v="42"/>
    <n v="60"/>
    <n v="42"/>
    <n v="96"/>
    <n v="108"/>
    <n v="66"/>
    <n v="126"/>
    <n v="102"/>
    <n v="216"/>
    <n v="108"/>
    <n v="66"/>
    <n v="24"/>
    <n v="78"/>
    <n v="30"/>
    <n v="72"/>
    <n v="72"/>
    <n v="144"/>
    <n v="78"/>
    <n v="24"/>
    <n v="96"/>
    <n v="138"/>
    <n v="552"/>
    <n v="48"/>
    <n v="48"/>
    <n v="90"/>
    <n v="54"/>
    <n v="72"/>
    <n v="72"/>
    <n v="30"/>
    <n v="48"/>
    <n v="52"/>
    <n v="21"/>
    <n v="120"/>
    <n v="42"/>
    <n v="42"/>
    <n v="24"/>
    <n v="174"/>
    <n v="54"/>
  </r>
  <r>
    <s v="L'Oreal"/>
    <x v="0"/>
    <x v="0"/>
    <x v="0"/>
    <x v="2"/>
    <n v="71249395349"/>
    <x v="24"/>
    <x v="136"/>
    <x v="1"/>
    <n v="156"/>
    <n v="48"/>
    <n v="108"/>
    <n v="0"/>
    <n v="180"/>
    <n v="72"/>
    <n v="120"/>
    <n v="102"/>
    <n v="120"/>
    <n v="120"/>
    <n v="96"/>
    <n v="114"/>
    <n v="198"/>
    <n v="132"/>
    <n v="138"/>
    <n v="24"/>
    <n v="120"/>
    <n v="96"/>
    <n v="48"/>
    <n v="72"/>
    <n v="192"/>
    <n v="108"/>
    <n v="90"/>
    <n v="132"/>
    <n v="180"/>
    <n v="228"/>
    <n v="114"/>
    <n v="180"/>
    <n v="126"/>
    <n v="36"/>
    <n v="186"/>
    <n v="156"/>
    <n v="84"/>
    <n v="24"/>
    <n v="210"/>
    <n v="150"/>
    <n v="234"/>
    <n v="108"/>
    <n v="72"/>
    <n v="72"/>
    <n v="174"/>
    <n v="156"/>
  </r>
  <r>
    <s v="L'Oreal"/>
    <x v="0"/>
    <x v="0"/>
    <x v="0"/>
    <x v="2"/>
    <n v="71249395363"/>
    <x v="24"/>
    <x v="137"/>
    <x v="1"/>
    <n v="108"/>
    <n v="108"/>
    <n v="84"/>
    <n v="72"/>
    <n v="48"/>
    <n v="96"/>
    <n v="60"/>
    <n v="138"/>
    <n v="144"/>
    <n v="60"/>
    <n v="60"/>
    <n v="138"/>
    <n v="126"/>
    <n v="24"/>
    <n v="114"/>
    <n v="36"/>
    <n v="72"/>
    <n v="84"/>
    <n v="24"/>
    <n v="48"/>
    <n v="96"/>
    <n v="60"/>
    <n v="96"/>
    <n v="120"/>
    <n v="96"/>
    <n v="204"/>
    <n v="138"/>
    <n v="240"/>
    <n v="60"/>
    <n v="36"/>
    <n v="48"/>
    <n v="120"/>
    <n v="24"/>
    <n v="48"/>
    <n v="96"/>
    <n v="0"/>
    <n v="288"/>
    <n v="24"/>
    <n v="216"/>
    <n v="84"/>
    <n v="84"/>
    <n v="174"/>
  </r>
  <r>
    <s v="L'Oreal"/>
    <x v="0"/>
    <x v="0"/>
    <x v="0"/>
    <x v="2"/>
    <n v="71249406915"/>
    <x v="24"/>
    <x v="13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504"/>
    <n v="252"/>
    <n v="48"/>
    <n v="160"/>
    <n v="84"/>
    <n v="36"/>
    <n v="108"/>
    <n v="48"/>
    <n v="225"/>
  </r>
  <r>
    <s v="L'Oreal"/>
    <x v="0"/>
    <x v="0"/>
    <x v="0"/>
    <x v="2"/>
    <n v="71249406922"/>
    <x v="24"/>
    <x v="13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504"/>
    <n v="288"/>
    <n v="24"/>
    <n v="84"/>
    <n v="48"/>
    <n v="0"/>
    <n v="72"/>
    <n v="96"/>
    <n v="182"/>
  </r>
  <r>
    <s v="L'Oreal"/>
    <x v="0"/>
    <x v="0"/>
    <x v="0"/>
    <x v="2"/>
    <n v="71249645253"/>
    <x v="24"/>
    <x v="14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488"/>
    <n v="288"/>
    <n v="72"/>
    <n v="195"/>
    <n v="84"/>
    <n v="72"/>
    <n v="84"/>
    <n v="48"/>
    <n v="174"/>
  </r>
  <r>
    <s v="L'Oreal"/>
    <x v="0"/>
    <x v="0"/>
    <x v="0"/>
    <x v="2"/>
    <n v="71249645260"/>
    <x v="24"/>
    <x v="14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516"/>
    <n v="276"/>
    <n v="84"/>
    <n v="251"/>
    <n v="133"/>
    <n v="84"/>
    <n v="108"/>
    <n v="60"/>
    <n v="162"/>
  </r>
  <r>
    <s v="L'Oreal"/>
    <x v="0"/>
    <x v="0"/>
    <x v="0"/>
    <x v="2"/>
    <n v="71249672952"/>
    <x v="24"/>
    <x v="14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05"/>
    <n v="0"/>
    <n v="660"/>
    <n v="135"/>
    <n v="39"/>
    <n v="36"/>
    <n v="36"/>
    <n v="84"/>
    <n v="192"/>
  </r>
  <r>
    <s v="L'Oreal"/>
    <x v="0"/>
    <x v="0"/>
    <x v="0"/>
    <x v="3"/>
    <n v="603084082063"/>
    <x v="26"/>
    <x v="143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1092"/>
    <n v="1449"/>
    <n v="330"/>
    <n v="258"/>
    <n v="21"/>
    <n v="0"/>
    <n v="450"/>
    <n v="186"/>
    <n v="0"/>
    <n v="24"/>
    <n v="300"/>
    <n v="198"/>
    <n v="108"/>
    <n v="162"/>
    <n v="156"/>
    <n v="96"/>
    <n v="108"/>
    <n v="156"/>
    <n v="120"/>
    <n v="72"/>
    <n v="120"/>
    <n v="66"/>
    <n v="102"/>
    <n v="60"/>
    <n v="66"/>
  </r>
  <r>
    <s v="L'Oreal"/>
    <x v="0"/>
    <x v="0"/>
    <x v="0"/>
    <x v="3"/>
    <n v="3600542440622"/>
    <x v="27"/>
    <x v="144"/>
    <x v="14"/>
    <n v="0"/>
    <n v="0"/>
    <n v="0"/>
    <n v="0"/>
    <n v="0"/>
    <n v="12"/>
    <n v="588"/>
    <n v="372"/>
    <n v="0"/>
    <n v="24"/>
    <n v="24"/>
    <n v="24"/>
    <n v="24"/>
    <n v="60"/>
    <n v="12"/>
    <n v="0"/>
    <n v="36"/>
    <n v="12"/>
    <n v="24"/>
    <n v="0"/>
    <n v="0"/>
    <n v="0"/>
    <n v="48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3600542441162"/>
    <x v="27"/>
    <x v="145"/>
    <x v="14"/>
    <n v="0"/>
    <n v="0"/>
    <n v="0"/>
    <n v="0"/>
    <n v="0"/>
    <n v="12"/>
    <n v="504"/>
    <n v="384"/>
    <n v="0"/>
    <n v="24"/>
    <n v="24"/>
    <n v="60"/>
    <n v="48"/>
    <n v="24"/>
    <n v="24"/>
    <n v="12"/>
    <n v="84"/>
    <n v="12"/>
    <n v="0"/>
    <n v="12"/>
    <n v="12"/>
    <n v="36"/>
    <n v="36"/>
    <n v="12"/>
    <n v="12"/>
    <n v="12"/>
    <n v="12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3600542442497"/>
    <x v="27"/>
    <x v="146"/>
    <x v="14"/>
    <n v="0"/>
    <n v="0"/>
    <n v="0"/>
    <n v="0"/>
    <n v="0"/>
    <n v="12"/>
    <n v="516"/>
    <n v="384"/>
    <n v="0"/>
    <n v="24"/>
    <n v="24"/>
    <n v="60"/>
    <n v="24"/>
    <n v="12"/>
    <n v="36"/>
    <n v="12"/>
    <n v="36"/>
    <n v="0"/>
    <n v="24"/>
    <n v="36"/>
    <n v="12"/>
    <n v="0"/>
    <n v="12"/>
    <n v="12"/>
    <n v="24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3600542449298"/>
    <x v="27"/>
    <x v="147"/>
    <x v="14"/>
    <n v="0"/>
    <n v="0"/>
    <n v="0"/>
    <n v="0"/>
    <n v="0"/>
    <n v="12"/>
    <n v="576"/>
    <n v="372"/>
    <n v="12"/>
    <n v="0"/>
    <n v="24"/>
    <n v="48"/>
    <n v="12"/>
    <n v="36"/>
    <n v="0"/>
    <n v="24"/>
    <n v="0"/>
    <n v="12"/>
    <n v="0"/>
    <n v="24"/>
    <n v="24"/>
    <n v="0"/>
    <n v="72"/>
    <n v="24"/>
    <n v="0"/>
    <n v="12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792287"/>
    <x v="27"/>
    <x v="148"/>
    <x v="5"/>
    <n v="0"/>
    <n v="0"/>
    <n v="0"/>
    <n v="0"/>
    <n v="0"/>
    <n v="0"/>
    <n v="0"/>
    <n v="0"/>
    <n v="0"/>
    <n v="0"/>
    <n v="0"/>
    <n v="0"/>
    <n v="0"/>
    <n v="912"/>
    <n v="480"/>
    <n v="48"/>
    <n v="24"/>
    <n v="36"/>
    <n v="48"/>
    <n v="60"/>
    <n v="132"/>
    <n v="36"/>
    <n v="72"/>
    <n v="132"/>
    <n v="216"/>
    <n v="132"/>
    <n v="264"/>
    <n v="540"/>
    <n v="144"/>
    <n v="108"/>
    <n v="132"/>
    <n v="36"/>
    <n v="108"/>
    <n v="84"/>
    <n v="120"/>
    <n v="84"/>
    <n v="192"/>
    <n v="168"/>
    <n v="156"/>
    <n v="96"/>
    <n v="0"/>
    <n v="192"/>
  </r>
  <r>
    <s v="L'Oreal"/>
    <x v="0"/>
    <x v="0"/>
    <x v="0"/>
    <x v="3"/>
    <n v="7509552792294"/>
    <x v="27"/>
    <x v="149"/>
    <x v="5"/>
    <n v="0"/>
    <n v="0"/>
    <n v="0"/>
    <n v="0"/>
    <n v="0"/>
    <n v="0"/>
    <n v="0"/>
    <n v="0"/>
    <n v="0"/>
    <n v="0"/>
    <n v="0"/>
    <n v="0"/>
    <n v="0"/>
    <n v="900"/>
    <n v="468"/>
    <n v="24"/>
    <n v="24"/>
    <n v="48"/>
    <n v="0"/>
    <n v="72"/>
    <n v="48"/>
    <n v="36"/>
    <n v="168"/>
    <n v="36"/>
    <n v="72"/>
    <n v="204"/>
    <n v="672"/>
    <n v="108"/>
    <n v="156"/>
    <n v="108"/>
    <n v="96"/>
    <n v="60"/>
    <n v="84"/>
    <n v="144"/>
    <n v="108"/>
    <n v="84"/>
    <n v="120"/>
    <n v="120"/>
    <n v="144"/>
    <n v="36"/>
    <n v="0"/>
    <n v="0"/>
  </r>
  <r>
    <s v="L'Oreal"/>
    <x v="0"/>
    <x v="0"/>
    <x v="0"/>
    <x v="3"/>
    <n v="7509552792317"/>
    <x v="27"/>
    <x v="150"/>
    <x v="5"/>
    <n v="0"/>
    <n v="0"/>
    <n v="0"/>
    <n v="0"/>
    <n v="0"/>
    <n v="0"/>
    <n v="0"/>
    <n v="0"/>
    <n v="0"/>
    <n v="0"/>
    <n v="0"/>
    <n v="0"/>
    <n v="0"/>
    <n v="240"/>
    <n v="414"/>
    <n v="156"/>
    <n v="120"/>
    <n v="84"/>
    <n v="156"/>
    <n v="60"/>
    <n v="48"/>
    <n v="24"/>
    <n v="36"/>
    <n v="0"/>
    <n v="24"/>
    <n v="84"/>
    <n v="12"/>
    <n v="12"/>
    <n v="48"/>
    <n v="0"/>
    <n v="12"/>
    <n v="60"/>
    <n v="60"/>
    <n v="60"/>
    <n v="48"/>
    <n v="96"/>
    <n v="120"/>
    <n v="0"/>
    <n v="0"/>
    <n v="0"/>
    <n v="0"/>
    <n v="144"/>
  </r>
  <r>
    <s v="L'Oreal"/>
    <x v="0"/>
    <x v="0"/>
    <x v="0"/>
    <x v="3"/>
    <n v="7509552795608"/>
    <x v="28"/>
    <x v="151"/>
    <x v="5"/>
    <n v="0"/>
    <n v="0"/>
    <n v="0"/>
    <n v="0"/>
    <n v="897"/>
    <n v="519"/>
    <n v="84"/>
    <n v="45"/>
    <n v="75"/>
    <n v="105"/>
    <n v="39"/>
    <n v="39"/>
    <n v="129"/>
    <n v="120"/>
    <n v="18"/>
    <n v="75"/>
    <n v="231"/>
    <n v="33"/>
    <n v="63"/>
    <n v="141"/>
    <n v="102"/>
    <n v="15"/>
    <n v="84"/>
    <n v="69"/>
    <n v="84"/>
    <n v="105"/>
    <n v="75"/>
    <n v="111"/>
    <n v="81"/>
    <n v="60"/>
    <n v="78"/>
    <n v="39"/>
    <n v="21"/>
    <n v="39"/>
    <n v="69"/>
    <n v="57"/>
    <n v="60"/>
    <n v="45"/>
    <n v="33"/>
    <n v="39"/>
    <n v="147"/>
    <n v="39"/>
  </r>
  <r>
    <s v="L'Oreal"/>
    <x v="0"/>
    <x v="0"/>
    <x v="0"/>
    <x v="3"/>
    <n v="7509552795646"/>
    <x v="28"/>
    <x v="152"/>
    <x v="15"/>
    <n v="0"/>
    <n v="0"/>
    <n v="0"/>
    <n v="0"/>
    <n v="624"/>
    <n v="870"/>
    <n v="78"/>
    <n v="18"/>
    <n v="84"/>
    <n v="48"/>
    <n v="54"/>
    <n v="132"/>
    <n v="156"/>
    <n v="78"/>
    <n v="54"/>
    <n v="174"/>
    <n v="120"/>
    <n v="42"/>
    <n v="7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796216"/>
    <x v="27"/>
    <x v="153"/>
    <x v="8"/>
    <n v="0"/>
    <n v="0"/>
    <n v="0"/>
    <n v="0"/>
    <n v="0"/>
    <n v="0"/>
    <n v="0"/>
    <n v="0"/>
    <n v="0"/>
    <n v="0"/>
    <n v="0"/>
    <n v="0"/>
    <n v="0"/>
    <n v="492"/>
    <n v="372"/>
    <n v="108"/>
    <n v="348"/>
    <n v="120"/>
    <n v="114"/>
    <n v="60"/>
    <n v="114"/>
    <n v="48"/>
    <n v="156"/>
    <n v="114"/>
    <n v="192"/>
    <n v="132"/>
    <n v="138"/>
    <n v="150"/>
    <n v="150"/>
    <n v="126"/>
    <n v="66"/>
    <n v="0"/>
    <n v="120"/>
    <n v="66"/>
    <n v="24"/>
    <n v="216"/>
    <n v="222"/>
    <n v="126"/>
    <n v="108"/>
    <n v="228"/>
    <n v="78"/>
    <n v="180"/>
  </r>
  <r>
    <s v="L'Oreal"/>
    <x v="0"/>
    <x v="0"/>
    <x v="0"/>
    <x v="3"/>
    <n v="7509552798456"/>
    <x v="28"/>
    <x v="154"/>
    <x v="8"/>
    <n v="0"/>
    <n v="0"/>
    <n v="0"/>
    <n v="0"/>
    <n v="1500"/>
    <n v="2604"/>
    <n v="324"/>
    <n v="132"/>
    <n v="84"/>
    <n v="168"/>
    <n v="144"/>
    <n v="300"/>
    <n v="240"/>
    <n v="876"/>
    <n v="156"/>
    <n v="132"/>
    <n v="180"/>
    <n v="60"/>
    <n v="144"/>
    <n v="216"/>
    <n v="504"/>
    <n v="120"/>
    <n v="192"/>
    <n v="192"/>
    <n v="252"/>
    <n v="168"/>
    <n v="276"/>
    <n v="240"/>
    <n v="204"/>
    <n v="252"/>
    <n v="228"/>
    <n v="180"/>
    <n v="120"/>
    <n v="708"/>
    <n v="204"/>
    <n v="84"/>
    <n v="480"/>
    <n v="252"/>
    <n v="288"/>
    <n v="132"/>
    <n v="0"/>
    <n v="276"/>
  </r>
  <r>
    <s v="L'Oreal"/>
    <x v="0"/>
    <x v="0"/>
    <x v="0"/>
    <x v="3"/>
    <n v="7509552805260"/>
    <x v="29"/>
    <x v="155"/>
    <x v="1"/>
    <n v="852"/>
    <n v="588"/>
    <n v="372"/>
    <n v="540"/>
    <n v="348"/>
    <n v="744"/>
    <n v="780"/>
    <n v="240"/>
    <n v="468"/>
    <n v="552"/>
    <n v="384"/>
    <n v="960"/>
    <n v="1224"/>
    <n v="852"/>
    <n v="564"/>
    <n v="252"/>
    <n v="660"/>
    <n v="720"/>
    <n v="648"/>
    <n v="852"/>
    <n v="1152"/>
    <n v="264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05307"/>
    <x v="29"/>
    <x v="156"/>
    <x v="1"/>
    <n v="2298"/>
    <n v="2388"/>
    <n v="1080"/>
    <n v="2778"/>
    <n v="2934"/>
    <n v="2922"/>
    <n v="1176"/>
    <n v="1524"/>
    <n v="2448"/>
    <n v="2196"/>
    <n v="1530"/>
    <n v="1692"/>
    <n v="3828"/>
    <n v="1998"/>
    <n v="714"/>
    <n v="1218"/>
    <n v="1494"/>
    <n v="1488"/>
    <n v="3768"/>
    <n v="1404"/>
    <n v="20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05345"/>
    <x v="30"/>
    <x v="157"/>
    <x v="1"/>
    <n v="792"/>
    <n v="624"/>
    <n v="720"/>
    <n v="744"/>
    <n v="600"/>
    <n v="684"/>
    <n v="420"/>
    <n v="360"/>
    <n v="840"/>
    <n v="516"/>
    <n v="636"/>
    <n v="1056"/>
    <n v="1188"/>
    <n v="1032"/>
    <n v="456"/>
    <n v="432"/>
    <n v="600"/>
    <n v="564"/>
    <n v="780"/>
    <n v="1068"/>
    <n v="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05383"/>
    <x v="30"/>
    <x v="158"/>
    <x v="1"/>
    <n v="2910"/>
    <n v="2628"/>
    <n v="708"/>
    <n v="1110"/>
    <n v="1314"/>
    <n v="3426"/>
    <n v="348"/>
    <n v="1326"/>
    <n v="2466"/>
    <n v="1410"/>
    <n v="1818"/>
    <n v="2154"/>
    <n v="2664"/>
    <n v="1680"/>
    <n v="1890"/>
    <n v="1464"/>
    <n v="1590"/>
    <n v="1452"/>
    <n v="2418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16242"/>
    <x v="31"/>
    <x v="159"/>
    <x v="8"/>
    <n v="2748"/>
    <n v="2796"/>
    <n v="972"/>
    <n v="1542"/>
    <n v="2496"/>
    <n v="2790"/>
    <n v="972"/>
    <n v="1116"/>
    <n v="1776"/>
    <n v="2238"/>
    <n v="852"/>
    <n v="1458"/>
    <n v="2526"/>
    <n v="252"/>
    <n v="1200"/>
    <n v="1278"/>
    <n v="216"/>
    <n v="1050"/>
    <n v="144"/>
    <n v="144"/>
    <n v="192"/>
    <n v="132"/>
    <n v="396"/>
    <n v="156"/>
    <n v="180"/>
    <n v="204"/>
    <n v="180"/>
    <n v="204"/>
    <n v="204"/>
    <n v="516"/>
    <n v="264"/>
    <n v="1488"/>
    <n v="2172"/>
    <n v="1584"/>
    <n v="1416"/>
    <n v="1872"/>
    <n v="1080"/>
    <n v="1044"/>
    <n v="1218"/>
    <n v="1266"/>
    <n v="972"/>
    <n v="522"/>
  </r>
  <r>
    <s v="L'Oreal"/>
    <x v="0"/>
    <x v="0"/>
    <x v="0"/>
    <x v="3"/>
    <n v="7509552816266"/>
    <x v="31"/>
    <x v="160"/>
    <x v="16"/>
    <n v="496"/>
    <n v="0"/>
    <n v="-8"/>
    <n v="396"/>
    <n v="408"/>
    <n v="24"/>
    <n v="12"/>
    <n v="24"/>
    <n v="36"/>
    <n v="12"/>
    <n v="48"/>
    <n v="36"/>
    <n v="24"/>
    <n v="72"/>
    <n v="0"/>
    <n v="24"/>
    <n v="72"/>
    <n v="0"/>
    <n v="48"/>
    <n v="60"/>
    <n v="24"/>
    <n v="0"/>
    <n v="108"/>
    <n v="36"/>
    <n v="60"/>
    <n v="12"/>
    <n v="36"/>
    <n v="36"/>
    <n v="498"/>
    <n v="78"/>
    <n v="0"/>
    <n v="0"/>
    <n v="0"/>
    <n v="0"/>
    <n v="144"/>
    <n v="12"/>
    <n v="24"/>
    <n v="12"/>
    <n v="24"/>
    <n v="60"/>
    <n v="108"/>
    <n v="12"/>
  </r>
  <r>
    <s v="L'Oreal"/>
    <x v="0"/>
    <x v="0"/>
    <x v="0"/>
    <x v="3"/>
    <n v="7509552816273"/>
    <x v="31"/>
    <x v="161"/>
    <x v="8"/>
    <n v="384"/>
    <n v="120"/>
    <n v="384"/>
    <n v="288"/>
    <n v="156"/>
    <n v="156"/>
    <n v="72"/>
    <n v="132"/>
    <n v="144"/>
    <n v="216"/>
    <n v="96"/>
    <n v="168"/>
    <n v="324"/>
    <n v="192"/>
    <n v="144"/>
    <n v="108"/>
    <n v="120"/>
    <n v="204"/>
    <n v="108"/>
    <n v="60"/>
    <n v="348"/>
    <n v="120"/>
    <n v="360"/>
    <n v="228"/>
    <n v="192"/>
    <n v="204"/>
    <n v="384"/>
    <n v="192"/>
    <n v="726"/>
    <n v="606"/>
    <n v="180"/>
    <n v="144"/>
    <n v="132"/>
    <n v="636"/>
    <n v="48"/>
    <n v="0"/>
    <n v="300"/>
    <n v="408"/>
    <n v="228"/>
    <n v="168"/>
    <n v="156"/>
    <n v="144"/>
  </r>
  <r>
    <s v="L'Oreal"/>
    <x v="0"/>
    <x v="0"/>
    <x v="0"/>
    <x v="3"/>
    <n v="7509552816297"/>
    <x v="31"/>
    <x v="162"/>
    <x v="5"/>
    <n v="126"/>
    <n v="156"/>
    <n v="75"/>
    <n v="0"/>
    <n v="168"/>
    <n v="36"/>
    <n v="72"/>
    <n v="36"/>
    <n v="66"/>
    <n v="12"/>
    <n v="48"/>
    <n v="90"/>
    <n v="102"/>
    <n v="0"/>
    <n v="36"/>
    <n v="180"/>
    <n v="106"/>
    <n v="48"/>
    <n v="36"/>
    <n v="0"/>
    <n v="84"/>
    <n v="102"/>
    <n v="150"/>
    <n v="108"/>
    <n v="72"/>
    <n v="48"/>
    <n v="36"/>
    <n v="78"/>
    <n v="138"/>
    <n v="24"/>
    <n v="48"/>
    <n v="66"/>
    <n v="90"/>
    <n v="75"/>
    <n v="150"/>
    <n v="114"/>
    <n v="132"/>
    <n v="60"/>
    <n v="54"/>
    <n v="30"/>
    <n v="42"/>
    <n v="9"/>
  </r>
  <r>
    <s v="L'Oreal"/>
    <x v="0"/>
    <x v="0"/>
    <x v="0"/>
    <x v="3"/>
    <n v="7509552823837"/>
    <x v="31"/>
    <x v="163"/>
    <x v="1"/>
    <n v="0"/>
    <n v="0"/>
    <n v="0"/>
    <n v="0"/>
    <n v="0"/>
    <n v="0"/>
    <n v="0"/>
    <n v="0"/>
    <n v="0"/>
    <n v="0"/>
    <n v="0"/>
    <n v="0"/>
    <n v="24"/>
    <n v="120"/>
    <n v="1632"/>
    <n v="1770"/>
    <n v="1164"/>
    <n v="8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23851"/>
    <x v="32"/>
    <x v="164"/>
    <x v="1"/>
    <n v="0"/>
    <n v="0"/>
    <n v="0"/>
    <n v="0"/>
    <n v="0"/>
    <n v="0"/>
    <n v="0"/>
    <n v="0"/>
    <n v="0"/>
    <n v="0"/>
    <n v="0"/>
    <n v="0"/>
    <n v="0"/>
    <n v="72"/>
    <n v="588"/>
    <n v="767"/>
    <n v="0"/>
    <n v="0"/>
    <n v="600"/>
    <n v="636"/>
    <n v="228"/>
    <n v="324"/>
    <n v="168"/>
    <n v="240"/>
    <n v="300"/>
    <n v="24"/>
    <n v="0"/>
    <n v="12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23868"/>
    <x v="30"/>
    <x v="16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708"/>
    <n v="156"/>
    <n v="864"/>
    <n v="276"/>
    <n v="600"/>
    <n v="300"/>
    <n v="564"/>
    <n v="684"/>
    <n v="552"/>
    <n v="384"/>
    <n v="588"/>
    <n v="636"/>
    <n v="360"/>
    <n v="252"/>
  </r>
  <r>
    <s v="L'Oreal"/>
    <x v="0"/>
    <x v="0"/>
    <x v="0"/>
    <x v="3"/>
    <n v="7509552823899"/>
    <x v="33"/>
    <x v="166"/>
    <x v="1"/>
    <n v="0"/>
    <n v="0"/>
    <n v="0"/>
    <n v="0"/>
    <n v="0"/>
    <n v="0"/>
    <n v="0"/>
    <n v="0"/>
    <n v="0"/>
    <n v="0"/>
    <n v="0"/>
    <n v="0"/>
    <n v="0"/>
    <n v="0"/>
    <n v="0"/>
    <n v="0"/>
    <n v="84"/>
    <n v="540"/>
    <n v="13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23905"/>
    <x v="33"/>
    <x v="167"/>
    <x v="1"/>
    <n v="0"/>
    <n v="0"/>
    <n v="0"/>
    <n v="0"/>
    <n v="0"/>
    <n v="0"/>
    <n v="0"/>
    <n v="0"/>
    <n v="0"/>
    <n v="0"/>
    <n v="0"/>
    <n v="888"/>
    <n v="756"/>
    <n v="516"/>
    <n v="1014"/>
    <n v="492"/>
    <n v="1500"/>
    <n v="816"/>
    <n v="1512"/>
    <n v="1404"/>
    <n v="1260"/>
    <n v="300"/>
    <n v="336"/>
    <n v="324"/>
    <n v="972"/>
    <n v="588"/>
    <n v="444"/>
    <n v="408"/>
    <n v="312"/>
    <n v="216"/>
    <n v="12"/>
    <n v="36"/>
    <n v="0"/>
    <n v="24"/>
    <n v="0"/>
    <n v="0"/>
    <n v="0"/>
    <n v="0"/>
    <n v="0"/>
    <n v="0"/>
    <n v="0"/>
    <n v="0"/>
  </r>
  <r>
    <s v="L'Oreal"/>
    <x v="0"/>
    <x v="0"/>
    <x v="0"/>
    <x v="3"/>
    <n v="7509552823912"/>
    <x v="30"/>
    <x v="16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"/>
    <n v="144"/>
    <n v="372"/>
    <n v="228"/>
    <n v="180"/>
    <n v="198"/>
    <n v="222"/>
    <n v="156"/>
    <n v="168"/>
    <n v="924"/>
    <n v="408"/>
    <n v="360"/>
    <n v="1128"/>
    <n v="1038"/>
    <n v="492"/>
    <n v="1470"/>
    <n v="504"/>
    <n v="786"/>
    <n v="420"/>
    <n v="312"/>
  </r>
  <r>
    <s v="L'Oreal"/>
    <x v="0"/>
    <x v="0"/>
    <x v="0"/>
    <x v="3"/>
    <n v="7509552827002"/>
    <x v="31"/>
    <x v="169"/>
    <x v="1"/>
    <n v="612"/>
    <n v="1008"/>
    <n v="396"/>
    <n v="480"/>
    <n v="396"/>
    <n v="876"/>
    <n v="372"/>
    <n v="372"/>
    <n v="1128"/>
    <n v="552"/>
    <n v="588"/>
    <n v="864"/>
    <n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27019"/>
    <x v="31"/>
    <x v="170"/>
    <x v="1"/>
    <n v="3820"/>
    <n v="3564"/>
    <n v="1096"/>
    <n v="2022"/>
    <n v="2640"/>
    <n v="3582"/>
    <n v="1296"/>
    <n v="1428"/>
    <n v="2460"/>
    <n v="2766"/>
    <n v="1356"/>
    <n v="1758"/>
    <n v="2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28030"/>
    <x v="27"/>
    <x v="171"/>
    <x v="8"/>
    <n v="594"/>
    <n v="468"/>
    <n v="558"/>
    <n v="402"/>
    <n v="300"/>
    <n v="354"/>
    <n v="300"/>
    <n v="240"/>
    <n v="516"/>
    <n v="510"/>
    <n v="330"/>
    <n v="414"/>
    <n v="618"/>
    <n v="666"/>
    <n v="714"/>
    <n v="174"/>
    <n v="780"/>
    <n v="194"/>
    <n v="588"/>
    <n v="582"/>
    <n v="498"/>
    <n v="204"/>
    <n v="270"/>
    <n v="486"/>
    <n v="594"/>
    <n v="384"/>
    <n v="510"/>
    <n v="312"/>
    <n v="378"/>
    <n v="534"/>
    <n v="186"/>
    <n v="282"/>
    <n v="276"/>
    <n v="288"/>
    <n v="492"/>
    <n v="372"/>
    <n v="594"/>
    <n v="420"/>
    <n v="474"/>
    <n v="282"/>
    <n v="330"/>
    <n v="330"/>
  </r>
  <r>
    <s v="L'Oreal"/>
    <x v="0"/>
    <x v="0"/>
    <x v="0"/>
    <x v="3"/>
    <n v="7509552828078"/>
    <x v="27"/>
    <x v="172"/>
    <x v="8"/>
    <n v="0"/>
    <n v="24"/>
    <n v="66"/>
    <n v="12"/>
    <n v="144"/>
    <n v="0"/>
    <n v="0"/>
    <n v="0"/>
    <n v="60"/>
    <n v="12"/>
    <n v="30"/>
    <n v="24"/>
    <n v="84"/>
    <n v="30"/>
    <n v="2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28962"/>
    <x v="27"/>
    <x v="173"/>
    <x v="8"/>
    <n v="516"/>
    <n v="330"/>
    <n v="252"/>
    <n v="276"/>
    <n v="210"/>
    <n v="300"/>
    <n v="216"/>
    <n v="228"/>
    <n v="402"/>
    <n v="336"/>
    <n v="348"/>
    <n v="432"/>
    <n v="540"/>
    <n v="612"/>
    <n v="396"/>
    <n v="420"/>
    <n v="48"/>
    <n v="516"/>
    <n v="354"/>
    <n v="264"/>
    <n v="282"/>
    <n v="150"/>
    <n v="264"/>
    <n v="354"/>
    <n v="336"/>
    <n v="246"/>
    <n v="432"/>
    <n v="336"/>
    <n v="294"/>
    <n v="162"/>
    <n v="60"/>
    <n v="318"/>
    <n v="378"/>
    <n v="12"/>
    <n v="678"/>
    <n v="384"/>
    <n v="528"/>
    <n v="390"/>
    <n v="408"/>
    <n v="288"/>
    <n v="240"/>
    <n v="306"/>
  </r>
  <r>
    <s v="L'Oreal"/>
    <x v="0"/>
    <x v="0"/>
    <x v="0"/>
    <x v="3"/>
    <n v="7509552830507"/>
    <x v="34"/>
    <x v="174"/>
    <x v="8"/>
    <n v="1620"/>
    <n v="1566"/>
    <n v="2538"/>
    <n v="2958"/>
    <n v="1218"/>
    <n v="4056"/>
    <n v="936"/>
    <n v="360"/>
    <n v="1944"/>
    <n v="1806"/>
    <n v="840"/>
    <n v="1362"/>
    <n v="1914"/>
    <n v="1800"/>
    <n v="930"/>
    <n v="144"/>
    <n v="636"/>
    <n v="312"/>
    <n v="192"/>
    <n v="156"/>
    <n v="672"/>
    <n v="372"/>
    <n v="348"/>
    <n v="348"/>
    <n v="672"/>
    <n v="300"/>
    <n v="2976"/>
    <n v="1308"/>
    <n v="348"/>
    <n v="252"/>
    <n v="456"/>
    <n v="504"/>
    <n v="312"/>
    <n v="1080"/>
    <n v="708"/>
    <n v="372"/>
    <n v="408"/>
    <n v="552"/>
    <n v="492"/>
    <n v="420"/>
    <n v="1332"/>
    <n v="516"/>
  </r>
  <r>
    <s v="L'Oreal"/>
    <x v="0"/>
    <x v="0"/>
    <x v="0"/>
    <x v="3"/>
    <n v="7509552830583"/>
    <x v="34"/>
    <x v="175"/>
    <x v="16"/>
    <n v="576"/>
    <n v="360"/>
    <n v="0"/>
    <n v="396"/>
    <n v="432"/>
    <n v="36"/>
    <n v="0"/>
    <n v="24"/>
    <n v="36"/>
    <n v="24"/>
    <n v="96"/>
    <n v="60"/>
    <n v="96"/>
    <n v="96"/>
    <n v="48"/>
    <n v="12"/>
    <n v="144"/>
    <n v="48"/>
    <n v="84"/>
    <n v="36"/>
    <n v="72"/>
    <n v="60"/>
    <n v="72"/>
    <n v="36"/>
    <n v="72"/>
    <n v="36"/>
    <n v="36"/>
    <n v="48"/>
    <n v="84"/>
    <n v="48"/>
    <n v="168"/>
    <n v="108"/>
    <n v="60"/>
    <n v="48"/>
    <n v="402"/>
    <n v="300"/>
    <n v="312"/>
    <n v="246"/>
    <n v="90"/>
    <n v="120"/>
    <n v="156"/>
    <n v="48"/>
  </r>
  <r>
    <s v="L'Oreal"/>
    <x v="0"/>
    <x v="0"/>
    <x v="0"/>
    <x v="3"/>
    <n v="7509552830620"/>
    <x v="34"/>
    <x v="176"/>
    <x v="8"/>
    <n v="468"/>
    <n v="696"/>
    <n v="396"/>
    <n v="372"/>
    <n v="432"/>
    <n v="636"/>
    <n v="288"/>
    <n v="144"/>
    <n v="348"/>
    <n v="312"/>
    <n v="312"/>
    <n v="612"/>
    <n v="540"/>
    <n v="396"/>
    <n v="144"/>
    <n v="168"/>
    <n v="564"/>
    <n v="312"/>
    <n v="168"/>
    <n v="228"/>
    <n v="768"/>
    <n v="228"/>
    <n v="132"/>
    <n v="432"/>
    <n v="660"/>
    <n v="312"/>
    <n v="264"/>
    <n v="336"/>
    <n v="300"/>
    <n v="180"/>
    <n v="396"/>
    <n v="492"/>
    <n v="228"/>
    <n v="840"/>
    <n v="990"/>
    <n v="576"/>
    <n v="624"/>
    <n v="678"/>
    <n v="414"/>
    <n v="528"/>
    <n v="504"/>
    <n v="192"/>
  </r>
  <r>
    <s v="L'Oreal"/>
    <x v="0"/>
    <x v="0"/>
    <x v="0"/>
    <x v="3"/>
    <n v="7509552830965"/>
    <x v="34"/>
    <x v="177"/>
    <x v="1"/>
    <n v="12"/>
    <n v="348"/>
    <n v="252"/>
    <n v="384"/>
    <n v="204"/>
    <n v="264"/>
    <n v="348"/>
    <n v="156"/>
    <n v="156"/>
    <n v="216"/>
    <n v="180"/>
    <n v="360"/>
    <n v="492"/>
    <n v="564"/>
    <n v="72"/>
    <n v="108"/>
    <n v="348"/>
    <n v="11"/>
    <n v="24"/>
    <n v="384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31016"/>
    <x v="34"/>
    <x v="178"/>
    <x v="1"/>
    <n v="2004"/>
    <n v="1770"/>
    <n v="2022"/>
    <n v="2670"/>
    <n v="954"/>
    <n v="3996"/>
    <n v="972"/>
    <n v="336"/>
    <n v="1824"/>
    <n v="1686"/>
    <n v="708"/>
    <n v="1146"/>
    <n v="1782"/>
    <n v="2004"/>
    <n v="750"/>
    <n v="0"/>
    <n v="24"/>
    <n v="0"/>
    <n v="156"/>
    <n v="696"/>
    <n v="132"/>
    <n v="168"/>
    <n v="240"/>
    <n v="180"/>
    <n v="168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41794"/>
    <x v="27"/>
    <x v="179"/>
    <x v="8"/>
    <n v="336"/>
    <n v="276"/>
    <n v="198"/>
    <n v="240"/>
    <n v="174"/>
    <n v="192"/>
    <n v="144"/>
    <n v="156"/>
    <n v="204"/>
    <n v="162"/>
    <n v="216"/>
    <n v="222"/>
    <n v="582"/>
    <n v="300"/>
    <n v="228"/>
    <n v="294"/>
    <n v="432"/>
    <n v="138"/>
    <n v="24"/>
    <n v="210"/>
    <n v="234"/>
    <n v="78"/>
    <n v="114"/>
    <n v="198"/>
    <n v="276"/>
    <n v="168"/>
    <n v="768"/>
    <n v="222"/>
    <n v="216"/>
    <n v="102"/>
    <n v="90"/>
    <n v="228"/>
    <n v="192"/>
    <n v="228"/>
    <n v="546"/>
    <n v="264"/>
    <n v="348"/>
    <n v="240"/>
    <n v="534"/>
    <n v="348"/>
    <n v="360"/>
    <n v="330"/>
  </r>
  <r>
    <s v="L'Oreal"/>
    <x v="0"/>
    <x v="0"/>
    <x v="0"/>
    <x v="3"/>
    <n v="7509552844153"/>
    <x v="27"/>
    <x v="180"/>
    <x v="5"/>
    <n v="222"/>
    <n v="438"/>
    <n v="132"/>
    <n v="156"/>
    <n v="48"/>
    <n v="180"/>
    <n v="162"/>
    <n v="102"/>
    <n v="72"/>
    <n v="84"/>
    <n v="174"/>
    <n v="204"/>
    <n v="228"/>
    <n v="144"/>
    <n v="96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44160"/>
    <x v="27"/>
    <x v="181"/>
    <x v="5"/>
    <n v="162"/>
    <n v="390"/>
    <n v="132"/>
    <n v="96"/>
    <n v="60"/>
    <n v="36"/>
    <n v="222"/>
    <n v="66"/>
    <n v="12"/>
    <n v="72"/>
    <n v="126"/>
    <n v="192"/>
    <n v="204"/>
    <n v="168"/>
    <n v="252"/>
    <n v="84"/>
    <n v="84"/>
    <n v="60"/>
    <n v="2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44177"/>
    <x v="27"/>
    <x v="182"/>
    <x v="5"/>
    <n v="348"/>
    <n v="696"/>
    <n v="156"/>
    <n v="204"/>
    <n v="192"/>
    <n v="132"/>
    <n v="426"/>
    <n v="234"/>
    <n v="156"/>
    <n v="384"/>
    <n v="288"/>
    <n v="384"/>
    <n v="420"/>
    <n v="336"/>
    <n v="84"/>
    <n v="10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44184"/>
    <x v="27"/>
    <x v="183"/>
    <x v="5"/>
    <n v="420"/>
    <n v="612"/>
    <n v="108"/>
    <n v="204"/>
    <n v="132"/>
    <n v="156"/>
    <n v="318"/>
    <n v="270"/>
    <n v="156"/>
    <n v="240"/>
    <n v="168"/>
    <n v="228"/>
    <n v="348"/>
    <n v="624"/>
    <n v="240"/>
    <n v="204"/>
    <n v="72"/>
    <n v="0"/>
    <n v="-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44191"/>
    <x v="27"/>
    <x v="184"/>
    <x v="5"/>
    <n v="492"/>
    <n v="606"/>
    <n v="252"/>
    <n v="300"/>
    <n v="48"/>
    <n v="276"/>
    <n v="366"/>
    <n v="246"/>
    <n v="108"/>
    <n v="324"/>
    <n v="252"/>
    <n v="408"/>
    <n v="396"/>
    <n v="540"/>
    <n v="324"/>
    <n v="156"/>
    <n v="348"/>
    <n v="168"/>
    <n v="204"/>
    <n v="168"/>
    <n v="1272"/>
    <n v="180"/>
    <n v="360"/>
    <n v="408"/>
    <n v="492"/>
    <n v="96"/>
    <n v="0"/>
    <n v="0"/>
    <n v="552"/>
    <n v="204"/>
    <n v="156"/>
    <n v="228"/>
    <n v="192"/>
    <n v="312"/>
    <n v="324"/>
    <n v="360"/>
    <n v="240"/>
    <n v="552"/>
    <n v="288"/>
    <n v="48"/>
    <n v="288"/>
    <n v="180"/>
  </r>
  <r>
    <s v="L'Oreal"/>
    <x v="0"/>
    <x v="0"/>
    <x v="0"/>
    <x v="3"/>
    <n v="7509552844207"/>
    <x v="27"/>
    <x v="185"/>
    <x v="5"/>
    <n v="552"/>
    <n v="534"/>
    <n v="156"/>
    <n v="228"/>
    <n v="144"/>
    <n v="132"/>
    <n v="462"/>
    <n v="258"/>
    <n v="60"/>
    <n v="216"/>
    <n v="264"/>
    <n v="324"/>
    <n v="480"/>
    <n v="564"/>
    <n v="180"/>
    <n v="84"/>
    <n v="288"/>
    <n v="24"/>
    <n v="48"/>
    <n v="324"/>
    <n v="636"/>
    <n v="0"/>
    <n v="300"/>
    <n v="480"/>
    <n v="504"/>
    <n v="168"/>
    <n v="216"/>
    <n v="288"/>
    <n v="216"/>
    <n v="432"/>
    <n v="204"/>
    <n v="228"/>
    <n v="96"/>
    <n v="276"/>
    <n v="108"/>
    <n v="276"/>
    <n v="264"/>
    <n v="408"/>
    <n v="252"/>
    <n v="0"/>
    <n v="228"/>
    <n v="240"/>
  </r>
  <r>
    <s v="L'Oreal"/>
    <x v="0"/>
    <x v="0"/>
    <x v="0"/>
    <x v="3"/>
    <n v="7509552844214"/>
    <x v="27"/>
    <x v="186"/>
    <x v="5"/>
    <n v="354"/>
    <n v="438"/>
    <n v="288"/>
    <n v="216"/>
    <n v="204"/>
    <n v="204"/>
    <n v="90"/>
    <n v="114"/>
    <n v="252"/>
    <n v="168"/>
    <n v="264"/>
    <n v="228"/>
    <n v="420"/>
    <n v="252"/>
    <n v="192"/>
    <n v="120"/>
    <n v="180"/>
    <n v="156"/>
    <n v="132"/>
    <n v="252"/>
    <n v="720"/>
    <n v="0"/>
    <n v="660"/>
    <n v="12"/>
    <n v="408"/>
    <n v="24"/>
    <n v="0"/>
    <n v="684"/>
    <n v="204"/>
    <n v="468"/>
    <n v="216"/>
    <n v="120"/>
    <n v="192"/>
    <n v="288"/>
    <n v="372"/>
    <n v="240"/>
    <n v="360"/>
    <n v="204"/>
    <n v="204"/>
    <n v="24"/>
    <n v="204"/>
    <n v="348"/>
  </r>
  <r>
    <s v="L'Oreal"/>
    <x v="0"/>
    <x v="0"/>
    <x v="0"/>
    <x v="3"/>
    <n v="7509552844221"/>
    <x v="27"/>
    <x v="187"/>
    <x v="5"/>
    <n v="174"/>
    <n v="366"/>
    <n v="132"/>
    <n v="144"/>
    <n v="96"/>
    <n v="48"/>
    <n v="126"/>
    <n v="78"/>
    <n v="48"/>
    <n v="96"/>
    <n v="180"/>
    <n v="132"/>
    <n v="156"/>
    <n v="204"/>
    <n v="180"/>
    <n v="36"/>
    <n v="204"/>
    <n v="96"/>
    <n v="48"/>
    <n v="48"/>
    <n v="324"/>
    <n v="192"/>
    <n v="96"/>
    <n v="168"/>
    <n v="708"/>
    <n v="264"/>
    <n v="144"/>
    <n v="228"/>
    <n v="72"/>
    <n v="24"/>
    <n v="120"/>
    <n v="84"/>
    <n v="96"/>
    <n v="144"/>
    <n v="252"/>
    <n v="108"/>
    <n v="456"/>
    <n v="48"/>
    <n v="144"/>
    <n v="48"/>
    <n v="156"/>
    <n v="264"/>
  </r>
  <r>
    <s v="L'Oreal"/>
    <x v="0"/>
    <x v="0"/>
    <x v="0"/>
    <x v="3"/>
    <n v="7509552849509"/>
    <x v="27"/>
    <x v="188"/>
    <x v="5"/>
    <n v="360"/>
    <n v="168"/>
    <n v="288"/>
    <n v="360"/>
    <n v="132"/>
    <n v="204"/>
    <n v="204"/>
    <n v="156"/>
    <n v="216"/>
    <n v="216"/>
    <n v="168"/>
    <n v="204"/>
    <n v="432"/>
    <n v="384"/>
    <n v="228"/>
    <n v="120"/>
    <n v="144"/>
    <n v="48"/>
    <n v="156"/>
    <n v="180"/>
    <n v="432"/>
    <n v="0"/>
    <n v="0"/>
    <n v="612"/>
    <n v="96"/>
    <n v="108"/>
    <n v="168"/>
    <n v="576"/>
    <n v="228"/>
    <n v="120"/>
    <n v="204"/>
    <n v="792"/>
    <n v="300"/>
    <n v="216"/>
    <n v="384"/>
    <n v="0"/>
    <n v="0"/>
    <n v="0"/>
    <n v="0"/>
    <n v="0"/>
    <n v="0"/>
    <n v="0"/>
  </r>
  <r>
    <s v="L'Oreal"/>
    <x v="0"/>
    <x v="0"/>
    <x v="0"/>
    <x v="3"/>
    <n v="7509552849516"/>
    <x v="27"/>
    <x v="189"/>
    <x v="5"/>
    <n v="156"/>
    <n v="48"/>
    <n v="132"/>
    <n v="144"/>
    <n v="60"/>
    <n v="48"/>
    <n v="96"/>
    <n v="60"/>
    <n v="144"/>
    <n v="120"/>
    <n v="120"/>
    <n v="156"/>
    <n v="228"/>
    <n v="348"/>
    <n v="156"/>
    <n v="36"/>
    <n v="84"/>
    <n v="48"/>
    <n v="24"/>
    <n v="96"/>
    <n v="216"/>
    <n v="144"/>
    <n v="108"/>
    <n v="192"/>
    <n v="324"/>
    <n v="264"/>
    <n v="-12"/>
    <n v="444"/>
    <n v="156"/>
    <n v="384"/>
    <n v="144"/>
    <n v="0"/>
    <n v="84"/>
    <n v="228"/>
    <n v="84"/>
    <n v="0"/>
    <n v="60"/>
    <n v="144"/>
    <n v="60"/>
    <n v="0"/>
    <n v="0"/>
    <n v="0"/>
  </r>
  <r>
    <s v="L'Oreal"/>
    <x v="0"/>
    <x v="0"/>
    <x v="0"/>
    <x v="3"/>
    <n v="7509552849523"/>
    <x v="27"/>
    <x v="190"/>
    <x v="8"/>
    <n v="384"/>
    <n v="204"/>
    <n v="198"/>
    <n v="204"/>
    <n v="144"/>
    <n v="78"/>
    <n v="78"/>
    <n v="114"/>
    <n v="252"/>
    <n v="144"/>
    <n v="102"/>
    <n v="204"/>
    <n v="432"/>
    <n v="114"/>
    <n v="12"/>
    <n v="300"/>
    <n v="438"/>
    <n v="113"/>
    <n v="108"/>
    <n v="90"/>
    <n v="162"/>
    <n v="54"/>
    <n v="36"/>
    <n v="150"/>
    <n v="84"/>
    <n v="174"/>
    <n v="294"/>
    <n v="72"/>
    <n v="198"/>
    <n v="174"/>
    <n v="96"/>
    <n v="78"/>
    <n v="330"/>
    <n v="144"/>
    <n v="72"/>
    <n v="0"/>
    <n v="0"/>
    <n v="0"/>
    <n v="0"/>
    <n v="0"/>
    <n v="0"/>
    <n v="0"/>
  </r>
  <r>
    <s v="L'Oreal"/>
    <x v="0"/>
    <x v="0"/>
    <x v="0"/>
    <x v="3"/>
    <n v="7509552849554"/>
    <x v="33"/>
    <x v="191"/>
    <x v="5"/>
    <n v="633"/>
    <n v="522"/>
    <n v="24"/>
    <n v="192"/>
    <n v="246"/>
    <n v="12"/>
    <n v="24"/>
    <n v="18"/>
    <n v="48"/>
    <n v="42"/>
    <n v="48"/>
    <n v="30"/>
    <n v="186"/>
    <n v="114"/>
    <n v="6"/>
    <n v="36"/>
    <n v="60"/>
    <n v="36"/>
    <n v="48"/>
    <n v="18"/>
    <n v="48"/>
    <n v="6"/>
    <n v="18"/>
    <n v="66"/>
    <n v="32"/>
    <n v="42"/>
    <n v="42"/>
    <n v="90"/>
    <n v="84"/>
    <n v="81"/>
    <n v="180"/>
    <n v="180"/>
    <n v="180"/>
    <n v="95"/>
    <n v="0"/>
    <n v="129"/>
    <n v="60"/>
    <n v="18"/>
    <n v="0"/>
    <n v="78"/>
    <n v="0"/>
    <n v="0"/>
  </r>
  <r>
    <s v="L'Oreal"/>
    <x v="0"/>
    <x v="0"/>
    <x v="0"/>
    <x v="3"/>
    <n v="7509552849561"/>
    <x v="33"/>
    <x v="192"/>
    <x v="5"/>
    <n v="495"/>
    <n v="819"/>
    <n v="273"/>
    <n v="186"/>
    <n v="210"/>
    <n v="27"/>
    <n v="36"/>
    <n v="93"/>
    <n v="60"/>
    <n v="45"/>
    <n v="135"/>
    <n v="132"/>
    <n v="234"/>
    <n v="84"/>
    <n v="129"/>
    <n v="141"/>
    <n v="321"/>
    <n v="141"/>
    <n v="1"/>
    <n v="150"/>
    <n v="120"/>
    <n v="36"/>
    <n v="174"/>
    <n v="105"/>
    <n v="192"/>
    <n v="15"/>
    <n v="0"/>
    <n v="264"/>
    <n v="205"/>
    <n v="66"/>
    <n v="63"/>
    <n v="12"/>
    <n v="468"/>
    <n v="142"/>
    <n v="127"/>
    <n v="57"/>
    <n v="363"/>
    <n v="210"/>
    <n v="128"/>
    <n v="102"/>
    <n v="111"/>
    <n v="8"/>
  </r>
  <r>
    <s v="L'Oreal"/>
    <x v="0"/>
    <x v="0"/>
    <x v="0"/>
    <x v="3"/>
    <n v="7509552849653"/>
    <x v="33"/>
    <x v="193"/>
    <x v="16"/>
    <n v="600"/>
    <n v="280"/>
    <n v="0"/>
    <n v="395"/>
    <n v="432"/>
    <n v="24"/>
    <n v="24"/>
    <n v="24"/>
    <n v="36"/>
    <n v="12"/>
    <n v="12"/>
    <n v="72"/>
    <n v="24"/>
    <n v="84"/>
    <n v="24"/>
    <n v="24"/>
    <n v="36"/>
    <n v="36"/>
    <n v="72"/>
    <n v="24"/>
    <n v="72"/>
    <n v="48"/>
    <n v="12"/>
    <n v="0"/>
    <n v="48"/>
    <n v="60"/>
    <n v="48"/>
    <n v="24"/>
    <n v="156"/>
    <n v="72"/>
    <n v="84"/>
    <n v="24"/>
    <n v="60"/>
    <n v="36"/>
    <n v="36"/>
    <n v="108"/>
    <n v="132"/>
    <n v="48"/>
    <n v="96"/>
    <n v="108"/>
    <n v="120"/>
    <n v="84"/>
  </r>
  <r>
    <s v="L'Oreal"/>
    <x v="0"/>
    <x v="0"/>
    <x v="0"/>
    <x v="3"/>
    <n v="7509552849660"/>
    <x v="33"/>
    <x v="194"/>
    <x v="8"/>
    <n v="480"/>
    <n v="1536"/>
    <n v="294"/>
    <n v="2568"/>
    <n v="786"/>
    <n v="2352"/>
    <n v="378"/>
    <n v="822"/>
    <n v="1344"/>
    <n v="942"/>
    <n v="462"/>
    <n v="798"/>
    <n v="1584"/>
    <n v="1356"/>
    <n v="804"/>
    <n v="798"/>
    <n v="774"/>
    <n v="372"/>
    <n v="510"/>
    <n v="168"/>
    <n v="720"/>
    <n v="180"/>
    <n v="612"/>
    <n v="588"/>
    <n v="660"/>
    <n v="492"/>
    <n v="480"/>
    <n v="372"/>
    <n v="312"/>
    <n v="264"/>
    <n v="228"/>
    <n v="372"/>
    <n v="396"/>
    <n v="1200"/>
    <n v="780"/>
    <n v="240"/>
    <n v="720"/>
    <n v="570"/>
    <n v="552"/>
    <n v="612"/>
    <n v="774"/>
    <n v="600"/>
  </r>
  <r>
    <s v="L'Oreal"/>
    <x v="0"/>
    <x v="0"/>
    <x v="0"/>
    <x v="3"/>
    <n v="7509552849691"/>
    <x v="33"/>
    <x v="195"/>
    <x v="1"/>
    <n v="2808"/>
    <n v="1476"/>
    <n v="228"/>
    <n v="300"/>
    <n v="348"/>
    <n v="948"/>
    <n v="336"/>
    <n v="11256"/>
    <n v="4728"/>
    <n v="390"/>
    <n v="54"/>
    <n v="96"/>
    <n v="0"/>
    <n v="834"/>
    <n v="0"/>
    <n v="0"/>
    <n v="-6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49707"/>
    <x v="33"/>
    <x v="196"/>
    <x v="1"/>
    <n v="2892"/>
    <n v="1948"/>
    <n v="1002"/>
    <n v="2843"/>
    <n v="930"/>
    <n v="3036"/>
    <n v="630"/>
    <n v="1122"/>
    <n v="1716"/>
    <n v="1146"/>
    <n v="1062"/>
    <n v="1146"/>
    <n v="2316"/>
    <n v="1668"/>
    <n v="1104"/>
    <n v="918"/>
    <n v="1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849714"/>
    <x v="33"/>
    <x v="197"/>
    <x v="5"/>
    <n v="1164"/>
    <n v="612"/>
    <n v="0"/>
    <n v="12"/>
    <n v="48"/>
    <n v="72"/>
    <n v="0"/>
    <n v="24"/>
    <n v="72"/>
    <n v="12"/>
    <n v="48"/>
    <n v="144"/>
    <n v="204"/>
    <n v="144"/>
    <n v="96"/>
    <n v="96"/>
    <n v="204"/>
    <n v="0"/>
    <n v="12"/>
    <n v="0"/>
    <n v="240"/>
    <n v="72"/>
    <n v="48"/>
    <n v="48"/>
    <n v="108"/>
    <n v="60"/>
    <n v="96"/>
    <n v="144"/>
    <n v="0"/>
    <n v="24"/>
    <n v="36"/>
    <n v="60"/>
    <n v="60"/>
    <n v="108"/>
    <n v="180"/>
    <n v="12"/>
    <n v="0"/>
    <n v="312"/>
    <n v="24"/>
    <n v="60"/>
    <n v="0"/>
    <n v="144"/>
  </r>
  <r>
    <s v="L'Oreal"/>
    <x v="0"/>
    <x v="0"/>
    <x v="0"/>
    <x v="3"/>
    <n v="7509552849721"/>
    <x v="33"/>
    <x v="198"/>
    <x v="8"/>
    <n v="1080"/>
    <n v="492"/>
    <n v="336"/>
    <n v="192"/>
    <n v="240"/>
    <n v="192"/>
    <n v="84"/>
    <n v="96"/>
    <n v="96"/>
    <n v="192"/>
    <n v="156"/>
    <n v="252"/>
    <n v="372"/>
    <n v="1008"/>
    <n v="120"/>
    <n v="60"/>
    <n v="108"/>
    <n v="96"/>
    <n v="144"/>
    <n v="108"/>
    <n v="384"/>
    <n v="36"/>
    <n v="420"/>
    <n v="372"/>
    <n v="456"/>
    <n v="0"/>
    <n v="0"/>
    <n v="888"/>
    <n v="408"/>
    <n v="240"/>
    <n v="288"/>
    <n v="156"/>
    <n v="288"/>
    <n v="444"/>
    <n v="600"/>
    <n v="432"/>
    <n v="432"/>
    <n v="888"/>
    <n v="396"/>
    <n v="348"/>
    <n v="312"/>
    <n v="444"/>
  </r>
  <r>
    <s v="L'Oreal"/>
    <x v="0"/>
    <x v="0"/>
    <x v="0"/>
    <x v="3"/>
    <n v="7509552876499"/>
    <x v="35"/>
    <x v="199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2076"/>
    <n v="2712"/>
    <n v="444"/>
    <n v="456"/>
    <n v="3084"/>
    <n v="312"/>
    <n v="492"/>
    <n v="720"/>
    <n v="576"/>
    <n v="588"/>
    <n v="492"/>
    <n v="492"/>
    <n v="336"/>
    <n v="372"/>
    <n v="612"/>
    <n v="540"/>
    <n v="1368"/>
    <n v="1476"/>
    <n v="600"/>
    <n v="588"/>
    <n v="1188"/>
    <n v="816"/>
    <n v="840"/>
    <n v="1128"/>
    <n v="432"/>
  </r>
  <r>
    <s v="L'Oreal"/>
    <x v="0"/>
    <x v="0"/>
    <x v="0"/>
    <x v="3"/>
    <n v="7509552876529"/>
    <x v="35"/>
    <x v="200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1116"/>
    <n v="1992"/>
    <n v="264"/>
    <n v="180"/>
    <n v="1644"/>
    <n v="96"/>
    <n v="204"/>
    <n v="180"/>
    <n v="168"/>
    <n v="264"/>
    <n v="48"/>
    <n v="672"/>
    <n v="180"/>
    <n v="192"/>
    <n v="204"/>
    <n v="372"/>
    <n v="168"/>
    <n v="276"/>
    <n v="84"/>
    <n v="546"/>
    <n v="312"/>
    <n v="222"/>
    <n v="156"/>
    <n v="216"/>
    <n v="156"/>
  </r>
  <r>
    <s v="L'Oreal"/>
    <x v="0"/>
    <x v="0"/>
    <x v="0"/>
    <x v="3"/>
    <n v="7509552876604"/>
    <x v="35"/>
    <x v="201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1836"/>
    <n v="1512"/>
    <n v="0"/>
    <n v="492"/>
    <n v="696"/>
    <n v="24"/>
    <n v="300"/>
    <n v="624"/>
    <n v="120"/>
    <n v="48"/>
    <n v="72"/>
    <n v="144"/>
    <n v="36"/>
    <n v="888"/>
    <n v="672"/>
    <n v="180"/>
    <n v="72"/>
    <n v="540"/>
    <n v="672"/>
    <n v="372"/>
    <n v="396"/>
    <n v="0"/>
    <n v="84"/>
    <n v="528"/>
    <n v="612"/>
  </r>
  <r>
    <s v="L'Oreal"/>
    <x v="0"/>
    <x v="0"/>
    <x v="0"/>
    <x v="3"/>
    <n v="7509552876611"/>
    <x v="27"/>
    <x v="20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6"/>
    <n v="528"/>
  </r>
  <r>
    <s v="L'Oreal"/>
    <x v="0"/>
    <x v="0"/>
    <x v="0"/>
    <x v="3"/>
    <n v="7509552876628"/>
    <x v="27"/>
    <x v="20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2"/>
    <n v="324"/>
  </r>
  <r>
    <s v="L'Oreal"/>
    <x v="0"/>
    <x v="0"/>
    <x v="0"/>
    <x v="3"/>
    <n v="7509552876635"/>
    <x v="27"/>
    <x v="204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6"/>
    <n v="666"/>
  </r>
  <r>
    <s v="L'Oreal"/>
    <x v="0"/>
    <x v="0"/>
    <x v="0"/>
    <x v="3"/>
    <n v="7509552876666"/>
    <x v="35"/>
    <x v="2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1884"/>
    <n v="5604"/>
    <n v="408"/>
    <n v="1308"/>
    <n v="1776"/>
    <n v="0"/>
    <n v="576"/>
    <n v="624"/>
    <n v="312"/>
    <n v="252"/>
    <n v="612"/>
    <n v="1080"/>
    <n v="792"/>
    <n v="312"/>
    <n v="456"/>
    <n v="876"/>
    <n v="1884"/>
    <n v="1068"/>
    <n v="672"/>
    <n v="930"/>
    <n v="1044"/>
    <n v="1542"/>
    <n v="804"/>
    <n v="648"/>
    <n v="1020"/>
  </r>
  <r>
    <s v="L'Oreal"/>
    <x v="0"/>
    <x v="0"/>
    <x v="0"/>
    <x v="3"/>
    <n v="7509552901696"/>
    <x v="36"/>
    <x v="206"/>
    <x v="8"/>
    <n v="120"/>
    <n v="180"/>
    <n v="120"/>
    <n v="132"/>
    <n v="144"/>
    <n v="132"/>
    <n v="60"/>
    <n v="156"/>
    <n v="156"/>
    <n v="120"/>
    <n v="132"/>
    <n v="36"/>
    <n v="144"/>
    <n v="96"/>
    <n v="108"/>
    <n v="120"/>
    <n v="216"/>
    <n v="120"/>
    <n v="72"/>
    <n v="0"/>
    <n v="0"/>
    <n v="252"/>
    <n v="84"/>
    <n v="120"/>
    <n v="204"/>
    <n v="144"/>
    <n v="83"/>
    <n v="120"/>
    <n v="192"/>
    <n v="60"/>
    <n v="192"/>
    <n v="48"/>
    <n v="252"/>
    <n v="156"/>
    <n v="156"/>
    <n v="72"/>
    <n v="144"/>
    <n v="0"/>
    <n v="0"/>
    <n v="0"/>
    <n v="0"/>
    <n v="0"/>
  </r>
  <r>
    <s v="L'Oreal"/>
    <x v="0"/>
    <x v="0"/>
    <x v="0"/>
    <x v="3"/>
    <n v="7509552905663"/>
    <x v="32"/>
    <x v="207"/>
    <x v="9"/>
    <n v="261"/>
    <n v="186"/>
    <n v="195"/>
    <n v="105"/>
    <n v="186"/>
    <n v="105"/>
    <n v="123"/>
    <n v="123"/>
    <n v="144"/>
    <n v="231"/>
    <n v="99"/>
    <n v="171"/>
    <n v="300"/>
    <n v="41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906448"/>
    <x v="29"/>
    <x v="208"/>
    <x v="8"/>
    <n v="1518"/>
    <n v="1992"/>
    <n v="672"/>
    <n v="2598"/>
    <n v="2538"/>
    <n v="2598"/>
    <n v="900"/>
    <n v="1224"/>
    <n v="2184"/>
    <n v="1800"/>
    <n v="1266"/>
    <n v="1320"/>
    <n v="2964"/>
    <n v="1806"/>
    <n v="342"/>
    <n v="1182"/>
    <n v="1122"/>
    <n v="1428"/>
    <n v="2004"/>
    <n v="804"/>
    <n v="1824"/>
    <n v="96"/>
    <n v="408"/>
    <n v="336"/>
    <n v="300"/>
    <n v="180"/>
    <n v="2784"/>
    <n v="684"/>
    <n v="264"/>
    <n v="624"/>
    <n v="312"/>
    <n v="1308"/>
    <n v="600"/>
    <n v="672"/>
    <n v="3360"/>
    <n v="624"/>
    <n v="324"/>
    <n v="432"/>
    <n v="504"/>
    <n v="504"/>
    <n v="696"/>
    <n v="372"/>
  </r>
  <r>
    <s v="L'Oreal"/>
    <x v="0"/>
    <x v="0"/>
    <x v="0"/>
    <x v="3"/>
    <n v="7509552906455"/>
    <x v="29"/>
    <x v="209"/>
    <x v="16"/>
    <n v="384"/>
    <n v="0"/>
    <n v="0"/>
    <n v="396"/>
    <n v="420"/>
    <n v="60"/>
    <n v="0"/>
    <n v="24"/>
    <n v="12"/>
    <n v="12"/>
    <n v="24"/>
    <n v="24"/>
    <n v="24"/>
    <n v="48"/>
    <n v="12"/>
    <n v="0"/>
    <n v="12"/>
    <n v="12"/>
    <n v="72"/>
    <n v="72"/>
    <n v="36"/>
    <n v="24"/>
    <n v="60"/>
    <n v="24"/>
    <n v="24"/>
    <n v="12"/>
    <n v="0"/>
    <n v="24"/>
    <n v="0"/>
    <n v="828"/>
    <n v="378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906479"/>
    <x v="29"/>
    <x v="210"/>
    <x v="8"/>
    <n v="720"/>
    <n v="756"/>
    <n v="504"/>
    <n v="852"/>
    <n v="708"/>
    <n v="576"/>
    <n v="528"/>
    <n v="588"/>
    <n v="756"/>
    <n v="768"/>
    <n v="588"/>
    <n v="624"/>
    <n v="816"/>
    <n v="792"/>
    <n v="564"/>
    <n v="384"/>
    <n v="684"/>
    <n v="552"/>
    <n v="648"/>
    <n v="372"/>
    <n v="0"/>
    <n v="264"/>
    <n v="1104"/>
    <n v="768"/>
    <n v="756"/>
    <n v="660"/>
    <n v="408"/>
    <n v="828"/>
    <n v="924"/>
    <n v="456"/>
    <n v="132"/>
    <n v="0"/>
    <n v="948"/>
    <n v="1428"/>
    <n v="804"/>
    <n v="816"/>
    <n v="636"/>
    <n v="756"/>
    <n v="792"/>
    <n v="612"/>
    <n v="972"/>
    <n v="852"/>
  </r>
  <r>
    <s v="L'Oreal"/>
    <x v="0"/>
    <x v="0"/>
    <x v="0"/>
    <x v="3"/>
    <n v="7509552908701"/>
    <x v="30"/>
    <x v="211"/>
    <x v="8"/>
    <n v="2406"/>
    <n v="1884"/>
    <n v="384"/>
    <n v="570"/>
    <n v="834"/>
    <n v="2922"/>
    <n v="180"/>
    <n v="1062"/>
    <n v="1794"/>
    <n v="906"/>
    <n v="1362"/>
    <n v="1746"/>
    <n v="1992"/>
    <n v="1140"/>
    <n v="1326"/>
    <n v="1152"/>
    <n v="1170"/>
    <n v="1488"/>
    <n v="1758"/>
    <n v="132"/>
    <n v="276"/>
    <n v="138"/>
    <n v="180"/>
    <n v="264"/>
    <n v="768"/>
    <n v="396"/>
    <n v="3120"/>
    <n v="738"/>
    <n v="6"/>
    <n v="0"/>
    <n v="0"/>
    <n v="0"/>
    <n v="0"/>
    <n v="792"/>
    <n v="648"/>
    <n v="570"/>
    <n v="360"/>
    <n v="174"/>
    <n v="204"/>
    <n v="654"/>
    <n v="60"/>
    <n v="36"/>
  </r>
  <r>
    <s v="L'Oreal"/>
    <x v="0"/>
    <x v="0"/>
    <x v="0"/>
    <x v="3"/>
    <n v="7509552909678"/>
    <x v="37"/>
    <x v="212"/>
    <x v="8"/>
    <n v="0"/>
    <n v="0"/>
    <n v="0"/>
    <n v="0"/>
    <n v="1752"/>
    <n v="2592"/>
    <n v="300"/>
    <n v="192"/>
    <n v="384"/>
    <n v="348"/>
    <n v="264"/>
    <n v="516"/>
    <n v="696"/>
    <n v="588"/>
    <n v="396"/>
    <n v="324"/>
    <n v="756"/>
    <n v="336"/>
    <n v="180"/>
    <n v="216"/>
    <n v="0"/>
    <n v="180"/>
    <n v="660"/>
    <n v="468"/>
    <n v="348"/>
    <n v="240"/>
    <n v="240"/>
    <n v="672"/>
    <n v="456"/>
    <n v="732"/>
    <n v="372"/>
    <n v="156"/>
    <n v="240"/>
    <n v="1068"/>
    <n v="768"/>
    <n v="180"/>
    <n v="252"/>
    <n v="132"/>
    <n v="276"/>
    <n v="396"/>
    <n v="276"/>
    <n v="252"/>
  </r>
  <r>
    <s v="L'Oreal"/>
    <x v="0"/>
    <x v="0"/>
    <x v="0"/>
    <x v="3"/>
    <n v="7509552909913"/>
    <x v="32"/>
    <x v="213"/>
    <x v="9"/>
    <n v="96"/>
    <n v="12"/>
    <n v="90"/>
    <n v="60"/>
    <n v="96"/>
    <n v="60"/>
    <n v="96"/>
    <n v="18"/>
    <n v="66"/>
    <n v="24"/>
    <n v="24"/>
    <n v="36"/>
    <n v="108"/>
    <n v="90"/>
    <n v="12"/>
    <n v="114"/>
    <n v="132"/>
    <n v="30"/>
    <n v="114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914030"/>
    <x v="30"/>
    <x v="214"/>
    <x v="8"/>
    <n v="156"/>
    <n v="276"/>
    <n v="240"/>
    <n v="204"/>
    <n v="216"/>
    <n v="156"/>
    <n v="300"/>
    <n v="144"/>
    <n v="96"/>
    <n v="0"/>
    <n v="0"/>
    <n v="444"/>
    <n v="300"/>
    <n v="300"/>
    <n v="132"/>
    <n v="156"/>
    <n v="180"/>
    <n v="60"/>
    <n v="108"/>
    <n v="108"/>
    <n v="360"/>
    <n v="72"/>
    <n v="0"/>
    <n v="804"/>
    <n v="636"/>
    <n v="240"/>
    <n v="276"/>
    <n v="156"/>
    <n v="192"/>
    <n v="228"/>
    <n v="120"/>
    <n v="216"/>
    <n v="300"/>
    <n v="984"/>
    <n v="408"/>
    <n v="0"/>
    <n v="0"/>
    <n v="0"/>
    <n v="0"/>
    <n v="0"/>
    <n v="0"/>
    <n v="0"/>
  </r>
  <r>
    <s v="L'Oreal"/>
    <x v="0"/>
    <x v="0"/>
    <x v="0"/>
    <x v="3"/>
    <n v="7509552914108"/>
    <x v="29"/>
    <x v="215"/>
    <x v="8"/>
    <n v="192"/>
    <n v="132"/>
    <n v="156"/>
    <n v="144"/>
    <n v="72"/>
    <n v="84"/>
    <n v="72"/>
    <n v="72"/>
    <n v="72"/>
    <n v="60"/>
    <n v="144"/>
    <n v="132"/>
    <n v="168"/>
    <n v="132"/>
    <n v="156"/>
    <n v="60"/>
    <n v="168"/>
    <n v="0"/>
    <n v="156"/>
    <n v="156"/>
    <n v="276"/>
    <n v="36"/>
    <n v="276"/>
    <n v="276"/>
    <n v="96"/>
    <n v="96"/>
    <n v="216"/>
    <n v="180"/>
    <n v="120"/>
    <n v="1212"/>
    <n v="390"/>
    <n v="264"/>
    <n v="0"/>
    <n v="612"/>
    <n v="504"/>
    <n v="420"/>
    <n v="228"/>
    <n v="252"/>
    <n v="168"/>
    <n v="48"/>
    <n v="0"/>
    <n v="0"/>
  </r>
  <r>
    <s v="L'Oreal"/>
    <x v="0"/>
    <x v="0"/>
    <x v="0"/>
    <x v="3"/>
    <n v="7509552914641"/>
    <x v="38"/>
    <x v="216"/>
    <x v="8"/>
    <n v="84"/>
    <n v="132"/>
    <n v="36"/>
    <n v="72"/>
    <n v="48"/>
    <n v="96"/>
    <n v="48"/>
    <n v="96"/>
    <n v="24"/>
    <n v="192"/>
    <n v="60"/>
    <n v="180"/>
    <n v="156"/>
    <n v="108"/>
    <n v="72"/>
    <n v="96"/>
    <n v="132"/>
    <n v="72"/>
    <n v="144"/>
    <n v="132"/>
    <n v="132"/>
    <n v="11"/>
    <n v="96"/>
    <n v="216"/>
    <n v="168"/>
    <n v="108"/>
    <n v="84"/>
    <n v="216"/>
    <n v="156"/>
    <n v="180"/>
    <n v="144"/>
    <n v="144"/>
    <n v="180"/>
    <n v="924"/>
    <n v="144"/>
    <n v="108"/>
    <n v="84"/>
    <n v="108"/>
    <n v="156"/>
    <n v="0"/>
    <n v="0"/>
    <n v="0"/>
  </r>
  <r>
    <s v="L'Oreal"/>
    <x v="0"/>
    <x v="0"/>
    <x v="0"/>
    <x v="3"/>
    <n v="7509552914696"/>
    <x v="38"/>
    <x v="217"/>
    <x v="5"/>
    <n v="801"/>
    <n v="462"/>
    <n v="258"/>
    <n v="378"/>
    <n v="246"/>
    <n v="186"/>
    <n v="150"/>
    <n v="246"/>
    <n v="168"/>
    <n v="192"/>
    <n v="261"/>
    <n v="246"/>
    <n v="309"/>
    <n v="372"/>
    <n v="279"/>
    <n v="195"/>
    <n v="186"/>
    <n v="144"/>
    <n v="180"/>
    <n v="129"/>
    <n v="492"/>
    <n v="117"/>
    <n v="150"/>
    <n v="30"/>
    <n v="132"/>
    <n v="392"/>
    <n v="177"/>
    <n v="339"/>
    <n v="291"/>
    <n v="123"/>
    <n v="252"/>
    <n v="147"/>
    <n v="0"/>
    <n v="495"/>
    <n v="225"/>
    <n v="101"/>
    <n v="480"/>
    <n v="318"/>
    <n v="99"/>
    <n v="306"/>
    <n v="183"/>
    <n v="264"/>
  </r>
  <r>
    <s v="L'Oreal"/>
    <x v="0"/>
    <x v="0"/>
    <x v="0"/>
    <x v="3"/>
    <n v="7509552915112"/>
    <x v="29"/>
    <x v="218"/>
    <x v="5"/>
    <n v="-12"/>
    <n v="0"/>
    <n v="0"/>
    <n v="0"/>
    <n v="0"/>
    <n v="0"/>
    <n v="0"/>
    <n v="0"/>
    <n v="0"/>
    <n v="0"/>
    <n v="0"/>
    <n v="768"/>
    <n v="552"/>
    <n v="108"/>
    <n v="60"/>
    <n v="12"/>
    <n v="60"/>
    <n v="120"/>
    <n v="564"/>
    <n v="264"/>
    <n v="360"/>
    <n v="84"/>
    <n v="324"/>
    <n v="288"/>
    <n v="264"/>
    <n v="192"/>
    <n v="264"/>
    <n v="468"/>
    <n v="336"/>
    <n v="168"/>
    <n v="144"/>
    <n v="156"/>
    <n v="432"/>
    <n v="468"/>
    <n v="468"/>
    <n v="504"/>
    <n v="468"/>
    <n v="396"/>
    <n v="552"/>
    <n v="300"/>
    <n v="468"/>
    <n v="432"/>
  </r>
  <r>
    <s v="L'Oreal"/>
    <x v="0"/>
    <x v="0"/>
    <x v="0"/>
    <x v="3"/>
    <n v="7509552920864"/>
    <x v="31"/>
    <x v="21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0"/>
    <n v="2400"/>
    <n v="2076"/>
    <n v="1560"/>
    <n v="2106"/>
    <n v="2280"/>
    <n v="1392"/>
    <n v="1464"/>
    <n v="1470"/>
    <n v="1314"/>
    <n v="1116"/>
    <n v="714"/>
  </r>
  <r>
    <s v="L'Oreal"/>
    <x v="0"/>
    <x v="0"/>
    <x v="0"/>
    <x v="3"/>
    <n v="7509552922226"/>
    <x v="33"/>
    <x v="22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"/>
    <n v="186"/>
    <n v="156"/>
    <n v="324"/>
    <n v="342"/>
    <n v="300"/>
  </r>
  <r>
    <s v="L'Oreal"/>
    <x v="0"/>
    <x v="0"/>
    <x v="0"/>
    <x v="3"/>
    <n v="7509552922288"/>
    <x v="33"/>
    <x v="22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"/>
    <n v="108"/>
    <n v="360"/>
    <n v="420"/>
    <n v="444"/>
    <n v="408"/>
    <n v="396"/>
    <n v="204"/>
    <n v="432"/>
    <n v="240"/>
    <n v="216"/>
    <n v="228"/>
  </r>
  <r>
    <s v="L'Oreal"/>
    <x v="0"/>
    <x v="0"/>
    <x v="0"/>
    <x v="3"/>
    <n v="7509552922301"/>
    <x v="39"/>
    <x v="22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8"/>
    <n v="132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922325"/>
    <x v="39"/>
    <x v="22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8"/>
    <n v="96"/>
    <n v="12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3"/>
    <n v="7509552922332"/>
    <x v="40"/>
    <x v="22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n v="528"/>
    <n v="864"/>
    <n v="60"/>
    <n v="0"/>
    <n v="792"/>
    <n v="444"/>
    <n v="444"/>
    <n v="336"/>
    <n v="264"/>
    <n v="168"/>
    <n v="312"/>
  </r>
  <r>
    <s v="L'Oreal"/>
    <x v="0"/>
    <x v="0"/>
    <x v="0"/>
    <x v="3"/>
    <n v="7509552930535"/>
    <x v="41"/>
    <x v="22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0"/>
    <n v="2700"/>
    <n v="1368"/>
    <n v="1092"/>
    <n v="1380"/>
    <n v="684"/>
    <n v="384"/>
    <n v="552"/>
    <n v="1242"/>
    <n v="1506"/>
    <n v="1962"/>
    <n v="1584"/>
  </r>
  <r>
    <s v="L'Oreal"/>
    <x v="0"/>
    <x v="0"/>
    <x v="0"/>
    <x v="3"/>
    <n v="7509552930559"/>
    <x v="41"/>
    <x v="226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0"/>
    <n v="3252"/>
    <n v="1944"/>
    <n v="336"/>
    <n v="1704"/>
    <n v="714"/>
    <n v="420"/>
    <n v="606"/>
    <n v="750"/>
    <n v="1152"/>
    <n v="0"/>
    <n v="1380"/>
  </r>
  <r>
    <s v="L'Oreal"/>
    <x v="0"/>
    <x v="0"/>
    <x v="0"/>
    <x v="3"/>
    <n v="7509552930573"/>
    <x v="41"/>
    <x v="227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0"/>
    <n v="1644"/>
    <n v="708"/>
    <n v="564"/>
    <n v="60"/>
    <n v="708"/>
    <n v="180"/>
    <n v="288"/>
    <n v="216"/>
    <n v="180"/>
    <n v="276"/>
    <n v="120"/>
  </r>
  <r>
    <s v="L'Oreal"/>
    <x v="0"/>
    <x v="0"/>
    <x v="0"/>
    <x v="3"/>
    <n v="7509552932164"/>
    <x v="41"/>
    <x v="228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2"/>
    <n v="1572"/>
    <n v="864"/>
    <n v="684"/>
    <n v="900"/>
    <n v="282"/>
    <n v="144"/>
    <n v="282"/>
    <n v="438"/>
    <n v="744"/>
    <n v="84"/>
    <n v="168"/>
  </r>
  <r>
    <s v="L'Oreal"/>
    <x v="0"/>
    <x v="0"/>
    <x v="0"/>
    <x v="3"/>
    <n v="7509552964035"/>
    <x v="41"/>
    <x v="22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6"/>
    <n v="1236"/>
    <n v="756"/>
    <n v="996"/>
    <n v="444"/>
  </r>
  <r>
    <s v="L'Oreal"/>
    <x v="0"/>
    <x v="0"/>
    <x v="0"/>
    <x v="3"/>
    <n v="7509552964042"/>
    <x v="41"/>
    <x v="23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6"/>
    <n v="906"/>
    <n v="1542"/>
    <n v="2010"/>
    <n v="1332"/>
  </r>
  <r>
    <s v="L'Oreal"/>
    <x v="0"/>
    <x v="0"/>
    <x v="0"/>
    <x v="3"/>
    <n v="7899706170611"/>
    <x v="27"/>
    <x v="231"/>
    <x v="17"/>
    <n v="336"/>
    <n v="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4"/>
    <n v="7501027218384"/>
    <x v="42"/>
    <x v="232"/>
    <x v="18"/>
    <n v="114"/>
    <n v="132"/>
    <n v="108"/>
    <n v="24"/>
    <n v="48"/>
    <n v="36"/>
    <n v="36"/>
    <n v="36"/>
    <n v="120"/>
    <n v="60"/>
    <n v="60"/>
    <n v="120"/>
    <n v="84"/>
    <n v="96"/>
    <n v="36"/>
    <n v="48"/>
    <n v="24"/>
    <n v="60"/>
    <n v="24"/>
    <n v="72"/>
    <n v="72"/>
    <n v="48"/>
    <n v="72"/>
    <n v="24"/>
    <n v="84"/>
    <n v="24"/>
    <n v="36"/>
    <n v="0"/>
    <n v="0"/>
    <n v="0"/>
    <n v="24"/>
    <n v="0"/>
    <n v="216"/>
    <n v="84"/>
    <n v="24"/>
    <n v="0"/>
    <n v="0"/>
    <n v="0"/>
    <n v="0"/>
    <n v="0"/>
    <n v="0"/>
    <n v="0"/>
  </r>
  <r>
    <s v="L'Oreal"/>
    <x v="0"/>
    <x v="0"/>
    <x v="0"/>
    <x v="4"/>
    <n v="7501027280657"/>
    <x v="42"/>
    <x v="233"/>
    <x v="18"/>
    <n v="18"/>
    <n v="36"/>
    <n v="12"/>
    <n v="0"/>
    <n v="0"/>
    <n v="0"/>
    <n v="0"/>
    <n v="12"/>
    <n v="12"/>
    <n v="0"/>
    <n v="0"/>
    <n v="24"/>
    <n v="12"/>
    <n v="12"/>
    <n v="12"/>
    <n v="0"/>
    <n v="204"/>
    <n v="0"/>
    <n v="12"/>
    <n v="24"/>
    <n v="48"/>
    <n v="0"/>
    <n v="0"/>
    <n v="0"/>
    <n v="36"/>
    <n v="48"/>
    <n v="0"/>
    <n v="12"/>
    <n v="48"/>
    <n v="12"/>
    <n v="24"/>
    <n v="12"/>
    <n v="156"/>
    <n v="12"/>
    <n v="78"/>
    <n v="0"/>
    <n v="0"/>
    <n v="0"/>
    <n v="0"/>
    <n v="192"/>
    <n v="0"/>
    <n v="0"/>
  </r>
  <r>
    <s v="L'Oreal"/>
    <x v="0"/>
    <x v="0"/>
    <x v="0"/>
    <x v="4"/>
    <n v="7509552780987"/>
    <x v="42"/>
    <x v="234"/>
    <x v="18"/>
    <n v="6"/>
    <n v="612"/>
    <n v="72"/>
    <n v="126"/>
    <n v="48"/>
    <n v="48"/>
    <n v="84"/>
    <n v="108"/>
    <n v="108"/>
    <n v="48"/>
    <n v="84"/>
    <n v="120"/>
    <n v="228"/>
    <n v="108"/>
    <n v="108"/>
    <n v="96"/>
    <n v="168"/>
    <n v="48"/>
    <n v="60"/>
    <n v="120"/>
    <n v="36"/>
    <n v="24"/>
    <n v="72"/>
    <n v="84"/>
    <n v="108"/>
    <n v="180"/>
    <n v="35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0"/>
    <x v="5"/>
    <n v="71249119297"/>
    <x v="43"/>
    <x v="235"/>
    <x v="0"/>
    <n v="516"/>
    <n v="366"/>
    <n v="270"/>
    <n v="294"/>
    <n v="0"/>
    <n v="0"/>
    <n v="0"/>
    <n v="414"/>
    <n v="408"/>
    <n v="72"/>
    <n v="426"/>
    <n v="276"/>
    <n v="0"/>
    <n v="330"/>
    <n v="450"/>
    <n v="264"/>
    <n v="420"/>
    <n v="204"/>
    <n v="303"/>
    <n v="240"/>
    <n v="456"/>
    <n v="168"/>
    <n v="186"/>
    <n v="288"/>
    <n v="315"/>
    <n v="120"/>
    <n v="252"/>
    <n v="0"/>
    <n v="0"/>
    <n v="0"/>
    <n v="117"/>
    <n v="351"/>
    <n v="0"/>
    <n v="0"/>
    <n v="699"/>
    <n v="468"/>
    <n v="216"/>
    <n v="159"/>
    <n v="156"/>
    <n v="288"/>
    <n v="156"/>
    <n v="441"/>
  </r>
  <r>
    <s v="L'Oreal"/>
    <x v="0"/>
    <x v="0"/>
    <x v="0"/>
    <x v="5"/>
    <n v="71249119334"/>
    <x v="44"/>
    <x v="236"/>
    <x v="0"/>
    <n v="54"/>
    <n v="0"/>
    <n v="0"/>
    <n v="50"/>
    <n v="0"/>
    <n v="0"/>
    <n v="0"/>
    <n v="0"/>
    <n v="0"/>
    <n v="0"/>
    <n v="6"/>
    <n v="0"/>
    <n v="0"/>
    <n v="12"/>
    <n v="6"/>
    <n v="24"/>
    <n v="126"/>
    <n v="0"/>
    <n v="27"/>
    <n v="0"/>
    <n v="0"/>
    <n v="54"/>
    <n v="0"/>
    <n v="0"/>
    <n v="0"/>
    <n v="0"/>
    <n v="72"/>
    <n v="12"/>
    <n v="78"/>
    <n v="0"/>
    <n v="21"/>
    <n v="96"/>
    <n v="12"/>
    <n v="24"/>
    <n v="24"/>
    <n v="66"/>
    <n v="27"/>
    <n v="15"/>
    <n v="66"/>
    <n v="18"/>
    <n v="66"/>
    <n v="78"/>
  </r>
  <r>
    <s v="L'Oreal"/>
    <x v="0"/>
    <x v="0"/>
    <x v="0"/>
    <x v="5"/>
    <n v="7501027252838"/>
    <x v="45"/>
    <x v="237"/>
    <x v="0"/>
    <n v="507"/>
    <n v="0"/>
    <n v="336"/>
    <n v="192"/>
    <n v="198"/>
    <n v="120"/>
    <n v="162"/>
    <n v="63"/>
    <n v="282"/>
    <n v="0"/>
    <n v="516"/>
    <n v="204"/>
    <n v="96"/>
    <n v="372"/>
    <n v="135"/>
    <n v="0"/>
    <n v="0"/>
    <n v="0"/>
    <n v="126"/>
    <n v="30"/>
    <n v="0"/>
    <n v="42"/>
    <n v="24"/>
    <n v="36"/>
    <n v="6"/>
    <n v="0"/>
    <n v="0"/>
    <n v="0"/>
    <n v="180"/>
    <n v="18"/>
    <n v="27"/>
    <n v="348"/>
    <n v="237"/>
    <n v="288"/>
    <n v="156"/>
    <n v="66"/>
    <n v="0"/>
    <n v="120"/>
    <n v="0"/>
    <n v="138"/>
    <n v="132"/>
    <n v="108"/>
  </r>
  <r>
    <s v="L'Oreal"/>
    <x v="0"/>
    <x v="0"/>
    <x v="0"/>
    <x v="5"/>
    <n v="7501027284945"/>
    <x v="46"/>
    <x v="238"/>
    <x v="0"/>
    <n v="270"/>
    <n v="0"/>
    <n v="366"/>
    <n v="156"/>
    <n v="180"/>
    <n v="96"/>
    <n v="216"/>
    <n v="285"/>
    <n v="282"/>
    <n v="324"/>
    <n v="210"/>
    <n v="348"/>
    <n v="330"/>
    <n v="246"/>
    <n v="222"/>
    <n v="276"/>
    <n v="234"/>
    <n v="168"/>
    <n v="189"/>
    <n v="219"/>
    <n v="246"/>
    <n v="150"/>
    <n v="198"/>
    <n v="288"/>
    <n v="351"/>
    <n v="18"/>
    <n v="0"/>
    <n v="432"/>
    <n v="315"/>
    <n v="123"/>
    <n v="180"/>
    <n v="204"/>
    <n v="0"/>
    <n v="378"/>
    <n v="162"/>
    <n v="330"/>
    <n v="180"/>
    <n v="24"/>
    <n v="30"/>
    <n v="96"/>
    <n v="150"/>
    <n v="129"/>
  </r>
  <r>
    <s v="L'Oreal"/>
    <x v="0"/>
    <x v="0"/>
    <x v="1"/>
    <x v="6"/>
    <n v="7896014184439"/>
    <x v="47"/>
    <x v="239"/>
    <x v="19"/>
    <n v="21"/>
    <n v="36"/>
    <n v="9"/>
    <n v="9"/>
    <n v="24"/>
    <n v="33"/>
    <n v="9"/>
    <n v="18"/>
    <n v="57"/>
    <n v="51"/>
    <n v="3"/>
    <n v="48"/>
    <n v="12"/>
    <n v="33"/>
    <n v="3"/>
    <n v="27"/>
    <n v="24"/>
    <n v="18"/>
    <n v="6"/>
    <n v="21"/>
    <n v="30"/>
    <n v="66"/>
    <n v="12"/>
    <n v="12"/>
    <n v="21"/>
    <n v="12"/>
    <n v="24"/>
    <n v="24"/>
    <n v="27"/>
    <n v="3"/>
    <n v="9"/>
    <n v="36"/>
    <n v="30"/>
    <n v="27"/>
    <n v="39"/>
    <n v="36"/>
    <n v="0"/>
    <n v="18"/>
    <n v="15"/>
    <n v="30"/>
    <n v="21"/>
    <n v="6"/>
  </r>
  <r>
    <s v="L'Oreal"/>
    <x v="0"/>
    <x v="0"/>
    <x v="1"/>
    <x v="6"/>
    <n v="7896014184477"/>
    <x v="47"/>
    <x v="240"/>
    <x v="19"/>
    <n v="27"/>
    <n v="36"/>
    <n v="21"/>
    <n v="36"/>
    <n v="6"/>
    <n v="30"/>
    <n v="6"/>
    <n v="15"/>
    <n v="18"/>
    <n v="69"/>
    <n v="15"/>
    <n v="15"/>
    <n v="9"/>
    <n v="24"/>
    <n v="15"/>
    <n v="27"/>
    <n v="9"/>
    <n v="27"/>
    <n v="24"/>
    <n v="9"/>
    <n v="21"/>
    <n v="12"/>
    <n v="42"/>
    <n v="39"/>
    <n v="18"/>
    <n v="30"/>
    <n v="24"/>
    <n v="9"/>
    <n v="45"/>
    <n v="18"/>
    <n v="9"/>
    <n v="33"/>
    <n v="21"/>
    <n v="45"/>
    <n v="51"/>
    <n v="6"/>
    <n v="51"/>
    <n v="36"/>
    <n v="36"/>
    <n v="48"/>
    <n v="30"/>
    <n v="24"/>
  </r>
  <r>
    <s v="L'Oreal"/>
    <x v="0"/>
    <x v="0"/>
    <x v="1"/>
    <x v="6"/>
    <n v="7896014184484"/>
    <x v="47"/>
    <x v="241"/>
    <x v="19"/>
    <n v="105"/>
    <n v="129"/>
    <n v="111"/>
    <n v="2"/>
    <n v="129"/>
    <n v="129"/>
    <n v="108"/>
    <n v="63"/>
    <n v="222"/>
    <n v="117"/>
    <n v="84"/>
    <n v="87"/>
    <n v="96"/>
    <n v="138"/>
    <n v="99"/>
    <n v="63"/>
    <n v="108"/>
    <n v="63"/>
    <n v="267"/>
    <n v="156"/>
    <n v="177"/>
    <n v="0"/>
    <n v="105"/>
    <n v="183"/>
    <n v="129"/>
    <n v="105"/>
    <n v="276"/>
    <n v="132"/>
    <n v="126"/>
    <n v="114"/>
    <n v="60"/>
    <n v="201"/>
    <n v="147"/>
    <n v="126"/>
    <n v="144"/>
    <n v="69"/>
    <n v="72"/>
    <n v="81"/>
    <n v="54"/>
    <n v="57"/>
    <n v="60"/>
    <n v="45"/>
  </r>
  <r>
    <s v="L'Oreal"/>
    <x v="0"/>
    <x v="0"/>
    <x v="1"/>
    <x v="6"/>
    <n v="7896014184491"/>
    <x v="47"/>
    <x v="242"/>
    <x v="19"/>
    <n v="42"/>
    <n v="99"/>
    <n v="6"/>
    <n v="72"/>
    <n v="30"/>
    <n v="15"/>
    <n v="30"/>
    <n v="33"/>
    <n v="84"/>
    <n v="42"/>
    <n v="21"/>
    <n v="45"/>
    <n v="42"/>
    <n v="45"/>
    <n v="36"/>
    <n v="33"/>
    <n v="72"/>
    <n v="36"/>
    <n v="48"/>
    <n v="30"/>
    <n v="75"/>
    <n v="36"/>
    <n v="24"/>
    <n v="39"/>
    <n v="42"/>
    <n v="27"/>
    <n v="0"/>
    <n v="30"/>
    <n v="51"/>
    <n v="27"/>
    <n v="6"/>
    <n v="75"/>
    <n v="39"/>
    <n v="27"/>
    <n v="33"/>
    <n v="27"/>
    <n v="30"/>
    <n v="45"/>
    <n v="39"/>
    <n v="30"/>
    <n v="60"/>
    <n v="33"/>
  </r>
  <r>
    <s v="L'Oreal"/>
    <x v="0"/>
    <x v="0"/>
    <x v="1"/>
    <x v="6"/>
    <n v="7896014184507"/>
    <x v="47"/>
    <x v="243"/>
    <x v="19"/>
    <n v="18"/>
    <n v="45"/>
    <n v="27"/>
    <n v="36"/>
    <n v="12"/>
    <n v="33"/>
    <n v="9"/>
    <n v="21"/>
    <n v="45"/>
    <n v="84"/>
    <n v="15"/>
    <n v="39"/>
    <n v="15"/>
    <n v="33"/>
    <n v="21"/>
    <n v="30"/>
    <n v="33"/>
    <n v="24"/>
    <n v="18"/>
    <n v="27"/>
    <n v="42"/>
    <n v="60"/>
    <n v="6"/>
    <n v="9"/>
    <n v="45"/>
    <n v="12"/>
    <n v="27"/>
    <n v="30"/>
    <n v="39"/>
    <n v="15"/>
    <n v="33"/>
    <n v="66"/>
    <n v="36"/>
    <n v="9"/>
    <n v="36"/>
    <n v="48"/>
    <n v="15"/>
    <n v="6"/>
    <n v="42"/>
    <n v="39"/>
    <n v="27"/>
    <n v="15"/>
  </r>
  <r>
    <s v="L'Oreal"/>
    <x v="0"/>
    <x v="0"/>
    <x v="1"/>
    <x v="6"/>
    <n v="7896014184514"/>
    <x v="47"/>
    <x v="244"/>
    <x v="19"/>
    <n v="93"/>
    <n v="87"/>
    <n v="57"/>
    <n v="45"/>
    <n v="36"/>
    <n v="72"/>
    <n v="27"/>
    <n v="39"/>
    <n v="84"/>
    <n v="36"/>
    <n v="42"/>
    <n v="15"/>
    <n v="51"/>
    <n v="33"/>
    <n v="24"/>
    <n v="51"/>
    <n v="99"/>
    <n v="60"/>
    <n v="69"/>
    <n v="66"/>
    <n v="108"/>
    <n v="54"/>
    <n v="18"/>
    <n v="81"/>
    <n v="54"/>
    <n v="54"/>
    <n v="96"/>
    <n v="66"/>
    <n v="45"/>
    <n v="24"/>
    <n v="33"/>
    <n v="54"/>
    <n v="81"/>
    <n v="60"/>
    <n v="72"/>
    <n v="66"/>
    <n v="33"/>
    <n v="45"/>
    <n v="54"/>
    <n v="27"/>
    <n v="57"/>
    <n v="30"/>
  </r>
  <r>
    <s v="L'Oreal"/>
    <x v="0"/>
    <x v="0"/>
    <x v="1"/>
    <x v="6"/>
    <n v="7896014184538"/>
    <x v="47"/>
    <x v="245"/>
    <x v="19"/>
    <n v="18"/>
    <n v="36"/>
    <n v="0"/>
    <n v="0"/>
    <n v="39"/>
    <n v="36"/>
    <n v="3"/>
    <n v="24"/>
    <n v="24"/>
    <n v="45"/>
    <n v="12"/>
    <n v="12"/>
    <n v="30"/>
    <n v="24"/>
    <n v="18"/>
    <n v="18"/>
    <n v="27"/>
    <n v="12"/>
    <n v="30"/>
    <n v="15"/>
    <n v="45"/>
    <n v="48"/>
    <n v="12"/>
    <n v="18"/>
    <n v="39"/>
    <n v="27"/>
    <n v="27"/>
    <n v="6"/>
    <n v="18"/>
    <n v="33"/>
    <n v="9"/>
    <n v="30"/>
    <n v="27"/>
    <n v="21"/>
    <n v="69"/>
    <n v="42"/>
    <n v="15"/>
    <n v="6"/>
    <n v="36"/>
    <n v="30"/>
    <n v="18"/>
    <n v="12"/>
  </r>
  <r>
    <s v="L'Oreal"/>
    <x v="0"/>
    <x v="0"/>
    <x v="1"/>
    <x v="6"/>
    <n v="7896014184545"/>
    <x v="47"/>
    <x v="246"/>
    <x v="19"/>
    <n v="9"/>
    <n v="3"/>
    <n v="6"/>
    <n v="6"/>
    <n v="9"/>
    <n v="15"/>
    <n v="21"/>
    <n v="24"/>
    <n v="30"/>
    <n v="57"/>
    <n v="15"/>
    <n v="15"/>
    <n v="12"/>
    <n v="3"/>
    <n v="15"/>
    <n v="9"/>
    <n v="24"/>
    <n v="6"/>
    <n v="39"/>
    <n v="12"/>
    <n v="36"/>
    <n v="48"/>
    <n v="15"/>
    <n v="6"/>
    <n v="33"/>
    <n v="9"/>
    <n v="33"/>
    <n v="0"/>
    <n v="21"/>
    <n v="21"/>
    <n v="9"/>
    <n v="30"/>
    <n v="36"/>
    <n v="39"/>
    <n v="21"/>
    <n v="24"/>
    <n v="12"/>
    <n v="6"/>
    <n v="18"/>
    <n v="15"/>
    <n v="3"/>
    <n v="18"/>
  </r>
  <r>
    <s v="L'Oreal"/>
    <x v="0"/>
    <x v="0"/>
    <x v="1"/>
    <x v="6"/>
    <n v="7896014184552"/>
    <x v="47"/>
    <x v="247"/>
    <x v="19"/>
    <n v="45"/>
    <n v="24"/>
    <n v="36"/>
    <n v="48"/>
    <n v="54"/>
    <n v="66"/>
    <n v="42"/>
    <n v="57"/>
    <n v="81"/>
    <n v="60"/>
    <n v="54"/>
    <n v="48"/>
    <n v="57"/>
    <n v="45"/>
    <n v="12"/>
    <n v="27"/>
    <n v="21"/>
    <n v="24"/>
    <n v="33"/>
    <n v="15"/>
    <n v="117"/>
    <n v="60"/>
    <n v="30"/>
    <n v="36"/>
    <n v="45"/>
    <n v="42"/>
    <n v="174"/>
    <n v="33"/>
    <n v="48"/>
    <n v="105"/>
    <n v="30"/>
    <n v="57"/>
    <n v="36"/>
    <n v="78"/>
    <n v="81"/>
    <n v="27"/>
    <n v="33"/>
    <n v="36"/>
    <n v="21"/>
    <n v="33"/>
    <n v="6"/>
    <n v="27"/>
  </r>
  <r>
    <s v="L'Oreal"/>
    <x v="0"/>
    <x v="0"/>
    <x v="1"/>
    <x v="6"/>
    <n v="7896014184569"/>
    <x v="47"/>
    <x v="248"/>
    <x v="19"/>
    <n v="21"/>
    <n v="18"/>
    <n v="3"/>
    <n v="24"/>
    <n v="27"/>
    <n v="12"/>
    <n v="9"/>
    <n v="15"/>
    <n v="36"/>
    <n v="54"/>
    <n v="27"/>
    <n v="21"/>
    <n v="33"/>
    <n v="27"/>
    <n v="25"/>
    <n v="27"/>
    <n v="54"/>
    <n v="18"/>
    <n v="21"/>
    <n v="15"/>
    <n v="36"/>
    <n v="21"/>
    <n v="42"/>
    <n v="21"/>
    <n v="27"/>
    <n v="42"/>
    <n v="42"/>
    <n v="24"/>
    <n v="30"/>
    <n v="15"/>
    <n v="27"/>
    <n v="87"/>
    <n v="39"/>
    <n v="30"/>
    <n v="36"/>
    <n v="27"/>
    <n v="24"/>
    <n v="18"/>
    <n v="3"/>
    <n v="30"/>
    <n v="24"/>
    <n v="9"/>
  </r>
  <r>
    <s v="L'Oreal"/>
    <x v="0"/>
    <x v="0"/>
    <x v="1"/>
    <x v="6"/>
    <n v="7896014187997"/>
    <x v="47"/>
    <x v="249"/>
    <x v="19"/>
    <n v="84"/>
    <n v="72"/>
    <n v="66"/>
    <n v="9"/>
    <n v="99"/>
    <n v="99"/>
    <n v="51"/>
    <n v="66"/>
    <n v="87"/>
    <n v="120"/>
    <n v="72"/>
    <n v="24"/>
    <n v="75"/>
    <n v="51"/>
    <n v="69"/>
    <n v="99"/>
    <n v="105"/>
    <n v="60"/>
    <n v="84"/>
    <n v="63"/>
    <n v="177"/>
    <n v="60"/>
    <n v="39"/>
    <n v="75"/>
    <n v="69"/>
    <n v="27"/>
    <n v="108"/>
    <n v="51"/>
    <n v="66"/>
    <n v="36"/>
    <n v="42"/>
    <n v="138"/>
    <n v="99"/>
    <n v="51"/>
    <n v="60"/>
    <n v="72"/>
    <n v="48"/>
    <n v="48"/>
    <n v="48"/>
    <n v="48"/>
    <n v="60"/>
    <n v="42"/>
  </r>
  <r>
    <s v="L'Oreal"/>
    <x v="0"/>
    <x v="0"/>
    <x v="1"/>
    <x v="6"/>
    <n v="7896014188000"/>
    <x v="47"/>
    <x v="250"/>
    <x v="19"/>
    <n v="21"/>
    <n v="51"/>
    <n v="24"/>
    <n v="33"/>
    <n v="30"/>
    <n v="24"/>
    <n v="24"/>
    <n v="6"/>
    <n v="72"/>
    <n v="57"/>
    <n v="12"/>
    <n v="15"/>
    <n v="18"/>
    <n v="66"/>
    <n v="24"/>
    <n v="21"/>
    <n v="60"/>
    <n v="12"/>
    <n v="48"/>
    <n v="12"/>
    <n v="66"/>
    <n v="42"/>
    <n v="15"/>
    <n v="12"/>
    <n v="30"/>
    <n v="33"/>
    <n v="15"/>
    <n v="27"/>
    <n v="33"/>
    <n v="18"/>
    <n v="12"/>
    <n v="99"/>
    <n v="33"/>
    <n v="18"/>
    <n v="33"/>
    <n v="24"/>
    <n v="24"/>
    <n v="21"/>
    <n v="27"/>
    <n v="48"/>
    <n v="45"/>
    <n v="24"/>
  </r>
  <r>
    <s v="L'Oreal"/>
    <x v="0"/>
    <x v="0"/>
    <x v="1"/>
    <x v="6"/>
    <n v="7896014188017"/>
    <x v="47"/>
    <x v="251"/>
    <x v="19"/>
    <n v="162"/>
    <n v="81"/>
    <n v="108"/>
    <n v="114"/>
    <n v="81"/>
    <n v="123"/>
    <n v="99"/>
    <n v="60"/>
    <n v="192"/>
    <n v="57"/>
    <n v="114"/>
    <n v="102"/>
    <n v="153"/>
    <n v="96"/>
    <n v="78"/>
    <n v="48"/>
    <n v="84"/>
    <n v="39"/>
    <n v="135"/>
    <n v="342"/>
    <n v="162"/>
    <n v="57"/>
    <n v="33"/>
    <n v="87"/>
    <n v="204"/>
    <n v="177"/>
    <n v="102"/>
    <n v="78"/>
    <n v="96"/>
    <n v="45"/>
    <n v="66"/>
    <n v="99"/>
    <n v="66"/>
    <n v="129"/>
    <n v="138"/>
    <n v="36"/>
    <n v="90"/>
    <n v="66"/>
    <n v="21"/>
    <n v="63"/>
    <n v="63"/>
    <n v="30"/>
  </r>
  <r>
    <s v="L'Oreal"/>
    <x v="0"/>
    <x v="0"/>
    <x v="1"/>
    <x v="6"/>
    <n v="7896014188031"/>
    <x v="47"/>
    <x v="252"/>
    <x v="19"/>
    <n v="108"/>
    <n v="105"/>
    <n v="102"/>
    <n v="0"/>
    <n v="84"/>
    <n v="225"/>
    <n v="96"/>
    <n v="72"/>
    <n v="129"/>
    <n v="135"/>
    <n v="66"/>
    <n v="108"/>
    <n v="147"/>
    <n v="117"/>
    <n v="84"/>
    <n v="42"/>
    <n v="96"/>
    <n v="51"/>
    <n v="54"/>
    <n v="75"/>
    <n v="213"/>
    <n v="0"/>
    <n v="33"/>
    <n v="183"/>
    <n v="195"/>
    <n v="66"/>
    <n v="198"/>
    <n v="108"/>
    <n v="174"/>
    <n v="144"/>
    <n v="81"/>
    <n v="132"/>
    <n v="99"/>
    <n v="132"/>
    <n v="81"/>
    <n v="99"/>
    <n v="72"/>
    <n v="57"/>
    <n v="48"/>
    <n v="81"/>
    <n v="27"/>
    <n v="21"/>
  </r>
  <r>
    <s v="L'Oreal"/>
    <x v="0"/>
    <x v="0"/>
    <x v="1"/>
    <x v="6"/>
    <n v="7899026496507"/>
    <x v="47"/>
    <x v="253"/>
    <x v="19"/>
    <n v="27"/>
    <n v="36"/>
    <n v="21"/>
    <n v="42"/>
    <n v="18"/>
    <n v="15"/>
    <n v="15"/>
    <n v="24"/>
    <n v="57"/>
    <n v="54"/>
    <n v="30"/>
    <n v="24"/>
    <n v="30"/>
    <n v="27"/>
    <n v="45"/>
    <n v="12"/>
    <n v="42"/>
    <n v="30"/>
    <n v="15"/>
    <n v="27"/>
    <n v="42"/>
    <n v="42"/>
    <n v="57"/>
    <n v="36"/>
    <n v="12"/>
    <n v="33"/>
    <n v="39"/>
    <n v="45"/>
    <n v="24"/>
    <n v="24"/>
    <n v="24"/>
    <n v="78"/>
    <n v="30"/>
    <n v="21"/>
    <n v="45"/>
    <n v="60"/>
    <n v="27"/>
    <n v="27"/>
    <n v="9"/>
    <n v="39"/>
    <n v="36"/>
    <n v="12"/>
  </r>
  <r>
    <s v="L'Oreal"/>
    <x v="0"/>
    <x v="0"/>
    <x v="1"/>
    <x v="6"/>
    <n v="7899026496514"/>
    <x v="47"/>
    <x v="254"/>
    <x v="19"/>
    <n v="0"/>
    <n v="0"/>
    <n v="12"/>
    <n v="24"/>
    <n v="6"/>
    <n v="3"/>
    <n v="0"/>
    <n v="0"/>
    <n v="12"/>
    <n v="0"/>
    <n v="6"/>
    <n v="18"/>
    <n v="54"/>
    <n v="24"/>
    <n v="6"/>
    <n v="9"/>
    <n v="18"/>
    <n v="30"/>
    <n v="33"/>
    <n v="0"/>
    <n v="30"/>
    <n v="6"/>
    <n v="6"/>
    <n v="6"/>
    <n v="0"/>
    <n v="3"/>
    <n v="6"/>
    <n v="9"/>
    <n v="12"/>
    <n v="6"/>
    <n v="0"/>
    <n v="6"/>
    <n v="0"/>
    <n v="0"/>
    <n v="0"/>
    <n v="0"/>
    <n v="0"/>
    <n v="0"/>
    <n v="0"/>
    <n v="21"/>
    <n v="21"/>
    <n v="0"/>
  </r>
  <r>
    <s v="L'Oreal"/>
    <x v="0"/>
    <x v="0"/>
    <x v="1"/>
    <x v="6"/>
    <n v="7899706135887"/>
    <x v="47"/>
    <x v="255"/>
    <x v="19"/>
    <n v="6"/>
    <n v="3"/>
    <n v="12"/>
    <n v="0"/>
    <n v="0"/>
    <n v="0"/>
    <n v="0"/>
    <n v="0"/>
    <n v="0"/>
    <n v="0"/>
    <n v="0"/>
    <n v="6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12"/>
    <n v="3"/>
    <n v="0"/>
    <n v="0"/>
    <n v="0"/>
    <n v="0"/>
    <n v="0"/>
    <n v="0"/>
    <n v="12"/>
    <n v="0"/>
    <n v="3"/>
  </r>
  <r>
    <s v="L'Oreal"/>
    <x v="0"/>
    <x v="0"/>
    <x v="1"/>
    <x v="7"/>
    <n v="7509552828894"/>
    <x v="48"/>
    <x v="256"/>
    <x v="19"/>
    <n v="444"/>
    <n v="870"/>
    <n v="810"/>
    <n v="678"/>
    <n v="456"/>
    <n v="1224"/>
    <n v="498"/>
    <n v="678"/>
    <n v="564"/>
    <n v="942"/>
    <n v="444"/>
    <n v="624"/>
    <n v="528"/>
    <n v="750"/>
    <n v="498"/>
    <n v="300"/>
    <n v="960"/>
    <n v="510"/>
    <n v="672"/>
    <n v="474"/>
    <n v="810"/>
    <n v="444"/>
    <n v="282"/>
    <n v="564"/>
    <n v="978"/>
    <n v="270"/>
    <n v="66"/>
    <n v="738"/>
    <n v="390"/>
    <n v="390"/>
    <n v="282"/>
    <n v="438"/>
    <n v="438"/>
    <n v="498"/>
    <n v="540"/>
    <n v="648"/>
    <n v="336"/>
    <n v="474"/>
    <n v="474"/>
    <n v="738"/>
    <n v="636"/>
    <n v="618"/>
  </r>
  <r>
    <s v="L'Oreal"/>
    <x v="0"/>
    <x v="0"/>
    <x v="1"/>
    <x v="7"/>
    <n v="7898587770651"/>
    <x v="48"/>
    <x v="257"/>
    <x v="19"/>
    <n v="384"/>
    <n v="654"/>
    <n v="918"/>
    <n v="528"/>
    <n v="504"/>
    <n v="756"/>
    <n v="1098"/>
    <n v="270"/>
    <n v="546"/>
    <n v="924"/>
    <n v="546"/>
    <n v="408"/>
    <n v="534"/>
    <n v="786"/>
    <n v="420"/>
    <n v="156"/>
    <n v="894"/>
    <n v="342"/>
    <n v="708"/>
    <n v="474"/>
    <n v="420"/>
    <n v="312"/>
    <n v="360"/>
    <n v="642"/>
    <n v="804"/>
    <n v="6"/>
    <n v="0"/>
    <n v="798"/>
    <n v="396"/>
    <n v="432"/>
    <n v="216"/>
    <n v="324"/>
    <n v="588"/>
    <n v="390"/>
    <n v="612"/>
    <n v="714"/>
    <n v="360"/>
    <n v="492"/>
    <n v="474"/>
    <n v="1026"/>
    <n v="660"/>
    <n v="504"/>
  </r>
  <r>
    <s v="L'Oreal"/>
    <x v="0"/>
    <x v="0"/>
    <x v="1"/>
    <x v="7"/>
    <n v="7898587770668"/>
    <x v="48"/>
    <x v="258"/>
    <x v="19"/>
    <n v="852"/>
    <n v="1464"/>
    <n v="1344"/>
    <n v="864"/>
    <n v="966"/>
    <n v="1182"/>
    <n v="1410"/>
    <n v="750"/>
    <n v="822"/>
    <n v="1176"/>
    <n v="606"/>
    <n v="882"/>
    <n v="1248"/>
    <n v="930"/>
    <n v="792"/>
    <n v="372"/>
    <n v="1590"/>
    <n v="696"/>
    <n v="1014"/>
    <n v="540"/>
    <n v="870"/>
    <n v="426"/>
    <n v="468"/>
    <n v="1122"/>
    <n v="1032"/>
    <n v="222"/>
    <n v="0"/>
    <n v="54"/>
    <n v="570"/>
    <n v="624"/>
    <n v="300"/>
    <n v="360"/>
    <n v="390"/>
    <n v="768"/>
    <n v="786"/>
    <n v="761"/>
    <n v="750"/>
    <n v="546"/>
    <n v="852"/>
    <n v="1296"/>
    <n v="840"/>
    <n v="852"/>
  </r>
  <r>
    <s v="L'Oreal"/>
    <x v="0"/>
    <x v="0"/>
    <x v="1"/>
    <x v="7"/>
    <n v="7898587770699"/>
    <x v="48"/>
    <x v="259"/>
    <x v="19"/>
    <n v="120"/>
    <n v="150"/>
    <n v="288"/>
    <n v="150"/>
    <n v="222"/>
    <n v="240"/>
    <n v="132"/>
    <n v="270"/>
    <n v="306"/>
    <n v="180"/>
    <n v="90"/>
    <n v="222"/>
    <n v="276"/>
    <n v="240"/>
    <n v="186"/>
    <n v="186"/>
    <n v="288"/>
    <n v="204"/>
    <n v="264"/>
    <n v="228"/>
    <n v="510"/>
    <n v="324"/>
    <n v="402"/>
    <n v="384"/>
    <n v="396"/>
    <n v="150"/>
    <n v="0"/>
    <n v="744"/>
    <n v="545"/>
    <n v="426"/>
    <n v="222"/>
    <n v="270"/>
    <n v="282"/>
    <n v="504"/>
    <n v="378"/>
    <n v="510"/>
    <n v="450"/>
    <n v="507"/>
    <n v="420"/>
    <n v="1012"/>
    <n v="552"/>
    <n v="450"/>
  </r>
  <r>
    <s v="L'Oreal"/>
    <x v="0"/>
    <x v="0"/>
    <x v="1"/>
    <x v="7"/>
    <n v="7898587770705"/>
    <x v="48"/>
    <x v="260"/>
    <x v="19"/>
    <n v="306"/>
    <n v="888"/>
    <n v="1266"/>
    <n v="726"/>
    <n v="684"/>
    <n v="954"/>
    <n v="1152"/>
    <n v="702"/>
    <n v="612"/>
    <n v="1248"/>
    <n v="366"/>
    <n v="792"/>
    <n v="888"/>
    <n v="726"/>
    <n v="642"/>
    <n v="426"/>
    <n v="696"/>
    <n v="528"/>
    <n v="732"/>
    <n v="642"/>
    <n v="852"/>
    <n v="366"/>
    <n v="372"/>
    <n v="594"/>
    <n v="996"/>
    <n v="438"/>
    <n v="60"/>
    <n v="720"/>
    <n v="618"/>
    <n v="384"/>
    <n v="186"/>
    <n v="324"/>
    <n v="318"/>
    <n v="696"/>
    <n v="636"/>
    <n v="540"/>
    <n v="498"/>
    <n v="600"/>
    <n v="606"/>
    <n v="918"/>
    <n v="852"/>
    <n v="816"/>
  </r>
  <r>
    <s v="L'Oreal"/>
    <x v="0"/>
    <x v="0"/>
    <x v="1"/>
    <x v="7"/>
    <n v="7898587775908"/>
    <x v="48"/>
    <x v="261"/>
    <x v="19"/>
    <n v="936"/>
    <n v="624"/>
    <n v="954"/>
    <n v="528"/>
    <n v="732"/>
    <n v="798"/>
    <n v="1056"/>
    <n v="654"/>
    <n v="534"/>
    <n v="1164"/>
    <n v="402"/>
    <n v="492"/>
    <n v="894"/>
    <n v="804"/>
    <n v="606"/>
    <n v="342"/>
    <n v="1128"/>
    <n v="600"/>
    <n v="906"/>
    <n v="648"/>
    <n v="738"/>
    <n v="282"/>
    <n v="396"/>
    <n v="1002"/>
    <n v="1062"/>
    <n v="6"/>
    <n v="0"/>
    <n v="876"/>
    <n v="474"/>
    <n v="486"/>
    <n v="282"/>
    <n v="384"/>
    <n v="552"/>
    <n v="624"/>
    <n v="618"/>
    <n v="828"/>
    <n v="648"/>
    <n v="288"/>
    <n v="648"/>
    <n v="1110"/>
    <n v="816"/>
    <n v="810"/>
  </r>
  <r>
    <s v="L'Oreal"/>
    <x v="0"/>
    <x v="0"/>
    <x v="1"/>
    <x v="7"/>
    <n v="7898587775922"/>
    <x v="48"/>
    <x v="262"/>
    <x v="19"/>
    <n v="150"/>
    <n v="138"/>
    <n v="360"/>
    <n v="270"/>
    <n v="246"/>
    <n v="306"/>
    <n v="150"/>
    <n v="300"/>
    <n v="228"/>
    <n v="270"/>
    <n v="132"/>
    <n v="174"/>
    <n v="258"/>
    <n v="264"/>
    <n v="228"/>
    <n v="204"/>
    <n v="348"/>
    <n v="174"/>
    <n v="198"/>
    <n v="204"/>
    <n v="246"/>
    <n v="144"/>
    <n v="108"/>
    <n v="270"/>
    <n v="186"/>
    <n v="222"/>
    <n v="186"/>
    <n v="318"/>
    <n v="306"/>
    <n v="354"/>
    <n v="204"/>
    <n v="144"/>
    <n v="276"/>
    <n v="336"/>
    <n v="360"/>
    <n v="294"/>
    <n v="372"/>
    <n v="198"/>
    <n v="228"/>
    <n v="846"/>
    <n v="372"/>
    <n v="396"/>
  </r>
  <r>
    <s v="L'Oreal"/>
    <x v="0"/>
    <x v="0"/>
    <x v="1"/>
    <x v="7"/>
    <n v="7898587775939"/>
    <x v="48"/>
    <x v="263"/>
    <x v="19"/>
    <n v="282"/>
    <n v="852"/>
    <n v="882"/>
    <n v="792"/>
    <n v="402"/>
    <n v="798"/>
    <n v="1140"/>
    <n v="708"/>
    <n v="396"/>
    <n v="894"/>
    <n v="282"/>
    <n v="540"/>
    <n v="888"/>
    <n v="690"/>
    <n v="480"/>
    <n v="318"/>
    <n v="978"/>
    <n v="498"/>
    <n v="612"/>
    <n v="522"/>
    <n v="684"/>
    <n v="360"/>
    <n v="348"/>
    <n v="876"/>
    <n v="834"/>
    <n v="-6"/>
    <n v="0"/>
    <n v="1044"/>
    <n v="558"/>
    <n v="528"/>
    <n v="228"/>
    <n v="402"/>
    <n v="876"/>
    <n v="708"/>
    <n v="756"/>
    <n v="924"/>
    <n v="516"/>
    <n v="354"/>
    <n v="636"/>
    <n v="1476"/>
    <n v="732"/>
    <n v="792"/>
  </r>
  <r>
    <s v="L'Oreal"/>
    <x v="0"/>
    <x v="0"/>
    <x v="1"/>
    <x v="7"/>
    <n v="7898587775946"/>
    <x v="48"/>
    <x v="264"/>
    <x v="19"/>
    <n v="528"/>
    <n v="1056"/>
    <n v="1374"/>
    <n v="576"/>
    <n v="942"/>
    <n v="930"/>
    <n v="1188"/>
    <n v="924"/>
    <n v="552"/>
    <n v="1044"/>
    <n v="912"/>
    <n v="612"/>
    <n v="996"/>
    <n v="1056"/>
    <n v="720"/>
    <n v="414"/>
    <n v="1050"/>
    <n v="696"/>
    <n v="978"/>
    <n v="816"/>
    <n v="894"/>
    <n v="348"/>
    <n v="336"/>
    <n v="948"/>
    <n v="984"/>
    <n v="12"/>
    <n v="0"/>
    <n v="1002"/>
    <n v="468"/>
    <n v="552"/>
    <n v="258"/>
    <n v="330"/>
    <n v="690"/>
    <n v="600"/>
    <n v="708"/>
    <n v="936"/>
    <n v="564"/>
    <n v="537"/>
    <n v="612"/>
    <n v="1134"/>
    <n v="966"/>
    <n v="738"/>
  </r>
  <r>
    <s v="L'Oreal"/>
    <x v="0"/>
    <x v="0"/>
    <x v="1"/>
    <x v="7"/>
    <n v="7899026462533"/>
    <x v="48"/>
    <x v="265"/>
    <x v="19"/>
    <n v="1572"/>
    <n v="1608"/>
    <n v="1842"/>
    <n v="1332"/>
    <n v="1440"/>
    <n v="1746"/>
    <n v="1938"/>
    <n v="1242"/>
    <n v="1140"/>
    <n v="1590"/>
    <n v="1002"/>
    <n v="1296"/>
    <n v="1650"/>
    <n v="1788"/>
    <n v="1224"/>
    <n v="1182"/>
    <n v="2022"/>
    <n v="996"/>
    <n v="1452"/>
    <n v="1158"/>
    <n v="1566"/>
    <n v="1074"/>
    <n v="653"/>
    <n v="1206"/>
    <n v="1698"/>
    <n v="1224"/>
    <n v="807"/>
    <n v="1194"/>
    <n v="1074"/>
    <n v="762"/>
    <n v="456"/>
    <n v="690"/>
    <n v="1092"/>
    <n v="1122"/>
    <n v="1056"/>
    <n v="1206"/>
    <n v="876"/>
    <n v="834"/>
    <n v="1050"/>
    <n v="1782"/>
    <n v="1254"/>
    <n v="1326"/>
  </r>
  <r>
    <s v="L'Oreal"/>
    <x v="0"/>
    <x v="0"/>
    <x v="1"/>
    <x v="7"/>
    <n v="7899026462540"/>
    <x v="48"/>
    <x v="266"/>
    <x v="19"/>
    <n v="372"/>
    <n v="1020"/>
    <n v="954"/>
    <n v="708"/>
    <n v="912"/>
    <n v="840"/>
    <n v="1098"/>
    <n v="810"/>
    <n v="498"/>
    <n v="1266"/>
    <n v="618"/>
    <n v="642"/>
    <n v="924"/>
    <n v="816"/>
    <n v="786"/>
    <n v="546"/>
    <n v="1050"/>
    <n v="660"/>
    <n v="1104"/>
    <n v="654"/>
    <n v="930"/>
    <n v="432"/>
    <n v="270"/>
    <n v="876"/>
    <n v="990"/>
    <n v="594"/>
    <n v="522"/>
    <n v="672"/>
    <n v="558"/>
    <n v="552"/>
    <n v="270"/>
    <n v="468"/>
    <n v="492"/>
    <n v="720"/>
    <n v="672"/>
    <n v="816"/>
    <n v="671"/>
    <n v="684"/>
    <n v="744"/>
    <n v="1158"/>
    <n v="804"/>
    <n v="840"/>
  </r>
  <r>
    <s v="L'Oreal"/>
    <x v="0"/>
    <x v="0"/>
    <x v="1"/>
    <x v="7"/>
    <n v="7899026462557"/>
    <x v="48"/>
    <x v="267"/>
    <x v="19"/>
    <n v="1056"/>
    <n v="978"/>
    <n v="1146"/>
    <n v="834"/>
    <n v="984"/>
    <n v="1146"/>
    <n v="1194"/>
    <n v="1014"/>
    <n v="858"/>
    <n v="1524"/>
    <n v="384"/>
    <n v="786"/>
    <n v="1296"/>
    <n v="1056"/>
    <n v="726"/>
    <n v="516"/>
    <n v="1284"/>
    <n v="834"/>
    <n v="1224"/>
    <n v="726"/>
    <n v="1164"/>
    <n v="456"/>
    <n v="539"/>
    <n v="966"/>
    <n v="1302"/>
    <n v="750"/>
    <n v="450"/>
    <n v="636"/>
    <n v="702"/>
    <n v="612"/>
    <n v="372"/>
    <n v="444"/>
    <n v="528"/>
    <n v="960"/>
    <n v="966"/>
    <n v="672"/>
    <n v="870"/>
    <n v="762"/>
    <n v="888"/>
    <n v="1356"/>
    <n v="948"/>
    <n v="810"/>
  </r>
  <r>
    <s v="L'Oreal"/>
    <x v="0"/>
    <x v="0"/>
    <x v="1"/>
    <x v="7"/>
    <n v="7899026462564"/>
    <x v="48"/>
    <x v="268"/>
    <x v="19"/>
    <n v="378"/>
    <n v="774"/>
    <n v="-18"/>
    <n v="900"/>
    <n v="594"/>
    <n v="738"/>
    <n v="1020"/>
    <n v="228"/>
    <n v="420"/>
    <n v="960"/>
    <n v="816"/>
    <n v="474"/>
    <n v="546"/>
    <n v="846"/>
    <n v="492"/>
    <n v="276"/>
    <n v="1026"/>
    <n v="462"/>
    <n v="762"/>
    <n v="726"/>
    <n v="672"/>
    <n v="390"/>
    <n v="252"/>
    <n v="924"/>
    <n v="912"/>
    <n v="294"/>
    <n v="390"/>
    <n v="486"/>
    <n v="504"/>
    <n v="516"/>
    <n v="186"/>
    <n v="336"/>
    <n v="678"/>
    <n v="594"/>
    <n v="546"/>
    <n v="762"/>
    <n v="534"/>
    <n v="522"/>
    <n v="624"/>
    <n v="1134"/>
    <n v="666"/>
    <n v="690"/>
  </r>
  <r>
    <s v="L'Oreal"/>
    <x v="0"/>
    <x v="0"/>
    <x v="1"/>
    <x v="7"/>
    <n v="7899026462571"/>
    <x v="48"/>
    <x v="269"/>
    <x v="19"/>
    <n v="1098"/>
    <n v="1146"/>
    <n v="1404"/>
    <n v="924"/>
    <n v="1061"/>
    <n v="1272"/>
    <n v="1728"/>
    <n v="594"/>
    <n v="738"/>
    <n v="1572"/>
    <n v="426"/>
    <n v="810"/>
    <n v="1314"/>
    <n v="1140"/>
    <n v="918"/>
    <n v="612"/>
    <n v="1458"/>
    <n v="792"/>
    <n v="966"/>
    <n v="918"/>
    <n v="1152"/>
    <n v="516"/>
    <n v="540"/>
    <n v="1200"/>
    <n v="1254"/>
    <n v="798"/>
    <n v="216"/>
    <n v="246"/>
    <n v="1212"/>
    <n v="810"/>
    <n v="150"/>
    <n v="840"/>
    <n v="774"/>
    <n v="906"/>
    <n v="906"/>
    <n v="1056"/>
    <n v="780"/>
    <n v="762"/>
    <n v="726"/>
    <n v="1560"/>
    <n v="894"/>
    <n v="942"/>
  </r>
  <r>
    <s v="L'Oreal"/>
    <x v="0"/>
    <x v="0"/>
    <x v="1"/>
    <x v="7"/>
    <n v="7899026462588"/>
    <x v="48"/>
    <x v="270"/>
    <x v="19"/>
    <n v="180"/>
    <n v="606"/>
    <n v="480"/>
    <n v="690"/>
    <n v="480"/>
    <n v="738"/>
    <n v="1368"/>
    <n v="456"/>
    <n v="306"/>
    <n v="822"/>
    <n v="221"/>
    <n v="396"/>
    <n v="624"/>
    <n v="639"/>
    <n v="396"/>
    <n v="240"/>
    <n v="762"/>
    <n v="414"/>
    <n v="624"/>
    <n v="660"/>
    <n v="456"/>
    <n v="258"/>
    <n v="186"/>
    <n v="552"/>
    <n v="796"/>
    <n v="210"/>
    <n v="366"/>
    <n v="480"/>
    <n v="408"/>
    <n v="462"/>
    <n v="144"/>
    <n v="282"/>
    <n v="606"/>
    <n v="510"/>
    <n v="582"/>
    <n v="702"/>
    <n v="384"/>
    <n v="492"/>
    <n v="330"/>
    <n v="996"/>
    <n v="588"/>
    <n v="384"/>
  </r>
  <r>
    <s v="L'Oreal"/>
    <x v="0"/>
    <x v="0"/>
    <x v="1"/>
    <x v="7"/>
    <n v="7899026462595"/>
    <x v="48"/>
    <x v="269"/>
    <x v="19"/>
    <n v="252"/>
    <n v="198"/>
    <n v="426"/>
    <n v="306"/>
    <n v="342"/>
    <n v="330"/>
    <n v="132"/>
    <n v="510"/>
    <n v="252"/>
    <n v="264"/>
    <n v="282"/>
    <n v="264"/>
    <n v="432"/>
    <n v="240"/>
    <n v="222"/>
    <n v="348"/>
    <n v="342"/>
    <n v="324"/>
    <n v="276"/>
    <n v="396"/>
    <n v="228"/>
    <n v="144"/>
    <n v="264"/>
    <n v="336"/>
    <n v="330"/>
    <n v="264"/>
    <n v="324"/>
    <n v="402"/>
    <n v="396"/>
    <n v="318"/>
    <n v="216"/>
    <n v="246"/>
    <n v="336"/>
    <n v="312"/>
    <n v="366"/>
    <n v="318"/>
    <n v="546"/>
    <n v="198"/>
    <n v="486"/>
    <n v="654"/>
    <n v="486"/>
    <n v="492"/>
  </r>
  <r>
    <s v="L'Oreal"/>
    <x v="0"/>
    <x v="0"/>
    <x v="1"/>
    <x v="7"/>
    <n v="7899026462601"/>
    <x v="48"/>
    <x v="271"/>
    <x v="19"/>
    <n v="636"/>
    <n v="1626"/>
    <n v="2076"/>
    <n v="1098"/>
    <n v="1146"/>
    <n v="1440"/>
    <n v="1566"/>
    <n v="1050"/>
    <n v="1038"/>
    <n v="1758"/>
    <n v="912"/>
    <n v="864"/>
    <n v="1428"/>
    <n v="1446"/>
    <n v="1145"/>
    <n v="654"/>
    <n v="1716"/>
    <n v="1128"/>
    <n v="1344"/>
    <n v="1068"/>
    <n v="1314"/>
    <n v="828"/>
    <n v="636"/>
    <n v="1170"/>
    <n v="1608"/>
    <n v="756"/>
    <n v="0"/>
    <n v="1512"/>
    <n v="1067"/>
    <n v="816"/>
    <n v="138"/>
    <n v="540"/>
    <n v="1086"/>
    <n v="960"/>
    <n v="1002"/>
    <n v="1122"/>
    <n v="882"/>
    <n v="888"/>
    <n v="1002"/>
    <n v="1668"/>
    <n v="1038"/>
    <n v="1020"/>
  </r>
  <r>
    <s v="L'Oreal"/>
    <x v="0"/>
    <x v="0"/>
    <x v="1"/>
    <x v="7"/>
    <n v="7899026462618"/>
    <x v="48"/>
    <x v="272"/>
    <x v="19"/>
    <n v="324"/>
    <n v="1056"/>
    <n v="1122"/>
    <n v="576"/>
    <n v="660"/>
    <n v="942"/>
    <n v="1152"/>
    <n v="642"/>
    <n v="426"/>
    <n v="1044"/>
    <n v="462"/>
    <n v="750"/>
    <n v="1014"/>
    <n v="951"/>
    <n v="618"/>
    <n v="336"/>
    <n v="1092"/>
    <n v="660"/>
    <n v="1068"/>
    <n v="630"/>
    <n v="780"/>
    <n v="306"/>
    <n v="504"/>
    <n v="942"/>
    <n v="1038"/>
    <n v="0"/>
    <n v="0"/>
    <n v="678"/>
    <n v="372"/>
    <n v="336"/>
    <n v="216"/>
    <n v="276"/>
    <n v="318"/>
    <n v="708"/>
    <n v="786"/>
    <n v="672"/>
    <n v="522"/>
    <n v="540"/>
    <n v="522"/>
    <n v="1332"/>
    <n v="690"/>
    <n v="666"/>
  </r>
  <r>
    <s v="L'Oreal"/>
    <x v="0"/>
    <x v="0"/>
    <x v="1"/>
    <x v="7"/>
    <n v="7899026462625"/>
    <x v="48"/>
    <x v="273"/>
    <x v="19"/>
    <n v="774"/>
    <n v="1770"/>
    <n v="1824"/>
    <n v="1044"/>
    <n v="1494"/>
    <n v="1536"/>
    <n v="1890"/>
    <n v="1182"/>
    <n v="1176"/>
    <n v="1548"/>
    <n v="768"/>
    <n v="1392"/>
    <n v="1002"/>
    <n v="1248"/>
    <n v="942"/>
    <n v="582"/>
    <n v="1920"/>
    <n v="762"/>
    <n v="1050"/>
    <n v="924"/>
    <n v="1224"/>
    <n v="960"/>
    <n v="666"/>
    <n v="1158"/>
    <n v="1452"/>
    <n v="636"/>
    <n v="6"/>
    <n v="1518"/>
    <n v="939"/>
    <n v="714"/>
    <n v="252"/>
    <n v="588"/>
    <n v="1380"/>
    <n v="1056"/>
    <n v="1224"/>
    <n v="1194"/>
    <n v="870"/>
    <n v="924"/>
    <n v="888"/>
    <n v="1842"/>
    <n v="1350"/>
    <n v="1176"/>
  </r>
  <r>
    <s v="L'Oreal"/>
    <x v="0"/>
    <x v="0"/>
    <x v="1"/>
    <x v="7"/>
    <n v="7899026462632"/>
    <x v="48"/>
    <x v="274"/>
    <x v="19"/>
    <n v="312"/>
    <n v="876"/>
    <n v="816"/>
    <n v="606"/>
    <n v="618"/>
    <n v="942"/>
    <n v="1098"/>
    <n v="552"/>
    <n v="498"/>
    <n v="936"/>
    <n v="660"/>
    <n v="468"/>
    <n v="792"/>
    <n v="858"/>
    <n v="618"/>
    <n v="252"/>
    <n v="942"/>
    <n v="414"/>
    <n v="720"/>
    <n v="726"/>
    <n v="630"/>
    <n v="264"/>
    <n v="288"/>
    <n v="870"/>
    <n v="804"/>
    <n v="336"/>
    <n v="18"/>
    <n v="774"/>
    <n v="396"/>
    <n v="474"/>
    <n v="174"/>
    <n v="348"/>
    <n v="618"/>
    <n v="192"/>
    <n v="834"/>
    <n v="780"/>
    <n v="492"/>
    <n v="477"/>
    <n v="534"/>
    <n v="1128"/>
    <n v="708"/>
    <n v="564"/>
  </r>
  <r>
    <s v="L'Oreal"/>
    <x v="0"/>
    <x v="0"/>
    <x v="1"/>
    <x v="7"/>
    <n v="7899026462649"/>
    <x v="48"/>
    <x v="275"/>
    <x v="19"/>
    <n v="132"/>
    <n v="120"/>
    <n v="42"/>
    <n v="252"/>
    <n v="186"/>
    <n v="234"/>
    <n v="96"/>
    <n v="282"/>
    <n v="138"/>
    <n v="246"/>
    <n v="114"/>
    <n v="156"/>
    <n v="246"/>
    <n v="240"/>
    <n v="90"/>
    <n v="144"/>
    <n v="324"/>
    <n v="108"/>
    <n v="252"/>
    <n v="204"/>
    <n v="498"/>
    <n v="306"/>
    <n v="234"/>
    <n v="402"/>
    <n v="336"/>
    <n v="90"/>
    <n v="-3"/>
    <n v="636"/>
    <n v="450"/>
    <n v="366"/>
    <n v="222"/>
    <n v="228"/>
    <n v="360"/>
    <n v="432"/>
    <n v="252"/>
    <n v="726"/>
    <n v="468"/>
    <n v="672"/>
    <n v="564"/>
    <n v="1014"/>
    <n v="666"/>
    <n v="882"/>
  </r>
  <r>
    <s v="L'Oreal"/>
    <x v="0"/>
    <x v="0"/>
    <x v="1"/>
    <x v="7"/>
    <n v="7899026462656"/>
    <x v="48"/>
    <x v="276"/>
    <x v="19"/>
    <n v="732"/>
    <n v="576"/>
    <n v="810"/>
    <n v="576"/>
    <n v="948"/>
    <n v="636"/>
    <n v="492"/>
    <n v="720"/>
    <n v="816"/>
    <n v="972"/>
    <n v="450"/>
    <n v="648"/>
    <n v="930"/>
    <n v="756"/>
    <n v="666"/>
    <n v="810"/>
    <n v="840"/>
    <n v="708"/>
    <n v="978"/>
    <n v="684"/>
    <n v="594"/>
    <n v="738"/>
    <n v="414"/>
    <n v="798"/>
    <n v="672"/>
    <n v="864"/>
    <n v="324"/>
    <n v="882"/>
    <n v="984"/>
    <n v="456"/>
    <n v="546"/>
    <n v="612"/>
    <n v="624"/>
    <n v="750"/>
    <n v="768"/>
    <n v="570"/>
    <n v="840"/>
    <n v="720"/>
    <n v="822"/>
    <n v="1302"/>
    <n v="864"/>
    <n v="948"/>
  </r>
  <r>
    <s v="L'Oreal"/>
    <x v="0"/>
    <x v="0"/>
    <x v="1"/>
    <x v="7"/>
    <n v="7899026462670"/>
    <x v="48"/>
    <x v="277"/>
    <x v="19"/>
    <n v="804"/>
    <n v="2022"/>
    <n v="2580"/>
    <n v="1182"/>
    <n v="1314"/>
    <n v="1770"/>
    <n v="1722"/>
    <n v="1452"/>
    <n v="1470"/>
    <n v="1614"/>
    <n v="1308"/>
    <n v="1128"/>
    <n v="1902"/>
    <n v="1692"/>
    <n v="1518"/>
    <n v="852"/>
    <n v="1968"/>
    <n v="1104"/>
    <n v="1098"/>
    <n v="1116"/>
    <n v="1218"/>
    <n v="708"/>
    <n v="714"/>
    <n v="1494"/>
    <n v="1602"/>
    <n v="972"/>
    <n v="834"/>
    <n v="612"/>
    <n v="834"/>
    <n v="648"/>
    <n v="564"/>
    <n v="510"/>
    <n v="738"/>
    <n v="1038"/>
    <n v="1170"/>
    <n v="1092"/>
    <n v="972"/>
    <n v="948"/>
    <n v="1098"/>
    <n v="2034"/>
    <n v="936"/>
    <n v="1080"/>
  </r>
  <r>
    <s v="L'Oreal"/>
    <x v="0"/>
    <x v="0"/>
    <x v="1"/>
    <x v="7"/>
    <n v="7899026462687"/>
    <x v="48"/>
    <x v="278"/>
    <x v="19"/>
    <n v="486"/>
    <n v="1488"/>
    <n v="1800"/>
    <n v="894"/>
    <n v="1374"/>
    <n v="1404"/>
    <n v="1926"/>
    <n v="750"/>
    <n v="906"/>
    <n v="1596"/>
    <n v="654"/>
    <n v="1032"/>
    <n v="1481"/>
    <n v="1242"/>
    <n v="912"/>
    <n v="732"/>
    <n v="1524"/>
    <n v="858"/>
    <n v="1218"/>
    <n v="840"/>
    <n v="1494"/>
    <n v="546"/>
    <n v="600"/>
    <n v="1104"/>
    <n v="1230"/>
    <n v="474"/>
    <n v="0"/>
    <n v="1584"/>
    <n v="1092"/>
    <n v="612"/>
    <n v="384"/>
    <n v="642"/>
    <n v="1170"/>
    <n v="876"/>
    <n v="978"/>
    <n v="1212"/>
    <n v="804"/>
    <n v="918"/>
    <n v="894"/>
    <n v="1674"/>
    <n v="1152"/>
    <n v="930"/>
  </r>
  <r>
    <s v="L'Oreal"/>
    <x v="0"/>
    <x v="0"/>
    <x v="1"/>
    <x v="7"/>
    <n v="7899026462694"/>
    <x v="48"/>
    <x v="279"/>
    <x v="19"/>
    <n v="216"/>
    <n v="450"/>
    <n v="510"/>
    <n v="426"/>
    <n v="504"/>
    <n v="702"/>
    <n v="1296"/>
    <n v="420"/>
    <n v="330"/>
    <n v="786"/>
    <n v="420"/>
    <n v="426"/>
    <n v="528"/>
    <n v="606"/>
    <n v="234"/>
    <n v="258"/>
    <n v="618"/>
    <n v="366"/>
    <n v="648"/>
    <n v="774"/>
    <n v="360"/>
    <n v="222"/>
    <n v="252"/>
    <n v="648"/>
    <n v="750"/>
    <n v="60"/>
    <n v="0"/>
    <n v="540"/>
    <n v="372"/>
    <n v="312"/>
    <n v="156"/>
    <n v="138"/>
    <n v="504"/>
    <n v="486"/>
    <n v="450"/>
    <n v="648"/>
    <n v="330"/>
    <n v="474"/>
    <n v="450"/>
    <n v="738"/>
    <n v="558"/>
    <n v="750"/>
  </r>
  <r>
    <s v="L'Oreal"/>
    <x v="0"/>
    <x v="0"/>
    <x v="1"/>
    <x v="7"/>
    <n v="7899026462717"/>
    <x v="48"/>
    <x v="280"/>
    <x v="19"/>
    <n v="234"/>
    <n v="420"/>
    <n v="576"/>
    <n v="474"/>
    <n v="354"/>
    <n v="528"/>
    <n v="846"/>
    <n v="330"/>
    <n v="372"/>
    <n v="582"/>
    <n v="366"/>
    <n v="690"/>
    <n v="426"/>
    <n v="462"/>
    <n v="354"/>
    <n v="240"/>
    <n v="762"/>
    <n v="432"/>
    <n v="408"/>
    <n v="282"/>
    <n v="564"/>
    <n v="180"/>
    <n v="342"/>
    <n v="156"/>
    <n v="984"/>
    <n v="246"/>
    <n v="384"/>
    <n v="324"/>
    <n v="396"/>
    <n v="396"/>
    <n v="186"/>
    <n v="353"/>
    <n v="330"/>
    <n v="492"/>
    <n v="582"/>
    <n v="702"/>
    <n v="360"/>
    <n v="144"/>
    <n v="312"/>
    <n v="906"/>
    <n v="684"/>
    <n v="786"/>
  </r>
  <r>
    <s v="L'Oreal"/>
    <x v="0"/>
    <x v="0"/>
    <x v="1"/>
    <x v="7"/>
    <n v="7899026462724"/>
    <x v="48"/>
    <x v="281"/>
    <x v="19"/>
    <n v="426"/>
    <n v="870"/>
    <n v="1302"/>
    <n v="666"/>
    <n v="552"/>
    <n v="762"/>
    <n v="1068"/>
    <n v="678"/>
    <n v="498"/>
    <n v="1374"/>
    <n v="864"/>
    <n v="480"/>
    <n v="828"/>
    <n v="780"/>
    <n v="468"/>
    <n v="432"/>
    <n v="828"/>
    <n v="552"/>
    <n v="1014"/>
    <n v="654"/>
    <n v="636"/>
    <n v="342"/>
    <n v="282"/>
    <n v="294"/>
    <n v="1181"/>
    <n v="402"/>
    <n v="456"/>
    <n v="324"/>
    <n v="438"/>
    <n v="318"/>
    <n v="204"/>
    <n v="234"/>
    <n v="264"/>
    <n v="720"/>
    <n v="594"/>
    <n v="834"/>
    <n v="432"/>
    <n v="486"/>
    <n v="636"/>
    <n v="858"/>
    <n v="552"/>
    <n v="792"/>
  </r>
  <r>
    <s v="L'Oreal"/>
    <x v="0"/>
    <x v="0"/>
    <x v="1"/>
    <x v="8"/>
    <n v="7501027207258"/>
    <x v="49"/>
    <x v="282"/>
    <x v="20"/>
    <n v="81"/>
    <n v="138"/>
    <n v="69"/>
    <n v="189"/>
    <n v="81"/>
    <n v="66"/>
    <n v="105"/>
    <n v="72"/>
    <n v="93"/>
    <n v="150"/>
    <n v="69"/>
    <n v="42"/>
    <n v="51"/>
    <n v="72"/>
    <n v="45"/>
    <n v="27"/>
    <n v="189"/>
    <n v="72"/>
    <n v="48"/>
    <n v="27"/>
    <n v="60"/>
    <n v="66"/>
    <n v="30"/>
    <n v="39"/>
    <n v="39"/>
    <n v="51"/>
    <n v="63"/>
    <n v="69"/>
    <n v="60"/>
    <n v="78"/>
    <n v="15"/>
    <n v="0"/>
    <n v="72"/>
    <n v="135"/>
    <n v="150"/>
    <n v="3"/>
    <n v="33"/>
    <n v="9"/>
    <n v="27"/>
    <n v="87"/>
    <n v="24"/>
    <n v="51"/>
  </r>
  <r>
    <s v="L'Oreal"/>
    <x v="0"/>
    <x v="0"/>
    <x v="1"/>
    <x v="8"/>
    <n v="7501027235367"/>
    <x v="49"/>
    <x v="283"/>
    <x v="20"/>
    <n v="147"/>
    <n v="144"/>
    <n v="51"/>
    <n v="177"/>
    <n v="90"/>
    <n v="87"/>
    <n v="186"/>
    <n v="72"/>
    <n v="81"/>
    <n v="87"/>
    <n v="69"/>
    <n v="36"/>
    <n v="66"/>
    <n v="48"/>
    <n v="81"/>
    <n v="54"/>
    <n v="72"/>
    <n v="60"/>
    <n v="27"/>
    <n v="24"/>
    <n v="78"/>
    <n v="42"/>
    <n v="45"/>
    <n v="45"/>
    <n v="57"/>
    <n v="39"/>
    <n v="24"/>
    <n v="69"/>
    <n v="84"/>
    <n v="57"/>
    <n v="0"/>
    <n v="6"/>
    <n v="6"/>
    <n v="96"/>
    <n v="51"/>
    <n v="57"/>
    <n v="51"/>
    <n v="39"/>
    <n v="45"/>
    <n v="60"/>
    <n v="42"/>
    <n v="33"/>
  </r>
  <r>
    <s v="L'Oreal"/>
    <x v="0"/>
    <x v="0"/>
    <x v="1"/>
    <x v="8"/>
    <n v="7501027275042"/>
    <x v="49"/>
    <x v="284"/>
    <x v="20"/>
    <n v="321"/>
    <n v="342"/>
    <n v="279"/>
    <n v="432"/>
    <n v="327"/>
    <n v="249"/>
    <n v="330"/>
    <n v="249"/>
    <n v="252"/>
    <n v="345"/>
    <n v="156"/>
    <n v="144"/>
    <n v="222"/>
    <n v="291"/>
    <n v="180"/>
    <n v="129"/>
    <n v="453"/>
    <n v="171"/>
    <n v="123"/>
    <n v="198"/>
    <n v="237"/>
    <n v="111"/>
    <n v="108"/>
    <n v="114"/>
    <n v="114"/>
    <n v="105"/>
    <n v="99"/>
    <n v="78"/>
    <n v="162"/>
    <n v="9"/>
    <n v="234"/>
    <n v="195"/>
    <n v="240"/>
    <n v="201"/>
    <n v="147"/>
    <n v="105"/>
    <n v="183"/>
    <n v="156"/>
    <n v="147"/>
    <n v="195"/>
    <n v="126"/>
    <n v="165"/>
  </r>
  <r>
    <s v="L'Oreal"/>
    <x v="0"/>
    <x v="0"/>
    <x v="1"/>
    <x v="8"/>
    <n v="7501027275080"/>
    <x v="49"/>
    <x v="285"/>
    <x v="20"/>
    <n v="357"/>
    <n v="492"/>
    <n v="369"/>
    <n v="390"/>
    <n v="414"/>
    <n v="330"/>
    <n v="531"/>
    <n v="300"/>
    <n v="330"/>
    <n v="387"/>
    <n v="204"/>
    <n v="213"/>
    <n v="354"/>
    <n v="246"/>
    <n v="261"/>
    <n v="222"/>
    <n v="522"/>
    <n v="252"/>
    <n v="285"/>
    <n v="168"/>
    <n v="321"/>
    <n v="75"/>
    <n v="123"/>
    <n v="105"/>
    <n v="174"/>
    <n v="171"/>
    <n v="48"/>
    <n v="329"/>
    <n v="156"/>
    <n v="180"/>
    <n v="174"/>
    <n v="225"/>
    <n v="0"/>
    <n v="273"/>
    <n v="312"/>
    <n v="165"/>
    <n v="153"/>
    <n v="87"/>
    <n v="255"/>
    <n v="249"/>
    <n v="159"/>
    <n v="222"/>
  </r>
  <r>
    <s v="L'Oreal"/>
    <x v="0"/>
    <x v="0"/>
    <x v="1"/>
    <x v="8"/>
    <n v="7501027275097"/>
    <x v="49"/>
    <x v="286"/>
    <x v="20"/>
    <n v="99"/>
    <n v="99"/>
    <n v="84"/>
    <n v="126"/>
    <n v="141"/>
    <n v="90"/>
    <n v="81"/>
    <n v="102"/>
    <n v="90"/>
    <n v="111"/>
    <n v="72"/>
    <n v="54"/>
    <n v="75"/>
    <n v="90"/>
    <n v="63"/>
    <n v="75"/>
    <n v="147"/>
    <n v="72"/>
    <n v="33"/>
    <n v="75"/>
    <n v="102"/>
    <n v="36"/>
    <n v="54"/>
    <n v="78"/>
    <n v="51"/>
    <n v="48"/>
    <n v="87"/>
    <n v="24"/>
    <n v="60"/>
    <n v="90"/>
    <n v="78"/>
    <n v="75"/>
    <n v="78"/>
    <n v="75"/>
    <n v="87"/>
    <n v="129"/>
    <n v="72"/>
    <n v="42"/>
    <n v="79"/>
    <n v="120"/>
    <n v="87"/>
    <n v="99"/>
  </r>
  <r>
    <s v="L'Oreal"/>
    <x v="0"/>
    <x v="0"/>
    <x v="1"/>
    <x v="8"/>
    <n v="7501027275127"/>
    <x v="49"/>
    <x v="287"/>
    <x v="20"/>
    <n v="390"/>
    <n v="510"/>
    <n v="366"/>
    <n v="519"/>
    <n v="294"/>
    <n v="315"/>
    <n v="429"/>
    <n v="282"/>
    <n v="291"/>
    <n v="459"/>
    <n v="162"/>
    <n v="258"/>
    <n v="291"/>
    <n v="348"/>
    <n v="270"/>
    <n v="204"/>
    <n v="441"/>
    <n v="240"/>
    <n v="195"/>
    <n v="336"/>
    <n v="555"/>
    <n v="108"/>
    <n v="165"/>
    <n v="171"/>
    <n v="225"/>
    <n v="243"/>
    <n v="315"/>
    <n v="135"/>
    <n v="411"/>
    <n v="192"/>
    <n v="240"/>
    <n v="234"/>
    <n v="0"/>
    <n v="381"/>
    <n v="309"/>
    <n v="291"/>
    <n v="222"/>
    <n v="192"/>
    <n v="333"/>
    <n v="285"/>
    <n v="216"/>
    <n v="249"/>
  </r>
  <r>
    <s v="L'Oreal"/>
    <x v="0"/>
    <x v="0"/>
    <x v="1"/>
    <x v="8"/>
    <n v="7501027275134"/>
    <x v="49"/>
    <x v="288"/>
    <x v="20"/>
    <n v="135"/>
    <n v="90"/>
    <n v="87"/>
    <n v="165"/>
    <n v="144"/>
    <n v="99"/>
    <n v="111"/>
    <n v="93"/>
    <n v="96"/>
    <n v="135"/>
    <n v="90"/>
    <n v="93"/>
    <n v="111"/>
    <n v="102"/>
    <n v="78"/>
    <n v="60"/>
    <n v="150"/>
    <n v="93"/>
    <n v="60"/>
    <n v="75"/>
    <n v="174"/>
    <n v="33"/>
    <n v="36"/>
    <n v="66"/>
    <n v="57"/>
    <n v="102"/>
    <n v="-6"/>
    <n v="111"/>
    <n v="111"/>
    <n v="87"/>
    <n v="96"/>
    <n v="105"/>
    <n v="54"/>
    <n v="99"/>
    <n v="108"/>
    <n v="84"/>
    <n v="132"/>
    <n v="114"/>
    <n v="84"/>
    <n v="120"/>
    <n v="105"/>
    <n v="87"/>
  </r>
  <r>
    <s v="L'Oreal"/>
    <x v="0"/>
    <x v="0"/>
    <x v="1"/>
    <x v="8"/>
    <n v="7501027275172"/>
    <x v="49"/>
    <x v="289"/>
    <x v="20"/>
    <n v="357"/>
    <n v="258"/>
    <n v="240"/>
    <n v="324"/>
    <n v="177"/>
    <n v="210"/>
    <n v="327"/>
    <n v="162"/>
    <n v="159"/>
    <n v="237"/>
    <n v="141"/>
    <n v="156"/>
    <n v="117"/>
    <n v="231"/>
    <n v="120"/>
    <n v="111"/>
    <n v="270"/>
    <n v="129"/>
    <n v="132"/>
    <n v="129"/>
    <n v="330"/>
    <n v="60"/>
    <n v="165"/>
    <n v="96"/>
    <n v="99"/>
    <n v="213"/>
    <n v="204"/>
    <n v="174"/>
    <n v="207"/>
    <n v="114"/>
    <n v="156"/>
    <n v="240"/>
    <n v="156"/>
    <n v="6"/>
    <n v="519"/>
    <n v="225"/>
    <n v="156"/>
    <n v="75"/>
    <n v="162"/>
    <n v="156"/>
    <n v="141"/>
    <n v="150"/>
  </r>
  <r>
    <s v="L'Oreal"/>
    <x v="0"/>
    <x v="0"/>
    <x v="1"/>
    <x v="8"/>
    <n v="7501027275226"/>
    <x v="49"/>
    <x v="290"/>
    <x v="20"/>
    <n v="213"/>
    <n v="246"/>
    <n v="123"/>
    <n v="177"/>
    <n v="216"/>
    <n v="129"/>
    <n v="297"/>
    <n v="132"/>
    <n v="99"/>
    <n v="177"/>
    <n v="60"/>
    <n v="72"/>
    <n v="117"/>
    <n v="180"/>
    <n v="75"/>
    <n v="90"/>
    <n v="108"/>
    <n v="123"/>
    <n v="72"/>
    <n v="99"/>
    <n v="96"/>
    <n v="117"/>
    <n v="75"/>
    <n v="105"/>
    <n v="78"/>
    <n v="78"/>
    <n v="177"/>
    <n v="126"/>
    <n v="66"/>
    <n v="102"/>
    <n v="141"/>
    <n v="135"/>
    <n v="132"/>
    <n v="102"/>
    <n v="168"/>
    <n v="81"/>
    <n v="108"/>
    <n v="51"/>
    <n v="117"/>
    <n v="141"/>
    <n v="174"/>
    <n v="138"/>
  </r>
  <r>
    <s v="L'Oreal"/>
    <x v="0"/>
    <x v="0"/>
    <x v="1"/>
    <x v="8"/>
    <n v="7501027275295"/>
    <x v="49"/>
    <x v="291"/>
    <x v="20"/>
    <n v="72"/>
    <n v="87"/>
    <n v="90"/>
    <n v="132"/>
    <n v="111"/>
    <n v="69"/>
    <n v="57"/>
    <n v="69"/>
    <n v="66"/>
    <n v="84"/>
    <n v="42"/>
    <n v="39"/>
    <n v="60"/>
    <n v="39"/>
    <n v="84"/>
    <n v="36"/>
    <n v="87"/>
    <n v="63"/>
    <n v="30"/>
    <n v="48"/>
    <n v="51"/>
    <n v="48"/>
    <n v="48"/>
    <n v="60"/>
    <n v="42"/>
    <n v="48"/>
    <n v="0"/>
    <n v="39"/>
    <n v="93"/>
    <n v="42"/>
    <n v="45"/>
    <n v="69"/>
    <n v="18"/>
    <n v="24"/>
    <n v="44"/>
    <n v="15"/>
    <n v="54"/>
    <n v="30"/>
    <n v="33"/>
    <n v="57"/>
    <n v="39"/>
    <n v="12"/>
  </r>
  <r>
    <s v="L'Oreal"/>
    <x v="0"/>
    <x v="0"/>
    <x v="1"/>
    <x v="8"/>
    <n v="7501027275301"/>
    <x v="49"/>
    <x v="292"/>
    <x v="20"/>
    <n v="480"/>
    <n v="513"/>
    <n v="327"/>
    <n v="552"/>
    <n v="435"/>
    <n v="411"/>
    <n v="495"/>
    <n v="354"/>
    <n v="429"/>
    <n v="483"/>
    <n v="210"/>
    <n v="243"/>
    <n v="369"/>
    <n v="363"/>
    <n v="360"/>
    <n v="267"/>
    <n v="345"/>
    <n v="501"/>
    <n v="234"/>
    <n v="375"/>
    <n v="459"/>
    <n v="189"/>
    <n v="162"/>
    <n v="204"/>
    <n v="189"/>
    <n v="192"/>
    <n v="186"/>
    <n v="315"/>
    <n v="435"/>
    <n v="189"/>
    <n v="162"/>
    <n v="0"/>
    <n v="279"/>
    <n v="66"/>
    <n v="234"/>
    <n v="345"/>
    <n v="324"/>
    <n v="189"/>
    <n v="195"/>
    <n v="348"/>
    <n v="243"/>
    <n v="366"/>
  </r>
  <r>
    <s v="L'Oreal"/>
    <x v="0"/>
    <x v="0"/>
    <x v="1"/>
    <x v="8"/>
    <n v="7506078917491"/>
    <x v="49"/>
    <x v="293"/>
    <x v="20"/>
    <n v="60"/>
    <n v="84"/>
    <n v="93"/>
    <n v="153"/>
    <n v="87"/>
    <n v="93"/>
    <n v="81"/>
    <n v="45"/>
    <n v="72"/>
    <n v="57"/>
    <n v="90"/>
    <n v="51"/>
    <n v="57"/>
    <n v="48"/>
    <n v="60"/>
    <n v="69"/>
    <n v="84"/>
    <n v="63"/>
    <n v="39"/>
    <n v="12"/>
    <n v="9"/>
    <n v="18"/>
    <n v="18"/>
    <n v="18"/>
    <n v="12"/>
    <n v="0"/>
    <n v="6"/>
    <n v="0"/>
    <n v="0"/>
    <n v="18"/>
    <n v="0"/>
    <n v="42"/>
    <n v="9"/>
    <n v="18"/>
    <n v="9"/>
    <n v="21"/>
    <n v="27"/>
    <n v="135"/>
    <n v="159"/>
    <n v="105"/>
    <n v="81"/>
    <n v="81"/>
  </r>
  <r>
    <s v="L'Oreal"/>
    <x v="0"/>
    <x v="0"/>
    <x v="1"/>
    <x v="8"/>
    <n v="7506078921603"/>
    <x v="49"/>
    <x v="294"/>
    <x v="20"/>
    <n v="204"/>
    <n v="297"/>
    <n v="174"/>
    <n v="210"/>
    <n v="228"/>
    <n v="249"/>
    <n v="402"/>
    <n v="180"/>
    <n v="177"/>
    <n v="276"/>
    <n v="117"/>
    <n v="111"/>
    <n v="141"/>
    <n v="204"/>
    <n v="90"/>
    <n v="90"/>
    <n v="258"/>
    <n v="177"/>
    <n v="132"/>
    <n v="45"/>
    <n v="56"/>
    <n v="0"/>
    <n v="198"/>
    <n v="159"/>
    <n v="258"/>
    <n v="0"/>
    <n v="51"/>
    <n v="333"/>
    <n v="183"/>
    <n v="192"/>
    <n v="84"/>
    <n v="177"/>
    <n v="153"/>
    <n v="135"/>
    <n v="192"/>
    <n v="198"/>
    <n v="132"/>
    <n v="78"/>
    <n v="165"/>
    <n v="168"/>
    <n v="129"/>
    <n v="174"/>
  </r>
  <r>
    <s v="L'Oreal"/>
    <x v="0"/>
    <x v="0"/>
    <x v="1"/>
    <x v="8"/>
    <n v="7506078935488"/>
    <x v="49"/>
    <x v="295"/>
    <x v="20"/>
    <n v="225"/>
    <n v="156"/>
    <n v="186"/>
    <n v="180"/>
    <n v="204"/>
    <n v="192"/>
    <n v="288"/>
    <n v="153"/>
    <n v="183"/>
    <n v="195"/>
    <n v="141"/>
    <n v="81"/>
    <n v="81"/>
    <n v="189"/>
    <n v="102"/>
    <n v="72"/>
    <n v="216"/>
    <n v="123"/>
    <n v="51"/>
    <n v="93"/>
    <n v="165"/>
    <n v="51"/>
    <n v="81"/>
    <n v="90"/>
    <n v="54"/>
    <n v="63"/>
    <n v="54"/>
    <n v="108"/>
    <n v="102"/>
    <n v="72"/>
    <n v="75"/>
    <n v="102"/>
    <n v="126"/>
    <n v="63"/>
    <n v="156"/>
    <n v="63"/>
    <n v="63"/>
    <n v="54"/>
    <n v="72"/>
    <n v="117"/>
    <n v="93"/>
    <n v="147"/>
  </r>
  <r>
    <s v="L'Oreal"/>
    <x v="0"/>
    <x v="0"/>
    <x v="1"/>
    <x v="8"/>
    <n v="7506078935501"/>
    <x v="49"/>
    <x v="296"/>
    <x v="20"/>
    <n v="213"/>
    <n v="243"/>
    <n v="294"/>
    <n v="252"/>
    <n v="120"/>
    <n v="198"/>
    <n v="210"/>
    <n v="237"/>
    <n v="186"/>
    <n v="261"/>
    <n v="123"/>
    <n v="96"/>
    <n v="129"/>
    <n v="210"/>
    <n v="111"/>
    <n v="87"/>
    <n v="282"/>
    <n v="114"/>
    <n v="114"/>
    <n v="72"/>
    <n v="129"/>
    <n v="87"/>
    <n v="78"/>
    <n v="63"/>
    <n v="108"/>
    <n v="42"/>
    <n v="47"/>
    <n v="99"/>
    <n v="102"/>
    <n v="84"/>
    <n v="81"/>
    <n v="171"/>
    <n v="138"/>
    <n v="60"/>
    <n v="312"/>
    <n v="0"/>
    <n v="120"/>
    <n v="75"/>
    <n v="72"/>
    <n v="120"/>
    <n v="99"/>
    <n v="90"/>
  </r>
  <r>
    <s v="L'Oreal"/>
    <x v="0"/>
    <x v="0"/>
    <x v="1"/>
    <x v="8"/>
    <n v="7506078935907"/>
    <x v="49"/>
    <x v="297"/>
    <x v="20"/>
    <n v="183"/>
    <n v="162"/>
    <n v="159"/>
    <n v="189"/>
    <n v="177"/>
    <n v="168"/>
    <n v="270"/>
    <n v="126"/>
    <n v="150"/>
    <n v="174"/>
    <n v="105"/>
    <n v="84"/>
    <n v="147"/>
    <n v="165"/>
    <n v="87"/>
    <n v="123"/>
    <n v="111"/>
    <n v="126"/>
    <n v="123"/>
    <n v="132"/>
    <n v="243"/>
    <n v="96"/>
    <n v="195"/>
    <n v="111"/>
    <n v="102"/>
    <n v="99"/>
    <n v="156"/>
    <n v="114"/>
    <n v="81"/>
    <n v="111"/>
    <n v="108"/>
    <n v="186"/>
    <n v="81"/>
    <n v="102"/>
    <n v="66"/>
    <n v="129"/>
    <n v="141"/>
    <n v="96"/>
    <n v="123"/>
    <n v="150"/>
    <n v="108"/>
    <n v="162"/>
  </r>
  <r>
    <s v="L'Oreal"/>
    <x v="0"/>
    <x v="0"/>
    <x v="1"/>
    <x v="8"/>
    <n v="7509552791778"/>
    <x v="49"/>
    <x v="298"/>
    <x v="20"/>
    <n v="0"/>
    <n v="0"/>
    <n v="0"/>
    <n v="0"/>
    <n v="0"/>
    <n v="0"/>
    <n v="0"/>
    <n v="0"/>
    <n v="0"/>
    <n v="12"/>
    <n v="84"/>
    <n v="3"/>
    <n v="0"/>
    <n v="0"/>
    <n v="129"/>
    <n v="0"/>
    <n v="0"/>
    <n v="12"/>
    <n v="0"/>
    <n v="0"/>
    <n v="12"/>
    <n v="27"/>
    <n v="0"/>
    <n v="24"/>
    <n v="12"/>
    <n v="0"/>
    <n v="12"/>
    <n v="3"/>
    <n v="12"/>
    <n v="0"/>
    <n v="0"/>
    <n v="36"/>
    <n v="12"/>
    <n v="0"/>
    <n v="0"/>
    <n v="0"/>
    <n v="0"/>
    <n v="0"/>
    <n v="0"/>
    <n v="0"/>
    <n v="0"/>
    <n v="0"/>
  </r>
  <r>
    <s v="L'Oreal"/>
    <x v="0"/>
    <x v="0"/>
    <x v="1"/>
    <x v="8"/>
    <n v="7509552841831"/>
    <x v="49"/>
    <x v="299"/>
    <x v="19"/>
    <n v="27"/>
    <n v="30"/>
    <n v="21"/>
    <n v="66"/>
    <n v="42"/>
    <n v="39"/>
    <n v="36"/>
    <n v="27"/>
    <n v="33"/>
    <n v="39"/>
    <n v="60"/>
    <n v="24"/>
    <n v="27"/>
    <n v="33"/>
    <n v="39"/>
    <n v="33"/>
    <n v="54"/>
    <n v="3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8"/>
    <n v="7509552844443"/>
    <x v="49"/>
    <x v="300"/>
    <x v="20"/>
    <n v="153"/>
    <n v="105"/>
    <n v="45"/>
    <n v="132"/>
    <n v="57"/>
    <n v="60"/>
    <n v="126"/>
    <n v="36"/>
    <n v="117"/>
    <n v="75"/>
    <n v="27"/>
    <n v="30"/>
    <n v="21"/>
    <n v="30"/>
    <n v="30"/>
    <n v="12"/>
    <n v="129"/>
    <n v="57"/>
    <n v="9"/>
    <n v="3"/>
    <n v="12"/>
    <n v="30"/>
    <n v="0"/>
    <n v="0"/>
    <n v="18"/>
    <n v="6"/>
    <n v="36"/>
    <n v="0"/>
    <n v="27"/>
    <n v="0"/>
    <n v="3"/>
    <n v="159"/>
    <n v="33"/>
    <n v="33"/>
    <n v="60"/>
    <n v="42"/>
    <n v="15"/>
    <n v="18"/>
    <n v="54"/>
    <n v="15"/>
    <n v="42"/>
    <n v="18"/>
  </r>
  <r>
    <s v="L'Oreal"/>
    <x v="0"/>
    <x v="0"/>
    <x v="1"/>
    <x v="8"/>
    <n v="7509552844450"/>
    <x v="49"/>
    <x v="301"/>
    <x v="20"/>
    <n v="45"/>
    <n v="39"/>
    <n v="57"/>
    <n v="129"/>
    <n v="33"/>
    <n v="63"/>
    <n v="39"/>
    <n v="15"/>
    <n v="45"/>
    <n v="42"/>
    <n v="18"/>
    <n v="36"/>
    <n v="30"/>
    <n v="27"/>
    <n v="27"/>
    <n v="21"/>
    <n v="48"/>
    <n v="30"/>
    <n v="12"/>
    <n v="21"/>
    <n v="0"/>
    <n v="0"/>
    <n v="6"/>
    <n v="0"/>
    <n v="0"/>
    <n v="6"/>
    <n v="0"/>
    <n v="3"/>
    <n v="6"/>
    <n v="15"/>
    <n v="3"/>
    <n v="114"/>
    <n v="18"/>
    <n v="33"/>
    <n v="45"/>
    <n v="21"/>
    <n v="12"/>
    <n v="18"/>
    <n v="9"/>
    <n v="15"/>
    <n v="54"/>
    <n v="36"/>
  </r>
  <r>
    <s v="L'Oreal"/>
    <x v="0"/>
    <x v="0"/>
    <x v="1"/>
    <x v="8"/>
    <n v="7509552844467"/>
    <x v="49"/>
    <x v="302"/>
    <x v="20"/>
    <n v="129"/>
    <n v="117"/>
    <n v="54"/>
    <n v="114"/>
    <n v="84"/>
    <n v="84"/>
    <n v="117"/>
    <n v="45"/>
    <n v="69"/>
    <n v="114"/>
    <n v="36"/>
    <n v="51"/>
    <n v="48"/>
    <n v="84"/>
    <n v="27"/>
    <n v="21"/>
    <n v="87"/>
    <n v="6"/>
    <n v="39"/>
    <n v="12"/>
    <n v="18"/>
    <n v="0"/>
    <n v="0"/>
    <n v="12"/>
    <n v="18"/>
    <n v="12"/>
    <n v="36"/>
    <n v="3"/>
    <n v="18"/>
    <n v="6"/>
    <n v="3"/>
    <n v="126"/>
    <n v="45"/>
    <n v="51"/>
    <n v="24"/>
    <n v="3"/>
    <n v="63"/>
    <n v="27"/>
    <n v="24"/>
    <n v="30"/>
    <n v="3"/>
    <n v="51"/>
  </r>
  <r>
    <s v="L'Oreal"/>
    <x v="0"/>
    <x v="0"/>
    <x v="1"/>
    <x v="8"/>
    <n v="7509552844474"/>
    <x v="49"/>
    <x v="303"/>
    <x v="20"/>
    <n v="102"/>
    <n v="54"/>
    <n v="66"/>
    <n v="87"/>
    <n v="63"/>
    <n v="75"/>
    <n v="129"/>
    <n v="57"/>
    <n v="27"/>
    <n v="15"/>
    <n v="33"/>
    <n v="48"/>
    <n v="27"/>
    <n v="12"/>
    <n v="24"/>
    <n v="15"/>
    <n v="54"/>
    <n v="27"/>
    <n v="18"/>
    <n v="36"/>
    <n v="6"/>
    <n v="0"/>
    <n v="9"/>
    <n v="0"/>
    <n v="0"/>
    <n v="0"/>
    <n v="0"/>
    <n v="6"/>
    <n v="30"/>
    <n v="0"/>
    <n v="0"/>
    <n v="144"/>
    <n v="0"/>
    <n v="21"/>
    <n v="96"/>
    <n v="48"/>
    <n v="39"/>
    <n v="39"/>
    <n v="36"/>
    <n v="30"/>
    <n v="36"/>
    <n v="60"/>
  </r>
  <r>
    <s v="L'Oreal"/>
    <x v="0"/>
    <x v="0"/>
    <x v="1"/>
    <x v="8"/>
    <n v="7509552844481"/>
    <x v="49"/>
    <x v="304"/>
    <x v="20"/>
    <n v="36"/>
    <n v="78"/>
    <n v="42"/>
    <n v="132"/>
    <n v="48"/>
    <n v="51"/>
    <n v="15"/>
    <n v="15"/>
    <n v="60"/>
    <n v="93"/>
    <n v="60"/>
    <n v="18"/>
    <n v="27"/>
    <n v="39"/>
    <n v="27"/>
    <n v="24"/>
    <n v="90"/>
    <n v="75"/>
    <n v="6"/>
    <n v="36"/>
    <n v="3"/>
    <n v="30"/>
    <n v="9"/>
    <n v="0"/>
    <n v="39"/>
    <n v="15"/>
    <n v="33"/>
    <n v="12"/>
    <n v="66"/>
    <n v="9"/>
    <n v="21"/>
    <n v="117"/>
    <n v="33"/>
    <n v="6"/>
    <n v="93"/>
    <n v="108"/>
    <n v="18"/>
    <n v="27"/>
    <n v="45"/>
    <n v="57"/>
    <n v="36"/>
    <n v="33"/>
  </r>
  <r>
    <s v="L'Oreal"/>
    <x v="0"/>
    <x v="0"/>
    <x v="1"/>
    <x v="8"/>
    <n v="7509552844498"/>
    <x v="49"/>
    <x v="305"/>
    <x v="20"/>
    <n v="102"/>
    <n v="9"/>
    <n v="0"/>
    <n v="258"/>
    <n v="111"/>
    <n v="90"/>
    <n v="156"/>
    <n v="60"/>
    <n v="63"/>
    <n v="24"/>
    <n v="60"/>
    <n v="45"/>
    <n v="57"/>
    <n v="51"/>
    <n v="45"/>
    <n v="42"/>
    <n v="66"/>
    <n v="33"/>
    <n v="27"/>
    <n v="27"/>
    <n v="33"/>
    <n v="24"/>
    <n v="45"/>
    <n v="51"/>
    <n v="36"/>
    <n v="30"/>
    <n v="27"/>
    <n v="48"/>
    <n v="24"/>
    <n v="36"/>
    <n v="57"/>
    <n v="60"/>
    <n v="27"/>
    <n v="24"/>
    <n v="54"/>
    <n v="34"/>
    <n v="30"/>
    <n v="27"/>
    <n v="15"/>
    <n v="39"/>
    <n v="60"/>
    <n v="57"/>
  </r>
  <r>
    <s v="L'Oreal"/>
    <x v="0"/>
    <x v="0"/>
    <x v="1"/>
    <x v="8"/>
    <n v="7509552844511"/>
    <x v="49"/>
    <x v="306"/>
    <x v="20"/>
    <n v="111"/>
    <n v="0"/>
    <n v="258"/>
    <n v="312"/>
    <n v="132"/>
    <n v="96"/>
    <n v="225"/>
    <n v="57"/>
    <n v="171"/>
    <n v="141"/>
    <n v="69"/>
    <n v="69"/>
    <n v="99"/>
    <n v="132"/>
    <n v="57"/>
    <n v="42"/>
    <n v="180"/>
    <n v="27"/>
    <n v="54"/>
    <n v="48"/>
    <n v="54"/>
    <n v="78"/>
    <n v="84"/>
    <n v="69"/>
    <n v="54"/>
    <n v="0"/>
    <n v="54"/>
    <n v="102"/>
    <n v="96"/>
    <n v="66"/>
    <n v="63"/>
    <n v="93"/>
    <n v="96"/>
    <n v="63"/>
    <n v="81"/>
    <n v="42"/>
    <n v="42"/>
    <n v="78"/>
    <n v="48"/>
    <n v="102"/>
    <n v="87"/>
    <n v="87"/>
  </r>
  <r>
    <s v="L'Oreal"/>
    <x v="0"/>
    <x v="0"/>
    <x v="1"/>
    <x v="8"/>
    <n v="7509552850567"/>
    <x v="49"/>
    <x v="307"/>
    <x v="20"/>
    <n v="6"/>
    <n v="429"/>
    <n v="222"/>
    <n v="123"/>
    <n v="78"/>
    <n v="57"/>
    <n v="60"/>
    <n v="36"/>
    <n v="96"/>
    <n v="84"/>
    <n v="36"/>
    <n v="24"/>
    <n v="51"/>
    <n v="6"/>
    <n v="39"/>
    <n v="48"/>
    <n v="72"/>
    <n v="27"/>
    <n v="3"/>
    <n v="54"/>
    <n v="42"/>
    <n v="36"/>
    <n v="72"/>
    <n v="63"/>
    <n v="54"/>
    <n v="30"/>
    <n v="0"/>
    <n v="0"/>
    <n v="0"/>
    <n v="0"/>
    <n v="0"/>
    <n v="72"/>
    <n v="0"/>
    <n v="183"/>
    <n v="276"/>
    <n v="87"/>
    <n v="78"/>
    <n v="24"/>
    <n v="6"/>
    <n v="60"/>
    <n v="27"/>
    <n v="24"/>
  </r>
  <r>
    <s v="L'Oreal"/>
    <x v="0"/>
    <x v="0"/>
    <x v="1"/>
    <x v="8"/>
    <n v="7509552878196"/>
    <x v="50"/>
    <x v="30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"/>
    <n v="153"/>
    <n v="27"/>
    <n v="21"/>
    <n v="30"/>
    <n v="204"/>
    <n v="27"/>
    <n v="18"/>
    <n v="30"/>
    <n v="42"/>
    <n v="60"/>
    <n v="6"/>
    <n v="24"/>
    <n v="45"/>
    <n v="39"/>
    <n v="60"/>
    <n v="15"/>
    <n v="21"/>
    <n v="36"/>
    <n v="12"/>
    <n v="36"/>
    <n v="66"/>
    <n v="33"/>
    <n v="45"/>
  </r>
  <r>
    <s v="L'Oreal"/>
    <x v="0"/>
    <x v="0"/>
    <x v="1"/>
    <x v="8"/>
    <n v="7509552878202"/>
    <x v="50"/>
    <x v="30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9"/>
    <n v="156"/>
    <n v="72"/>
    <n v="30"/>
    <n v="189"/>
    <n v="225"/>
    <n v="126"/>
    <n v="156"/>
    <n v="183"/>
    <n v="194"/>
    <n v="255"/>
    <n v="159"/>
    <n v="252"/>
    <n v="83"/>
    <n v="0"/>
    <n v="267"/>
    <n v="228"/>
    <n v="33"/>
    <n v="234"/>
    <n v="126"/>
    <n v="195"/>
    <n v="264"/>
    <n v="120"/>
    <n v="165"/>
  </r>
  <r>
    <s v="L'Oreal"/>
    <x v="0"/>
    <x v="0"/>
    <x v="1"/>
    <x v="8"/>
    <n v="7509552878219"/>
    <x v="50"/>
    <x v="31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9"/>
    <n v="135"/>
    <n v="36"/>
    <n v="48"/>
    <n v="36"/>
    <n v="231"/>
    <n v="123"/>
    <n v="51"/>
    <n v="84"/>
    <n v="36"/>
    <n v="165"/>
    <n v="51"/>
    <n v="58"/>
    <n v="114"/>
    <n v="123"/>
    <n v="96"/>
    <n v="73"/>
    <n v="33"/>
    <n v="105"/>
    <n v="75"/>
    <n v="162"/>
    <n v="129"/>
    <n v="81"/>
    <n v="132"/>
  </r>
  <r>
    <s v="L'Oreal"/>
    <x v="0"/>
    <x v="0"/>
    <x v="1"/>
    <x v="8"/>
    <n v="7509552878226"/>
    <x v="50"/>
    <x v="311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"/>
    <n v="102"/>
    <n v="21"/>
    <n v="15"/>
    <n v="285"/>
    <n v="12"/>
    <n v="6"/>
    <n v="3"/>
    <n v="9"/>
    <n v="33"/>
    <n v="15"/>
    <n v="0"/>
    <n v="24"/>
    <n v="3"/>
    <n v="6"/>
    <n v="57"/>
    <n v="6"/>
    <n v="6"/>
    <n v="0"/>
    <n v="12"/>
    <n v="51"/>
    <n v="3"/>
    <n v="12"/>
  </r>
  <r>
    <s v="L'Oreal"/>
    <x v="0"/>
    <x v="0"/>
    <x v="1"/>
    <x v="8"/>
    <n v="7509552878233"/>
    <x v="50"/>
    <x v="31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"/>
    <n v="174"/>
    <n v="57"/>
    <n v="33"/>
    <n v="141"/>
    <n v="306"/>
    <n v="138"/>
    <n v="78"/>
    <n v="7"/>
    <n v="0"/>
    <n v="0"/>
    <n v="261"/>
    <n v="141"/>
    <n v="123"/>
    <n v="102"/>
    <n v="99"/>
    <n v="153"/>
    <n v="135"/>
    <n v="135"/>
    <n v="90"/>
    <n v="120"/>
    <n v="147"/>
    <n v="111"/>
    <n v="132"/>
  </r>
  <r>
    <s v="L'Oreal"/>
    <x v="0"/>
    <x v="0"/>
    <x v="1"/>
    <x v="8"/>
    <n v="7509552878240"/>
    <x v="50"/>
    <x v="31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4"/>
    <n v="129"/>
    <n v="30"/>
    <n v="27"/>
    <n v="21"/>
    <n v="186"/>
    <n v="72"/>
    <n v="21"/>
    <n v="36"/>
    <n v="42"/>
    <n v="81"/>
    <n v="30"/>
    <n v="57"/>
    <n v="42"/>
    <n v="39"/>
    <n v="51"/>
    <n v="156"/>
    <n v="72"/>
    <n v="48"/>
    <n v="27"/>
    <n v="30"/>
    <n v="90"/>
    <n v="15"/>
    <n v="72"/>
  </r>
  <r>
    <s v="L'Oreal"/>
    <x v="0"/>
    <x v="0"/>
    <x v="1"/>
    <x v="8"/>
    <n v="7509552878257"/>
    <x v="50"/>
    <x v="31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4"/>
    <n v="135"/>
    <n v="54"/>
    <n v="42"/>
    <n v="60"/>
    <n v="336"/>
    <n v="123"/>
    <n v="84"/>
    <n v="132"/>
    <n v="169"/>
    <n v="219"/>
    <n v="99"/>
    <n v="97"/>
    <n v="123"/>
    <n v="0"/>
    <n v="180"/>
    <n v="231"/>
    <n v="204"/>
    <n v="135"/>
    <n v="72"/>
    <n v="114"/>
    <n v="195"/>
    <n v="87"/>
    <n v="117"/>
  </r>
  <r>
    <s v="L'Oreal"/>
    <x v="0"/>
    <x v="0"/>
    <x v="1"/>
    <x v="8"/>
    <n v="7509552878264"/>
    <x v="50"/>
    <x v="31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7"/>
    <n v="135"/>
    <n v="69"/>
    <n v="51"/>
    <n v="111"/>
    <n v="267"/>
    <n v="123"/>
    <n v="66"/>
    <n v="132"/>
    <n v="150"/>
    <n v="204"/>
    <n v="36"/>
    <n v="60"/>
    <n v="186"/>
    <n v="114"/>
    <n v="93"/>
    <n v="810"/>
    <n v="36"/>
    <n v="150"/>
    <n v="63"/>
    <n v="69"/>
    <n v="153"/>
    <n v="72"/>
    <n v="96"/>
  </r>
  <r>
    <s v="L'Oreal"/>
    <x v="0"/>
    <x v="0"/>
    <x v="1"/>
    <x v="8"/>
    <n v="7509552878271"/>
    <x v="50"/>
    <x v="31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2"/>
    <n v="285"/>
    <n v="60"/>
    <n v="24"/>
    <n v="57"/>
    <n v="264"/>
    <n v="36"/>
    <n v="45"/>
    <n v="75"/>
    <n v="84"/>
    <n v="153"/>
    <n v="24"/>
    <n v="21"/>
    <n v="141"/>
    <n v="102"/>
    <n v="51"/>
    <n v="60"/>
    <n v="48"/>
    <n v="60"/>
    <n v="81"/>
    <n v="66"/>
    <n v="126"/>
    <n v="33"/>
    <n v="63"/>
  </r>
  <r>
    <s v="L'Oreal"/>
    <x v="0"/>
    <x v="0"/>
    <x v="1"/>
    <x v="8"/>
    <n v="7509552909531"/>
    <x v="49"/>
    <x v="317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"/>
    <n v="90"/>
    <n v="64"/>
    <n v="48"/>
    <n v="90"/>
    <n v="123"/>
    <n v="93"/>
    <n v="60"/>
    <n v="69"/>
    <n v="28"/>
    <n v="0"/>
    <n v="0"/>
    <n v="0"/>
    <n v="0"/>
    <n v="0"/>
    <n v="0"/>
  </r>
  <r>
    <s v="L'Oreal"/>
    <x v="0"/>
    <x v="0"/>
    <x v="1"/>
    <x v="8"/>
    <n v="7509552909920"/>
    <x v="49"/>
    <x v="318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"/>
    <n v="33"/>
    <n v="69"/>
    <n v="126"/>
    <n v="-29"/>
    <n v="9"/>
    <n v="12"/>
    <n v="6"/>
    <n v="27"/>
    <n v="12"/>
    <n v="24"/>
    <n v="-12"/>
    <n v="0"/>
    <n v="0"/>
  </r>
  <r>
    <s v="L'Oreal"/>
    <x v="0"/>
    <x v="0"/>
    <x v="1"/>
    <x v="8"/>
    <n v="7509552910841"/>
    <x v="51"/>
    <x v="319"/>
    <x v="19"/>
    <n v="30"/>
    <n v="42"/>
    <n v="0"/>
    <n v="6"/>
    <n v="9"/>
    <n v="48"/>
    <n v="6"/>
    <n v="0"/>
    <n v="0"/>
    <n v="78"/>
    <n v="24"/>
    <n v="18"/>
    <n v="0"/>
    <n v="36"/>
    <n v="9"/>
    <n v="0"/>
    <n v="42"/>
    <n v="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8"/>
    <n v="7509552910858"/>
    <x v="51"/>
    <x v="320"/>
    <x v="19"/>
    <n v="18"/>
    <n v="18"/>
    <n v="3"/>
    <n v="24"/>
    <n v="12"/>
    <n v="15"/>
    <n v="0"/>
    <n v="0"/>
    <n v="9"/>
    <n v="3"/>
    <n v="0"/>
    <n v="3"/>
    <n v="1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8"/>
    <n v="7509552910889"/>
    <x v="51"/>
    <x v="321"/>
    <x v="19"/>
    <n v="18"/>
    <n v="60"/>
    <n v="6"/>
    <n v="6"/>
    <n v="21"/>
    <n v="24"/>
    <n v="3"/>
    <n v="9"/>
    <n v="57"/>
    <n v="51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8"/>
    <n v="7509552910902"/>
    <x v="51"/>
    <x v="322"/>
    <x v="19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8"/>
    <n v="7509552910919"/>
    <x v="51"/>
    <x v="323"/>
    <x v="19"/>
    <n v="6"/>
    <n v="78"/>
    <n v="21"/>
    <n v="66"/>
    <n v="21"/>
    <n v="42"/>
    <n v="18"/>
    <n v="30"/>
    <n v="66"/>
    <n v="84"/>
    <n v="30"/>
    <n v="39"/>
    <n v="15"/>
    <n v="66"/>
    <n v="18"/>
    <n v="15"/>
    <n v="69"/>
    <n v="33"/>
    <n v="45"/>
    <n v="30"/>
    <n v="66"/>
    <n v="15"/>
    <n v="12"/>
    <n v="12"/>
    <n v="18"/>
    <n v="36"/>
    <n v="12"/>
    <n v="24"/>
    <n v="0"/>
    <n v="0"/>
    <n v="36"/>
    <n v="0"/>
    <n v="36"/>
    <n v="60"/>
    <n v="69"/>
    <n v="0"/>
    <n v="0"/>
    <n v="12"/>
    <n v="39"/>
    <n v="24"/>
    <n v="12"/>
    <n v="27"/>
  </r>
  <r>
    <s v="L'Oreal"/>
    <x v="0"/>
    <x v="0"/>
    <x v="1"/>
    <x v="8"/>
    <n v="7509552911077"/>
    <x v="49"/>
    <x v="32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"/>
    <n v="66"/>
    <n v="186"/>
    <n v="81"/>
    <n v="96"/>
    <n v="165"/>
    <n v="138"/>
    <n v="102"/>
    <n v="144"/>
    <n v="102"/>
    <n v="105"/>
    <n v="87"/>
    <n v="27"/>
    <n v="0"/>
    <n v="0"/>
    <n v="0"/>
  </r>
  <r>
    <s v="L'Oreal"/>
    <x v="0"/>
    <x v="0"/>
    <x v="1"/>
    <x v="8"/>
    <n v="7509552911794"/>
    <x v="49"/>
    <x v="325"/>
    <x v="20"/>
    <n v="204"/>
    <n v="210"/>
    <n v="150"/>
    <n v="150"/>
    <n v="162"/>
    <n v="123"/>
    <n v="327"/>
    <n v="99"/>
    <n v="54"/>
    <n v="105"/>
    <n v="57"/>
    <n v="72"/>
    <n v="87"/>
    <n v="108"/>
    <n v="48"/>
    <n v="51"/>
    <n v="189"/>
    <n v="96"/>
    <n v="60"/>
    <n v="9"/>
    <n v="93"/>
    <n v="21"/>
    <n v="48"/>
    <n v="6"/>
    <n v="21"/>
    <n v="30"/>
    <n v="33"/>
    <n v="30"/>
    <n v="45"/>
    <n v="42"/>
    <n v="39"/>
    <n v="243"/>
    <n v="9"/>
    <n v="204"/>
    <n v="168"/>
    <n v="9"/>
    <n v="57"/>
    <n v="93"/>
    <n v="81"/>
    <n v="108"/>
    <n v="114"/>
    <n v="63"/>
  </r>
  <r>
    <s v="L'Oreal"/>
    <x v="0"/>
    <x v="0"/>
    <x v="1"/>
    <x v="8"/>
    <n v="7509552911800"/>
    <x v="49"/>
    <x v="326"/>
    <x v="20"/>
    <n v="501"/>
    <n v="477"/>
    <n v="252"/>
    <n v="510"/>
    <n v="282"/>
    <n v="324"/>
    <n v="381"/>
    <n v="300"/>
    <n v="318"/>
    <n v="369"/>
    <n v="183"/>
    <n v="255"/>
    <n v="270"/>
    <n v="306"/>
    <n v="207"/>
    <n v="204"/>
    <n v="242"/>
    <n v="384"/>
    <n v="186"/>
    <n v="147"/>
    <n v="477"/>
    <n v="144"/>
    <n v="138"/>
    <n v="159"/>
    <n v="204"/>
    <n v="156"/>
    <n v="309"/>
    <n v="108"/>
    <n v="189"/>
    <n v="222"/>
    <n v="138"/>
    <n v="300"/>
    <n v="330"/>
    <n v="189"/>
    <n v="381"/>
    <n v="33"/>
    <n v="249"/>
    <n v="174"/>
    <n v="204"/>
    <n v="315"/>
    <n v="261"/>
    <n v="231"/>
  </r>
  <r>
    <s v="L'Oreal"/>
    <x v="0"/>
    <x v="0"/>
    <x v="1"/>
    <x v="8"/>
    <n v="7509552911817"/>
    <x v="49"/>
    <x v="327"/>
    <x v="20"/>
    <n v="294"/>
    <n v="285"/>
    <n v="222"/>
    <n v="360"/>
    <n v="231"/>
    <n v="225"/>
    <n v="345"/>
    <n v="186"/>
    <n v="216"/>
    <n v="330"/>
    <n v="165"/>
    <n v="186"/>
    <n v="213"/>
    <n v="198"/>
    <n v="168"/>
    <n v="120"/>
    <n v="261"/>
    <n v="165"/>
    <n v="141"/>
    <n v="234"/>
    <n v="342"/>
    <n v="75"/>
    <n v="153"/>
    <n v="141"/>
    <n v="132"/>
    <n v="129"/>
    <n v="192"/>
    <n v="96"/>
    <n v="207"/>
    <n v="129"/>
    <n v="114"/>
    <n v="222"/>
    <n v="204"/>
    <n v="171"/>
    <n v="288"/>
    <n v="102"/>
    <n v="117"/>
    <n v="81"/>
    <n v="192"/>
    <n v="222"/>
    <n v="123"/>
    <n v="162"/>
  </r>
  <r>
    <s v="L'Oreal"/>
    <x v="0"/>
    <x v="0"/>
    <x v="1"/>
    <x v="8"/>
    <n v="7509552911831"/>
    <x v="49"/>
    <x v="328"/>
    <x v="20"/>
    <n v="225"/>
    <n v="141"/>
    <n v="87"/>
    <n v="147"/>
    <n v="120"/>
    <n v="84"/>
    <n v="285"/>
    <n v="102"/>
    <n v="96"/>
    <n v="144"/>
    <n v="81"/>
    <n v="57"/>
    <n v="57"/>
    <n v="171"/>
    <n v="63"/>
    <n v="72"/>
    <n v="144"/>
    <n v="123"/>
    <n v="30"/>
    <n v="81"/>
    <n v="177"/>
    <n v="12"/>
    <n v="30"/>
    <n v="45"/>
    <n v="60"/>
    <n v="45"/>
    <n v="72"/>
    <n v="3"/>
    <n v="0"/>
    <n v="93"/>
    <n v="39"/>
    <n v="243"/>
    <n v="114"/>
    <n v="84"/>
    <n v="75"/>
    <n v="111"/>
    <n v="54"/>
    <n v="36"/>
    <n v="84"/>
    <n v="93"/>
    <n v="48"/>
    <n v="87"/>
  </r>
  <r>
    <s v="L'Oreal"/>
    <x v="0"/>
    <x v="0"/>
    <x v="1"/>
    <x v="8"/>
    <n v="7509552911848"/>
    <x v="49"/>
    <x v="329"/>
    <x v="20"/>
    <n v="216"/>
    <n v="216"/>
    <n v="159"/>
    <n v="240"/>
    <n v="276"/>
    <n v="183"/>
    <n v="258"/>
    <n v="147"/>
    <n v="123"/>
    <n v="153"/>
    <n v="117"/>
    <n v="102"/>
    <n v="111"/>
    <n v="99"/>
    <n v="111"/>
    <n v="129"/>
    <n v="114"/>
    <n v="117"/>
    <n v="102"/>
    <n v="138"/>
    <n v="210"/>
    <n v="51"/>
    <n v="102"/>
    <n v="144"/>
    <n v="87"/>
    <n v="96"/>
    <n v="219"/>
    <n v="63"/>
    <n v="90"/>
    <n v="117"/>
    <n v="57"/>
    <n v="126"/>
    <n v="168"/>
    <n v="102"/>
    <n v="186"/>
    <n v="48"/>
    <n v="51"/>
    <n v="42"/>
    <n v="60"/>
    <n v="111"/>
    <n v="144"/>
    <n v="153"/>
  </r>
  <r>
    <s v="L'Oreal"/>
    <x v="0"/>
    <x v="0"/>
    <x v="1"/>
    <x v="8"/>
    <n v="7509552948035"/>
    <x v="49"/>
    <x v="318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</r>
  <r>
    <s v="L'Oreal"/>
    <x v="0"/>
    <x v="0"/>
    <x v="1"/>
    <x v="8"/>
    <n v="7509552948158"/>
    <x v="49"/>
    <x v="317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84"/>
    <n v="33"/>
    <n v="18"/>
    <n v="48"/>
    <n v="36"/>
    <n v="30"/>
  </r>
  <r>
    <s v="L'Oreal"/>
    <x v="0"/>
    <x v="0"/>
    <x v="1"/>
    <x v="8"/>
    <n v="7509552948202"/>
    <x v="49"/>
    <x v="33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54"/>
    <n v="27"/>
    <n v="36"/>
  </r>
  <r>
    <s v="L'Oreal"/>
    <x v="0"/>
    <x v="0"/>
    <x v="1"/>
    <x v="8"/>
    <n v="7899706126786"/>
    <x v="49"/>
    <x v="331"/>
    <x v="20"/>
    <n v="153"/>
    <n v="210"/>
    <n v="171"/>
    <n v="189"/>
    <n v="102"/>
    <n v="111"/>
    <n v="225"/>
    <n v="105"/>
    <n v="156"/>
    <n v="225"/>
    <n v="63"/>
    <n v="90"/>
    <n v="135"/>
    <n v="162"/>
    <n v="90"/>
    <n v="69"/>
    <n v="24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8"/>
    <n v="7899706127059"/>
    <x v="49"/>
    <x v="332"/>
    <x v="20"/>
    <n v="6"/>
    <n v="48"/>
    <n v="6"/>
    <n v="36"/>
    <n v="12"/>
    <n v="9"/>
    <n v="15"/>
    <n v="9"/>
    <n v="42"/>
    <n v="66"/>
    <n v="6"/>
    <n v="24"/>
    <n v="42"/>
    <n v="33"/>
    <n v="18"/>
    <n v="12"/>
    <n v="177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8"/>
    <n v="7899706127165"/>
    <x v="49"/>
    <x v="333"/>
    <x v="20"/>
    <n v="51"/>
    <n v="81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8"/>
    <n v="7899706127196"/>
    <x v="49"/>
    <x v="334"/>
    <x v="20"/>
    <n v="93"/>
    <n v="117"/>
    <n v="99"/>
    <n v="159"/>
    <n v="111"/>
    <n v="111"/>
    <n v="87"/>
    <n v="87"/>
    <n v="114"/>
    <n v="180"/>
    <n v="87"/>
    <n v="87"/>
    <n v="81"/>
    <n v="132"/>
    <n v="66"/>
    <n v="69"/>
    <n v="246"/>
    <n v="66"/>
    <n v="48"/>
    <n v="84"/>
    <n v="201"/>
    <n v="48"/>
    <n v="75"/>
    <n v="39"/>
    <n v="39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8"/>
    <n v="7899706127219"/>
    <x v="49"/>
    <x v="335"/>
    <x v="20"/>
    <n v="48"/>
    <n v="24"/>
    <n v="30"/>
    <n v="105"/>
    <n v="69"/>
    <n v="48"/>
    <n v="48"/>
    <n v="24"/>
    <n v="45"/>
    <n v="36"/>
    <n v="42"/>
    <n v="30"/>
    <n v="42"/>
    <n v="33"/>
    <n v="48"/>
    <n v="24"/>
    <n v="78"/>
    <n v="48"/>
    <n v="39"/>
    <n v="21"/>
    <n v="39"/>
    <n v="1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9"/>
    <n v="7509552841862"/>
    <x v="52"/>
    <x v="336"/>
    <x v="21"/>
    <n v="24"/>
    <n v="18"/>
    <n v="18"/>
    <n v="6"/>
    <n v="12"/>
    <n v="6"/>
    <n v="12"/>
    <n v="0"/>
    <n v="0"/>
    <n v="18"/>
    <n v="48"/>
    <n v="132"/>
    <n v="72"/>
    <n v="48"/>
    <n v="48"/>
    <n v="54"/>
    <n v="84"/>
    <n v="18"/>
    <n v="6"/>
    <n v="12"/>
    <n v="30"/>
    <n v="18"/>
    <n v="42"/>
    <n v="6"/>
    <n v="18"/>
    <n v="18"/>
    <n v="12"/>
    <n v="18"/>
    <n v="0"/>
    <n v="0"/>
    <n v="0"/>
    <n v="0"/>
    <n v="0"/>
    <n v="0"/>
    <n v="84"/>
    <n v="18"/>
    <n v="60"/>
    <n v="24"/>
    <n v="6"/>
    <n v="24"/>
    <n v="54"/>
    <n v="84"/>
  </r>
  <r>
    <s v="L'Oreal"/>
    <x v="0"/>
    <x v="0"/>
    <x v="1"/>
    <x v="9"/>
    <n v="7509552841879"/>
    <x v="52"/>
    <x v="337"/>
    <x v="21"/>
    <n v="18"/>
    <n v="48"/>
    <n v="66"/>
    <n v="54"/>
    <n v="30"/>
    <n v="36"/>
    <n v="18"/>
    <n v="12"/>
    <n v="30"/>
    <n v="6"/>
    <n v="54"/>
    <n v="30"/>
    <n v="132"/>
    <n v="120"/>
    <n v="72"/>
    <n v="66"/>
    <n v="84"/>
    <n v="12"/>
    <n v="24"/>
    <n v="18"/>
    <n v="0"/>
    <n v="12"/>
    <n v="42"/>
    <n v="48"/>
    <n v="36"/>
    <n v="0"/>
    <n v="0"/>
    <n v="12"/>
    <n v="60"/>
    <n v="42"/>
    <n v="0"/>
    <n v="6"/>
    <n v="78"/>
    <n v="24"/>
    <n v="0"/>
    <n v="6"/>
    <n v="114"/>
    <n v="48"/>
    <n v="12"/>
    <n v="54"/>
    <n v="18"/>
    <n v="36"/>
  </r>
  <r>
    <s v="L'Oreal"/>
    <x v="0"/>
    <x v="0"/>
    <x v="1"/>
    <x v="9"/>
    <n v="7509552917390"/>
    <x v="52"/>
    <x v="337"/>
    <x v="21"/>
    <n v="6"/>
    <n v="0"/>
    <n v="0"/>
    <n v="54"/>
    <n v="6"/>
    <n v="18"/>
    <n v="0"/>
    <n v="6"/>
    <n v="48"/>
    <n v="18"/>
    <n v="24"/>
    <n v="18"/>
    <n v="6"/>
    <n v="6"/>
    <n v="18"/>
    <n v="0"/>
    <n v="60"/>
    <n v="0"/>
    <n v="24"/>
    <n v="0"/>
    <n v="0"/>
    <n v="102"/>
    <n v="18"/>
    <n v="12"/>
    <n v="12"/>
    <n v="12"/>
    <n v="0"/>
    <n v="36"/>
    <n v="18"/>
    <n v="6"/>
    <n v="36"/>
    <n v="0"/>
    <n v="84"/>
    <n v="0"/>
    <n v="66"/>
    <n v="18"/>
    <n v="18"/>
    <n v="36"/>
    <n v="120"/>
    <n v="36"/>
    <n v="18"/>
    <n v="48"/>
  </r>
  <r>
    <s v="L'Oreal"/>
    <x v="0"/>
    <x v="0"/>
    <x v="1"/>
    <x v="9"/>
    <n v="7509552917406"/>
    <x v="52"/>
    <x v="338"/>
    <x v="21"/>
    <n v="0"/>
    <n v="0"/>
    <n v="276"/>
    <n v="204"/>
    <n v="0"/>
    <n v="204"/>
    <n v="114"/>
    <n v="54"/>
    <n v="144"/>
    <n v="90"/>
    <n v="102"/>
    <n v="156"/>
    <n v="174"/>
    <n v="72"/>
    <n v="126"/>
    <n v="108"/>
    <n v="120"/>
    <n v="108"/>
    <n v="96"/>
    <n v="42"/>
    <n v="144"/>
    <n v="90"/>
    <n v="72"/>
    <n v="120"/>
    <n v="132"/>
    <n v="96"/>
    <n v="60"/>
    <n v="126"/>
    <n v="66"/>
    <n v="0"/>
    <n v="216"/>
    <n v="168"/>
    <n v="90"/>
    <n v="0"/>
    <n v="174"/>
    <n v="84"/>
    <n v="156"/>
    <n v="120"/>
    <n v="192"/>
    <n v="150"/>
    <n v="108"/>
    <n v="96"/>
  </r>
  <r>
    <s v="L'Oreal"/>
    <x v="0"/>
    <x v="0"/>
    <x v="1"/>
    <x v="9"/>
    <n v="7509552917413"/>
    <x v="52"/>
    <x v="339"/>
    <x v="21"/>
    <n v="24"/>
    <n v="6"/>
    <n v="12"/>
    <n v="72"/>
    <n v="36"/>
    <n v="30"/>
    <n v="42"/>
    <n v="18"/>
    <n v="84"/>
    <n v="24"/>
    <n v="36"/>
    <n v="42"/>
    <n v="48"/>
    <n v="48"/>
    <n v="66"/>
    <n v="60"/>
    <n v="42"/>
    <n v="18"/>
    <n v="60"/>
    <n v="24"/>
    <n v="36"/>
    <n v="12"/>
    <n v="30"/>
    <n v="12"/>
    <n v="0"/>
    <n v="0"/>
    <n v="0"/>
    <n v="60"/>
    <n v="0"/>
    <n v="12"/>
    <n v="30"/>
    <n v="6"/>
    <n v="72"/>
    <n v="12"/>
    <n v="84"/>
    <n v="18"/>
    <n v="42"/>
    <n v="48"/>
    <n v="138"/>
    <n v="60"/>
    <n v="66"/>
    <n v="36"/>
  </r>
  <r>
    <s v="L'Oreal"/>
    <x v="0"/>
    <x v="0"/>
    <x v="1"/>
    <x v="9"/>
    <n v="7509552917420"/>
    <x v="52"/>
    <x v="340"/>
    <x v="21"/>
    <n v="60"/>
    <n v="0"/>
    <n v="294"/>
    <n v="18"/>
    <n v="0"/>
    <n v="300"/>
    <n v="114"/>
    <n v="24"/>
    <n v="126"/>
    <n v="246"/>
    <n v="120"/>
    <n v="60"/>
    <n v="132"/>
    <n v="138"/>
    <n v="90"/>
    <n v="96"/>
    <n v="78"/>
    <n v="78"/>
    <n v="0"/>
    <n v="228"/>
    <n v="78"/>
    <n v="24"/>
    <n v="144"/>
    <n v="84"/>
    <n v="114"/>
    <n v="168"/>
    <n v="96"/>
    <n v="48"/>
    <n v="78"/>
    <n v="66"/>
    <n v="138"/>
    <n v="54"/>
    <n v="48"/>
    <n v="42"/>
    <n v="150"/>
    <n v="54"/>
    <n v="126"/>
    <n v="90"/>
    <n v="42"/>
    <n v="48"/>
    <n v="114"/>
    <n v="54"/>
  </r>
  <r>
    <s v="L'Oreal"/>
    <x v="0"/>
    <x v="0"/>
    <x v="1"/>
    <x v="9"/>
    <n v="7509552917437"/>
    <x v="52"/>
    <x v="341"/>
    <x v="21"/>
    <n v="156"/>
    <n v="0"/>
    <n v="198"/>
    <n v="42"/>
    <n v="114"/>
    <n v="312"/>
    <n v="18"/>
    <n v="48"/>
    <n v="300"/>
    <n v="144"/>
    <n v="96"/>
    <n v="174"/>
    <n v="144"/>
    <n v="192"/>
    <n v="90"/>
    <n v="120"/>
    <n v="138"/>
    <n v="162"/>
    <n v="192"/>
    <n v="132"/>
    <n v="210"/>
    <n v="186"/>
    <n v="114"/>
    <n v="96"/>
    <n v="252"/>
    <n v="78"/>
    <n v="0"/>
    <n v="246"/>
    <n v="120"/>
    <n v="108"/>
    <n v="162"/>
    <n v="138"/>
    <n v="282"/>
    <n v="12"/>
    <n v="336"/>
    <n v="168"/>
    <n v="252"/>
    <n v="252"/>
    <n v="228"/>
    <n v="168"/>
    <n v="132"/>
    <n v="210"/>
  </r>
  <r>
    <s v="L'Oreal"/>
    <x v="0"/>
    <x v="0"/>
    <x v="1"/>
    <x v="9"/>
    <n v="7509552917550"/>
    <x v="52"/>
    <x v="342"/>
    <x v="21"/>
    <n v="18"/>
    <n v="18"/>
    <n v="6"/>
    <n v="24"/>
    <n v="12"/>
    <n v="24"/>
    <n v="0"/>
    <n v="12"/>
    <n v="24"/>
    <n v="21"/>
    <n v="54"/>
    <n v="36"/>
    <n v="18"/>
    <n v="78"/>
    <n v="126"/>
    <n v="0"/>
    <n v="96"/>
    <n v="60"/>
    <n v="30"/>
    <n v="18"/>
    <n v="6"/>
    <n v="6"/>
    <n v="0"/>
    <n v="36"/>
    <n v="36"/>
    <n v="12"/>
    <n v="6"/>
    <n v="42"/>
    <n v="30"/>
    <n v="84"/>
    <n v="42"/>
    <n v="60"/>
    <n v="12"/>
    <n v="12"/>
    <n v="36"/>
    <n v="12"/>
    <n v="18"/>
    <n v="0"/>
    <n v="0"/>
    <n v="0"/>
    <n v="0"/>
    <n v="0"/>
  </r>
  <r>
    <s v="L'Oreal"/>
    <x v="0"/>
    <x v="0"/>
    <x v="1"/>
    <x v="10"/>
    <n v="7506078967786"/>
    <x v="53"/>
    <x v="343"/>
    <x v="22"/>
    <n v="120"/>
    <n v="102"/>
    <n v="69"/>
    <n v="63"/>
    <n v="60"/>
    <n v="99"/>
    <n v="81"/>
    <n v="81"/>
    <n v="69"/>
    <n v="120"/>
    <n v="39"/>
    <n v="48"/>
    <n v="60"/>
    <n v="87"/>
    <n v="72"/>
    <n v="33"/>
    <n v="42"/>
    <n v="144"/>
    <n v="18"/>
    <n v="54"/>
    <n v="69"/>
    <n v="30"/>
    <n v="24"/>
    <n v="57"/>
    <n v="66"/>
    <n v="48"/>
    <n v="21"/>
    <n v="0"/>
    <n v="69"/>
    <n v="57"/>
    <n v="0"/>
    <n v="180"/>
    <n v="81"/>
    <n v="99"/>
    <n v="27"/>
    <n v="0"/>
    <n v="144"/>
    <n v="30"/>
    <n v="66"/>
    <n v="36"/>
    <n v="33"/>
    <n v="60"/>
  </r>
  <r>
    <s v="L'Oreal"/>
    <x v="0"/>
    <x v="0"/>
    <x v="1"/>
    <x v="10"/>
    <n v="7506078967793"/>
    <x v="53"/>
    <x v="344"/>
    <x v="22"/>
    <n v="48"/>
    <n v="117"/>
    <n v="54"/>
    <n v="21"/>
    <n v="72"/>
    <n v="51"/>
    <n v="39"/>
    <n v="21"/>
    <n v="108"/>
    <n v="66"/>
    <n v="45"/>
    <n v="42"/>
    <n v="27"/>
    <n v="102"/>
    <n v="24"/>
    <n v="51"/>
    <n v="27"/>
    <n v="96"/>
    <n v="36"/>
    <n v="33"/>
    <n v="66"/>
    <n v="84"/>
    <n v="30"/>
    <n v="48"/>
    <n v="21"/>
    <n v="9"/>
    <n v="69"/>
    <n v="57"/>
    <n v="48"/>
    <n v="24"/>
    <n v="57"/>
    <n v="81"/>
    <n v="93"/>
    <n v="12"/>
    <n v="345"/>
    <n v="129"/>
    <n v="78"/>
    <n v="39"/>
    <n v="12"/>
    <n v="63"/>
    <n v="30"/>
    <n v="102"/>
  </r>
  <r>
    <s v="L'Oreal"/>
    <x v="0"/>
    <x v="0"/>
    <x v="1"/>
    <x v="10"/>
    <n v="7506078967809"/>
    <x v="53"/>
    <x v="345"/>
    <x v="22"/>
    <n v="78"/>
    <n v="93"/>
    <n v="84"/>
    <n v="51"/>
    <n v="57"/>
    <n v="84"/>
    <n v="51"/>
    <n v="75"/>
    <n v="102"/>
    <n v="117"/>
    <n v="63"/>
    <n v="87"/>
    <n v="90"/>
    <n v="180"/>
    <n v="84"/>
    <n v="51"/>
    <n v="51"/>
    <n v="126"/>
    <n v="99"/>
    <n v="48"/>
    <n v="132"/>
    <n v="78"/>
    <n v="12"/>
    <n v="132"/>
    <n v="81"/>
    <n v="87"/>
    <n v="87"/>
    <n v="84"/>
    <n v="87"/>
    <n v="66"/>
    <n v="63"/>
    <n v="87"/>
    <n v="0"/>
    <n v="0"/>
    <n v="117"/>
    <n v="177"/>
    <n v="147"/>
    <n v="138"/>
    <n v="24"/>
    <n v="78"/>
    <n v="39"/>
    <n v="117"/>
  </r>
  <r>
    <s v="L'Oreal"/>
    <x v="0"/>
    <x v="0"/>
    <x v="1"/>
    <x v="10"/>
    <n v="7506078967816"/>
    <x v="53"/>
    <x v="346"/>
    <x v="22"/>
    <n v="381"/>
    <n v="252"/>
    <n v="261"/>
    <n v="276"/>
    <n v="279"/>
    <n v="312"/>
    <n v="249"/>
    <n v="240"/>
    <n v="225"/>
    <n v="300"/>
    <n v="174"/>
    <n v="246"/>
    <n v="204"/>
    <n v="276"/>
    <n v="165"/>
    <n v="186"/>
    <n v="258"/>
    <n v="222"/>
    <n v="204"/>
    <n v="222"/>
    <n v="285"/>
    <n v="165"/>
    <n v="207"/>
    <n v="183"/>
    <n v="216"/>
    <n v="141"/>
    <n v="78"/>
    <n v="183"/>
    <n v="141"/>
    <n v="48"/>
    <n v="285"/>
    <n v="6"/>
    <n v="0"/>
    <n v="0"/>
    <n v="198"/>
    <n v="0"/>
    <n v="255"/>
    <n v="222"/>
    <n v="156"/>
    <n v="153"/>
    <n v="168"/>
    <n v="147"/>
  </r>
  <r>
    <s v="L'Oreal"/>
    <x v="0"/>
    <x v="0"/>
    <x v="1"/>
    <x v="11"/>
    <n v="7501027209184"/>
    <x v="54"/>
    <x v="347"/>
    <x v="19"/>
    <n v="381"/>
    <n v="258"/>
    <n v="243"/>
    <n v="201"/>
    <n v="201"/>
    <n v="294"/>
    <n v="291"/>
    <n v="777"/>
    <n v="555"/>
    <n v="255"/>
    <n v="111"/>
    <n v="297"/>
    <n v="1068"/>
    <n v="324"/>
    <n v="87"/>
    <n v="69"/>
    <n v="-477"/>
    <n v="84"/>
    <n v="66"/>
    <n v="75"/>
    <n v="390"/>
    <n v="201"/>
    <n v="123"/>
    <n v="186"/>
    <n v="3"/>
    <n v="0"/>
    <n v="42"/>
    <n v="141"/>
    <n v="120"/>
    <n v="87"/>
    <n v="78"/>
    <n v="105"/>
    <n v="183"/>
    <n v="141"/>
    <n v="156"/>
    <n v="156"/>
    <n v="117"/>
    <n v="63"/>
    <n v="183"/>
    <n v="168"/>
    <n v="117"/>
    <n v="135"/>
  </r>
  <r>
    <s v="L'Oreal"/>
    <x v="0"/>
    <x v="0"/>
    <x v="1"/>
    <x v="11"/>
    <n v="7501027209214"/>
    <x v="54"/>
    <x v="348"/>
    <x v="19"/>
    <n v="243"/>
    <n v="192"/>
    <n v="204"/>
    <n v="144"/>
    <n v="186"/>
    <n v="294"/>
    <n v="267"/>
    <n v="924"/>
    <n v="528"/>
    <n v="252"/>
    <n v="123"/>
    <n v="222"/>
    <n v="990"/>
    <n v="297"/>
    <n v="78"/>
    <n v="66"/>
    <n v="-534"/>
    <n v="66"/>
    <n v="57"/>
    <n v="87"/>
    <n v="528"/>
    <n v="180"/>
    <n v="69"/>
    <n v="183"/>
    <n v="342"/>
    <n v="0"/>
    <n v="45"/>
    <n v="192"/>
    <n v="114"/>
    <n v="120"/>
    <n v="126"/>
    <n v="186"/>
    <n v="213"/>
    <n v="135"/>
    <n v="273"/>
    <n v="162"/>
    <n v="198"/>
    <n v="87"/>
    <n v="153"/>
    <n v="162"/>
    <n v="90"/>
    <n v="165"/>
  </r>
  <r>
    <s v="L'Oreal"/>
    <x v="0"/>
    <x v="0"/>
    <x v="1"/>
    <x v="11"/>
    <n v="7501027209221"/>
    <x v="54"/>
    <x v="349"/>
    <x v="19"/>
    <n v="279"/>
    <n v="303"/>
    <n v="189"/>
    <n v="207"/>
    <n v="156"/>
    <n v="264"/>
    <n v="330"/>
    <n v="771"/>
    <n v="549"/>
    <n v="261"/>
    <n v="132"/>
    <n v="243"/>
    <n v="1038"/>
    <n v="327"/>
    <n v="105"/>
    <n v="54"/>
    <n v="-468"/>
    <n v="90"/>
    <n v="69"/>
    <n v="90"/>
    <n v="516"/>
    <n v="162"/>
    <n v="99"/>
    <n v="210"/>
    <n v="204"/>
    <n v="138"/>
    <n v="0"/>
    <n v="270"/>
    <n v="0"/>
    <n v="243"/>
    <n v="171"/>
    <n v="159"/>
    <n v="474"/>
    <n v="180"/>
    <n v="273"/>
    <n v="180"/>
    <n v="177"/>
    <n v="84"/>
    <n v="159"/>
    <n v="249"/>
    <n v="159"/>
    <n v="252"/>
  </r>
  <r>
    <s v="L'Oreal"/>
    <x v="0"/>
    <x v="0"/>
    <x v="1"/>
    <x v="11"/>
    <n v="7501027209542"/>
    <x v="54"/>
    <x v="350"/>
    <x v="19"/>
    <n v="189"/>
    <n v="192"/>
    <n v="165"/>
    <n v="219"/>
    <n v="141"/>
    <n v="249"/>
    <n v="309"/>
    <n v="420"/>
    <n v="543"/>
    <n v="366"/>
    <n v="42"/>
    <n v="93"/>
    <n v="129"/>
    <n v="78"/>
    <n v="120"/>
    <n v="99"/>
    <n v="153"/>
    <n v="159"/>
    <n v="102"/>
    <n v="75"/>
    <n v="300"/>
    <n v="87"/>
    <n v="87"/>
    <n v="108"/>
    <n v="78"/>
    <n v="30"/>
    <n v="66"/>
    <n v="150"/>
    <n v="192"/>
    <n v="105"/>
    <n v="87"/>
    <n v="126"/>
    <n v="213"/>
    <n v="111"/>
    <n v="165"/>
    <n v="177"/>
    <n v="204"/>
    <n v="111"/>
    <n v="237"/>
    <n v="195"/>
    <n v="162"/>
    <n v="231"/>
  </r>
  <r>
    <s v="L'Oreal"/>
    <x v="0"/>
    <x v="0"/>
    <x v="1"/>
    <x v="11"/>
    <n v="7501027209566"/>
    <x v="54"/>
    <x v="351"/>
    <x v="19"/>
    <n v="126"/>
    <n v="123"/>
    <n v="66"/>
    <n v="84"/>
    <n v="81"/>
    <n v="129"/>
    <n v="207"/>
    <n v="300"/>
    <n v="45"/>
    <n v="141"/>
    <n v="93"/>
    <n v="132"/>
    <n v="762"/>
    <n v="84"/>
    <n v="51"/>
    <n v="45"/>
    <n v="129"/>
    <n v="45"/>
    <n v="12"/>
    <n v="24"/>
    <n v="63"/>
    <n v="24"/>
    <n v="36"/>
    <n v="57"/>
    <n v="42"/>
    <n v="42"/>
    <n v="21"/>
    <n v="15"/>
    <n v="84"/>
    <n v="27"/>
    <n v="54"/>
    <n v="42"/>
    <n v="42"/>
    <n v="18"/>
    <n v="93"/>
    <n v="21"/>
    <n v="57"/>
    <n v="42"/>
    <n v="60"/>
    <n v="69"/>
    <n v="108"/>
    <n v="84"/>
  </r>
  <r>
    <s v="L'Oreal"/>
    <x v="0"/>
    <x v="0"/>
    <x v="1"/>
    <x v="11"/>
    <n v="7501027209580"/>
    <x v="54"/>
    <x v="352"/>
    <x v="19"/>
    <n v="162"/>
    <n v="165"/>
    <n v="102"/>
    <n v="141"/>
    <n v="138"/>
    <n v="174"/>
    <n v="213"/>
    <n v="444"/>
    <n v="336"/>
    <n v="276"/>
    <n v="96"/>
    <n v="204"/>
    <n v="915"/>
    <n v="75"/>
    <n v="72"/>
    <n v="48"/>
    <n v="168"/>
    <n v="102"/>
    <n v="93"/>
    <n v="51"/>
    <n v="120"/>
    <n v="93"/>
    <n v="195"/>
    <n v="45"/>
    <n v="45"/>
    <n v="39"/>
    <n v="51"/>
    <n v="90"/>
    <n v="72"/>
    <n v="54"/>
    <n v="81"/>
    <n v="48"/>
    <n v="114"/>
    <n v="0"/>
    <n v="156"/>
    <n v="138"/>
    <n v="99"/>
    <n v="51"/>
    <n v="117"/>
    <n v="150"/>
    <n v="123"/>
    <n v="114"/>
  </r>
  <r>
    <s v="L'Oreal"/>
    <x v="0"/>
    <x v="0"/>
    <x v="1"/>
    <x v="11"/>
    <n v="7501027209627"/>
    <x v="54"/>
    <x v="353"/>
    <x v="19"/>
    <n v="222"/>
    <n v="234"/>
    <n v="117"/>
    <n v="171"/>
    <n v="138"/>
    <n v="207"/>
    <n v="258"/>
    <n v="375"/>
    <n v="78"/>
    <n v="159"/>
    <n v="99"/>
    <n v="192"/>
    <n v="858"/>
    <n v="114"/>
    <n v="51"/>
    <n v="51"/>
    <n v="147"/>
    <n v="63"/>
    <n v="36"/>
    <n v="84"/>
    <n v="48"/>
    <n v="120"/>
    <n v="39"/>
    <n v="51"/>
    <n v="33"/>
    <n v="9"/>
    <n v="24"/>
    <n v="42"/>
    <n v="93"/>
    <n v="36"/>
    <n v="51"/>
    <n v="60"/>
    <n v="51"/>
    <n v="117"/>
    <n v="69"/>
    <n v="33"/>
    <n v="69"/>
    <n v="55"/>
    <n v="42"/>
    <n v="63"/>
    <n v="96"/>
    <n v="87"/>
  </r>
  <r>
    <s v="L'Oreal"/>
    <x v="0"/>
    <x v="0"/>
    <x v="1"/>
    <x v="11"/>
    <n v="7501027209658"/>
    <x v="54"/>
    <x v="354"/>
    <x v="19"/>
    <n v="210"/>
    <n v="228"/>
    <n v="144"/>
    <n v="210"/>
    <n v="171"/>
    <n v="201"/>
    <n v="285"/>
    <n v="474"/>
    <n v="318"/>
    <n v="267"/>
    <n v="183"/>
    <n v="192"/>
    <n v="1005"/>
    <n v="117"/>
    <n v="57"/>
    <n v="63"/>
    <n v="-258"/>
    <n v="96"/>
    <n v="75"/>
    <n v="33"/>
    <n v="381"/>
    <n v="198"/>
    <n v="57"/>
    <n v="171"/>
    <n v="222"/>
    <n v="0"/>
    <n v="90"/>
    <n v="183"/>
    <n v="138"/>
    <n v="126"/>
    <n v="114"/>
    <n v="153"/>
    <n v="129"/>
    <n v="141"/>
    <n v="204"/>
    <n v="93"/>
    <n v="102"/>
    <n v="117"/>
    <n v="150"/>
    <n v="126"/>
    <n v="90"/>
    <n v="108"/>
  </r>
  <r>
    <s v="L'Oreal"/>
    <x v="0"/>
    <x v="0"/>
    <x v="1"/>
    <x v="11"/>
    <n v="7501027221780"/>
    <x v="54"/>
    <x v="355"/>
    <x v="19"/>
    <n v="420"/>
    <n v="168"/>
    <n v="204"/>
    <n v="243"/>
    <n v="156"/>
    <n v="297"/>
    <n v="369"/>
    <n v="873"/>
    <n v="411"/>
    <n v="225"/>
    <n v="153"/>
    <n v="192"/>
    <n v="972"/>
    <n v="93"/>
    <n v="84"/>
    <n v="84"/>
    <n v="150"/>
    <n v="87"/>
    <n v="117"/>
    <n v="63"/>
    <n v="192"/>
    <n v="57"/>
    <n v="192"/>
    <n v="84"/>
    <n v="24"/>
    <n v="39"/>
    <n v="21"/>
    <n v="102"/>
    <n v="132"/>
    <n v="66"/>
    <n v="69"/>
    <n v="30"/>
    <n v="138"/>
    <n v="99"/>
    <n v="174"/>
    <n v="138"/>
    <n v="189"/>
    <n v="75"/>
    <n v="132"/>
    <n v="165"/>
    <n v="144"/>
    <n v="150"/>
  </r>
  <r>
    <s v="L'Oreal"/>
    <x v="0"/>
    <x v="0"/>
    <x v="1"/>
    <x v="11"/>
    <n v="7501839100129"/>
    <x v="54"/>
    <x v="356"/>
    <x v="19"/>
    <n v="159"/>
    <n v="156"/>
    <n v="99"/>
    <n v="129"/>
    <n v="123"/>
    <n v="198"/>
    <n v="378"/>
    <n v="339"/>
    <n v="81"/>
    <n v="183"/>
    <n v="111"/>
    <n v="186"/>
    <n v="978"/>
    <n v="30"/>
    <n v="48"/>
    <n v="69"/>
    <n v="54"/>
    <n v="63"/>
    <n v="48"/>
    <n v="48"/>
    <n v="201"/>
    <n v="120"/>
    <n v="69"/>
    <n v="144"/>
    <n v="258"/>
    <n v="78"/>
    <n v="39"/>
    <n v="108"/>
    <n v="99"/>
    <n v="126"/>
    <n v="69"/>
    <n v="156"/>
    <n v="108"/>
    <n v="90"/>
    <n v="213"/>
    <n v="96"/>
    <n v="162"/>
    <n v="105"/>
    <n v="144"/>
    <n v="111"/>
    <n v="81"/>
    <n v="105"/>
  </r>
  <r>
    <s v="L'Oreal"/>
    <x v="0"/>
    <x v="0"/>
    <x v="1"/>
    <x v="11"/>
    <n v="7506078959934"/>
    <x v="55"/>
    <x v="357"/>
    <x v="19"/>
    <n v="279"/>
    <n v="150"/>
    <n v="162"/>
    <n v="129"/>
    <n v="84"/>
    <n v="75"/>
    <n v="117"/>
    <n v="327"/>
    <n v="753"/>
    <n v="456"/>
    <n v="45"/>
    <n v="102"/>
    <n v="75"/>
    <n v="78"/>
    <n v="66"/>
    <n v="33"/>
    <n v="150"/>
    <n v="81"/>
    <n v="84"/>
    <n v="114"/>
    <n v="162"/>
    <n v="72"/>
    <n v="96"/>
    <n v="24"/>
    <n v="135"/>
    <n v="30"/>
    <n v="93"/>
    <n v="144"/>
    <n v="120"/>
    <n v="63"/>
    <n v="102"/>
    <n v="105"/>
    <n v="90"/>
    <n v="135"/>
    <n v="75"/>
    <n v="225"/>
    <n v="114"/>
    <n v="129"/>
    <n v="129"/>
    <n v="153"/>
    <n v="117"/>
    <n v="126"/>
  </r>
  <r>
    <s v="L'Oreal"/>
    <x v="0"/>
    <x v="0"/>
    <x v="1"/>
    <x v="11"/>
    <n v="7506078959989"/>
    <x v="55"/>
    <x v="358"/>
    <x v="19"/>
    <n v="105"/>
    <n v="81"/>
    <n v="69"/>
    <n v="87"/>
    <n v="63"/>
    <n v="132"/>
    <n v="84"/>
    <n v="279"/>
    <n v="81"/>
    <n v="252"/>
    <n v="111"/>
    <n v="72"/>
    <n v="42"/>
    <n v="45"/>
    <n v="66"/>
    <n v="39"/>
    <n v="225"/>
    <n v="24"/>
    <n v="48"/>
    <n v="69"/>
    <n v="108"/>
    <n v="48"/>
    <n v="45"/>
    <n v="33"/>
    <n v="75"/>
    <n v="45"/>
    <n v="0"/>
    <n v="30"/>
    <n v="123"/>
    <n v="39"/>
    <n v="93"/>
    <n v="42"/>
    <n v="132"/>
    <n v="57"/>
    <n v="81"/>
    <n v="0"/>
    <n v="129"/>
    <n v="57"/>
    <n v="0"/>
    <n v="126"/>
    <n v="141"/>
    <n v="129"/>
  </r>
  <r>
    <s v="L'Oreal"/>
    <x v="0"/>
    <x v="0"/>
    <x v="1"/>
    <x v="11"/>
    <n v="7506078959996"/>
    <x v="55"/>
    <x v="359"/>
    <x v="19"/>
    <n v="330"/>
    <n v="204"/>
    <n v="252"/>
    <n v="210"/>
    <n v="123"/>
    <n v="273"/>
    <n v="276"/>
    <n v="828"/>
    <n v="579"/>
    <n v="381"/>
    <n v="108"/>
    <n v="207"/>
    <n v="627"/>
    <n v="246"/>
    <n v="120"/>
    <n v="87"/>
    <n v="81"/>
    <n v="63"/>
    <n v="63"/>
    <n v="102"/>
    <n v="339"/>
    <n v="198"/>
    <n v="126"/>
    <n v="102"/>
    <n v="432"/>
    <n v="0"/>
    <n v="0"/>
    <n v="282"/>
    <n v="237"/>
    <n v="219"/>
    <n v="183"/>
    <n v="138"/>
    <n v="222"/>
    <n v="492"/>
    <n v="252"/>
    <n v="438"/>
    <n v="234"/>
    <n v="231"/>
    <n v="204"/>
    <n v="216"/>
    <n v="87"/>
    <n v="150"/>
  </r>
  <r>
    <s v="L'Oreal"/>
    <x v="0"/>
    <x v="0"/>
    <x v="1"/>
    <x v="11"/>
    <n v="7509552812251"/>
    <x v="55"/>
    <x v="360"/>
    <x v="19"/>
    <n v="0"/>
    <n v="0"/>
    <n v="0"/>
    <n v="0"/>
    <n v="0"/>
    <n v="0"/>
    <n v="0"/>
    <n v="0"/>
    <n v="0"/>
    <n v="0"/>
    <n v="0"/>
    <n v="0"/>
    <n v="6"/>
    <n v="9"/>
    <n v="9"/>
    <n v="15"/>
    <n v="90"/>
    <n v="87"/>
    <n v="36"/>
    <n v="66"/>
    <n v="75"/>
    <n v="24"/>
    <n v="3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12268"/>
    <x v="54"/>
    <x v="361"/>
    <x v="19"/>
    <n v="0"/>
    <n v="0"/>
    <n v="0"/>
    <n v="0"/>
    <n v="0"/>
    <n v="0"/>
    <n v="0"/>
    <n v="0"/>
    <n v="0"/>
    <n v="0"/>
    <n v="0"/>
    <n v="0"/>
    <n v="6"/>
    <n v="15"/>
    <n v="3"/>
    <n v="27"/>
    <n v="111"/>
    <n v="69"/>
    <n v="27"/>
    <n v="57"/>
    <n v="75"/>
    <n v="18"/>
    <n v="9"/>
    <n v="21"/>
    <n v="60"/>
    <n v="21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12275"/>
    <x v="55"/>
    <x v="362"/>
    <x v="19"/>
    <n v="0"/>
    <n v="0"/>
    <n v="0"/>
    <n v="0"/>
    <n v="0"/>
    <n v="0"/>
    <n v="0"/>
    <n v="0"/>
    <n v="0"/>
    <n v="0"/>
    <n v="0"/>
    <n v="0"/>
    <n v="0"/>
    <n v="54"/>
    <n v="21"/>
    <n v="15"/>
    <n v="111"/>
    <n v="171"/>
    <n v="39"/>
    <n v="1"/>
    <n v="0"/>
    <n v="0"/>
    <n v="0"/>
    <n v="0"/>
    <n v="0"/>
    <n v="141"/>
    <n v="12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12428"/>
    <x v="55"/>
    <x v="363"/>
    <x v="19"/>
    <n v="0"/>
    <n v="0"/>
    <n v="0"/>
    <n v="0"/>
    <n v="0"/>
    <n v="0"/>
    <n v="0"/>
    <n v="0"/>
    <n v="0"/>
    <n v="0"/>
    <n v="0"/>
    <n v="0"/>
    <n v="0"/>
    <n v="6"/>
    <n v="33"/>
    <n v="9"/>
    <n v="210"/>
    <n v="117"/>
    <n v="78"/>
    <n v="60"/>
    <n v="24"/>
    <n v="0"/>
    <n v="0"/>
    <n v="51"/>
    <n v="7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12442"/>
    <x v="55"/>
    <x v="364"/>
    <x v="19"/>
    <n v="0"/>
    <n v="0"/>
    <n v="0"/>
    <n v="0"/>
    <n v="0"/>
    <n v="0"/>
    <n v="0"/>
    <n v="0"/>
    <n v="0"/>
    <n v="0"/>
    <n v="0"/>
    <n v="3"/>
    <n v="3"/>
    <n v="213"/>
    <n v="63"/>
    <n v="12"/>
    <n v="96"/>
    <n v="129"/>
    <n v="66"/>
    <n v="84"/>
    <n v="282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12534"/>
    <x v="55"/>
    <x v="365"/>
    <x v="19"/>
    <n v="0"/>
    <n v="0"/>
    <n v="0"/>
    <n v="0"/>
    <n v="0"/>
    <n v="0"/>
    <n v="0"/>
    <n v="0"/>
    <n v="42"/>
    <n v="126"/>
    <n v="276"/>
    <n v="9"/>
    <n v="21"/>
    <n v="90"/>
    <n v="63"/>
    <n v="210"/>
    <n v="63"/>
    <n v="123"/>
    <n v="63"/>
    <n v="78"/>
    <n v="234"/>
    <n v="0"/>
    <n v="0"/>
    <n v="0"/>
    <n v="0"/>
    <n v="48"/>
    <n v="0"/>
    <n v="0"/>
    <n v="12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12718"/>
    <x v="55"/>
    <x v="366"/>
    <x v="19"/>
    <n v="0"/>
    <n v="0"/>
    <n v="0"/>
    <n v="0"/>
    <n v="0"/>
    <n v="0"/>
    <n v="0"/>
    <n v="0"/>
    <n v="0"/>
    <n v="156"/>
    <n v="240"/>
    <n v="180"/>
    <n v="363"/>
    <n v="-9"/>
    <n v="27"/>
    <n v="9"/>
    <n v="33"/>
    <n v="27"/>
    <n v="27"/>
    <n v="3"/>
    <n v="12"/>
    <n v="42"/>
    <n v="3"/>
    <n v="18"/>
    <n v="39"/>
    <n v="9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16686"/>
    <x v="55"/>
    <x v="367"/>
    <x v="19"/>
    <n v="72"/>
    <n v="54"/>
    <n v="102"/>
    <n v="81"/>
    <n v="96"/>
    <n v="141"/>
    <n v="54"/>
    <n v="246"/>
    <n v="51"/>
    <n v="264"/>
    <n v="144"/>
    <n v="57"/>
    <n v="57"/>
    <n v="57"/>
    <n v="48"/>
    <n v="48"/>
    <n v="51"/>
    <n v="54"/>
    <n v="42"/>
    <n v="69"/>
    <n v="78"/>
    <n v="51"/>
    <n v="54"/>
    <n v="51"/>
    <n v="75"/>
    <n v="39"/>
    <n v="36"/>
    <n v="24"/>
    <n v="72"/>
    <n v="3"/>
    <n v="120"/>
    <n v="33"/>
    <n v="75"/>
    <n v="84"/>
    <n v="42"/>
    <n v="0"/>
    <n v="57"/>
    <n v="54"/>
    <n v="63"/>
    <n v="63"/>
    <n v="48"/>
    <n v="63"/>
  </r>
  <r>
    <s v="L'Oreal"/>
    <x v="0"/>
    <x v="0"/>
    <x v="1"/>
    <x v="11"/>
    <n v="7509552826579"/>
    <x v="55"/>
    <x v="368"/>
    <x v="19"/>
    <n v="39"/>
    <n v="42"/>
    <n v="42"/>
    <n v="45"/>
    <n v="48"/>
    <n v="105"/>
    <n v="42"/>
    <n v="195"/>
    <n v="54"/>
    <n v="243"/>
    <n v="42"/>
    <n v="3"/>
    <n v="45"/>
    <n v="48"/>
    <n v="60"/>
    <n v="42"/>
    <n v="42"/>
    <n v="33"/>
    <n v="27"/>
    <n v="54"/>
    <n v="45"/>
    <n v="24"/>
    <n v="39"/>
    <n v="24"/>
    <n v="36"/>
    <n v="21"/>
    <n v="21"/>
    <n v="33"/>
    <n v="42"/>
    <n v="30"/>
    <n v="36"/>
    <n v="3"/>
    <n v="72"/>
    <n v="33"/>
    <n v="24"/>
    <n v="24"/>
    <n v="24"/>
    <n v="45"/>
    <n v="48"/>
    <n v="27"/>
    <n v="3"/>
    <n v="270"/>
  </r>
  <r>
    <s v="L'Oreal"/>
    <x v="0"/>
    <x v="0"/>
    <x v="1"/>
    <x v="11"/>
    <n v="7509552826593"/>
    <x v="55"/>
    <x v="369"/>
    <x v="19"/>
    <n v="156"/>
    <n v="117"/>
    <n v="81"/>
    <n v="90"/>
    <n v="135"/>
    <n v="171"/>
    <n v="198"/>
    <n v="396"/>
    <n v="60"/>
    <n v="336"/>
    <n v="99"/>
    <n v="132"/>
    <n v="52"/>
    <n v="219"/>
    <n v="159"/>
    <n v="33"/>
    <n v="39"/>
    <n v="30"/>
    <n v="90"/>
    <n v="630"/>
    <n v="210"/>
    <n v="141"/>
    <n v="63"/>
    <n v="132"/>
    <n v="348"/>
    <n v="123"/>
    <n v="27"/>
    <n v="60"/>
    <n v="78"/>
    <n v="129"/>
    <n v="96"/>
    <n v="51"/>
    <n v="93"/>
    <n v="108"/>
    <n v="78"/>
    <n v="111"/>
    <n v="210"/>
    <n v="69"/>
    <n v="51"/>
    <n v="114"/>
    <n v="60"/>
    <n v="87"/>
  </r>
  <r>
    <s v="L'Oreal"/>
    <x v="0"/>
    <x v="0"/>
    <x v="1"/>
    <x v="11"/>
    <n v="7509552826920"/>
    <x v="55"/>
    <x v="370"/>
    <x v="19"/>
    <n v="48"/>
    <n v="36"/>
    <n v="39"/>
    <n v="54"/>
    <n v="54"/>
    <n v="63"/>
    <n v="39"/>
    <n v="201"/>
    <n v="45"/>
    <n v="216"/>
    <n v="75"/>
    <n v="30"/>
    <n v="39"/>
    <n v="30"/>
    <n v="48"/>
    <n v="39"/>
    <n v="99"/>
    <n v="27"/>
    <n v="15"/>
    <n v="27"/>
    <n v="57"/>
    <n v="15"/>
    <n v="15"/>
    <n v="15"/>
    <n v="33"/>
    <n v="33"/>
    <n v="27"/>
    <n v="48"/>
    <n v="54"/>
    <n v="27"/>
    <n v="27"/>
    <n v="57"/>
    <n v="42"/>
    <n v="36"/>
    <n v="12"/>
    <n v="582"/>
    <n v="30"/>
    <n v="15"/>
    <n v="3"/>
    <n v="0"/>
    <n v="39"/>
    <n v="42"/>
  </r>
  <r>
    <s v="L'Oreal"/>
    <x v="0"/>
    <x v="0"/>
    <x v="1"/>
    <x v="11"/>
    <n v="7509552828856"/>
    <x v="54"/>
    <x v="371"/>
    <x v="19"/>
    <n v="12"/>
    <n v="21"/>
    <n v="6"/>
    <n v="36"/>
    <n v="15"/>
    <n v="24"/>
    <n v="6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28863"/>
    <x v="55"/>
    <x v="372"/>
    <x v="19"/>
    <n v="39"/>
    <n v="39"/>
    <n v="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36899"/>
    <x v="55"/>
    <x v="373"/>
    <x v="19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37094"/>
    <x v="55"/>
    <x v="374"/>
    <x v="19"/>
    <n v="3"/>
    <n v="21"/>
    <n v="0"/>
    <n v="24"/>
    <n v="12"/>
    <n v="15"/>
    <n v="33"/>
    <n v="186"/>
    <n v="45"/>
    <n v="78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838848"/>
    <x v="54"/>
    <x v="375"/>
    <x v="19"/>
    <n v="3"/>
    <n v="3"/>
    <n v="0"/>
    <n v="9"/>
    <n v="15"/>
    <n v="18"/>
    <n v="0"/>
    <n v="168"/>
    <n v="24"/>
    <n v="12"/>
    <n v="12"/>
    <n v="3"/>
    <n v="3"/>
    <n v="0"/>
    <n v="12"/>
    <n v="0"/>
    <n v="3"/>
    <n v="0"/>
    <n v="12"/>
    <n v="3"/>
    <n v="3"/>
    <n v="3"/>
    <n v="3"/>
    <n v="6"/>
    <n v="0"/>
    <n v="0"/>
    <n v="0"/>
    <n v="0"/>
    <n v="0"/>
    <n v="0"/>
    <n v="0"/>
    <n v="0"/>
    <n v="6"/>
    <n v="0"/>
    <n v="0"/>
    <n v="0"/>
    <n v="6"/>
    <n v="12"/>
    <n v="6"/>
    <n v="12"/>
    <n v="6"/>
    <n v="18"/>
  </r>
  <r>
    <s v="L'Oreal"/>
    <x v="0"/>
    <x v="0"/>
    <x v="1"/>
    <x v="11"/>
    <n v="7509552870572"/>
    <x v="56"/>
    <x v="37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8"/>
    <n v="120"/>
    <n v="12"/>
    <n v="9"/>
    <n v="69"/>
    <n v="33"/>
    <n v="6"/>
    <n v="21"/>
    <n v="21"/>
    <n v="27"/>
    <n v="0"/>
    <n v="18"/>
    <n v="42"/>
    <n v="27"/>
    <n v="24"/>
    <n v="30"/>
    <n v="24"/>
  </r>
  <r>
    <s v="L'Oreal"/>
    <x v="0"/>
    <x v="0"/>
    <x v="1"/>
    <x v="11"/>
    <n v="7509552870596"/>
    <x v="56"/>
    <x v="377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8"/>
    <n v="135"/>
    <n v="29"/>
    <n v="150"/>
    <n v="24"/>
    <n v="9"/>
    <n v="12"/>
    <n v="21"/>
    <n v="9"/>
    <n v="15"/>
    <n v="12"/>
    <n v="60"/>
    <n v="21"/>
    <n v="36"/>
    <n v="54"/>
    <n v="42"/>
    <n v="0"/>
  </r>
  <r>
    <s v="L'Oreal"/>
    <x v="0"/>
    <x v="0"/>
    <x v="1"/>
    <x v="11"/>
    <n v="7509552870602"/>
    <x v="56"/>
    <x v="37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8"/>
    <n v="108"/>
    <n v="69"/>
    <n v="126"/>
    <n v="21"/>
    <n v="36"/>
    <n v="3"/>
    <n v="15"/>
    <n v="12"/>
    <n v="12"/>
    <n v="6"/>
    <n v="18"/>
    <n v="9"/>
    <n v="18"/>
    <n v="15"/>
    <n v="18"/>
    <n v="6"/>
  </r>
  <r>
    <s v="L'Oreal"/>
    <x v="0"/>
    <x v="0"/>
    <x v="1"/>
    <x v="11"/>
    <n v="7509552870619"/>
    <x v="56"/>
    <x v="37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"/>
    <n v="174"/>
    <n v="525"/>
    <n v="36"/>
    <n v="41"/>
    <n v="36"/>
    <n v="36"/>
    <n v="48"/>
    <n v="105"/>
    <n v="30"/>
    <n v="39"/>
    <n v="57"/>
    <n v="69"/>
    <n v="54"/>
    <n v="60"/>
  </r>
  <r>
    <s v="L'Oreal"/>
    <x v="0"/>
    <x v="0"/>
    <x v="1"/>
    <x v="11"/>
    <n v="7509552870633"/>
    <x v="56"/>
    <x v="38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5"/>
    <n v="111"/>
    <n v="33"/>
    <n v="33"/>
    <n v="33"/>
    <n v="18"/>
    <n v="12"/>
    <n v="18"/>
    <n v="6"/>
    <n v="12"/>
    <n v="6"/>
    <n v="24"/>
    <n v="24"/>
    <n v="39"/>
    <n v="39"/>
    <n v="36"/>
    <n v="15"/>
  </r>
  <r>
    <s v="L'Oreal"/>
    <x v="0"/>
    <x v="0"/>
    <x v="1"/>
    <x v="11"/>
    <n v="7509552870640"/>
    <x v="56"/>
    <x v="381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"/>
    <n v="132"/>
    <n v="54"/>
    <n v="207"/>
    <n v="36"/>
    <n v="45"/>
    <n v="6"/>
    <n v="6"/>
    <n v="18"/>
    <n v="24"/>
    <n v="12"/>
    <n v="39"/>
    <n v="15"/>
    <n v="48"/>
    <n v="27"/>
    <n v="39"/>
    <n v="24"/>
  </r>
  <r>
    <s v="L'Oreal"/>
    <x v="0"/>
    <x v="0"/>
    <x v="1"/>
    <x v="11"/>
    <n v="7509552870664"/>
    <x v="56"/>
    <x v="38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"/>
    <n v="150"/>
    <n v="48"/>
    <n v="48"/>
    <n v="57"/>
    <n v="75"/>
    <n v="18"/>
    <n v="39"/>
    <n v="27"/>
    <n v="33"/>
    <n v="39"/>
    <n v="66"/>
    <n v="39"/>
    <n v="57"/>
    <n v="42"/>
    <n v="48"/>
    <n v="39"/>
  </r>
  <r>
    <s v="L'Oreal"/>
    <x v="0"/>
    <x v="0"/>
    <x v="1"/>
    <x v="11"/>
    <n v="7509552870688"/>
    <x v="56"/>
    <x v="38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"/>
    <n v="144"/>
    <n v="60"/>
    <n v="237"/>
    <n v="33"/>
    <n v="57"/>
    <n v="36"/>
    <n v="42"/>
    <n v="63"/>
    <n v="33"/>
    <n v="54"/>
    <n v="69"/>
    <n v="42"/>
    <n v="105"/>
    <n v="69"/>
    <n v="90"/>
    <n v="69"/>
  </r>
  <r>
    <s v="L'Oreal"/>
    <x v="0"/>
    <x v="0"/>
    <x v="1"/>
    <x v="11"/>
    <n v="7509552870695"/>
    <x v="56"/>
    <x v="38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5"/>
    <n v="135"/>
    <n v="99"/>
    <n v="222"/>
    <n v="549"/>
    <n v="78"/>
    <n v="18"/>
    <n v="18"/>
    <n v="72"/>
    <n v="54"/>
    <n v="60"/>
    <n v="135"/>
    <n v="99"/>
    <n v="153"/>
    <n v="93"/>
    <n v="132"/>
    <n v="81"/>
  </r>
  <r>
    <s v="L'Oreal"/>
    <x v="0"/>
    <x v="0"/>
    <x v="1"/>
    <x v="11"/>
    <n v="7509552870701"/>
    <x v="56"/>
    <x v="38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8"/>
    <n v="111"/>
    <n v="30"/>
    <n v="171"/>
    <n v="564"/>
    <n v="51"/>
    <n v="27"/>
    <n v="42"/>
    <n v="30"/>
    <n v="48"/>
    <n v="60"/>
    <n v="96"/>
    <n v="69"/>
    <n v="60"/>
    <n v="48"/>
    <n v="54"/>
    <n v="72"/>
  </r>
  <r>
    <s v="L'Oreal"/>
    <x v="0"/>
    <x v="0"/>
    <x v="1"/>
    <x v="11"/>
    <n v="7509552870718"/>
    <x v="56"/>
    <x v="38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8"/>
    <n v="138"/>
    <n v="21"/>
    <n v="66"/>
    <n v="543"/>
    <n v="45"/>
    <n v="27"/>
    <n v="45"/>
    <n v="27"/>
    <n v="27"/>
    <n v="45"/>
    <n v="36"/>
    <n v="51"/>
    <n v="51"/>
    <n v="36"/>
    <n v="39"/>
    <n v="45"/>
  </r>
  <r>
    <s v="L'Oreal"/>
    <x v="0"/>
    <x v="0"/>
    <x v="1"/>
    <x v="11"/>
    <n v="7509552870732"/>
    <x v="56"/>
    <x v="387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1"/>
    <n v="126"/>
    <n v="57"/>
    <n v="183"/>
    <n v="531"/>
    <n v="51"/>
    <n v="60"/>
    <n v="60"/>
    <n v="99"/>
    <n v="75"/>
    <n v="126"/>
    <n v="84"/>
    <n v="78"/>
    <n v="111"/>
    <n v="54"/>
    <n v="45"/>
    <n v="108"/>
  </r>
  <r>
    <s v="L'Oreal"/>
    <x v="0"/>
    <x v="0"/>
    <x v="1"/>
    <x v="11"/>
    <n v="7509552870756"/>
    <x v="56"/>
    <x v="38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5"/>
    <n v="141"/>
    <n v="36"/>
    <n v="135"/>
    <n v="9"/>
    <n v="12"/>
    <n v="9"/>
    <n v="15"/>
    <n v="18"/>
    <n v="3"/>
    <n v="9"/>
    <n v="12"/>
    <n v="18"/>
    <n v="9"/>
    <n v="21"/>
    <n v="9"/>
    <n v="9"/>
  </r>
  <r>
    <s v="L'Oreal"/>
    <x v="0"/>
    <x v="0"/>
    <x v="1"/>
    <x v="11"/>
    <n v="7509552901092"/>
    <x v="55"/>
    <x v="389"/>
    <x v="19"/>
    <n v="117"/>
    <n v="48"/>
    <n v="48"/>
    <n v="204"/>
    <n v="114"/>
    <n v="57"/>
    <n v="87"/>
    <n v="330"/>
    <n v="12"/>
    <n v="582"/>
    <n v="132"/>
    <n v="408"/>
    <n v="558"/>
    <n v="-15"/>
    <n v="54"/>
    <n v="12"/>
    <n v="90"/>
    <n v="6"/>
    <n v="15"/>
    <n v="3"/>
    <n v="243"/>
    <n v="108"/>
    <n v="0"/>
    <n v="0"/>
    <n v="90"/>
    <n v="12"/>
    <n v="0"/>
    <n v="72"/>
    <n v="30"/>
    <n v="45"/>
    <n v="30"/>
    <n v="21"/>
    <n v="54"/>
    <n v="45"/>
    <n v="51"/>
    <n v="147"/>
    <n v="417"/>
    <n v="87"/>
    <n v="48"/>
    <n v="36"/>
    <n v="51"/>
    <n v="45"/>
  </r>
  <r>
    <s v="L'Oreal"/>
    <x v="0"/>
    <x v="0"/>
    <x v="1"/>
    <x v="11"/>
    <n v="7509552910315"/>
    <x v="55"/>
    <x v="390"/>
    <x v="19"/>
    <n v="147"/>
    <n v="81"/>
    <n v="78"/>
    <n v="84"/>
    <n v="120"/>
    <n v="132"/>
    <n v="126"/>
    <n v="354"/>
    <n v="63"/>
    <n v="411"/>
    <n v="24"/>
    <n v="15"/>
    <n v="21"/>
    <n v="36"/>
    <n v="27"/>
    <n v="12"/>
    <n v="114"/>
    <n v="18"/>
    <n v="24"/>
    <n v="3"/>
    <n v="21"/>
    <n v="18"/>
    <n v="66"/>
    <n v="9"/>
    <n v="24"/>
    <n v="18"/>
    <n v="12"/>
    <n v="51"/>
    <n v="30"/>
    <n v="0"/>
    <n v="0"/>
    <n v="0"/>
    <n v="0"/>
    <n v="39"/>
    <n v="21"/>
    <n v="3"/>
    <n v="36"/>
    <n v="6"/>
    <n v="6"/>
    <n v="24"/>
    <n v="63"/>
    <n v="93"/>
  </r>
  <r>
    <s v="L'Oreal"/>
    <x v="0"/>
    <x v="0"/>
    <x v="1"/>
    <x v="11"/>
    <n v="7509552916133"/>
    <x v="54"/>
    <x v="391"/>
    <x v="19"/>
    <n v="57"/>
    <n v="45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916140"/>
    <x v="54"/>
    <x v="392"/>
    <x v="19"/>
    <n v="21"/>
    <n v="0"/>
    <n v="12"/>
    <n v="33"/>
    <n v="9"/>
    <n v="12"/>
    <n v="0"/>
    <n v="204"/>
    <n v="24"/>
    <n v="354"/>
    <n v="12"/>
    <n v="12"/>
    <n v="27"/>
    <n v="9"/>
    <n v="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509552923810"/>
    <x v="55"/>
    <x v="36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42"/>
    <n v="6"/>
    <n v="36"/>
    <n v="114"/>
    <n v="48"/>
    <n v="42"/>
    <n v="54"/>
    <n v="24"/>
    <n v="48"/>
    <n v="24"/>
    <n v="48"/>
    <n v="54"/>
    <n v="36"/>
    <n v="36"/>
  </r>
  <r>
    <s v="L'Oreal"/>
    <x v="0"/>
    <x v="0"/>
    <x v="1"/>
    <x v="11"/>
    <n v="7509552923827"/>
    <x v="54"/>
    <x v="39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60"/>
    <n v="51"/>
    <n v="42"/>
    <n v="36"/>
    <n v="54"/>
    <n v="54"/>
    <n v="42"/>
    <n v="30"/>
    <n v="36"/>
    <n v="30"/>
    <n v="12"/>
    <n v="66"/>
    <n v="48"/>
    <n v="54"/>
    <n v="24"/>
  </r>
  <r>
    <s v="L'Oreal"/>
    <x v="0"/>
    <x v="0"/>
    <x v="1"/>
    <x v="11"/>
    <n v="7509552923834"/>
    <x v="55"/>
    <x v="36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60"/>
    <n v="60"/>
    <n v="78"/>
    <n v="84"/>
    <n v="54"/>
    <n v="27"/>
    <n v="36"/>
    <n v="90"/>
    <n v="72"/>
    <n v="30"/>
    <n v="54"/>
    <n v="72"/>
    <n v="54"/>
    <n v="42"/>
  </r>
  <r>
    <s v="L'Oreal"/>
    <x v="0"/>
    <x v="0"/>
    <x v="1"/>
    <x v="11"/>
    <n v="7509552923841"/>
    <x v="54"/>
    <x v="361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"/>
    <n v="18"/>
    <n v="48"/>
    <n v="60"/>
    <n v="18"/>
    <n v="42"/>
    <n v="48"/>
    <n v="36"/>
    <n v="24"/>
    <n v="42"/>
    <n v="18"/>
    <n v="12"/>
    <n v="48"/>
    <n v="18"/>
    <n v="42"/>
  </r>
  <r>
    <s v="L'Oreal"/>
    <x v="0"/>
    <x v="0"/>
    <x v="1"/>
    <x v="11"/>
    <n v="7509552923858"/>
    <x v="55"/>
    <x v="36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18"/>
    <n v="6"/>
    <n v="18"/>
    <n v="0"/>
    <n v="24"/>
    <n v="48"/>
    <n v="0"/>
    <n v="24"/>
    <n v="12"/>
    <n v="30"/>
    <n v="18"/>
    <n v="30"/>
    <n v="24"/>
    <n v="42"/>
  </r>
  <r>
    <s v="L'Oreal"/>
    <x v="0"/>
    <x v="0"/>
    <x v="1"/>
    <x v="11"/>
    <n v="7509552923865"/>
    <x v="54"/>
    <x v="39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"/>
    <n v="36"/>
    <n v="48"/>
    <n v="72"/>
    <n v="18"/>
    <n v="66"/>
    <n v="78"/>
    <n v="48"/>
    <n v="42"/>
    <n v="42"/>
    <n v="48"/>
    <n v="18"/>
    <n v="102"/>
    <n v="24"/>
    <n v="36"/>
  </r>
  <r>
    <s v="L'Oreal"/>
    <x v="0"/>
    <x v="0"/>
    <x v="1"/>
    <x v="11"/>
    <n v="7509552923919"/>
    <x v="55"/>
    <x v="36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8"/>
    <n v="30"/>
    <n v="18"/>
    <n v="78"/>
    <n v="90"/>
    <n v="90"/>
    <n v="36"/>
    <n v="36"/>
    <n v="12"/>
    <n v="6"/>
    <n v="12"/>
    <n v="6"/>
    <n v="6"/>
    <n v="6"/>
  </r>
  <r>
    <s v="L'Oreal"/>
    <x v="0"/>
    <x v="0"/>
    <x v="1"/>
    <x v="11"/>
    <n v="7896014191666"/>
    <x v="54"/>
    <x v="395"/>
    <x v="19"/>
    <n v="180"/>
    <n v="114"/>
    <n v="135"/>
    <n v="108"/>
    <n v="117"/>
    <n v="159"/>
    <n v="267"/>
    <n v="303"/>
    <n v="69"/>
    <n v="201"/>
    <n v="126"/>
    <n v="213"/>
    <n v="939"/>
    <n v="63"/>
    <n v="54"/>
    <n v="63"/>
    <n v="-393"/>
    <n v="108"/>
    <n v="72"/>
    <n v="69"/>
    <n v="147"/>
    <n v="138"/>
    <n v="225"/>
    <n v="0"/>
    <n v="87"/>
    <n v="60"/>
    <n v="66"/>
    <n v="99"/>
    <n v="96"/>
    <n v="81"/>
    <n v="78"/>
    <n v="83"/>
    <n v="93"/>
    <n v="66"/>
    <n v="144"/>
    <n v="159"/>
    <n v="111"/>
    <n v="42"/>
    <n v="96"/>
    <n v="0"/>
    <n v="48"/>
    <n v="279"/>
  </r>
  <r>
    <s v="L'Oreal"/>
    <x v="0"/>
    <x v="0"/>
    <x v="1"/>
    <x v="11"/>
    <n v="7899706115216"/>
    <x v="54"/>
    <x v="396"/>
    <x v="19"/>
    <n v="48"/>
    <n v="54"/>
    <n v="63"/>
    <n v="60"/>
    <n v="39"/>
    <n v="99"/>
    <n v="33"/>
    <n v="249"/>
    <n v="48"/>
    <n v="348"/>
    <n v="2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899706115391"/>
    <x v="54"/>
    <x v="397"/>
    <x v="19"/>
    <n v="210"/>
    <n v="231"/>
    <n v="93"/>
    <n v="105"/>
    <n v="126"/>
    <n v="195"/>
    <n v="477"/>
    <n v="27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899706115407"/>
    <x v="54"/>
    <x v="398"/>
    <x v="19"/>
    <n v="153"/>
    <n v="69"/>
    <n v="54"/>
    <n v="105"/>
    <n v="66"/>
    <n v="129"/>
    <n v="222"/>
    <n v="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899706115421"/>
    <x v="54"/>
    <x v="399"/>
    <x v="19"/>
    <n v="93"/>
    <n v="42"/>
    <n v="48"/>
    <n v="36"/>
    <n v="66"/>
    <n v="93"/>
    <n v="78"/>
    <n v="273"/>
    <n v="18"/>
    <n v="345"/>
    <n v="33"/>
    <n v="24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899706115445"/>
    <x v="54"/>
    <x v="400"/>
    <x v="19"/>
    <n v="183"/>
    <n v="162"/>
    <n v="114"/>
    <n v="174"/>
    <n v="108"/>
    <n v="162"/>
    <n v="195"/>
    <n v="351"/>
    <n v="285"/>
    <n v="156"/>
    <n v="114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899706115452"/>
    <x v="54"/>
    <x v="401"/>
    <x v="19"/>
    <n v="147"/>
    <n v="198"/>
    <n v="96"/>
    <n v="141"/>
    <n v="102"/>
    <n v="159"/>
    <n v="162"/>
    <n v="297"/>
    <n v="72"/>
    <n v="249"/>
    <n v="48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899706115469"/>
    <x v="54"/>
    <x v="402"/>
    <x v="19"/>
    <n v="63"/>
    <n v="60"/>
    <n v="45"/>
    <n v="87"/>
    <n v="75"/>
    <n v="78"/>
    <n v="36"/>
    <n v="324"/>
    <n v="57"/>
    <n v="429"/>
    <n v="72"/>
    <n v="7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7899706119931"/>
    <x v="55"/>
    <x v="403"/>
    <x v="19"/>
    <n v="207"/>
    <n v="153"/>
    <n v="42"/>
    <n v="84"/>
    <n v="87"/>
    <n v="108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0"/>
    <x v="0"/>
    <x v="1"/>
    <x v="11"/>
    <n v="8901526566013"/>
    <x v="57"/>
    <x v="404"/>
    <x v="17"/>
    <n v="588"/>
    <n v="168"/>
    <n v="486"/>
    <n v="822"/>
    <n v="678"/>
    <n v="564"/>
    <n v="726"/>
    <n v="720"/>
    <n v="576"/>
    <n v="528"/>
    <n v="360"/>
    <n v="636"/>
    <n v="534"/>
    <n v="696"/>
    <n v="294"/>
    <n v="342"/>
    <n v="714"/>
    <n v="312"/>
    <n v="1686"/>
    <n v="300"/>
    <n v="564"/>
    <n v="390"/>
    <n v="432"/>
    <n v="594"/>
    <n v="540"/>
    <n v="12"/>
    <n v="0"/>
    <n v="546"/>
    <n v="816"/>
    <n v="1026"/>
    <n v="78"/>
    <n v="132"/>
    <n v="204"/>
    <n v="1248"/>
    <n v="660"/>
    <n v="0"/>
    <n v="1170"/>
    <n v="744"/>
    <n v="0"/>
    <n v="654"/>
    <n v="114"/>
    <n v="1296"/>
  </r>
  <r>
    <s v="L'Oreal"/>
    <x v="0"/>
    <x v="0"/>
    <x v="1"/>
    <x v="11"/>
    <n v="8901526566020"/>
    <x v="57"/>
    <x v="405"/>
    <x v="17"/>
    <n v="438"/>
    <n v="210"/>
    <n v="450"/>
    <n v="378"/>
    <n v="570"/>
    <n v="1302"/>
    <n v="792"/>
    <n v="744"/>
    <n v="486"/>
    <n v="558"/>
    <n v="396"/>
    <n v="390"/>
    <n v="588"/>
    <n v="750"/>
    <n v="420"/>
    <n v="360"/>
    <n v="678"/>
    <n v="384"/>
    <n v="606"/>
    <n v="468"/>
    <n v="552"/>
    <n v="366"/>
    <n v="330"/>
    <n v="540"/>
    <n v="126"/>
    <n v="0"/>
    <n v="612"/>
    <n v="330"/>
    <n v="0"/>
    <n v="0"/>
    <n v="714"/>
    <n v="18"/>
    <n v="30"/>
    <n v="498"/>
    <n v="492"/>
    <n v="216"/>
    <n v="384"/>
    <n v="0"/>
    <n v="492"/>
    <n v="240"/>
    <n v="426"/>
    <n v="192"/>
  </r>
  <r>
    <s v="L'Oreal"/>
    <x v="0"/>
    <x v="0"/>
    <x v="1"/>
    <x v="11"/>
    <n v="8901526566037"/>
    <x v="57"/>
    <x v="406"/>
    <x v="17"/>
    <n v="792"/>
    <n v="390"/>
    <n v="594"/>
    <n v="552"/>
    <n v="726"/>
    <n v="1530"/>
    <n v="774"/>
    <n v="846"/>
    <n v="810"/>
    <n v="654"/>
    <n v="510"/>
    <n v="738"/>
    <n v="702"/>
    <n v="936"/>
    <n v="552"/>
    <n v="336"/>
    <n v="780"/>
    <n v="312"/>
    <n v="1776"/>
    <n v="582"/>
    <n v="756"/>
    <n v="486"/>
    <n v="546"/>
    <n v="468"/>
    <n v="684"/>
    <n v="396"/>
    <n v="180"/>
    <n v="582"/>
    <n v="252"/>
    <n v="0"/>
    <n v="696"/>
    <n v="636"/>
    <n v="612"/>
    <n v="30"/>
    <n v="138"/>
    <n v="120"/>
    <n v="720"/>
    <n v="606"/>
    <n v="150"/>
    <n v="774"/>
    <n v="498"/>
    <n v="312"/>
  </r>
  <r>
    <s v="L'Oreal"/>
    <x v="0"/>
    <x v="0"/>
    <x v="1"/>
    <x v="11"/>
    <n v="8901526566044"/>
    <x v="57"/>
    <x v="407"/>
    <x v="17"/>
    <n v="558"/>
    <n v="372"/>
    <n v="456"/>
    <n v="192"/>
    <n v="948"/>
    <n v="114"/>
    <n v="2010"/>
    <n v="678"/>
    <n v="810"/>
    <n v="564"/>
    <n v="480"/>
    <n v="594"/>
    <n v="774"/>
    <n v="756"/>
    <n v="480"/>
    <n v="414"/>
    <n v="882"/>
    <n v="372"/>
    <n v="1680"/>
    <n v="294"/>
    <n v="690"/>
    <n v="612"/>
    <n v="402"/>
    <n v="546"/>
    <n v="588"/>
    <n v="336"/>
    <n v="0"/>
    <n v="612"/>
    <n v="-18"/>
    <n v="0"/>
    <n v="1560"/>
    <n v="498"/>
    <n v="258"/>
    <n v="0"/>
    <n v="408"/>
    <n v="0"/>
    <n v="384"/>
    <n v="0"/>
    <n v="672"/>
    <n v="348"/>
    <n v="312"/>
    <n v="750"/>
  </r>
  <r>
    <s v="L'Oreal"/>
    <x v="0"/>
    <x v="0"/>
    <x v="1"/>
    <x v="11"/>
    <n v="8901526566051"/>
    <x v="57"/>
    <x v="408"/>
    <x v="14"/>
    <n v="552"/>
    <n v="438"/>
    <n v="324"/>
    <n v="0"/>
    <n v="0"/>
    <n v="1752"/>
    <n v="804"/>
    <n v="528"/>
    <n v="678"/>
    <n v="486"/>
    <n v="528"/>
    <n v="570"/>
    <n v="786"/>
    <n v="672"/>
    <n v="570"/>
    <n v="324"/>
    <n v="588"/>
    <n v="282"/>
    <n v="1716"/>
    <n v="846"/>
    <n v="666"/>
    <n v="378"/>
    <n v="438"/>
    <n v="492"/>
    <n v="780"/>
    <n v="480"/>
    <n v="0"/>
    <n v="0"/>
    <n v="0"/>
    <n v="0"/>
    <n v="1266"/>
    <n v="522"/>
    <n v="36"/>
    <n v="198"/>
    <n v="282"/>
    <n v="0"/>
    <n v="1278"/>
    <n v="474"/>
    <n v="396"/>
    <n v="624"/>
    <n v="84"/>
    <n v="1404"/>
  </r>
  <r>
    <s v="L'Oreal"/>
    <x v="0"/>
    <x v="0"/>
    <x v="1"/>
    <x v="11"/>
    <n v="8901526566068"/>
    <x v="57"/>
    <x v="409"/>
    <x v="17"/>
    <n v="438"/>
    <n v="156"/>
    <n v="372"/>
    <n v="678"/>
    <n v="714"/>
    <n v="390"/>
    <n v="600"/>
    <n v="738"/>
    <n v="666"/>
    <n v="360"/>
    <n v="318"/>
    <n v="486"/>
    <n v="264"/>
    <n v="594"/>
    <n v="222"/>
    <n v="264"/>
    <n v="510"/>
    <n v="204"/>
    <n v="1104"/>
    <n v="186"/>
    <n v="570"/>
    <n v="402"/>
    <n v="192"/>
    <n v="342"/>
    <n v="588"/>
    <n v="366"/>
    <n v="696"/>
    <n v="894"/>
    <n v="744"/>
    <n v="750"/>
    <n v="696"/>
    <n v="816"/>
    <n v="690"/>
    <n v="246"/>
    <n v="936"/>
    <n v="90"/>
    <n v="1152"/>
    <n v="714"/>
    <n v="918"/>
    <n v="948"/>
    <n v="912"/>
    <n v="822"/>
  </r>
  <r>
    <s v="L'Oreal"/>
    <x v="0"/>
    <x v="0"/>
    <x v="1"/>
    <x v="11"/>
    <n v="8901526566075"/>
    <x v="57"/>
    <x v="410"/>
    <x v="17"/>
    <n v="708"/>
    <n v="378"/>
    <n v="486"/>
    <n v="630"/>
    <n v="1410"/>
    <n v="576"/>
    <n v="870"/>
    <n v="690"/>
    <n v="828"/>
    <n v="504"/>
    <n v="516"/>
    <n v="648"/>
    <n v="894"/>
    <n v="840"/>
    <n v="450"/>
    <n v="348"/>
    <n v="978"/>
    <n v="498"/>
    <n v="648"/>
    <n v="636"/>
    <n v="756"/>
    <n v="432"/>
    <n v="396"/>
    <n v="440"/>
    <n v="60"/>
    <n v="6"/>
    <n v="-12"/>
    <n v="540"/>
    <n v="-18"/>
    <n v="0"/>
    <n v="924"/>
    <n v="204"/>
    <n v="0"/>
    <n v="12"/>
    <n v="606"/>
    <n v="738"/>
    <n v="690"/>
    <n v="504"/>
    <n v="180"/>
    <n v="360"/>
    <n v="822"/>
    <n v="690"/>
  </r>
  <r>
    <s v="L'Oreal"/>
    <x v="0"/>
    <x v="0"/>
    <x v="1"/>
    <x v="11"/>
    <n v="8901526566082"/>
    <x v="57"/>
    <x v="411"/>
    <x v="17"/>
    <n v="744"/>
    <n v="174"/>
    <n v="744"/>
    <n v="408"/>
    <n v="0"/>
    <n v="1800"/>
    <n v="936"/>
    <n v="528"/>
    <n v="912"/>
    <n v="528"/>
    <n v="672"/>
    <n v="624"/>
    <n v="762"/>
    <n v="990"/>
    <n v="534"/>
    <n v="444"/>
    <n v="738"/>
    <n v="426"/>
    <n v="2160"/>
    <n v="540"/>
    <n v="726"/>
    <n v="384"/>
    <n v="408"/>
    <n v="552"/>
    <n v="714"/>
    <n v="0"/>
    <n v="516"/>
    <n v="882"/>
    <n v="414"/>
    <n v="744"/>
    <n v="654"/>
    <n v="720"/>
    <n v="420"/>
    <n v="354"/>
    <n v="810"/>
    <n v="534"/>
    <n v="576"/>
    <n v="612"/>
    <n v="744"/>
    <n v="360"/>
    <n v="498"/>
    <n v="402"/>
  </r>
  <r>
    <s v="L'Oreal"/>
    <x v="0"/>
    <x v="0"/>
    <x v="1"/>
    <x v="11"/>
    <n v="8901526566099"/>
    <x v="57"/>
    <x v="412"/>
    <x v="17"/>
    <n v="696"/>
    <n v="300"/>
    <n v="570"/>
    <n v="492"/>
    <n v="750"/>
    <n v="120"/>
    <n v="3"/>
    <n v="0"/>
    <n v="858"/>
    <n v="252"/>
    <n v="396"/>
    <n v="582"/>
    <n v="756"/>
    <n v="762"/>
    <n v="258"/>
    <n v="246"/>
    <n v="696"/>
    <n v="288"/>
    <n v="1560"/>
    <n v="144"/>
    <n v="522"/>
    <n v="186"/>
    <n v="252"/>
    <n v="360"/>
    <n v="588"/>
    <n v="612"/>
    <n v="252"/>
    <n v="102"/>
    <n v="-6"/>
    <n v="0"/>
    <n v="1080"/>
    <n v="750"/>
    <n v="606"/>
    <n v="750"/>
    <n v="864"/>
    <n v="342"/>
    <n v="714"/>
    <n v="732"/>
    <n v="342"/>
    <n v="252"/>
    <n v="0"/>
    <n v="90"/>
  </r>
  <r>
    <s v="L'Oreal"/>
    <x v="0"/>
    <x v="0"/>
    <x v="1"/>
    <x v="11"/>
    <n v="8901526606061"/>
    <x v="57"/>
    <x v="413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150"/>
    <n v="144"/>
    <n v="126"/>
    <n v="90"/>
    <n v="22"/>
    <n v="74"/>
    <n v="46"/>
    <n v="44"/>
    <n v="136"/>
    <n v="228"/>
    <n v="150"/>
    <n v="72"/>
    <n v="132"/>
    <n v="240"/>
    <n v="72"/>
    <n v="60"/>
    <n v="78"/>
    <n v="210"/>
    <n v="102"/>
    <n v="108"/>
    <n v="132"/>
    <n v="138"/>
    <n v="150"/>
    <n v="150"/>
  </r>
  <r>
    <s v="L'Oreal"/>
    <x v="1"/>
    <x v="1"/>
    <x v="0"/>
    <x v="0"/>
    <n v="5601036100037"/>
    <x v="0"/>
    <x v="0"/>
    <x v="0"/>
    <n v="1128"/>
    <n v="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0"/>
    <n v="5601036100044"/>
    <x v="0"/>
    <x v="0"/>
    <x v="0"/>
    <n v="1074"/>
    <n v="258"/>
    <n v="0"/>
    <n v="0"/>
    <n v="1638"/>
    <n v="0"/>
    <n v="1980"/>
    <n v="252"/>
    <n v="0"/>
    <n v="6"/>
    <n v="1848"/>
    <n v="48"/>
    <n v="0"/>
    <n v="546"/>
    <n v="1578"/>
    <n v="2196"/>
    <n v="876"/>
    <n v="966"/>
    <n v="600"/>
    <n v="894"/>
    <n v="2292"/>
    <n v="384"/>
    <n v="528"/>
    <n v="720"/>
    <n v="1128"/>
    <n v="702"/>
    <n v="720"/>
    <n v="654"/>
    <n v="852"/>
    <n v="810"/>
    <n v="732"/>
    <n v="558"/>
    <n v="858"/>
    <n v="1380"/>
    <n v="792"/>
    <n v="1116"/>
    <n v="1218"/>
    <n v="810"/>
    <n v="1236"/>
    <n v="786"/>
    <n v="642"/>
    <n v="348"/>
  </r>
  <r>
    <s v="L'Oreal"/>
    <x v="1"/>
    <x v="1"/>
    <x v="0"/>
    <x v="1"/>
    <n v="3600523682799"/>
    <x v="1"/>
    <x v="1"/>
    <x v="1"/>
    <n v="4098"/>
    <n v="1680"/>
    <n v="3654"/>
    <n v="1104"/>
    <n v="870"/>
    <n v="1566"/>
    <n v="5116"/>
    <n v="1742"/>
    <n v="3456"/>
    <n v="1410"/>
    <n v="2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3600523682850"/>
    <x v="1"/>
    <x v="2"/>
    <x v="2"/>
    <n v="1662"/>
    <n v="1356"/>
    <n v="2322"/>
    <n v="864"/>
    <n v="336"/>
    <n v="414"/>
    <n v="4024"/>
    <n v="544"/>
    <n v="2064"/>
    <n v="792"/>
    <n v="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3600524095567"/>
    <x v="2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7"/>
    <n v="9"/>
    <n v="858"/>
    <n v="85"/>
    <n v="231"/>
    <n v="146"/>
    <n v="552"/>
    <n v="1305"/>
    <n v="48"/>
    <n v="48"/>
    <n v="60"/>
    <n v="6"/>
    <n v="42"/>
    <n v="36"/>
    <n v="37"/>
    <n v="156"/>
    <n v="117"/>
    <n v="114"/>
    <n v="303"/>
    <n v="42"/>
  </r>
  <r>
    <s v="L'Oreal"/>
    <x v="1"/>
    <x v="1"/>
    <x v="0"/>
    <x v="1"/>
    <n v="7506078926912"/>
    <x v="3"/>
    <x v="4"/>
    <x v="4"/>
    <n v="3618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6078926929"/>
    <x v="3"/>
    <x v="5"/>
    <x v="4"/>
    <n v="2496"/>
    <n v="954"/>
    <n v="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6078947894"/>
    <x v="4"/>
    <x v="6"/>
    <x v="4"/>
    <n v="1248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6078947900"/>
    <x v="4"/>
    <x v="7"/>
    <x v="4"/>
    <n v="360"/>
    <n v="774"/>
    <n v="3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6078947917"/>
    <x v="4"/>
    <x v="8"/>
    <x v="5"/>
    <n v="249"/>
    <n v="561"/>
    <n v="279"/>
    <n v="289"/>
    <n v="207"/>
    <n v="192"/>
    <n v="132"/>
    <n v="162"/>
    <n v="237"/>
    <n v="318"/>
    <n v="378"/>
    <n v="369"/>
    <n v="285"/>
    <n v="102"/>
    <n v="234"/>
    <n v="435"/>
    <n v="162"/>
    <n v="273"/>
    <n v="192"/>
    <n v="108"/>
    <n v="399"/>
    <n v="12"/>
    <n v="138"/>
    <n v="126"/>
    <n v="282"/>
    <n v="75"/>
    <n v="9"/>
    <n v="390"/>
    <n v="72"/>
    <n v="135"/>
    <n v="45"/>
    <n v="279"/>
    <n v="78"/>
    <n v="123"/>
    <n v="90"/>
    <n v="255"/>
    <n v="315"/>
    <n v="162"/>
    <n v="171"/>
    <n v="264"/>
    <n v="189"/>
    <n v="102"/>
  </r>
  <r>
    <s v="L'Oreal"/>
    <x v="1"/>
    <x v="1"/>
    <x v="0"/>
    <x v="1"/>
    <n v="7506078959033"/>
    <x v="3"/>
    <x v="9"/>
    <x v="1"/>
    <n v="1176"/>
    <n v="852"/>
    <n v="876"/>
    <n v="480"/>
    <n v="672"/>
    <n v="408"/>
    <n v="468"/>
    <n v="600"/>
    <n v="852"/>
    <n v="288"/>
    <n v="672"/>
    <n v="792"/>
    <n v="828"/>
    <n v="588"/>
    <n v="2184"/>
    <n v="2088"/>
    <n v="840"/>
    <n v="516"/>
    <n v="564"/>
    <n v="360"/>
    <n v="1284"/>
    <n v="132"/>
    <n v="408"/>
    <n v="0"/>
    <n v="768"/>
    <n v="0"/>
    <n v="12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193831"/>
    <x v="4"/>
    <x v="10"/>
    <x v="1"/>
    <n v="492"/>
    <n v="348"/>
    <n v="456"/>
    <n v="300"/>
    <n v="252"/>
    <n v="324"/>
    <n v="204"/>
    <n v="456"/>
    <n v="444"/>
    <n v="407"/>
    <n v="348"/>
    <n v="336"/>
    <n v="348"/>
    <n v="408"/>
    <n v="492"/>
    <n v="1320"/>
    <n v="636"/>
    <n v="156"/>
    <n v="480"/>
    <n v="192"/>
    <n v="924"/>
    <n v="24"/>
    <n v="252"/>
    <n v="312"/>
    <n v="408"/>
    <n v="0"/>
    <n v="12"/>
    <n v="504"/>
    <n v="264"/>
    <n v="252"/>
    <n v="84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791389"/>
    <x v="5"/>
    <x v="11"/>
    <x v="1"/>
    <n v="0"/>
    <n v="0"/>
    <n v="0"/>
    <n v="0"/>
    <n v="0"/>
    <n v="0"/>
    <n v="0"/>
    <n v="0"/>
    <n v="0"/>
    <n v="0"/>
    <n v="0"/>
    <n v="0"/>
    <n v="0"/>
    <n v="0"/>
    <n v="0"/>
    <n v="84"/>
    <n v="36"/>
    <n v="96"/>
    <n v="12"/>
    <n v="60"/>
    <n v="120"/>
    <n v="36"/>
    <n v="36"/>
    <n v="12"/>
    <n v="48"/>
    <n v="48"/>
    <n v="0"/>
    <n v="12"/>
    <n v="36"/>
    <n v="48"/>
    <n v="24"/>
    <n v="12"/>
    <n v="48"/>
    <n v="12"/>
    <n v="0"/>
    <n v="0"/>
    <n v="0"/>
    <n v="0"/>
    <n v="0"/>
    <n v="0"/>
    <n v="0"/>
    <n v="0"/>
  </r>
  <r>
    <s v="L'Oreal"/>
    <x v="1"/>
    <x v="1"/>
    <x v="0"/>
    <x v="1"/>
    <n v="7509552791396"/>
    <x v="5"/>
    <x v="12"/>
    <x v="1"/>
    <n v="0"/>
    <n v="0"/>
    <n v="0"/>
    <n v="0"/>
    <n v="0"/>
    <n v="0"/>
    <n v="0"/>
    <n v="36"/>
    <n v="108"/>
    <n v="48"/>
    <n v="54"/>
    <n v="192"/>
    <n v="576"/>
    <n v="414"/>
    <n v="516"/>
    <n v="372"/>
    <n v="156"/>
    <n v="312"/>
    <n v="810"/>
    <n v="228"/>
    <n v="330"/>
    <n v="174"/>
    <n v="114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791457"/>
    <x v="6"/>
    <x v="1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0"/>
    <n v="48"/>
    <n v="24"/>
    <n v="0"/>
    <n v="48"/>
    <n v="60"/>
    <n v="12"/>
    <n v="0"/>
    <n v="48"/>
    <n v="24"/>
  </r>
  <r>
    <s v="L'Oreal"/>
    <x v="1"/>
    <x v="1"/>
    <x v="0"/>
    <x v="1"/>
    <n v="7509552791860"/>
    <x v="7"/>
    <x v="1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"/>
    <n v="96"/>
    <n v="120"/>
    <n v="60"/>
    <n v="96"/>
    <n v="48"/>
    <n v="108"/>
    <n v="84"/>
    <n v="120"/>
    <n v="84"/>
    <n v="48"/>
    <n v="48"/>
    <n v="12"/>
    <n v="48"/>
    <n v="0"/>
  </r>
  <r>
    <s v="L'Oreal"/>
    <x v="1"/>
    <x v="1"/>
    <x v="0"/>
    <x v="1"/>
    <n v="7509552800135"/>
    <x v="8"/>
    <x v="15"/>
    <x v="1"/>
    <n v="204"/>
    <n v="120"/>
    <n v="84"/>
    <n v="72"/>
    <n v="36"/>
    <n v="96"/>
    <n v="12"/>
    <n v="72"/>
    <n v="48"/>
    <n v="48"/>
    <n v="72"/>
    <n v="60"/>
    <n v="144"/>
    <n v="2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00258"/>
    <x v="8"/>
    <x v="16"/>
    <x v="4"/>
    <n v="36"/>
    <n v="72"/>
    <n v="72"/>
    <n v="24"/>
    <n v="48"/>
    <n v="36"/>
    <n v="72"/>
    <n v="96"/>
    <n v="132"/>
    <n v="60"/>
    <n v="24"/>
    <n v="72"/>
    <n v="60"/>
    <n v="24"/>
    <n v="60"/>
    <n v="36"/>
    <n v="84"/>
    <n v="24"/>
    <n v="12"/>
    <n v="72"/>
    <n v="3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00371"/>
    <x v="8"/>
    <x v="17"/>
    <x v="1"/>
    <n v="84"/>
    <n v="1146"/>
    <n v="924"/>
    <n v="720"/>
    <n v="696"/>
    <n v="840"/>
    <n v="468"/>
    <n v="240"/>
    <n v="972"/>
    <n v="96"/>
    <n v="48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16334"/>
    <x v="7"/>
    <x v="18"/>
    <x v="5"/>
    <n v="354"/>
    <n v="181"/>
    <n v="123"/>
    <n v="429"/>
    <n v="93"/>
    <n v="96"/>
    <n v="90"/>
    <n v="48"/>
    <n v="132"/>
    <n v="48"/>
    <n v="300"/>
    <n v="339"/>
    <n v="240"/>
    <n v="9"/>
    <n v="138"/>
    <n v="210"/>
    <n v="138"/>
    <n v="123"/>
    <n v="180"/>
    <n v="132"/>
    <n v="303"/>
    <n v="30"/>
    <n v="54"/>
    <n v="126"/>
    <n v="0"/>
    <n v="0"/>
    <n v="0"/>
    <n v="351"/>
    <n v="57"/>
    <n v="90"/>
    <n v="60"/>
    <n v="96"/>
    <n v="54"/>
    <n v="84"/>
    <n v="156"/>
    <n v="153"/>
    <n v="99"/>
    <n v="132"/>
    <n v="0"/>
    <n v="144"/>
    <n v="150"/>
    <n v="78"/>
  </r>
  <r>
    <s v="L'Oreal"/>
    <x v="1"/>
    <x v="1"/>
    <x v="0"/>
    <x v="1"/>
    <n v="7509552817348"/>
    <x v="4"/>
    <x v="19"/>
    <x v="6"/>
    <n v="36"/>
    <n v="834"/>
    <n v="414"/>
    <n v="1842"/>
    <n v="678"/>
    <n v="1452"/>
    <n v="954"/>
    <n v="504"/>
    <n v="1644"/>
    <n v="378"/>
    <n v="1074"/>
    <n v="822"/>
    <n v="1392"/>
    <n v="966"/>
    <n v="846"/>
    <n v="1248"/>
    <n v="1104"/>
    <n v="756"/>
    <n v="1674"/>
    <n v="234"/>
    <n v="786"/>
    <n v="294"/>
    <n v="498"/>
    <n v="912"/>
    <n v="1014"/>
    <n v="732"/>
    <n v="606"/>
    <n v="606"/>
    <n v="588"/>
    <n v="24"/>
    <n v="228"/>
    <n v="1182"/>
    <n v="906"/>
    <n v="120"/>
    <n v="1374"/>
    <n v="264"/>
    <n v="624"/>
    <n v="1086"/>
    <n v="546"/>
    <n v="516"/>
    <n v="528"/>
    <n v="714"/>
  </r>
  <r>
    <s v="L'Oreal"/>
    <x v="1"/>
    <x v="1"/>
    <x v="0"/>
    <x v="1"/>
    <n v="7509552817393"/>
    <x v="3"/>
    <x v="20"/>
    <x v="6"/>
    <n v="2028"/>
    <n v="714"/>
    <n v="426"/>
    <n v="0"/>
    <n v="2472"/>
    <n v="1146"/>
    <n v="1044"/>
    <n v="876"/>
    <n v="1812"/>
    <n v="396"/>
    <n v="828"/>
    <n v="822"/>
    <n v="1506"/>
    <n v="1002"/>
    <n v="858"/>
    <n v="6858"/>
    <n v="1194"/>
    <n v="678"/>
    <n v="1524"/>
    <n v="222"/>
    <n v="960"/>
    <n v="48"/>
    <n v="444"/>
    <n v="648"/>
    <n v="918"/>
    <n v="1020"/>
    <n v="1206"/>
    <n v="174"/>
    <n v="564"/>
    <n v="12"/>
    <n v="336"/>
    <n v="1158"/>
    <n v="702"/>
    <n v="1704"/>
    <n v="144"/>
    <n v="1122"/>
    <n v="534"/>
    <n v="1620"/>
    <n v="54"/>
    <n v="1224"/>
    <n v="42"/>
    <n v="534"/>
  </r>
  <r>
    <s v="L'Oreal"/>
    <x v="1"/>
    <x v="1"/>
    <x v="0"/>
    <x v="1"/>
    <n v="7509552817416"/>
    <x v="7"/>
    <x v="21"/>
    <x v="6"/>
    <n v="1170"/>
    <n v="78"/>
    <n v="414"/>
    <n v="1140"/>
    <n v="594"/>
    <n v="12"/>
    <n v="582"/>
    <n v="276"/>
    <n v="948"/>
    <n v="342"/>
    <n v="666"/>
    <n v="594"/>
    <n v="690"/>
    <n v="546"/>
    <n v="432"/>
    <n v="360"/>
    <n v="438"/>
    <n v="432"/>
    <n v="942"/>
    <n v="90"/>
    <n v="258"/>
    <n v="6"/>
    <n v="210"/>
    <n v="258"/>
    <n v="384"/>
    <n v="384"/>
    <n v="156"/>
    <n v="174"/>
    <n v="18"/>
    <n v="300"/>
    <n v="0"/>
    <n v="12"/>
    <n v="0"/>
    <n v="12"/>
    <n v="144"/>
    <n v="0"/>
    <n v="0"/>
    <n v="24"/>
    <n v="24"/>
    <n v="0"/>
    <n v="36"/>
    <n v="0"/>
  </r>
  <r>
    <s v="L'Oreal"/>
    <x v="1"/>
    <x v="1"/>
    <x v="0"/>
    <x v="1"/>
    <n v="7509552817430"/>
    <x v="8"/>
    <x v="22"/>
    <x v="6"/>
    <n v="444"/>
    <n v="150"/>
    <n v="48"/>
    <n v="12"/>
    <n v="12"/>
    <n v="0"/>
    <n v="0"/>
    <n v="12"/>
    <n v="72"/>
    <n v="12"/>
    <n v="12"/>
    <n v="12"/>
    <n v="48"/>
    <n v="0"/>
    <n v="24"/>
    <n v="60"/>
    <n v="24"/>
    <n v="24"/>
    <n v="0"/>
    <n v="84"/>
    <n v="24"/>
    <n v="0"/>
    <n v="12"/>
    <n v="12"/>
    <n v="12"/>
    <n v="0"/>
    <n v="0"/>
    <n v="0"/>
    <n v="30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21789"/>
    <x v="9"/>
    <x v="23"/>
    <x v="1"/>
    <n v="0"/>
    <n v="0"/>
    <n v="0"/>
    <n v="0"/>
    <n v="0"/>
    <n v="0"/>
    <n v="0"/>
    <n v="0"/>
    <n v="0"/>
    <n v="0"/>
    <n v="1716"/>
    <n v="936"/>
    <n v="1776"/>
    <n v="2124"/>
    <n v="1296"/>
    <n v="1452"/>
    <n v="516"/>
    <n v="276"/>
    <n v="276"/>
    <n v="792"/>
    <n v="1116"/>
    <n v="60"/>
    <n v="84"/>
    <n v="84"/>
    <n v="912"/>
    <n v="924"/>
    <n v="120"/>
    <n v="48"/>
    <n v="24"/>
    <n v="48"/>
    <n v="60"/>
    <n v="324"/>
    <n v="144"/>
    <n v="108"/>
    <n v="444"/>
    <n v="192"/>
    <n v="336"/>
    <n v="720"/>
    <n v="528"/>
    <n v="384"/>
    <n v="264"/>
    <n v="168"/>
  </r>
  <r>
    <s v="L'Oreal"/>
    <x v="1"/>
    <x v="1"/>
    <x v="0"/>
    <x v="1"/>
    <n v="7509552836509"/>
    <x v="10"/>
    <x v="24"/>
    <x v="4"/>
    <n v="1056"/>
    <n v="1344"/>
    <n v="534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36554"/>
    <x v="10"/>
    <x v="25"/>
    <x v="1"/>
    <n v="1020"/>
    <n v="1392"/>
    <n v="918"/>
    <n v="396"/>
    <n v="360"/>
    <n v="390"/>
    <n v="432"/>
    <n v="246"/>
    <n v="882"/>
    <n v="42"/>
    <n v="324"/>
    <n v="276"/>
    <n v="510"/>
    <n v="234"/>
    <n v="276"/>
    <n v="486"/>
    <n v="132"/>
    <n v="444"/>
    <n v="630"/>
    <n v="54"/>
    <n v="180"/>
    <n v="12"/>
    <n v="78"/>
    <n v="96"/>
    <n v="156"/>
    <n v="108"/>
    <n v="84"/>
    <n v="12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36561"/>
    <x v="10"/>
    <x v="26"/>
    <x v="4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36585"/>
    <x v="10"/>
    <x v="27"/>
    <x v="1"/>
    <n v="144"/>
    <n v="60"/>
    <n v="180"/>
    <n v="72"/>
    <n v="24"/>
    <n v="36"/>
    <n v="0"/>
    <n v="24"/>
    <n v="48"/>
    <n v="12"/>
    <n v="48"/>
    <n v="12"/>
    <n v="36"/>
    <n v="12"/>
    <n v="48"/>
    <n v="60"/>
    <n v="24"/>
    <n v="24"/>
    <n v="12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36677"/>
    <x v="10"/>
    <x v="28"/>
    <x v="5"/>
    <n v="357"/>
    <n v="384"/>
    <n v="312"/>
    <n v="273"/>
    <n v="54"/>
    <n v="36"/>
    <n v="9"/>
    <n v="24"/>
    <n v="42"/>
    <n v="0"/>
    <n v="36"/>
    <n v="24"/>
    <n v="321"/>
    <n v="87"/>
    <n v="234"/>
    <n v="192"/>
    <n v="60"/>
    <n v="102"/>
    <n v="150"/>
    <n v="6"/>
    <n v="18"/>
    <n v="18"/>
    <n v="72"/>
    <n v="96"/>
    <n v="111"/>
    <n v="51"/>
    <n v="39"/>
    <n v="0"/>
    <n v="6"/>
    <n v="24"/>
    <n v="42"/>
    <n v="48"/>
    <n v="0"/>
    <n v="0"/>
    <n v="0"/>
    <n v="0"/>
    <n v="0"/>
    <n v="0"/>
    <n v="0"/>
    <n v="0"/>
    <n v="0"/>
    <n v="0"/>
  </r>
  <r>
    <s v="L'Oreal"/>
    <x v="1"/>
    <x v="1"/>
    <x v="0"/>
    <x v="1"/>
    <n v="7509552840353"/>
    <x v="11"/>
    <x v="29"/>
    <x v="1"/>
    <n v="1962"/>
    <n v="1188"/>
    <n v="1056"/>
    <n v="738"/>
    <n v="798"/>
    <n v="744"/>
    <n v="282"/>
    <n v="342"/>
    <n v="858"/>
    <n v="126"/>
    <n v="300"/>
    <n v="384"/>
    <n v="726"/>
    <n v="294"/>
    <n v="708"/>
    <n v="864"/>
    <n v="582"/>
    <n v="240"/>
    <n v="852"/>
    <n v="234"/>
    <n v="402"/>
    <n v="210"/>
    <n v="540"/>
    <n v="288"/>
    <n v="558"/>
    <n v="816"/>
    <n v="234"/>
    <n v="756"/>
    <n v="108"/>
    <n v="1032"/>
    <n v="66"/>
    <n v="156"/>
    <n v="84"/>
    <n v="72"/>
    <n v="36"/>
    <n v="72"/>
    <n v="60"/>
    <n v="120"/>
    <n v="48"/>
    <n v="0"/>
    <n v="0"/>
    <n v="0"/>
  </r>
  <r>
    <s v="L'Oreal"/>
    <x v="1"/>
    <x v="1"/>
    <x v="0"/>
    <x v="1"/>
    <n v="7509552843019"/>
    <x v="12"/>
    <x v="30"/>
    <x v="1"/>
    <n v="84"/>
    <n v="96"/>
    <n v="72"/>
    <n v="6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3026"/>
    <x v="12"/>
    <x v="31"/>
    <x v="4"/>
    <n v="636"/>
    <n v="252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3057"/>
    <x v="12"/>
    <x v="32"/>
    <x v="4"/>
    <n v="96"/>
    <n v="264"/>
    <n v="72"/>
    <n v="24"/>
    <n v="0"/>
    <n v="0"/>
    <n v="0"/>
    <n v="0"/>
    <n v="0"/>
    <n v="0"/>
    <n v="12"/>
    <n v="24"/>
    <n v="0"/>
    <n v="24"/>
    <n v="0"/>
    <n v="0"/>
    <n v="0"/>
    <n v="12"/>
    <n v="0"/>
    <n v="12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3071"/>
    <x v="12"/>
    <x v="33"/>
    <x v="1"/>
    <n v="0"/>
    <n v="0"/>
    <n v="0"/>
    <n v="0"/>
    <n v="0"/>
    <n v="0"/>
    <n v="0"/>
    <n v="12"/>
    <n v="36"/>
    <n v="24"/>
    <n v="24"/>
    <n v="72"/>
    <n v="144"/>
    <n v="48"/>
    <n v="84"/>
    <n v="108"/>
    <n v="60"/>
    <n v="24"/>
    <n v="12"/>
    <n v="48"/>
    <n v="48"/>
    <n v="24"/>
    <n v="12"/>
    <n v="12"/>
    <n v="12"/>
    <n v="0"/>
    <n v="12"/>
    <n v="0"/>
    <n v="0"/>
    <n v="24"/>
    <n v="12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3101"/>
    <x v="12"/>
    <x v="34"/>
    <x v="1"/>
    <n v="588"/>
    <n v="750"/>
    <n v="1188"/>
    <n v="924"/>
    <n v="822"/>
    <n v="1182"/>
    <n v="384"/>
    <n v="294"/>
    <n v="912"/>
    <n v="264"/>
    <n v="600"/>
    <n v="618"/>
    <n v="762"/>
    <n v="480"/>
    <n v="564"/>
    <n v="756"/>
    <n v="144"/>
    <n v="486"/>
    <n v="774"/>
    <n v="336"/>
    <n v="150"/>
    <n v="0"/>
    <n v="36"/>
    <n v="108"/>
    <n v="60"/>
    <n v="36"/>
    <n v="48"/>
    <n v="72"/>
    <n v="72"/>
    <n v="72"/>
    <n v="84"/>
    <n v="60"/>
    <n v="60"/>
    <n v="60"/>
    <n v="108"/>
    <n v="144"/>
    <n v="156"/>
    <n v="120"/>
    <n v="60"/>
    <n v="0"/>
    <n v="0"/>
    <n v="0"/>
  </r>
  <r>
    <s v="L'Oreal"/>
    <x v="1"/>
    <x v="1"/>
    <x v="0"/>
    <x v="1"/>
    <n v="7509552843132"/>
    <x v="3"/>
    <x v="35"/>
    <x v="1"/>
    <n v="0"/>
    <n v="0"/>
    <n v="0"/>
    <n v="0"/>
    <n v="0"/>
    <n v="0"/>
    <n v="0"/>
    <n v="0"/>
    <n v="0"/>
    <n v="0"/>
    <n v="0"/>
    <n v="252"/>
    <n v="648"/>
    <n v="2052"/>
    <n v="4404"/>
    <n v="2304"/>
    <n v="4164"/>
    <n v="3180"/>
    <n v="732"/>
    <n v="504"/>
    <n v="2364"/>
    <n v="516"/>
    <n v="900"/>
    <n v="756"/>
    <n v="1872"/>
    <n v="840"/>
    <n v="1104"/>
    <n v="444"/>
    <n v="396"/>
    <n v="1824"/>
    <n v="1008"/>
    <n v="1572"/>
    <n v="684"/>
    <n v="1116"/>
    <n v="1236"/>
    <n v="252"/>
    <n v="3096"/>
    <n v="984"/>
    <n v="1584"/>
    <n v="612"/>
    <n v="0"/>
    <n v="0"/>
  </r>
  <r>
    <s v="L'Oreal"/>
    <x v="1"/>
    <x v="1"/>
    <x v="0"/>
    <x v="1"/>
    <n v="7509552843149"/>
    <x v="3"/>
    <x v="36"/>
    <x v="2"/>
    <n v="0"/>
    <n v="0"/>
    <n v="0"/>
    <n v="0"/>
    <n v="0"/>
    <n v="0"/>
    <n v="0"/>
    <n v="24"/>
    <n v="1014"/>
    <n v="240"/>
    <n v="582"/>
    <n v="540"/>
    <n v="612"/>
    <n v="702"/>
    <n v="1140"/>
    <n v="678"/>
    <n v="594"/>
    <n v="504"/>
    <n v="426"/>
    <n v="300"/>
    <n v="1500"/>
    <n v="171"/>
    <n v="348"/>
    <n v="576"/>
    <n v="786"/>
    <n v="534"/>
    <n v="894"/>
    <n v="48"/>
    <n v="450"/>
    <n v="582"/>
    <n v="570"/>
    <n v="624"/>
    <n v="391"/>
    <n v="626"/>
    <n v="592"/>
    <n v="1080"/>
    <n v="619"/>
    <n v="1242"/>
    <n v="972"/>
    <n v="567"/>
    <n v="480"/>
    <n v="281"/>
  </r>
  <r>
    <s v="L'Oreal"/>
    <x v="1"/>
    <x v="1"/>
    <x v="0"/>
    <x v="1"/>
    <n v="7509552843729"/>
    <x v="12"/>
    <x v="37"/>
    <x v="5"/>
    <n v="144"/>
    <n v="0"/>
    <n v="0"/>
    <n v="0"/>
    <n v="0"/>
    <n v="228"/>
    <n v="60"/>
    <n v="132"/>
    <n v="84"/>
    <n v="30"/>
    <n v="282"/>
    <n v="264"/>
    <n v="72"/>
    <n v="90"/>
    <n v="30"/>
    <n v="0"/>
    <n v="0"/>
    <n v="72"/>
    <n v="150"/>
    <n v="36"/>
    <n v="48"/>
    <n v="12"/>
    <n v="78"/>
    <n v="84"/>
    <n v="90"/>
    <n v="18"/>
    <n v="0"/>
    <n v="90"/>
    <n v="6"/>
    <n v="18"/>
    <n v="24"/>
    <n v="84"/>
    <n v="18"/>
    <n v="24"/>
    <n v="42"/>
    <n v="30"/>
    <n v="0"/>
    <n v="0"/>
    <n v="0"/>
    <n v="0"/>
    <n v="0"/>
    <n v="0"/>
  </r>
  <r>
    <s v="L'Oreal"/>
    <x v="1"/>
    <x v="1"/>
    <x v="0"/>
    <x v="1"/>
    <n v="7509552845877"/>
    <x v="13"/>
    <x v="38"/>
    <x v="1"/>
    <n v="3408"/>
    <n v="1260"/>
    <n v="2940"/>
    <n v="480"/>
    <n v="240"/>
    <n v="552"/>
    <n v="972"/>
    <n v="1344"/>
    <n v="972"/>
    <n v="276"/>
    <n v="1032"/>
    <n v="564"/>
    <n v="888"/>
    <n v="1116"/>
    <n v="1548"/>
    <n v="1020"/>
    <n v="1212"/>
    <n v="252"/>
    <n v="876"/>
    <n v="444"/>
    <n v="3156"/>
    <n v="72"/>
    <n v="72"/>
    <n v="48"/>
    <n v="0"/>
    <n v="0"/>
    <n v="12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5884"/>
    <x v="13"/>
    <x v="39"/>
    <x v="7"/>
    <n v="2184"/>
    <n v="2292"/>
    <n v="6058"/>
    <n v="3150"/>
    <n v="2292"/>
    <n v="3090"/>
    <n v="1818"/>
    <n v="2238"/>
    <n v="3612"/>
    <n v="1854"/>
    <n v="4398"/>
    <n v="5988"/>
    <n v="2286"/>
    <n v="4536"/>
    <n v="1914"/>
    <n v="492"/>
    <n v="3300"/>
    <n v="2232"/>
    <n v="4998"/>
    <n v="1194"/>
    <n v="2862"/>
    <n v="1170"/>
    <n v="1206"/>
    <n v="1446"/>
    <n v="768"/>
    <n v="708"/>
    <n v="1374"/>
    <n v="936"/>
    <n v="4464"/>
    <n v="2322"/>
    <n v="1788"/>
    <n v="468"/>
    <n v="2334"/>
    <n v="1710"/>
    <n v="840"/>
    <n v="2370"/>
    <n v="1692"/>
    <n v="2436"/>
    <n v="2220"/>
    <n v="1296"/>
    <n v="936"/>
    <n v="1668"/>
  </r>
  <r>
    <s v="L'Oreal"/>
    <x v="1"/>
    <x v="1"/>
    <x v="0"/>
    <x v="1"/>
    <n v="7509552845891"/>
    <x v="13"/>
    <x v="40"/>
    <x v="6"/>
    <n v="648"/>
    <n v="672"/>
    <n v="3430"/>
    <n v="2938"/>
    <n v="2730"/>
    <n v="1740"/>
    <n v="1446"/>
    <n v="1350"/>
    <n v="2934"/>
    <n v="1140"/>
    <n v="2034"/>
    <n v="1308"/>
    <n v="2406"/>
    <n v="1986"/>
    <n v="1716"/>
    <n v="1656"/>
    <n v="2352"/>
    <n v="1446"/>
    <n v="2514"/>
    <n v="744"/>
    <n v="2238"/>
    <n v="216"/>
    <n v="912"/>
    <n v="1662"/>
    <n v="1374"/>
    <n v="2172"/>
    <n v="2544"/>
    <n v="1476"/>
    <n v="1224"/>
    <n v="2736"/>
    <n v="216"/>
    <n v="1392"/>
    <n v="1824"/>
    <n v="1554"/>
    <n v="420"/>
    <n v="1668"/>
    <n v="1320"/>
    <n v="1896"/>
    <n v="281"/>
    <n v="1338"/>
    <n v="1308"/>
    <n v="1620"/>
  </r>
  <r>
    <s v="L'Oreal"/>
    <x v="1"/>
    <x v="1"/>
    <x v="0"/>
    <x v="1"/>
    <n v="7509552845907"/>
    <x v="13"/>
    <x v="41"/>
    <x v="1"/>
    <n v="2376"/>
    <n v="1308"/>
    <n v="5268"/>
    <n v="3354"/>
    <n v="1944"/>
    <n v="2634"/>
    <n v="1710"/>
    <n v="1860"/>
    <n v="3720"/>
    <n v="1734"/>
    <n v="2238"/>
    <n v="3126"/>
    <n v="2610"/>
    <n v="3444"/>
    <n v="3168"/>
    <n v="984"/>
    <n v="3834"/>
    <n v="2328"/>
    <n v="5682"/>
    <n v="1830"/>
    <n v="3714"/>
    <n v="1158"/>
    <n v="966"/>
    <n v="1518"/>
    <n v="408"/>
    <n v="0"/>
    <n v="12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5914"/>
    <x v="13"/>
    <x v="42"/>
    <x v="7"/>
    <n v="1764"/>
    <n v="2220"/>
    <n v="6968"/>
    <n v="3202"/>
    <n v="2970"/>
    <n v="2244"/>
    <n v="2154"/>
    <n v="1578"/>
    <n v="3342"/>
    <n v="1752"/>
    <n v="4230"/>
    <n v="3858"/>
    <n v="2466"/>
    <n v="3918"/>
    <n v="1470"/>
    <n v="1440"/>
    <n v="3594"/>
    <n v="2226"/>
    <n v="2694"/>
    <n v="876"/>
    <n v="2658"/>
    <n v="348"/>
    <n v="1884"/>
    <n v="2142"/>
    <n v="1722"/>
    <n v="1968"/>
    <n v="2586"/>
    <n v="2340"/>
    <n v="1764"/>
    <n v="3060"/>
    <n v="564"/>
    <n v="1872"/>
    <n v="2052"/>
    <n v="2190"/>
    <n v="732"/>
    <n v="2664"/>
    <n v="1632"/>
    <n v="2700"/>
    <n v="821"/>
    <n v="2094"/>
    <n v="1896"/>
    <n v="1968"/>
  </r>
  <r>
    <s v="L'Oreal"/>
    <x v="1"/>
    <x v="1"/>
    <x v="0"/>
    <x v="1"/>
    <n v="7509552845938"/>
    <x v="13"/>
    <x v="43"/>
    <x v="5"/>
    <n v="1644"/>
    <n v="1068"/>
    <n v="1548"/>
    <n v="222"/>
    <n v="252"/>
    <n v="468"/>
    <n v="492"/>
    <n v="690"/>
    <n v="930"/>
    <n v="288"/>
    <n v="1308"/>
    <n v="1932"/>
    <n v="888"/>
    <n v="606"/>
    <n v="498"/>
    <n v="330"/>
    <n v="492"/>
    <n v="432"/>
    <n v="186"/>
    <n v="648"/>
    <n v="1482"/>
    <n v="66"/>
    <n v="174"/>
    <n v="492"/>
    <n v="480"/>
    <n v="0"/>
    <n v="354"/>
    <n v="750"/>
    <n v="156"/>
    <n v="294"/>
    <n v="318"/>
    <n v="366"/>
    <n v="132"/>
    <n v="432"/>
    <n v="378"/>
    <n v="498"/>
    <n v="588"/>
    <n v="492"/>
    <n v="516"/>
    <n v="288"/>
    <n v="288"/>
    <n v="126"/>
  </r>
  <r>
    <s v="L'Oreal"/>
    <x v="1"/>
    <x v="1"/>
    <x v="0"/>
    <x v="1"/>
    <n v="7509552847499"/>
    <x v="3"/>
    <x v="44"/>
    <x v="7"/>
    <n v="24"/>
    <n v="2154"/>
    <n v="4304"/>
    <n v="2202"/>
    <n v="1710"/>
    <n v="1806"/>
    <n v="2016"/>
    <n v="1644"/>
    <n v="2892"/>
    <n v="948"/>
    <n v="2010"/>
    <n v="2334"/>
    <n v="1836"/>
    <n v="1812"/>
    <n v="1962"/>
    <n v="2454"/>
    <n v="792"/>
    <n v="1578"/>
    <n v="3042"/>
    <n v="738"/>
    <n v="2418"/>
    <n v="414"/>
    <n v="990"/>
    <n v="744"/>
    <n v="1614"/>
    <n v="774"/>
    <n v="1290"/>
    <n v="1488"/>
    <n v="918"/>
    <n v="1284"/>
    <n v="852"/>
    <n v="1686"/>
    <n v="468"/>
    <n v="936"/>
    <n v="864"/>
    <n v="792"/>
    <n v="1686"/>
    <n v="990"/>
    <n v="2934"/>
    <n v="978"/>
    <n v="1182"/>
    <n v="1662"/>
  </r>
  <r>
    <s v="L'Oreal"/>
    <x v="1"/>
    <x v="1"/>
    <x v="0"/>
    <x v="1"/>
    <n v="7509552847505"/>
    <x v="6"/>
    <x v="45"/>
    <x v="7"/>
    <n v="0"/>
    <n v="12"/>
    <n v="192"/>
    <n v="264"/>
    <n v="60"/>
    <n v="168"/>
    <n v="180"/>
    <n v="192"/>
    <n v="156"/>
    <n v="264"/>
    <n v="408"/>
    <n v="240"/>
    <n v="84"/>
    <n v="24"/>
    <n v="108"/>
    <n v="252"/>
    <n v="144"/>
    <n v="132"/>
    <n v="168"/>
    <n v="48"/>
    <n v="120"/>
    <n v="12"/>
    <n v="312"/>
    <n v="96"/>
    <n v="12"/>
    <n v="0"/>
    <n v="0"/>
    <n v="276"/>
    <n v="36"/>
    <n v="60"/>
    <n v="0"/>
    <n v="0"/>
    <n v="0"/>
    <n v="408"/>
    <n v="432"/>
    <n v="96"/>
    <n v="276"/>
    <n v="192"/>
    <n v="288"/>
    <n v="252"/>
    <n v="108"/>
    <n v="360"/>
  </r>
  <r>
    <s v="L'Oreal"/>
    <x v="1"/>
    <x v="1"/>
    <x v="0"/>
    <x v="1"/>
    <n v="7509552847512"/>
    <x v="6"/>
    <x v="46"/>
    <x v="7"/>
    <n v="0"/>
    <n v="0"/>
    <n v="642"/>
    <n v="1236"/>
    <n v="798"/>
    <n v="108"/>
    <n v="714"/>
    <n v="480"/>
    <n v="1104"/>
    <n v="522"/>
    <n v="906"/>
    <n v="726"/>
    <n v="786"/>
    <n v="594"/>
    <n v="588"/>
    <n v="456"/>
    <n v="498"/>
    <n v="600"/>
    <n v="1086"/>
    <n v="54"/>
    <n v="390"/>
    <n v="42"/>
    <n v="306"/>
    <n v="282"/>
    <n v="444"/>
    <n v="456"/>
    <n v="216"/>
    <n v="270"/>
    <n v="90"/>
    <n v="408"/>
    <n v="72"/>
    <n v="132"/>
    <n v="48"/>
    <n v="348"/>
    <n v="432"/>
    <n v="-156"/>
    <n v="252"/>
    <n v="216"/>
    <n v="216"/>
    <n v="252"/>
    <n v="276"/>
    <n v="204"/>
  </r>
  <r>
    <s v="L'Oreal"/>
    <x v="1"/>
    <x v="1"/>
    <x v="0"/>
    <x v="1"/>
    <n v="7509552847529"/>
    <x v="14"/>
    <x v="47"/>
    <x v="7"/>
    <n v="0"/>
    <n v="48"/>
    <n v="1264"/>
    <n v="534"/>
    <n v="594"/>
    <n v="720"/>
    <n v="258"/>
    <n v="366"/>
    <n v="810"/>
    <n v="114"/>
    <n v="408"/>
    <n v="444"/>
    <n v="594"/>
    <n v="1290"/>
    <n v="888"/>
    <n v="504"/>
    <n v="156"/>
    <n v="276"/>
    <n v="900"/>
    <n v="102"/>
    <n v="318"/>
    <n v="162"/>
    <n v="636"/>
    <n v="228"/>
    <n v="510"/>
    <n v="840"/>
    <n v="162"/>
    <n v="828"/>
    <n v="72"/>
    <n v="1008"/>
    <n v="78"/>
    <n v="156"/>
    <n v="60"/>
    <n v="348"/>
    <n v="288"/>
    <n v="-228"/>
    <n v="0"/>
    <n v="0"/>
    <n v="0"/>
    <n v="0"/>
    <n v="0"/>
    <n v="0"/>
  </r>
  <r>
    <s v="L'Oreal"/>
    <x v="1"/>
    <x v="1"/>
    <x v="0"/>
    <x v="1"/>
    <n v="7509552847536"/>
    <x v="14"/>
    <x v="48"/>
    <x v="7"/>
    <n v="0"/>
    <n v="0"/>
    <n v="694"/>
    <n v="192"/>
    <n v="180"/>
    <n v="48"/>
    <n v="156"/>
    <n v="-48"/>
    <n v="24"/>
    <n v="24"/>
    <n v="84"/>
    <n v="60"/>
    <n v="84"/>
    <n v="1116"/>
    <n v="336"/>
    <n v="108"/>
    <n v="42"/>
    <n v="312"/>
    <n v="36"/>
    <n v="228"/>
    <n v="312"/>
    <n v="12"/>
    <n v="372"/>
    <n v="84"/>
    <n v="120"/>
    <n v="144"/>
    <n v="84"/>
    <n v="144"/>
    <n v="60"/>
    <n v="96"/>
    <n v="84"/>
    <n v="144"/>
    <n v="72"/>
    <n v="336"/>
    <n v="396"/>
    <n v="-156"/>
    <n v="24"/>
    <n v="0"/>
    <n v="0"/>
    <n v="0"/>
    <n v="0"/>
    <n v="0"/>
  </r>
  <r>
    <s v="L'Oreal"/>
    <x v="1"/>
    <x v="1"/>
    <x v="0"/>
    <x v="1"/>
    <n v="7509552847543"/>
    <x v="2"/>
    <x v="49"/>
    <x v="7"/>
    <n v="0"/>
    <n v="0"/>
    <n v="156"/>
    <n v="24"/>
    <n v="96"/>
    <n v="132"/>
    <n v="96"/>
    <n v="132"/>
    <n v="240"/>
    <n v="12"/>
    <n v="36"/>
    <n v="48"/>
    <n v="108"/>
    <n v="72"/>
    <n v="48"/>
    <n v="132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7550"/>
    <x v="8"/>
    <x v="50"/>
    <x v="7"/>
    <n v="36"/>
    <n v="1062"/>
    <n v="1140"/>
    <n v="696"/>
    <n v="696"/>
    <n v="864"/>
    <n v="540"/>
    <n v="276"/>
    <n v="1104"/>
    <n v="120"/>
    <n v="174"/>
    <n v="192"/>
    <n v="540"/>
    <n v="450"/>
    <n v="660"/>
    <n v="420"/>
    <n v="144"/>
    <n v="264"/>
    <n v="822"/>
    <n v="228"/>
    <n v="330"/>
    <n v="198"/>
    <n v="102"/>
    <n v="48"/>
    <n v="36"/>
    <n v="24"/>
    <n v="12"/>
    <n v="48"/>
    <n v="60"/>
    <n v="48"/>
    <n v="48"/>
    <n v="60"/>
    <n v="0"/>
    <n v="24"/>
    <n v="24"/>
    <n v="36"/>
    <n v="0"/>
    <n v="0"/>
    <n v="0"/>
    <n v="0"/>
    <n v="0"/>
    <n v="0"/>
  </r>
  <r>
    <s v="L'Oreal"/>
    <x v="1"/>
    <x v="1"/>
    <x v="0"/>
    <x v="1"/>
    <n v="7509552847574"/>
    <x v="8"/>
    <x v="51"/>
    <x v="7"/>
    <n v="0"/>
    <n v="12"/>
    <n v="144"/>
    <n v="144"/>
    <n v="24"/>
    <n v="84"/>
    <n v="12"/>
    <n v="36"/>
    <n v="168"/>
    <n v="12"/>
    <n v="72"/>
    <n v="48"/>
    <n v="168"/>
    <n v="48"/>
    <n v="48"/>
    <n v="108"/>
    <n v="12"/>
    <n v="72"/>
    <n v="12"/>
    <n v="84"/>
    <n v="84"/>
    <n v="0"/>
    <n v="36"/>
    <n v="36"/>
    <n v="36"/>
    <n v="48"/>
    <n v="24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7581"/>
    <x v="10"/>
    <x v="52"/>
    <x v="7"/>
    <n v="0"/>
    <n v="12"/>
    <n v="420"/>
    <n v="444"/>
    <n v="456"/>
    <n v="510"/>
    <n v="456"/>
    <n v="174"/>
    <n v="762"/>
    <n v="54"/>
    <n v="528"/>
    <n v="372"/>
    <n v="378"/>
    <n v="198"/>
    <n v="336"/>
    <n v="462"/>
    <n v="96"/>
    <n v="444"/>
    <n v="618"/>
    <n v="42"/>
    <n v="216"/>
    <n v="0"/>
    <n v="138"/>
    <n v="132"/>
    <n v="204"/>
    <n v="156"/>
    <n v="120"/>
    <n v="168"/>
    <n v="24"/>
    <n v="12"/>
    <n v="48"/>
    <n v="84"/>
    <n v="24"/>
    <n v="60"/>
    <n v="36"/>
    <n v="0"/>
    <n v="0"/>
    <n v="0"/>
    <n v="0"/>
    <n v="0"/>
    <n v="0"/>
    <n v="0"/>
  </r>
  <r>
    <s v="L'Oreal"/>
    <x v="1"/>
    <x v="1"/>
    <x v="0"/>
    <x v="1"/>
    <n v="7509552847598"/>
    <x v="12"/>
    <x v="53"/>
    <x v="7"/>
    <n v="0"/>
    <n v="618"/>
    <n v="1870"/>
    <n v="1104"/>
    <n v="750"/>
    <n v="1338"/>
    <n v="432"/>
    <n v="294"/>
    <n v="972"/>
    <n v="240"/>
    <n v="768"/>
    <n v="678"/>
    <n v="606"/>
    <n v="444"/>
    <n v="672"/>
    <n v="900"/>
    <n v="180"/>
    <n v="438"/>
    <n v="774"/>
    <n v="288"/>
    <n v="258"/>
    <n v="12"/>
    <n v="276"/>
    <n v="108"/>
    <n v="84"/>
    <n v="108"/>
    <n v="72"/>
    <n v="132"/>
    <n v="12"/>
    <n v="72"/>
    <n v="96"/>
    <n v="156"/>
    <n v="60"/>
    <n v="96"/>
    <n v="132"/>
    <n v="108"/>
    <n v="0"/>
    <n v="0"/>
    <n v="0"/>
    <n v="0"/>
    <n v="0"/>
    <n v="0"/>
  </r>
  <r>
    <s v="L'Oreal"/>
    <x v="1"/>
    <x v="1"/>
    <x v="0"/>
    <x v="1"/>
    <n v="7509552847949"/>
    <x v="13"/>
    <x v="54"/>
    <x v="5"/>
    <n v="2502"/>
    <n v="2016"/>
    <n v="2172"/>
    <n v="516"/>
    <n v="498"/>
    <n v="1350"/>
    <n v="888"/>
    <n v="1554"/>
    <n v="1296"/>
    <n v="798"/>
    <n v="1818"/>
    <n v="1902"/>
    <n v="738"/>
    <n v="768"/>
    <n v="1716"/>
    <n v="708"/>
    <n v="1188"/>
    <n v="690"/>
    <n v="468"/>
    <n v="864"/>
    <n v="1566"/>
    <n v="78"/>
    <n v="228"/>
    <n v="798"/>
    <n v="930"/>
    <n v="580"/>
    <n v="54"/>
    <n v="1590"/>
    <n v="234"/>
    <n v="1104"/>
    <n v="936"/>
    <n v="1008"/>
    <n v="516"/>
    <n v="714"/>
    <n v="1218"/>
    <n v="1050"/>
    <n v="288"/>
    <n v="-6"/>
    <n v="1284"/>
    <n v="846"/>
    <n v="708"/>
    <n v="522"/>
  </r>
  <r>
    <s v="L'Oreal"/>
    <x v="1"/>
    <x v="1"/>
    <x v="0"/>
    <x v="1"/>
    <n v="7509552847987"/>
    <x v="4"/>
    <x v="55"/>
    <x v="7"/>
    <n v="0"/>
    <n v="1352"/>
    <n v="3610"/>
    <n v="2004"/>
    <n v="2304"/>
    <n v="2358"/>
    <n v="1476"/>
    <n v="1152"/>
    <n v="2370"/>
    <n v="996"/>
    <n v="2724"/>
    <n v="3918"/>
    <n v="1116"/>
    <n v="2712"/>
    <n v="1266"/>
    <n v="1764"/>
    <n v="816"/>
    <n v="1680"/>
    <n v="2586"/>
    <n v="822"/>
    <n v="2094"/>
    <n v="384"/>
    <n v="804"/>
    <n v="912"/>
    <n v="1368"/>
    <n v="1506"/>
    <n v="2898"/>
    <n v="306"/>
    <n v="282"/>
    <n v="960"/>
    <n v="1290"/>
    <n v="1332"/>
    <n v="900"/>
    <n v="1080"/>
    <n v="1224"/>
    <n v="306"/>
    <n v="1398"/>
    <n v="1620"/>
    <n v="2742"/>
    <n v="852"/>
    <n v="732"/>
    <n v="1476"/>
  </r>
  <r>
    <s v="L'Oreal"/>
    <x v="1"/>
    <x v="1"/>
    <x v="0"/>
    <x v="1"/>
    <n v="7509552847994"/>
    <x v="4"/>
    <x v="56"/>
    <x v="7"/>
    <n v="0"/>
    <n v="60"/>
    <n v="1044"/>
    <n v="2346"/>
    <n v="936"/>
    <n v="1680"/>
    <n v="1170"/>
    <n v="792"/>
    <n v="2040"/>
    <n v="690"/>
    <n v="1530"/>
    <n v="1266"/>
    <n v="1656"/>
    <n v="2994"/>
    <n v="1182"/>
    <n v="1068"/>
    <n v="1662"/>
    <n v="924"/>
    <n v="2034"/>
    <n v="186"/>
    <n v="1278"/>
    <n v="366"/>
    <n v="894"/>
    <n v="1008"/>
    <n v="1218"/>
    <n v="996"/>
    <n v="690"/>
    <n v="1074"/>
    <n v="756"/>
    <n v="252"/>
    <n v="756"/>
    <n v="1470"/>
    <n v="1110"/>
    <n v="360"/>
    <n v="1914"/>
    <n v="192"/>
    <n v="1152"/>
    <n v="1542"/>
    <n v="930"/>
    <n v="1104"/>
    <n v="900"/>
    <n v="906"/>
  </r>
  <r>
    <s v="L'Oreal"/>
    <x v="1"/>
    <x v="1"/>
    <x v="0"/>
    <x v="1"/>
    <n v="7509552848007"/>
    <x v="15"/>
    <x v="57"/>
    <x v="7"/>
    <n v="0"/>
    <n v="0"/>
    <n v="228"/>
    <n v="384"/>
    <n v="156"/>
    <n v="144"/>
    <n v="96"/>
    <n v="60"/>
    <n v="108"/>
    <n v="48"/>
    <n v="60"/>
    <n v="48"/>
    <n v="156"/>
    <n v="84"/>
    <n v="192"/>
    <n v="144"/>
    <n v="156"/>
    <n v="144"/>
    <n v="48"/>
    <n v="24"/>
    <n v="60"/>
    <n v="0"/>
    <n v="156"/>
    <n v="60"/>
    <n v="60"/>
    <n v="60"/>
    <n v="0"/>
    <n v="96"/>
    <n v="60"/>
    <n v="480"/>
    <n v="228"/>
    <n v="168"/>
    <n v="240"/>
    <n v="252"/>
    <n v="0"/>
    <n v="0"/>
    <n v="0"/>
    <n v="0"/>
    <n v="0"/>
    <n v="0"/>
    <n v="0"/>
    <n v="0"/>
  </r>
  <r>
    <s v="L'Oreal"/>
    <x v="1"/>
    <x v="1"/>
    <x v="0"/>
    <x v="1"/>
    <n v="7509552848014"/>
    <x v="15"/>
    <x v="58"/>
    <x v="7"/>
    <n v="0"/>
    <n v="36"/>
    <n v="156"/>
    <n v="96"/>
    <n v="228"/>
    <n v="168"/>
    <n v="240"/>
    <n v="204"/>
    <n v="324"/>
    <n v="96"/>
    <n v="324"/>
    <n v="192"/>
    <n v="180"/>
    <n v="204"/>
    <n v="324"/>
    <n v="288"/>
    <n v="228"/>
    <n v="168"/>
    <n v="96"/>
    <n v="192"/>
    <n v="264"/>
    <n v="0"/>
    <n v="348"/>
    <n v="36"/>
    <n v="96"/>
    <n v="156"/>
    <n v="144"/>
    <n v="204"/>
    <n v="60"/>
    <n v="144"/>
    <n v="108"/>
    <n v="228"/>
    <n v="72"/>
    <n v="0"/>
    <n v="216"/>
    <n v="12"/>
    <n v="36"/>
    <n v="12"/>
    <n v="156"/>
    <n v="48"/>
    <n v="72"/>
    <n v="0"/>
  </r>
  <r>
    <s v="L'Oreal"/>
    <x v="1"/>
    <x v="1"/>
    <x v="0"/>
    <x v="1"/>
    <n v="7509552848021"/>
    <x v="16"/>
    <x v="59"/>
    <x v="7"/>
    <n v="0"/>
    <n v="72"/>
    <n v="132"/>
    <n v="264"/>
    <n v="12"/>
    <n v="0"/>
    <n v="36"/>
    <n v="84"/>
    <n v="120"/>
    <n v="48"/>
    <n v="156"/>
    <n v="84"/>
    <n v="108"/>
    <n v="60"/>
    <n v="72"/>
    <n v="168"/>
    <n v="72"/>
    <n v="132"/>
    <n v="192"/>
    <n v="12"/>
    <n v="0"/>
    <n v="0"/>
    <n v="0"/>
    <n v="0"/>
    <n v="12"/>
    <n v="144"/>
    <n v="84"/>
    <n v="156"/>
    <n v="36"/>
    <n v="192"/>
    <n v="48"/>
    <n v="96"/>
    <n v="0"/>
    <n v="108"/>
    <n v="48"/>
    <n v="0"/>
    <n v="0"/>
    <n v="0"/>
    <n v="0"/>
    <n v="0"/>
    <n v="0"/>
    <n v="0"/>
  </r>
  <r>
    <s v="L'Oreal"/>
    <x v="1"/>
    <x v="1"/>
    <x v="0"/>
    <x v="1"/>
    <n v="7509552848038"/>
    <x v="16"/>
    <x v="60"/>
    <x v="7"/>
    <n v="0"/>
    <n v="132"/>
    <n v="264"/>
    <n v="168"/>
    <n v="156"/>
    <n v="180"/>
    <n v="96"/>
    <n v="108"/>
    <n v="156"/>
    <n v="36"/>
    <n v="192"/>
    <n v="132"/>
    <n v="132"/>
    <n v="108"/>
    <n v="180"/>
    <n v="204"/>
    <n v="108"/>
    <n v="144"/>
    <n v="168"/>
    <n v="48"/>
    <n v="96"/>
    <n v="24"/>
    <n v="84"/>
    <n v="96"/>
    <n v="108"/>
    <n v="72"/>
    <n v="84"/>
    <n v="132"/>
    <n v="36"/>
    <n v="60"/>
    <n v="108"/>
    <n v="108"/>
    <n v="84"/>
    <n v="0"/>
    <n v="276"/>
    <n v="0"/>
    <n v="0"/>
    <n v="0"/>
    <n v="0"/>
    <n v="0"/>
    <n v="0"/>
    <n v="0"/>
  </r>
  <r>
    <s v="L'Oreal"/>
    <x v="1"/>
    <x v="1"/>
    <x v="0"/>
    <x v="1"/>
    <n v="7509552848045"/>
    <x v="2"/>
    <x v="61"/>
    <x v="7"/>
    <n v="12"/>
    <n v="12"/>
    <n v="60"/>
    <n v="12"/>
    <n v="24"/>
    <n v="60"/>
    <n v="36"/>
    <n v="60"/>
    <n v="132"/>
    <n v="12"/>
    <n v="60"/>
    <n v="12"/>
    <n v="60"/>
    <n v="6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8052"/>
    <x v="12"/>
    <x v="62"/>
    <x v="7"/>
    <n v="0"/>
    <n v="0"/>
    <n v="778"/>
    <n v="144"/>
    <n v="108"/>
    <n v="144"/>
    <n v="72"/>
    <n v="60"/>
    <n v="120"/>
    <n v="72"/>
    <n v="300"/>
    <n v="144"/>
    <n v="12"/>
    <n v="48"/>
    <n v="144"/>
    <n v="264"/>
    <n v="96"/>
    <n v="48"/>
    <n v="168"/>
    <n v="36"/>
    <n v="132"/>
    <n v="12"/>
    <n v="0"/>
    <n v="24"/>
    <n v="48"/>
    <n v="24"/>
    <n v="12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8069"/>
    <x v="10"/>
    <x v="63"/>
    <x v="7"/>
    <n v="0"/>
    <n v="0"/>
    <n v="252"/>
    <n v="180"/>
    <n v="192"/>
    <n v="48"/>
    <n v="24"/>
    <n v="12"/>
    <n v="72"/>
    <n v="48"/>
    <n v="72"/>
    <n v="24"/>
    <n v="36"/>
    <n v="72"/>
    <n v="96"/>
    <n v="72"/>
    <n v="36"/>
    <n v="36"/>
    <n v="36"/>
    <n v="24"/>
    <n v="12"/>
    <n v="0"/>
    <n v="132"/>
    <n v="12"/>
    <n v="48"/>
    <n v="36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848076"/>
    <x v="3"/>
    <x v="64"/>
    <x v="7"/>
    <n v="0"/>
    <n v="0"/>
    <n v="1822"/>
    <n v="444"/>
    <n v="2832"/>
    <n v="1338"/>
    <n v="1260"/>
    <n v="1224"/>
    <n v="2268"/>
    <n v="528"/>
    <n v="1224"/>
    <n v="1014"/>
    <n v="1986"/>
    <n v="2466"/>
    <n v="1368"/>
    <n v="1338"/>
    <n v="1848"/>
    <n v="1014"/>
    <n v="1800"/>
    <n v="222"/>
    <n v="1416"/>
    <n v="96"/>
    <n v="1008"/>
    <n v="744"/>
    <n v="1230"/>
    <n v="1320"/>
    <n v="1266"/>
    <n v="546"/>
    <n v="708"/>
    <n v="180"/>
    <n v="612"/>
    <n v="1446"/>
    <n v="774"/>
    <n v="1848"/>
    <n v="660"/>
    <n v="1302"/>
    <n v="714"/>
    <n v="2184"/>
    <n v="498"/>
    <n v="1596"/>
    <n v="546"/>
    <n v="870"/>
  </r>
  <r>
    <s v="L'Oreal"/>
    <x v="1"/>
    <x v="1"/>
    <x v="0"/>
    <x v="1"/>
    <n v="7509552859119"/>
    <x v="6"/>
    <x v="65"/>
    <x v="5"/>
    <n v="0"/>
    <n v="0"/>
    <n v="0"/>
    <n v="0"/>
    <n v="0"/>
    <n v="0"/>
    <n v="0"/>
    <n v="0"/>
    <n v="0"/>
    <n v="0"/>
    <n v="0"/>
    <n v="0"/>
    <n v="537"/>
    <n v="180"/>
    <n v="349"/>
    <n v="216"/>
    <n v="132"/>
    <n v="90"/>
    <n v="180"/>
    <n v="228"/>
    <n v="294"/>
    <n v="24"/>
    <n v="42"/>
    <n v="138"/>
    <n v="177"/>
    <n v="177"/>
    <n v="144"/>
    <n v="138"/>
    <n v="93"/>
    <n v="183"/>
    <n v="234"/>
    <n v="195"/>
    <n v="135"/>
    <n v="334"/>
    <n v="66"/>
    <n v="0"/>
    <n v="0"/>
    <n v="54"/>
    <n v="105"/>
    <n v="198"/>
    <n v="126"/>
    <n v="120"/>
  </r>
  <r>
    <s v="L'Oreal"/>
    <x v="1"/>
    <x v="1"/>
    <x v="0"/>
    <x v="1"/>
    <n v="7509552874952"/>
    <x v="17"/>
    <x v="66"/>
    <x v="7"/>
    <n v="0"/>
    <n v="0"/>
    <n v="0"/>
    <n v="0"/>
    <n v="0"/>
    <n v="0"/>
    <n v="0"/>
    <n v="0"/>
    <n v="0"/>
    <n v="0"/>
    <n v="0"/>
    <n v="0"/>
    <n v="0"/>
    <n v="0"/>
    <n v="0"/>
    <n v="3600"/>
    <n v="2856"/>
    <n v="3688"/>
    <n v="948"/>
    <n v="3894"/>
    <n v="2313"/>
    <n v="732"/>
    <n v="1452"/>
    <n v="468"/>
    <n v="720"/>
    <n v="1608"/>
    <n v="4260"/>
    <n v="228"/>
    <n v="654"/>
    <n v="828"/>
    <n v="516"/>
    <n v="2208"/>
    <n v="744"/>
    <n v="1326"/>
    <n v="1548"/>
    <n v="1740"/>
    <n v="816"/>
    <n v="1374"/>
    <n v="1596"/>
    <n v="1134"/>
    <n v="1158"/>
    <n v="1260"/>
  </r>
  <r>
    <s v="L'Oreal"/>
    <x v="1"/>
    <x v="1"/>
    <x v="0"/>
    <x v="1"/>
    <n v="7509552874983"/>
    <x v="17"/>
    <x v="67"/>
    <x v="6"/>
    <n v="0"/>
    <n v="0"/>
    <n v="0"/>
    <n v="0"/>
    <n v="0"/>
    <n v="0"/>
    <n v="0"/>
    <n v="0"/>
    <n v="0"/>
    <n v="0"/>
    <n v="0"/>
    <n v="0"/>
    <n v="0"/>
    <n v="0"/>
    <n v="0"/>
    <n v="1968"/>
    <n v="1284"/>
    <n v="1284"/>
    <n v="2506"/>
    <n v="2172"/>
    <n v="3875"/>
    <n v="594"/>
    <n v="576"/>
    <n v="1296"/>
    <n v="636"/>
    <n v="516"/>
    <n v="1332"/>
    <n v="312"/>
    <n v="84"/>
    <n v="1062"/>
    <n v="486"/>
    <n v="750"/>
    <n v="372"/>
    <n v="432"/>
    <n v="2010"/>
    <n v="1122"/>
    <n v="1110"/>
    <n v="1572"/>
    <n v="1074"/>
    <n v="990"/>
    <n v="1344"/>
    <n v="510"/>
  </r>
  <r>
    <s v="L'Oreal"/>
    <x v="1"/>
    <x v="1"/>
    <x v="0"/>
    <x v="1"/>
    <n v="7509552875010"/>
    <x v="17"/>
    <x v="68"/>
    <x v="7"/>
    <n v="0"/>
    <n v="0"/>
    <n v="0"/>
    <n v="0"/>
    <n v="0"/>
    <n v="0"/>
    <n v="0"/>
    <n v="0"/>
    <n v="0"/>
    <n v="0"/>
    <n v="0"/>
    <n v="0"/>
    <n v="0"/>
    <n v="0"/>
    <n v="0"/>
    <n v="3108"/>
    <n v="2316"/>
    <n v="2980"/>
    <n v="2878"/>
    <n v="3426"/>
    <n v="4856"/>
    <n v="762"/>
    <n v="1584"/>
    <n v="1800"/>
    <n v="768"/>
    <n v="900"/>
    <n v="1956"/>
    <n v="192"/>
    <n v="300"/>
    <n v="1326"/>
    <n v="1050"/>
    <n v="1122"/>
    <n v="372"/>
    <n v="804"/>
    <n v="2562"/>
    <n v="1638"/>
    <n v="1110"/>
    <n v="1860"/>
    <n v="1566"/>
    <n v="1182"/>
    <n v="1620"/>
    <n v="822"/>
  </r>
  <r>
    <s v="L'Oreal"/>
    <x v="1"/>
    <x v="1"/>
    <x v="0"/>
    <x v="1"/>
    <n v="7509552875409"/>
    <x v="17"/>
    <x v="69"/>
    <x v="5"/>
    <n v="0"/>
    <n v="0"/>
    <n v="0"/>
    <n v="0"/>
    <n v="0"/>
    <n v="0"/>
    <n v="0"/>
    <n v="0"/>
    <n v="0"/>
    <n v="0"/>
    <n v="0"/>
    <n v="0"/>
    <n v="0"/>
    <n v="0"/>
    <n v="0"/>
    <n v="1992"/>
    <n v="1302"/>
    <n v="1188"/>
    <n v="486"/>
    <n v="1032"/>
    <n v="1164"/>
    <n v="174"/>
    <n v="78"/>
    <n v="294"/>
    <n v="540"/>
    <n v="756"/>
    <n v="678"/>
    <n v="474"/>
    <n v="318"/>
    <n v="972"/>
    <n v="834"/>
    <n v="648"/>
    <n v="246"/>
    <n v="318"/>
    <n v="564"/>
    <n v="1164"/>
    <n v="438"/>
    <n v="312"/>
    <n v="858"/>
    <n v="504"/>
    <n v="732"/>
    <n v="462"/>
  </r>
  <r>
    <s v="L'Oreal"/>
    <x v="1"/>
    <x v="1"/>
    <x v="0"/>
    <x v="1"/>
    <n v="7509552876413"/>
    <x v="17"/>
    <x v="7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8"/>
    <n v="2628"/>
    <n v="744"/>
    <n v="804"/>
    <n v="864"/>
    <n v="588"/>
    <n v="636"/>
    <n v="732"/>
    <n v="732"/>
    <n v="324"/>
    <n v="600"/>
    <n v="540"/>
    <n v="684"/>
    <n v="888"/>
    <n v="492"/>
    <n v="492"/>
    <n v="468"/>
    <n v="768"/>
    <n v="576"/>
  </r>
  <r>
    <s v="L'Oreal"/>
    <x v="1"/>
    <x v="1"/>
    <x v="0"/>
    <x v="1"/>
    <n v="7509552876420"/>
    <x v="17"/>
    <x v="7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2"/>
    <n v="2616"/>
    <n v="540"/>
    <n v="2004"/>
    <n v="768"/>
    <n v="750"/>
    <n v="972"/>
    <n v="588"/>
    <n v="1512"/>
    <n v="552"/>
    <n v="846"/>
    <n v="468"/>
    <n v="1080"/>
    <n v="1104"/>
    <n v="1134"/>
    <n v="1212"/>
    <n v="498"/>
    <n v="810"/>
    <n v="840"/>
  </r>
  <r>
    <s v="L'Oreal"/>
    <x v="1"/>
    <x v="1"/>
    <x v="0"/>
    <x v="1"/>
    <n v="7509552876642"/>
    <x v="17"/>
    <x v="7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98"/>
    <n v="1260"/>
    <n v="24"/>
    <n v="36"/>
    <n v="24"/>
    <n v="24"/>
    <n v="24"/>
    <n v="30"/>
    <n v="0"/>
    <n v="0"/>
    <n v="12"/>
    <n v="30"/>
    <n v="0"/>
    <n v="12"/>
    <n v="12"/>
    <n v="6"/>
    <n v="30"/>
    <n v="36"/>
    <n v="24"/>
    <n v="6"/>
    <n v="150"/>
    <n v="0"/>
    <n v="0"/>
  </r>
  <r>
    <s v="L'Oreal"/>
    <x v="1"/>
    <x v="1"/>
    <x v="0"/>
    <x v="1"/>
    <n v="7509552889543"/>
    <x v="2"/>
    <x v="7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0"/>
    <n v="732"/>
    <n v="2364"/>
    <n v="600"/>
    <n v="300"/>
    <n v="1392"/>
    <n v="12"/>
    <n v="3204"/>
    <n v="348"/>
    <n v="132"/>
    <n v="120"/>
    <n v="396"/>
    <n v="480"/>
    <n v="444"/>
    <n v="120"/>
    <n v="492"/>
    <n v="540"/>
    <n v="600"/>
    <n v="672"/>
    <n v="516"/>
  </r>
  <r>
    <s v="L'Oreal"/>
    <x v="1"/>
    <x v="1"/>
    <x v="0"/>
    <x v="1"/>
    <n v="7509552889574"/>
    <x v="2"/>
    <x v="7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2"/>
    <n v="780"/>
    <n v="696"/>
    <n v="756"/>
    <n v="948"/>
    <n v="804"/>
    <n v="729"/>
    <n v="1812"/>
    <n v="96"/>
    <n v="84"/>
    <n v="72"/>
    <n v="372"/>
    <n v="384"/>
    <n v="312"/>
    <n v="72"/>
    <n v="408"/>
    <n v="312"/>
    <n v="372"/>
    <n v="252"/>
    <n v="228"/>
  </r>
  <r>
    <s v="L'Oreal"/>
    <x v="1"/>
    <x v="1"/>
    <x v="0"/>
    <x v="1"/>
    <n v="7509552889598"/>
    <x v="2"/>
    <x v="7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8"/>
    <n v="294"/>
    <n v="0"/>
    <n v="0"/>
    <n v="0"/>
    <n v="978"/>
    <n v="96"/>
    <n v="930"/>
    <n v="48"/>
    <n v="78"/>
    <n v="72"/>
    <n v="144"/>
    <n v="330"/>
    <n v="288"/>
    <n v="60"/>
    <n v="162"/>
    <n v="198"/>
    <n v="192"/>
    <n v="318"/>
    <n v="102"/>
  </r>
  <r>
    <s v="L'Oreal"/>
    <x v="1"/>
    <x v="1"/>
    <x v="0"/>
    <x v="1"/>
    <n v="7509552902082"/>
    <x v="2"/>
    <x v="7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8"/>
    <n v="552"/>
    <n v="414"/>
    <n v="186"/>
    <n v="222"/>
    <n v="132"/>
    <n v="78"/>
    <n v="408"/>
    <n v="60"/>
    <n v="24"/>
    <n v="0"/>
    <n v="198"/>
    <n v="144"/>
    <n v="132"/>
    <n v="18"/>
    <n v="18"/>
    <n v="48"/>
    <n v="48"/>
    <n v="126"/>
    <n v="30"/>
  </r>
  <r>
    <s v="L'Oreal"/>
    <x v="1"/>
    <x v="1"/>
    <x v="0"/>
    <x v="1"/>
    <n v="7509552902112"/>
    <x v="13"/>
    <x v="7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0"/>
    <n v="624"/>
    <n v="336"/>
    <n v="696"/>
    <n v="286"/>
    <n v="228"/>
    <n v="336"/>
    <n v="516"/>
    <n v="612"/>
    <n v="420"/>
    <n v="408"/>
    <n v="372"/>
    <n v="672"/>
    <n v="432"/>
  </r>
  <r>
    <s v="L'Oreal"/>
    <x v="1"/>
    <x v="1"/>
    <x v="0"/>
    <x v="1"/>
    <n v="7509552902341"/>
    <x v="13"/>
    <x v="7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4"/>
    <n v="540"/>
    <n v="1518"/>
    <n v="1812"/>
    <n v="612"/>
    <n v="2392"/>
    <n v="1530"/>
    <n v="840"/>
    <n v="1926"/>
    <n v="1920"/>
    <n v="2232"/>
    <n v="2028"/>
    <n v="1164"/>
    <n v="1080"/>
    <n v="1860"/>
  </r>
  <r>
    <s v="L'Oreal"/>
    <x v="1"/>
    <x v="1"/>
    <x v="0"/>
    <x v="1"/>
    <n v="7509552902396"/>
    <x v="3"/>
    <x v="79"/>
    <x v="1"/>
    <n v="3990"/>
    <n v="2334"/>
    <n v="2578"/>
    <n v="2214"/>
    <n v="1698"/>
    <n v="1626"/>
    <n v="1968"/>
    <n v="1440"/>
    <n v="2736"/>
    <n v="948"/>
    <n v="1662"/>
    <n v="2322"/>
    <n v="2088"/>
    <n v="600"/>
    <n v="1764"/>
    <n v="2334"/>
    <n v="690"/>
    <n v="1602"/>
    <n v="3102"/>
    <n v="810"/>
    <n v="2346"/>
    <n v="414"/>
    <n v="570"/>
    <n v="888"/>
    <n v="1638"/>
    <n v="630"/>
    <n v="1890"/>
    <n v="780"/>
    <n v="738"/>
    <n v="1164"/>
    <n v="732"/>
    <n v="1434"/>
    <n v="300"/>
    <n v="0"/>
    <n v="0"/>
    <n v="0"/>
    <n v="0"/>
    <n v="0"/>
    <n v="0"/>
    <n v="0"/>
    <n v="0"/>
    <n v="0"/>
  </r>
  <r>
    <s v="L'Oreal"/>
    <x v="1"/>
    <x v="1"/>
    <x v="0"/>
    <x v="1"/>
    <n v="7509552902402"/>
    <x v="15"/>
    <x v="8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48"/>
    <n v="108"/>
    <n v="108"/>
    <n v="144"/>
    <n v="108"/>
    <n v="84"/>
    <n v="120"/>
    <n v="120"/>
    <n v="168"/>
    <n v="156"/>
    <n v="96"/>
    <n v="108"/>
    <n v="84"/>
    <n v="72"/>
  </r>
  <r>
    <s v="L'Oreal"/>
    <x v="1"/>
    <x v="1"/>
    <x v="0"/>
    <x v="1"/>
    <n v="7509552902532"/>
    <x v="4"/>
    <x v="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36"/>
    <n v="106"/>
    <n v="84"/>
    <n v="528"/>
    <n v="288"/>
    <n v="636"/>
    <n v="264"/>
    <n v="336"/>
    <n v="348"/>
    <n v="468"/>
    <n v="252"/>
  </r>
  <r>
    <s v="L'Oreal"/>
    <x v="1"/>
    <x v="1"/>
    <x v="0"/>
    <x v="1"/>
    <n v="7509552902747"/>
    <x v="4"/>
    <x v="82"/>
    <x v="1"/>
    <n v="1740"/>
    <n v="1586"/>
    <n v="2974"/>
    <n v="1872"/>
    <n v="2418"/>
    <n v="2334"/>
    <n v="1476"/>
    <n v="1104"/>
    <n v="2370"/>
    <n v="984"/>
    <n v="2520"/>
    <n v="3714"/>
    <n v="1380"/>
    <n v="1020"/>
    <n v="1110"/>
    <n v="2424"/>
    <n v="690"/>
    <n v="3792"/>
    <n v="2850"/>
    <n v="954"/>
    <n v="2142"/>
    <n v="360"/>
    <n v="360"/>
    <n v="984"/>
    <n v="1548"/>
    <n v="1290"/>
    <n v="2838"/>
    <n v="162"/>
    <n v="306"/>
    <n v="1020"/>
    <n v="1338"/>
    <n v="1236"/>
    <n v="934"/>
    <n v="1032"/>
    <n v="684"/>
    <n v="0"/>
    <n v="0"/>
    <n v="0"/>
    <n v="0"/>
    <n v="0"/>
    <n v="0"/>
    <n v="0"/>
  </r>
  <r>
    <s v="L'Oreal"/>
    <x v="1"/>
    <x v="1"/>
    <x v="0"/>
    <x v="1"/>
    <n v="7509552903348"/>
    <x v="3"/>
    <x v="83"/>
    <x v="5"/>
    <n v="228"/>
    <n v="177"/>
    <n v="150"/>
    <n v="282"/>
    <n v="42"/>
    <n v="96"/>
    <n v="69"/>
    <n v="105"/>
    <n v="159"/>
    <n v="48"/>
    <n v="273"/>
    <n v="264"/>
    <n v="90"/>
    <n v="81"/>
    <n v="117"/>
    <n v="195"/>
    <n v="147"/>
    <n v="120"/>
    <n v="126"/>
    <n v="93"/>
    <n v="333"/>
    <n v="12"/>
    <n v="12"/>
    <n v="93"/>
    <n v="189"/>
    <n v="54"/>
    <n v="90"/>
    <n v="144"/>
    <n v="24"/>
    <n v="135"/>
    <n v="198"/>
    <n v="135"/>
    <n v="12"/>
    <n v="138"/>
    <n v="117"/>
    <n v="159"/>
    <n v="384"/>
    <n v="201"/>
    <n v="0"/>
    <n v="0"/>
    <n v="162"/>
    <n v="228"/>
  </r>
  <r>
    <s v="L'Oreal"/>
    <x v="1"/>
    <x v="1"/>
    <x v="0"/>
    <x v="1"/>
    <n v="7509552903362"/>
    <x v="4"/>
    <x v="84"/>
    <x v="8"/>
    <n v="306"/>
    <n v="84"/>
    <n v="326"/>
    <n v="534"/>
    <n v="195"/>
    <n v="138"/>
    <n v="245"/>
    <n v="180"/>
    <n v="285"/>
    <n v="366"/>
    <n v="510"/>
    <n v="390"/>
    <n v="253"/>
    <n v="358"/>
    <n v="131"/>
    <n v="426"/>
    <n v="250"/>
    <n v="279"/>
    <n v="186"/>
    <n v="288"/>
    <n v="418"/>
    <n v="42"/>
    <n v="120"/>
    <n v="213"/>
    <n v="351"/>
    <n v="66"/>
    <n v="210"/>
    <n v="312"/>
    <n v="111"/>
    <n v="600"/>
    <n v="92"/>
    <n v="391"/>
    <n v="264"/>
    <n v="538"/>
    <n v="478"/>
    <n v="438"/>
    <n v="348"/>
    <n v="420"/>
    <n v="312"/>
    <n v="366"/>
    <n v="375"/>
    <n v="234"/>
  </r>
  <r>
    <s v="L'Oreal"/>
    <x v="1"/>
    <x v="1"/>
    <x v="0"/>
    <x v="1"/>
    <n v="7509552903416"/>
    <x v="4"/>
    <x v="8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34"/>
    <n v="1260"/>
    <n v="2442"/>
    <n v="876"/>
    <n v="864"/>
    <n v="1512"/>
  </r>
  <r>
    <s v="L'Oreal"/>
    <x v="1"/>
    <x v="1"/>
    <x v="0"/>
    <x v="1"/>
    <n v="7509552903423"/>
    <x v="3"/>
    <x v="8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4"/>
    <n v="12"/>
    <n v="12"/>
    <n v="636"/>
    <n v="576"/>
    <n v="588"/>
    <n v="1566"/>
    <n v="810"/>
    <n v="2802"/>
    <n v="666"/>
    <n v="1086"/>
    <n v="1698"/>
  </r>
  <r>
    <s v="L'Oreal"/>
    <x v="1"/>
    <x v="1"/>
    <x v="0"/>
    <x v="1"/>
    <n v="7509552904819"/>
    <x v="18"/>
    <x v="87"/>
    <x v="9"/>
    <n v="1449"/>
    <n v="1518"/>
    <n v="1023"/>
    <n v="942"/>
    <n v="681"/>
    <n v="789"/>
    <n v="567"/>
    <n v="1044"/>
    <n v="933"/>
    <n v="831"/>
    <n v="1554"/>
    <n v="1350"/>
    <n v="1341"/>
    <n v="1587"/>
    <n v="1101"/>
    <n v="726"/>
    <n v="2166"/>
    <n v="1101"/>
    <n v="588"/>
    <n v="588"/>
    <n v="0"/>
    <n v="2508"/>
    <n v="3786"/>
    <n v="1209"/>
    <n v="2094"/>
    <n v="313"/>
    <n v="0"/>
    <n v="3033"/>
    <n v="1500"/>
    <n v="2322"/>
    <n v="2490"/>
    <n v="2097"/>
    <n v="1764"/>
    <n v="1605"/>
    <n v="2442"/>
    <n v="858"/>
    <n v="5142"/>
    <n v="322"/>
    <n v="6234"/>
    <n v="1914"/>
    <n v="2439"/>
    <n v="2712"/>
  </r>
  <r>
    <s v="L'Oreal"/>
    <x v="1"/>
    <x v="1"/>
    <x v="0"/>
    <x v="1"/>
    <n v="7509552906950"/>
    <x v="15"/>
    <x v="88"/>
    <x v="4"/>
    <n v="24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06974"/>
    <x v="15"/>
    <x v="89"/>
    <x v="4"/>
    <n v="348"/>
    <n v="192"/>
    <n v="204"/>
    <n v="120"/>
    <n v="12"/>
    <n v="12"/>
    <n v="12"/>
    <n v="0"/>
    <n v="0"/>
    <n v="0"/>
    <n v="0"/>
    <n v="12"/>
    <n v="36"/>
    <n v="0"/>
    <n v="12"/>
    <n v="0"/>
    <n v="0"/>
    <n v="0"/>
    <n v="24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06998"/>
    <x v="15"/>
    <x v="90"/>
    <x v="5"/>
    <n v="0"/>
    <n v="0"/>
    <n v="0"/>
    <n v="0"/>
    <n v="0"/>
    <n v="0"/>
    <n v="669"/>
    <n v="321"/>
    <n v="375"/>
    <n v="249"/>
    <n v="405"/>
    <n v="429"/>
    <n v="279"/>
    <n v="102"/>
    <n v="528"/>
    <n v="255"/>
    <n v="54"/>
    <n v="375"/>
    <n v="318"/>
    <n v="234"/>
    <n v="186"/>
    <n v="57"/>
    <n v="192"/>
    <n v="216"/>
    <n v="288"/>
    <n v="267"/>
    <n v="57"/>
    <n v="663"/>
    <n v="78"/>
    <n v="126"/>
    <n v="0"/>
    <n v="279"/>
    <n v="24"/>
    <n v="237"/>
    <n v="144"/>
    <n v="435"/>
    <n v="543"/>
    <n v="273"/>
    <n v="0"/>
    <n v="0"/>
    <n v="0"/>
    <n v="93"/>
  </r>
  <r>
    <s v="L'Oreal"/>
    <x v="1"/>
    <x v="1"/>
    <x v="0"/>
    <x v="1"/>
    <n v="7509552907759"/>
    <x v="3"/>
    <x v="9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2"/>
    <n v="492"/>
    <n v="288"/>
    <n v="444"/>
    <n v="372"/>
    <n v="600"/>
    <n v="456"/>
    <n v="600"/>
    <n v="684"/>
    <n v="588"/>
    <n v="696"/>
    <n v="408"/>
    <n v="612"/>
    <n v="660"/>
  </r>
  <r>
    <s v="L'Oreal"/>
    <x v="1"/>
    <x v="1"/>
    <x v="0"/>
    <x v="1"/>
    <n v="7509552908459"/>
    <x v="6"/>
    <x v="92"/>
    <x v="4"/>
    <n v="300"/>
    <n v="228"/>
    <n v="168"/>
    <n v="12"/>
    <n v="0"/>
    <n v="12"/>
    <n v="24"/>
    <n v="12"/>
    <n v="48"/>
    <n v="0"/>
    <n v="0"/>
    <n v="0"/>
    <n v="36"/>
    <n v="0"/>
    <n v="0"/>
    <n v="12"/>
    <n v="24"/>
    <n v="0"/>
    <n v="0"/>
    <n v="0"/>
    <n v="12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08497"/>
    <x v="6"/>
    <x v="93"/>
    <x v="4"/>
    <n v="1314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08527"/>
    <x v="7"/>
    <x v="94"/>
    <x v="4"/>
    <n v="2657"/>
    <n v="1248"/>
    <n v="522"/>
    <n v="240"/>
    <n v="156"/>
    <n v="0"/>
    <n v="0"/>
    <n v="12"/>
    <n v="0"/>
    <n v="0"/>
    <n v="0"/>
    <n v="36"/>
    <n v="0"/>
    <n v="0"/>
    <n v="12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08558"/>
    <x v="7"/>
    <x v="95"/>
    <x v="4"/>
    <n v="275"/>
    <n v="192"/>
    <n v="156"/>
    <n v="36"/>
    <n v="24"/>
    <n v="12"/>
    <n v="0"/>
    <n v="192"/>
    <n v="96"/>
    <n v="36"/>
    <n v="228"/>
    <n v="84"/>
    <n v="0"/>
    <n v="36"/>
    <n v="120"/>
    <n v="120"/>
    <n v="24"/>
    <n v="36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08572"/>
    <x v="7"/>
    <x v="96"/>
    <x v="5"/>
    <n v="387"/>
    <n v="399"/>
    <n v="264"/>
    <n v="594"/>
    <n v="99"/>
    <n v="141"/>
    <n v="156"/>
    <n v="237"/>
    <n v="363"/>
    <n v="138"/>
    <n v="462"/>
    <n v="429"/>
    <n v="63"/>
    <n v="174"/>
    <n v="111"/>
    <n v="0"/>
    <n v="0"/>
    <n v="387"/>
    <n v="258"/>
    <n v="249"/>
    <n v="468"/>
    <n v="24"/>
    <n v="93"/>
    <n v="216"/>
    <n v="279"/>
    <n v="228"/>
    <n v="207"/>
    <n v="228"/>
    <n v="168"/>
    <n v="282"/>
    <n v="300"/>
    <n v="273"/>
    <n v="48"/>
    <n v="417"/>
    <n v="360"/>
    <n v="534"/>
    <n v="378"/>
    <n v="450"/>
    <n v="261"/>
    <n v="456"/>
    <n v="300"/>
    <n v="309"/>
  </r>
  <r>
    <s v="L'Oreal"/>
    <x v="1"/>
    <x v="1"/>
    <x v="0"/>
    <x v="1"/>
    <n v="7509552910957"/>
    <x v="19"/>
    <x v="97"/>
    <x v="1"/>
    <n v="384"/>
    <n v="0"/>
    <n v="36"/>
    <n v="0"/>
    <n v="0"/>
    <n v="0"/>
    <n v="0"/>
    <n v="0"/>
    <n v="0"/>
    <n v="0"/>
    <n v="792"/>
    <n v="168"/>
    <n v="432"/>
    <n v="84"/>
    <n v="168"/>
    <n v="264"/>
    <n v="12"/>
    <n v="1"/>
    <n v="288"/>
    <n v="180"/>
    <n v="408"/>
    <n v="60"/>
    <n v="168"/>
    <n v="180"/>
    <n v="168"/>
    <n v="60"/>
    <n v="216"/>
    <n v="156"/>
    <n v="156"/>
    <n v="132"/>
    <n v="108"/>
    <n v="144"/>
    <n v="48"/>
    <n v="0"/>
    <n v="180"/>
    <n v="48"/>
    <n v="396"/>
    <n v="84"/>
    <n v="0"/>
    <n v="264"/>
    <n v="36"/>
    <n v="12"/>
  </r>
  <r>
    <s v="L'Oreal"/>
    <x v="1"/>
    <x v="1"/>
    <x v="0"/>
    <x v="1"/>
    <n v="7509552911411"/>
    <x v="16"/>
    <x v="98"/>
    <x v="4"/>
    <n v="108"/>
    <n v="168"/>
    <n v="120"/>
    <n v="48"/>
    <n v="12"/>
    <n v="72"/>
    <n v="-60"/>
    <n v="48"/>
    <n v="36"/>
    <n v="24"/>
    <n v="24"/>
    <n v="60"/>
    <n v="72"/>
    <n v="24"/>
    <n v="24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11473"/>
    <x v="16"/>
    <x v="99"/>
    <x v="5"/>
    <n v="393"/>
    <n v="618"/>
    <n v="327"/>
    <n v="918"/>
    <n v="171"/>
    <n v="168"/>
    <n v="189"/>
    <n v="273"/>
    <n v="540"/>
    <n v="168"/>
    <n v="636"/>
    <n v="771"/>
    <n v="222"/>
    <n v="0"/>
    <n v="183"/>
    <n v="414"/>
    <n v="255"/>
    <n v="336"/>
    <n v="288"/>
    <n v="180"/>
    <n v="858"/>
    <n v="42"/>
    <n v="207"/>
    <n v="237"/>
    <n v="378"/>
    <n v="111"/>
    <n v="0"/>
    <n v="573"/>
    <n v="72"/>
    <n v="222"/>
    <n v="0"/>
    <n v="228"/>
    <n v="108"/>
    <n v="342"/>
    <n v="255"/>
    <n v="354"/>
    <n v="339"/>
    <n v="186"/>
    <n v="180"/>
    <n v="219"/>
    <n v="252"/>
    <n v="117"/>
  </r>
  <r>
    <s v="L'Oreal"/>
    <x v="1"/>
    <x v="1"/>
    <x v="0"/>
    <x v="1"/>
    <n v="7509552912883"/>
    <x v="2"/>
    <x v="100"/>
    <x v="4"/>
    <n v="144"/>
    <n v="180"/>
    <n v="108"/>
    <n v="36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12937"/>
    <x v="2"/>
    <x v="101"/>
    <x v="4"/>
    <n v="84"/>
    <n v="132"/>
    <n v="48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13002"/>
    <x v="8"/>
    <x v="102"/>
    <x v="4"/>
    <n v="192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13057"/>
    <x v="8"/>
    <x v="103"/>
    <x v="4"/>
    <n v="624"/>
    <n v="510"/>
    <n v="180"/>
    <n v="336"/>
    <n v="120"/>
    <n v="24"/>
    <n v="84"/>
    <n v="7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509552928549"/>
    <x v="20"/>
    <x v="10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0"/>
    <n v="2504"/>
    <n v="60"/>
    <n v="757"/>
    <n v="2844"/>
    <n v="627"/>
    <n v="557"/>
    <n v="4776"/>
    <n v="214"/>
    <n v="495"/>
    <n v="651"/>
    <n v="1866"/>
    <n v="276"/>
    <n v="997"/>
    <n v="330"/>
    <n v="222"/>
  </r>
  <r>
    <s v="L'Oreal"/>
    <x v="1"/>
    <x v="1"/>
    <x v="0"/>
    <x v="1"/>
    <n v="7509552928563"/>
    <x v="20"/>
    <x v="10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8"/>
    <n v="726"/>
    <n v="498"/>
    <n v="138"/>
    <n v="2832"/>
    <n v="48"/>
    <n v="39"/>
    <n v="84"/>
    <n v="216"/>
    <n v="93"/>
    <n v="60"/>
    <n v="90"/>
    <n v="24"/>
  </r>
  <r>
    <s v="L'Oreal"/>
    <x v="1"/>
    <x v="1"/>
    <x v="0"/>
    <x v="1"/>
    <n v="7509552928594"/>
    <x v="20"/>
    <x v="106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6"/>
    <n v="3312"/>
    <n v="360"/>
    <n v="432"/>
    <n v="1746"/>
    <n v="732"/>
    <n v="2196"/>
    <n v="3684"/>
    <n v="186"/>
    <n v="1902"/>
    <n v="1542"/>
    <n v="2382"/>
    <n v="1050"/>
    <n v="1662"/>
    <n v="1374"/>
    <n v="1656"/>
  </r>
  <r>
    <s v="L'Oreal"/>
    <x v="1"/>
    <x v="1"/>
    <x v="0"/>
    <x v="1"/>
    <n v="7509552928617"/>
    <x v="20"/>
    <x v="10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0"/>
    <n v="4152"/>
    <n v="396"/>
    <n v="660"/>
    <n v="4122"/>
    <n v="600"/>
    <n v="2256"/>
    <n v="5520"/>
    <n v="474"/>
    <n v="2346"/>
    <n v="1854"/>
    <n v="3090"/>
    <n v="1890"/>
    <n v="3174"/>
    <n v="1470"/>
    <n v="1596"/>
  </r>
  <r>
    <s v="L'Oreal"/>
    <x v="1"/>
    <x v="1"/>
    <x v="0"/>
    <x v="1"/>
    <n v="7509552928624"/>
    <x v="20"/>
    <x v="10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2"/>
    <n v="1258"/>
    <n v="36"/>
    <n v="289"/>
    <n v="666"/>
    <n v="198"/>
    <n v="279"/>
    <n v="2484"/>
    <n v="37"/>
    <n v="180"/>
    <n v="222"/>
    <n v="6"/>
    <n v="150"/>
    <n v="241"/>
    <n v="174"/>
    <n v="132"/>
  </r>
  <r>
    <s v="L'Oreal"/>
    <x v="1"/>
    <x v="1"/>
    <x v="0"/>
    <x v="1"/>
    <n v="7509552928877"/>
    <x v="20"/>
    <x v="109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2"/>
    <n v="954"/>
    <n v="888"/>
    <n v="3252"/>
    <n v="462"/>
    <n v="210"/>
    <n v="168"/>
    <n v="276"/>
    <n v="84"/>
    <n v="60"/>
    <n v="144"/>
    <n v="156"/>
  </r>
  <r>
    <s v="L'Oreal"/>
    <x v="1"/>
    <x v="1"/>
    <x v="0"/>
    <x v="1"/>
    <n v="7509552930337"/>
    <x v="20"/>
    <x v="11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40"/>
    <n v="1458"/>
    <n v="2818"/>
    <n v="6228"/>
    <n v="144"/>
    <n v="336"/>
    <n v="1140"/>
    <n v="3384"/>
    <n v="1428"/>
    <n v="1272"/>
    <n v="810"/>
    <n v="1362"/>
  </r>
  <r>
    <s v="L'Oreal"/>
    <x v="1"/>
    <x v="1"/>
    <x v="0"/>
    <x v="1"/>
    <n v="7509552931143"/>
    <x v="20"/>
    <x v="11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72"/>
    <n v="3696"/>
    <n v="372"/>
    <n v="696"/>
    <n v="2940"/>
    <n v="966"/>
    <n v="2088"/>
    <n v="6816"/>
    <n v="96"/>
    <n v="516"/>
    <n v="960"/>
    <n v="3228"/>
    <n v="1872"/>
    <n v="1848"/>
    <n v="654"/>
    <n v="1278"/>
  </r>
  <r>
    <s v="L'Oreal"/>
    <x v="1"/>
    <x v="1"/>
    <x v="0"/>
    <x v="1"/>
    <n v="7509552937343"/>
    <x v="20"/>
    <x v="11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4"/>
    <n v="804"/>
    <n v="922"/>
    <n v="3048"/>
    <n v="156"/>
    <n v="180"/>
    <n v="408"/>
    <n v="252"/>
    <n v="334"/>
    <n v="840"/>
    <n v="312"/>
    <n v="276"/>
  </r>
  <r>
    <s v="L'Oreal"/>
    <x v="1"/>
    <x v="1"/>
    <x v="0"/>
    <x v="1"/>
    <n v="7509552961478"/>
    <x v="21"/>
    <x v="113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2"/>
  </r>
  <r>
    <s v="L'Oreal"/>
    <x v="1"/>
    <x v="1"/>
    <x v="0"/>
    <x v="1"/>
    <n v="7509552961485"/>
    <x v="21"/>
    <x v="11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92"/>
  </r>
  <r>
    <s v="L'Oreal"/>
    <x v="1"/>
    <x v="1"/>
    <x v="0"/>
    <x v="1"/>
    <n v="7509552961492"/>
    <x v="21"/>
    <x v="11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54"/>
  </r>
  <r>
    <s v="L'Oreal"/>
    <x v="1"/>
    <x v="1"/>
    <x v="0"/>
    <x v="1"/>
    <n v="7509552961515"/>
    <x v="21"/>
    <x v="11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24"/>
  </r>
  <r>
    <s v="L'Oreal"/>
    <x v="1"/>
    <x v="1"/>
    <x v="0"/>
    <x v="1"/>
    <n v="7509552964417"/>
    <x v="21"/>
    <x v="11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0"/>
  </r>
  <r>
    <s v="L'Oreal"/>
    <x v="1"/>
    <x v="1"/>
    <x v="0"/>
    <x v="1"/>
    <n v="7509552964554"/>
    <x v="21"/>
    <x v="11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52"/>
  </r>
  <r>
    <s v="L'Oreal"/>
    <x v="1"/>
    <x v="1"/>
    <x v="0"/>
    <x v="1"/>
    <n v="7509552970524"/>
    <x v="21"/>
    <x v="119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8"/>
  </r>
  <r>
    <s v="L'Oreal"/>
    <x v="1"/>
    <x v="1"/>
    <x v="0"/>
    <x v="1"/>
    <n v="7898587761864"/>
    <x v="4"/>
    <x v="120"/>
    <x v="1"/>
    <n v="0"/>
    <n v="24"/>
    <n v="36"/>
    <n v="0"/>
    <n v="0"/>
    <n v="0"/>
    <n v="0"/>
    <n v="0"/>
    <n v="12"/>
    <n v="48"/>
    <n v="48"/>
    <n v="60"/>
    <n v="108"/>
    <n v="72"/>
    <n v="60"/>
    <n v="0"/>
    <n v="240"/>
    <n v="48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898587761925"/>
    <x v="4"/>
    <x v="414"/>
    <x v="1"/>
    <n v="0"/>
    <n v="12"/>
    <n v="60"/>
    <n v="0"/>
    <n v="0"/>
    <n v="0"/>
    <n v="0"/>
    <n v="24"/>
    <n v="12"/>
    <n v="0"/>
    <n v="12"/>
    <n v="24"/>
    <n v="36"/>
    <n v="24"/>
    <n v="24"/>
    <n v="0"/>
    <n v="12"/>
    <n v="36"/>
    <n v="12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898587762380"/>
    <x v="22"/>
    <x v="121"/>
    <x v="1"/>
    <n v="252"/>
    <n v="240"/>
    <n v="204"/>
    <n v="204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898587762403"/>
    <x v="22"/>
    <x v="122"/>
    <x v="4"/>
    <n v="516"/>
    <n v="708"/>
    <n v="696"/>
    <n v="30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898587762892"/>
    <x v="18"/>
    <x v="123"/>
    <x v="9"/>
    <n v="0"/>
    <n v="1314"/>
    <n v="642"/>
    <n v="684"/>
    <n v="570"/>
    <n v="699"/>
    <n v="669"/>
    <n v="666"/>
    <n v="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898587772518"/>
    <x v="15"/>
    <x v="124"/>
    <x v="1"/>
    <n v="216"/>
    <n v="168"/>
    <n v="132"/>
    <n v="72"/>
    <n v="12"/>
    <n v="144"/>
    <n v="84"/>
    <n v="84"/>
    <n v="108"/>
    <n v="24"/>
    <n v="204"/>
    <n v="132"/>
    <n v="120"/>
    <n v="96"/>
    <n v="132"/>
    <n v="216"/>
    <n v="168"/>
    <n v="72"/>
    <n v="180"/>
    <n v="36"/>
    <n v="264"/>
    <n v="12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898587774925"/>
    <x v="6"/>
    <x v="125"/>
    <x v="1"/>
    <n v="144"/>
    <n v="132"/>
    <n v="84"/>
    <n v="24"/>
    <n v="36"/>
    <n v="24"/>
    <n v="36"/>
    <n v="36"/>
    <n v="48"/>
    <n v="60"/>
    <n v="48"/>
    <n v="24"/>
    <n v="108"/>
    <n v="36"/>
    <n v="48"/>
    <n v="84"/>
    <n v="12"/>
    <n v="12"/>
    <n v="36"/>
    <n v="48"/>
    <n v="156"/>
    <n v="0"/>
    <n v="48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898587775021"/>
    <x v="11"/>
    <x v="126"/>
    <x v="1"/>
    <n v="684"/>
    <n v="108"/>
    <n v="12"/>
    <n v="12"/>
    <n v="0"/>
    <n v="0"/>
    <n v="12"/>
    <n v="48"/>
    <n v="12"/>
    <n v="0"/>
    <n v="24"/>
    <n v="24"/>
    <n v="12"/>
    <n v="36"/>
    <n v="12"/>
    <n v="24"/>
    <n v="0"/>
    <n v="12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898587775120"/>
    <x v="11"/>
    <x v="127"/>
    <x v="1"/>
    <n v="192"/>
    <n v="264"/>
    <n v="264"/>
    <n v="180"/>
    <n v="144"/>
    <n v="84"/>
    <n v="108"/>
    <n v="120"/>
    <n v="168"/>
    <n v="108"/>
    <n v="156"/>
    <n v="216"/>
    <n v="228"/>
    <n v="180"/>
    <n v="132"/>
    <n v="648"/>
    <n v="3636"/>
    <n v="72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899706154185"/>
    <x v="23"/>
    <x v="128"/>
    <x v="10"/>
    <n v="333"/>
    <n v="408"/>
    <n v="225"/>
    <n v="216"/>
    <n v="231"/>
    <n v="153"/>
    <n v="171"/>
    <n v="147"/>
    <n v="267"/>
    <n v="72"/>
    <n v="3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1"/>
    <n v="7899706182812"/>
    <x v="4"/>
    <x v="129"/>
    <x v="11"/>
    <n v="0"/>
    <n v="0"/>
    <n v="0"/>
    <n v="1326"/>
    <n v="936"/>
    <n v="90"/>
    <n v="408"/>
    <n v="120"/>
    <n v="168"/>
    <n v="42"/>
    <n v="84"/>
    <n v="168"/>
    <n v="270"/>
    <n v="150"/>
    <n v="1374"/>
    <n v="54"/>
    <n v="222"/>
    <n v="276"/>
    <n v="30"/>
    <n v="48"/>
    <n v="84"/>
    <n v="30"/>
    <n v="162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2"/>
    <n v="71249341360"/>
    <x v="24"/>
    <x v="130"/>
    <x v="12"/>
    <n v="759"/>
    <n v="681"/>
    <n v="459"/>
    <n v="600"/>
    <n v="315"/>
    <n v="456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2"/>
    <n v="71249341377"/>
    <x v="24"/>
    <x v="131"/>
    <x v="12"/>
    <n v="492"/>
    <n v="504"/>
    <n v="429"/>
    <n v="447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2"/>
    <n v="71249341384"/>
    <x v="25"/>
    <x v="132"/>
    <x v="12"/>
    <n v="494"/>
    <n v="462"/>
    <n v="408"/>
    <n v="564"/>
    <n v="375"/>
    <n v="486"/>
    <n v="681"/>
    <n v="423"/>
    <n v="516"/>
    <n v="1350"/>
    <n v="753"/>
    <n v="1071"/>
    <n v="726"/>
    <n v="99"/>
    <n v="846"/>
    <n v="390"/>
    <n v="498"/>
    <n v="450"/>
    <n v="717"/>
    <n v="819"/>
    <n v="657"/>
    <n v="18"/>
    <n v="930"/>
    <n v="112"/>
    <n v="360"/>
    <n v="288"/>
    <n v="228"/>
    <n v="468"/>
    <n v="240"/>
    <n v="0"/>
    <n v="0"/>
    <n v="480"/>
    <n v="690"/>
    <n v="419"/>
    <n v="318"/>
    <n v="134"/>
    <n v="234"/>
    <n v="162"/>
    <n v="546"/>
    <n v="366"/>
    <n v="252"/>
    <n v="294"/>
  </r>
  <r>
    <s v="L'Oreal"/>
    <x v="1"/>
    <x v="1"/>
    <x v="0"/>
    <x v="2"/>
    <n v="71249341391"/>
    <x v="25"/>
    <x v="133"/>
    <x v="12"/>
    <n v="428"/>
    <n v="435"/>
    <n v="342"/>
    <n v="429"/>
    <n v="342"/>
    <n v="417"/>
    <n v="561"/>
    <n v="300"/>
    <n v="423"/>
    <n v="1308"/>
    <n v="702"/>
    <n v="750"/>
    <n v="612"/>
    <n v="99"/>
    <n v="762"/>
    <n v="282"/>
    <n v="408"/>
    <n v="336"/>
    <n v="606"/>
    <n v="678"/>
    <n v="477"/>
    <n v="30"/>
    <n v="918"/>
    <n v="52"/>
    <n v="240"/>
    <n v="258"/>
    <n v="102"/>
    <n v="546"/>
    <n v="100"/>
    <n v="234"/>
    <n v="336"/>
    <n v="144"/>
    <n v="582"/>
    <n v="380"/>
    <n v="288"/>
    <n v="206"/>
    <n v="252"/>
    <n v="231"/>
    <n v="174"/>
    <n v="264"/>
    <n v="267"/>
    <n v="276"/>
  </r>
  <r>
    <s v="L'Oreal"/>
    <x v="1"/>
    <x v="1"/>
    <x v="0"/>
    <x v="2"/>
    <n v="71249341421"/>
    <x v="24"/>
    <x v="134"/>
    <x v="12"/>
    <n v="550"/>
    <n v="201"/>
    <n v="159"/>
    <n v="180"/>
    <n v="123"/>
    <n v="732"/>
    <n v="180"/>
    <n v="168"/>
    <n v="210"/>
    <n v="876"/>
    <n v="597"/>
    <n v="736"/>
    <n v="561"/>
    <n v="42"/>
    <n v="444"/>
    <n v="126"/>
    <n v="96"/>
    <n v="186"/>
    <n v="516"/>
    <n v="654"/>
    <n v="402"/>
    <n v="36"/>
    <n v="426"/>
    <n v="222"/>
    <n v="228"/>
    <n v="210"/>
    <n v="24"/>
    <n v="192"/>
    <n v="204"/>
    <n v="150"/>
    <n v="402"/>
    <n v="342"/>
    <n v="210"/>
    <n v="612"/>
    <n v="90"/>
    <n v="132"/>
    <n v="186"/>
    <n v="66"/>
    <n v="546"/>
    <n v="153"/>
    <n v="150"/>
    <n v="120"/>
  </r>
  <r>
    <s v="L'Oreal"/>
    <x v="1"/>
    <x v="1"/>
    <x v="0"/>
    <x v="2"/>
    <n v="71249341445"/>
    <x v="24"/>
    <x v="135"/>
    <x v="12"/>
    <n v="583"/>
    <n v="222"/>
    <n v="159"/>
    <n v="246"/>
    <n v="138"/>
    <n v="288"/>
    <n v="174"/>
    <n v="132"/>
    <n v="162"/>
    <n v="804"/>
    <n v="510"/>
    <n v="706"/>
    <n v="486"/>
    <n v="102"/>
    <n v="348"/>
    <n v="108"/>
    <n v="84"/>
    <n v="144"/>
    <n v="474"/>
    <n v="570"/>
    <n v="324"/>
    <n v="0"/>
    <n v="390"/>
    <n v="198"/>
    <n v="132"/>
    <n v="216"/>
    <n v="87"/>
    <n v="168"/>
    <n v="174"/>
    <n v="132"/>
    <n v="372"/>
    <n v="324"/>
    <n v="162"/>
    <n v="276"/>
    <n v="64"/>
    <n v="128"/>
    <n v="126"/>
    <n v="108"/>
    <n v="408"/>
    <n v="153"/>
    <n v="126"/>
    <n v="90"/>
  </r>
  <r>
    <s v="L'Oreal"/>
    <x v="1"/>
    <x v="1"/>
    <x v="0"/>
    <x v="2"/>
    <n v="71249395349"/>
    <x v="24"/>
    <x v="136"/>
    <x v="1"/>
    <n v="564"/>
    <n v="492"/>
    <n v="696"/>
    <n v="0"/>
    <n v="336"/>
    <n v="828"/>
    <n v="690"/>
    <n v="252"/>
    <n v="534"/>
    <n v="672"/>
    <n v="432"/>
    <n v="780"/>
    <n v="756"/>
    <n v="342"/>
    <n v="858"/>
    <n v="324"/>
    <n v="270"/>
    <n v="468"/>
    <n v="726"/>
    <n v="780"/>
    <n v="690"/>
    <n v="0"/>
    <n v="396"/>
    <n v="426"/>
    <n v="486"/>
    <n v="432"/>
    <n v="498"/>
    <n v="318"/>
    <n v="258"/>
    <n v="210"/>
    <n v="426"/>
    <n v="210"/>
    <n v="90"/>
    <n v="425"/>
    <n v="438"/>
    <n v="450"/>
    <n v="612"/>
    <n v="588"/>
    <n v="474"/>
    <n v="192"/>
    <n v="402"/>
    <n v="432"/>
  </r>
  <r>
    <s v="L'Oreal"/>
    <x v="1"/>
    <x v="1"/>
    <x v="0"/>
    <x v="2"/>
    <n v="71249395363"/>
    <x v="24"/>
    <x v="137"/>
    <x v="1"/>
    <n v="462"/>
    <n v="432"/>
    <n v="378"/>
    <n v="468"/>
    <n v="210"/>
    <n v="528"/>
    <n v="462"/>
    <n v="222"/>
    <n v="360"/>
    <n v="636"/>
    <n v="324"/>
    <n v="738"/>
    <n v="684"/>
    <n v="240"/>
    <n v="630"/>
    <n v="216"/>
    <n v="144"/>
    <n v="300"/>
    <n v="618"/>
    <n v="648"/>
    <n v="348"/>
    <n v="24"/>
    <n v="378"/>
    <n v="264"/>
    <n v="336"/>
    <n v="306"/>
    <n v="198"/>
    <n v="162"/>
    <n v="210"/>
    <n v="48"/>
    <n v="66"/>
    <n v="54"/>
    <n v="90"/>
    <n v="-18"/>
    <n v="102"/>
    <n v="0"/>
    <n v="150"/>
    <n v="438"/>
    <n v="774"/>
    <n v="276"/>
    <n v="132"/>
    <n v="234"/>
  </r>
  <r>
    <s v="L'Oreal"/>
    <x v="1"/>
    <x v="1"/>
    <x v="0"/>
    <x v="2"/>
    <n v="71249406915"/>
    <x v="24"/>
    <x v="13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2"/>
    <n v="738"/>
    <n v="213"/>
    <n v="270"/>
    <n v="305"/>
    <n v="325"/>
    <n v="399"/>
    <n v="333"/>
    <n v="2196"/>
    <n v="222"/>
  </r>
  <r>
    <s v="L'Oreal"/>
    <x v="1"/>
    <x v="1"/>
    <x v="0"/>
    <x v="2"/>
    <n v="71249406922"/>
    <x v="24"/>
    <x v="13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2"/>
    <n v="696"/>
    <n v="177"/>
    <n v="252"/>
    <n v="303"/>
    <n v="251"/>
    <n v="402"/>
    <n v="319"/>
    <n v="2128"/>
    <n v="274"/>
  </r>
  <r>
    <s v="L'Oreal"/>
    <x v="1"/>
    <x v="1"/>
    <x v="0"/>
    <x v="2"/>
    <n v="71249645253"/>
    <x v="24"/>
    <x v="14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6"/>
    <n v="696"/>
    <n v="171"/>
    <n v="163"/>
    <n v="232"/>
    <n v="254"/>
    <n v="347"/>
    <n v="283"/>
    <n v="304"/>
    <n v="180"/>
  </r>
  <r>
    <s v="L'Oreal"/>
    <x v="1"/>
    <x v="1"/>
    <x v="0"/>
    <x v="2"/>
    <n v="71249645260"/>
    <x v="24"/>
    <x v="14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6"/>
    <n v="648"/>
    <n v="156"/>
    <n v="94"/>
    <n v="190"/>
    <n v="241"/>
    <n v="259"/>
    <n v="246"/>
    <n v="251"/>
    <n v="174"/>
  </r>
  <r>
    <s v="L'Oreal"/>
    <x v="1"/>
    <x v="1"/>
    <x v="0"/>
    <x v="2"/>
    <n v="71249672952"/>
    <x v="24"/>
    <x v="14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4"/>
    <n v="228"/>
    <n v="66"/>
    <n v="333"/>
    <n v="60"/>
    <n v="882"/>
    <n v="18"/>
    <n v="297"/>
    <n v="90"/>
    <n v="27"/>
  </r>
  <r>
    <s v="L'Oreal"/>
    <x v="1"/>
    <x v="1"/>
    <x v="0"/>
    <x v="3"/>
    <n v="603084082063"/>
    <x v="26"/>
    <x v="143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1146"/>
    <n v="282"/>
    <n v="1358"/>
    <n v="597"/>
    <n v="0"/>
    <n v="0"/>
    <n v="168"/>
    <n v="64"/>
    <n v="0"/>
    <n v="0"/>
    <n v="369"/>
    <n v="132"/>
    <n v="288"/>
    <n v="411"/>
    <n v="24"/>
    <n v="51"/>
    <n v="42"/>
    <n v="91"/>
    <n v="108"/>
    <n v="78"/>
    <n v="90"/>
    <n v="108"/>
    <n v="345"/>
    <n v="135"/>
    <n v="111"/>
  </r>
  <r>
    <s v="L'Oreal"/>
    <x v="1"/>
    <x v="1"/>
    <x v="0"/>
    <x v="3"/>
    <n v="3600542440622"/>
    <x v="27"/>
    <x v="144"/>
    <x v="14"/>
    <n v="0"/>
    <n v="0"/>
    <n v="0"/>
    <n v="0"/>
    <n v="768"/>
    <n v="276"/>
    <n v="864"/>
    <n v="72"/>
    <n v="0"/>
    <n v="0"/>
    <n v="24"/>
    <n v="0"/>
    <n v="12"/>
    <n v="12"/>
    <n v="12"/>
    <n v="12"/>
    <n v="36"/>
    <n v="12"/>
    <n v="0"/>
    <n v="0"/>
    <n v="0"/>
    <n v="0"/>
    <n v="12"/>
    <n v="24"/>
    <n v="12"/>
    <n v="36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3600542441162"/>
    <x v="27"/>
    <x v="145"/>
    <x v="14"/>
    <n v="0"/>
    <n v="0"/>
    <n v="0"/>
    <n v="0"/>
    <n v="768"/>
    <n v="348"/>
    <n v="876"/>
    <n v="180"/>
    <n v="0"/>
    <n v="12"/>
    <n v="24"/>
    <n v="12"/>
    <n v="12"/>
    <n v="24"/>
    <n v="12"/>
    <n v="0"/>
    <n v="48"/>
    <n v="0"/>
    <n v="0"/>
    <n v="0"/>
    <n v="0"/>
    <n v="0"/>
    <n v="12"/>
    <n v="12"/>
    <n v="12"/>
    <n v="24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3600542442497"/>
    <x v="27"/>
    <x v="146"/>
    <x v="14"/>
    <n v="0"/>
    <n v="0"/>
    <n v="0"/>
    <n v="0"/>
    <n v="768"/>
    <n v="288"/>
    <n v="864"/>
    <n v="180"/>
    <n v="0"/>
    <n v="12"/>
    <n v="24"/>
    <n v="10"/>
    <n v="12"/>
    <n v="0"/>
    <n v="0"/>
    <n v="0"/>
    <n v="36"/>
    <n v="12"/>
    <n v="12"/>
    <n v="0"/>
    <n v="0"/>
    <n v="0"/>
    <n v="24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3600542449298"/>
    <x v="27"/>
    <x v="147"/>
    <x v="14"/>
    <n v="0"/>
    <n v="0"/>
    <n v="0"/>
    <n v="0"/>
    <n v="768"/>
    <n v="300"/>
    <n v="840"/>
    <n v="60"/>
    <n v="0"/>
    <n v="0"/>
    <n v="12"/>
    <n v="0"/>
    <n v="12"/>
    <n v="12"/>
    <n v="24"/>
    <n v="0"/>
    <n v="24"/>
    <n v="0"/>
    <n v="0"/>
    <n v="0"/>
    <n v="0"/>
    <n v="0"/>
    <n v="0"/>
    <n v="12"/>
    <n v="12"/>
    <n v="12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792287"/>
    <x v="27"/>
    <x v="148"/>
    <x v="5"/>
    <n v="0"/>
    <n v="0"/>
    <n v="0"/>
    <n v="0"/>
    <n v="0"/>
    <n v="0"/>
    <n v="0"/>
    <n v="0"/>
    <n v="0"/>
    <n v="0"/>
    <n v="0"/>
    <n v="0"/>
    <n v="456"/>
    <n v="1032"/>
    <n v="216"/>
    <n v="216"/>
    <n v="168"/>
    <n v="300"/>
    <n v="156"/>
    <n v="180"/>
    <n v="636"/>
    <n v="252"/>
    <n v="60"/>
    <n v="240"/>
    <n v="276"/>
    <n v="204"/>
    <n v="120"/>
    <n v="192"/>
    <n v="204"/>
    <n v="204"/>
    <n v="192"/>
    <n v="240"/>
    <n v="204"/>
    <n v="204"/>
    <n v="216"/>
    <n v="96"/>
    <n v="324"/>
    <n v="324"/>
    <n v="204"/>
    <n v="300"/>
    <n v="0"/>
    <n v="276"/>
  </r>
  <r>
    <s v="L'Oreal"/>
    <x v="1"/>
    <x v="1"/>
    <x v="0"/>
    <x v="3"/>
    <n v="7509552792294"/>
    <x v="27"/>
    <x v="149"/>
    <x v="5"/>
    <n v="0"/>
    <n v="0"/>
    <n v="0"/>
    <n v="0"/>
    <n v="0"/>
    <n v="0"/>
    <n v="0"/>
    <n v="0"/>
    <n v="0"/>
    <n v="0"/>
    <n v="0"/>
    <n v="0"/>
    <n v="420"/>
    <n v="804"/>
    <n v="324"/>
    <n v="228"/>
    <n v="120"/>
    <n v="240"/>
    <n v="84"/>
    <n v="180"/>
    <n v="504"/>
    <n v="228"/>
    <n v="84"/>
    <n v="216"/>
    <n v="204"/>
    <n v="180"/>
    <n v="204"/>
    <n v="108"/>
    <n v="168"/>
    <n v="144"/>
    <n v="180"/>
    <n v="240"/>
    <n v="132"/>
    <n v="120"/>
    <n v="96"/>
    <n v="72"/>
    <n v="84"/>
    <n v="144"/>
    <n v="48"/>
    <n v="0"/>
    <n v="0"/>
    <n v="0"/>
  </r>
  <r>
    <s v="L'Oreal"/>
    <x v="1"/>
    <x v="1"/>
    <x v="0"/>
    <x v="3"/>
    <n v="7509552792317"/>
    <x v="27"/>
    <x v="150"/>
    <x v="5"/>
    <n v="0"/>
    <n v="0"/>
    <n v="0"/>
    <n v="0"/>
    <n v="0"/>
    <n v="0"/>
    <n v="0"/>
    <n v="0"/>
    <n v="0"/>
    <n v="0"/>
    <n v="0"/>
    <n v="0"/>
    <n v="588"/>
    <n v="1176"/>
    <n v="264"/>
    <n v="168"/>
    <n v="108"/>
    <n v="384"/>
    <n v="204"/>
    <n v="336"/>
    <n v="492"/>
    <n v="0"/>
    <n v="84"/>
    <n v="180"/>
    <n v="192"/>
    <n v="192"/>
    <n v="192"/>
    <n v="240"/>
    <n v="168"/>
    <n v="192"/>
    <n v="228"/>
    <n v="156"/>
    <n v="180"/>
    <n v="84"/>
    <n v="396"/>
    <n v="-132"/>
    <n v="144"/>
    <n v="0"/>
    <n v="0"/>
    <n v="0"/>
    <n v="0"/>
    <n v="1980"/>
  </r>
  <r>
    <s v="L'Oreal"/>
    <x v="1"/>
    <x v="1"/>
    <x v="0"/>
    <x v="3"/>
    <n v="7509552795608"/>
    <x v="28"/>
    <x v="151"/>
    <x v="5"/>
    <n v="0"/>
    <n v="0"/>
    <n v="0"/>
    <n v="0"/>
    <n v="1072"/>
    <n v="368"/>
    <n v="126"/>
    <n v="108"/>
    <n v="120"/>
    <n v="66"/>
    <n v="150"/>
    <n v="180"/>
    <n v="249"/>
    <n v="158"/>
    <n v="239"/>
    <n v="204"/>
    <n v="114"/>
    <n v="44"/>
    <n v="120"/>
    <n v="231"/>
    <n v="408"/>
    <n v="21"/>
    <n v="99"/>
    <n v="30"/>
    <n v="72"/>
    <n v="75"/>
    <n v="36"/>
    <n v="84"/>
    <n v="18"/>
    <n v="90"/>
    <n v="96"/>
    <n v="24"/>
    <n v="12"/>
    <n v="18"/>
    <n v="96"/>
    <n v="18"/>
    <n v="120"/>
    <n v="78"/>
    <n v="36"/>
    <n v="0"/>
    <n v="90"/>
    <n v="18"/>
  </r>
  <r>
    <s v="L'Oreal"/>
    <x v="1"/>
    <x v="1"/>
    <x v="0"/>
    <x v="3"/>
    <n v="7509552795646"/>
    <x v="28"/>
    <x v="152"/>
    <x v="15"/>
    <n v="0"/>
    <n v="0"/>
    <n v="0"/>
    <n v="0"/>
    <n v="1066"/>
    <n v="455"/>
    <n v="132"/>
    <n v="164"/>
    <n v="192"/>
    <n v="43"/>
    <n v="164"/>
    <n v="126"/>
    <n v="150"/>
    <n v="120"/>
    <n v="236"/>
    <n v="132"/>
    <n v="66"/>
    <n v="216"/>
    <n v="78"/>
    <n v="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796216"/>
    <x v="27"/>
    <x v="153"/>
    <x v="8"/>
    <n v="0"/>
    <n v="0"/>
    <n v="0"/>
    <n v="0"/>
    <n v="0"/>
    <n v="0"/>
    <n v="0"/>
    <n v="0"/>
    <n v="0"/>
    <n v="0"/>
    <n v="0"/>
    <n v="0"/>
    <n v="588"/>
    <n v="1272"/>
    <n v="336"/>
    <n v="588"/>
    <n v="372"/>
    <n v="624"/>
    <n v="312"/>
    <n v="510"/>
    <n v="900"/>
    <n v="6"/>
    <n v="228"/>
    <n v="294"/>
    <n v="342"/>
    <n v="246"/>
    <n v="282"/>
    <n v="318"/>
    <n v="204"/>
    <n v="636"/>
    <n v="714"/>
    <n v="0"/>
    <n v="342"/>
    <n v="240"/>
    <n v="156"/>
    <n v="756"/>
    <n v="384"/>
    <n v="534"/>
    <n v="504"/>
    <n v="1050"/>
    <n v="102"/>
    <n v="336"/>
  </r>
  <r>
    <s v="L'Oreal"/>
    <x v="1"/>
    <x v="1"/>
    <x v="0"/>
    <x v="3"/>
    <n v="7509552798456"/>
    <x v="28"/>
    <x v="154"/>
    <x v="8"/>
    <n v="0"/>
    <n v="0"/>
    <n v="0"/>
    <n v="0"/>
    <n v="1332"/>
    <n v="480"/>
    <n v="216"/>
    <n v="228"/>
    <n v="312"/>
    <n v="228"/>
    <n v="264"/>
    <n v="240"/>
    <n v="204"/>
    <n v="192"/>
    <n v="276"/>
    <n v="216"/>
    <n v="516"/>
    <n v="276"/>
    <n v="252"/>
    <n v="96"/>
    <n v="744"/>
    <n v="24"/>
    <n v="276"/>
    <n v="168"/>
    <n v="36"/>
    <n v="48"/>
    <n v="48"/>
    <n v="300"/>
    <n v="60"/>
    <n v="468"/>
    <n v="96"/>
    <n v="204"/>
    <n v="132"/>
    <n v="108"/>
    <n v="84"/>
    <n v="48"/>
    <n v="504"/>
    <n v="192"/>
    <n v="192"/>
    <n v="348"/>
    <n v="0"/>
    <n v="36"/>
  </r>
  <r>
    <s v="L'Oreal"/>
    <x v="1"/>
    <x v="1"/>
    <x v="0"/>
    <x v="3"/>
    <n v="7509552805260"/>
    <x v="29"/>
    <x v="155"/>
    <x v="1"/>
    <n v="36"/>
    <n v="84"/>
    <n v="84"/>
    <n v="48"/>
    <n v="120"/>
    <n v="36"/>
    <n v="38"/>
    <n v="24"/>
    <n v="24"/>
    <n v="60"/>
    <n v="96"/>
    <n v="96"/>
    <n v="156"/>
    <n v="48"/>
    <n v="144"/>
    <n v="168"/>
    <n v="48"/>
    <n v="108"/>
    <n v="60"/>
    <n v="60"/>
    <n v="648"/>
    <n v="24"/>
    <n v="36"/>
    <n v="0"/>
    <n v="0"/>
    <n v="20"/>
    <n v="1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05307"/>
    <x v="29"/>
    <x v="156"/>
    <x v="1"/>
    <n v="832"/>
    <n v="570"/>
    <n v="150"/>
    <n v="726"/>
    <n v="582"/>
    <n v="618"/>
    <n v="194"/>
    <n v="348"/>
    <n v="666"/>
    <n v="162"/>
    <n v="312"/>
    <n v="588"/>
    <n v="798"/>
    <n v="198"/>
    <n v="180"/>
    <n v="300"/>
    <n v="378"/>
    <n v="426"/>
    <n v="1302"/>
    <n v="300"/>
    <n v="462"/>
    <n v="0"/>
    <n v="0"/>
    <n v="0"/>
    <n v="0"/>
    <n v="20"/>
    <n v="1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05345"/>
    <x v="30"/>
    <x v="157"/>
    <x v="1"/>
    <n v="132"/>
    <n v="144"/>
    <n v="192"/>
    <n v="144"/>
    <n v="84"/>
    <n v="36"/>
    <n v="2"/>
    <n v="24"/>
    <n v="24"/>
    <n v="36"/>
    <n v="36"/>
    <n v="24"/>
    <n v="108"/>
    <n v="24"/>
    <n v="132"/>
    <n v="72"/>
    <n v="48"/>
    <n v="60"/>
    <n v="36"/>
    <n v="72"/>
    <n v="108"/>
    <n v="0"/>
    <n v="0"/>
    <n v="0"/>
    <n v="0"/>
    <n v="20"/>
    <n v="1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05383"/>
    <x v="30"/>
    <x v="158"/>
    <x v="1"/>
    <n v="750"/>
    <n v="702"/>
    <n v="672"/>
    <n v="810"/>
    <n v="510"/>
    <n v="552"/>
    <n v="164"/>
    <n v="234"/>
    <n v="588"/>
    <n v="90"/>
    <n v="192"/>
    <n v="456"/>
    <n v="714"/>
    <n v="240"/>
    <n v="474"/>
    <n v="546"/>
    <n v="258"/>
    <n v="150"/>
    <n v="1290"/>
    <n v="6"/>
    <n v="0"/>
    <n v="0"/>
    <n v="0"/>
    <n v="0"/>
    <n v="0"/>
    <n v="20"/>
    <n v="1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16242"/>
    <x v="31"/>
    <x v="159"/>
    <x v="8"/>
    <n v="858"/>
    <n v="1332"/>
    <n v="834"/>
    <n v="1266"/>
    <n v="438"/>
    <n v="1020"/>
    <n v="252"/>
    <n v="504"/>
    <n v="798"/>
    <n v="234"/>
    <n v="492"/>
    <n v="600"/>
    <n v="570"/>
    <n v="108"/>
    <n v="792"/>
    <n v="204"/>
    <n v="48"/>
    <n v="840"/>
    <n v="36"/>
    <n v="24"/>
    <n v="276"/>
    <n v="0"/>
    <n v="36"/>
    <n v="48"/>
    <n v="48"/>
    <n v="48"/>
    <n v="120"/>
    <n v="24"/>
    <n v="72"/>
    <n v="60"/>
    <n v="528"/>
    <n v="102"/>
    <n v="96"/>
    <n v="102"/>
    <n v="246"/>
    <n v="324"/>
    <n v="228"/>
    <n v="402"/>
    <n v="618"/>
    <n v="48"/>
    <n v="240"/>
    <n v="60"/>
  </r>
  <r>
    <s v="L'Oreal"/>
    <x v="1"/>
    <x v="1"/>
    <x v="0"/>
    <x v="3"/>
    <n v="7509552816266"/>
    <x v="31"/>
    <x v="160"/>
    <x v="16"/>
    <n v="236"/>
    <n v="0"/>
    <n v="0"/>
    <n v="312"/>
    <n v="108"/>
    <n v="24"/>
    <n v="12"/>
    <n v="24"/>
    <n v="12"/>
    <n v="12"/>
    <n v="8"/>
    <n v="0"/>
    <n v="24"/>
    <n v="96"/>
    <n v="24"/>
    <n v="96"/>
    <n v="72"/>
    <n v="12"/>
    <n v="36"/>
    <n v="60"/>
    <n v="192"/>
    <n v="0"/>
    <n v="24"/>
    <n v="24"/>
    <n v="12"/>
    <n v="192"/>
    <n v="12"/>
    <n v="0"/>
    <n v="102"/>
    <n v="0"/>
    <n v="0"/>
    <n v="0"/>
    <n v="0"/>
    <n v="0"/>
    <n v="24"/>
    <n v="36"/>
    <n v="120"/>
    <n v="0"/>
    <n v="0"/>
    <n v="0"/>
    <n v="36"/>
    <n v="84"/>
  </r>
  <r>
    <s v="L'Oreal"/>
    <x v="1"/>
    <x v="1"/>
    <x v="0"/>
    <x v="3"/>
    <n v="7509552816273"/>
    <x v="31"/>
    <x v="161"/>
    <x v="8"/>
    <n v="108"/>
    <n v="204"/>
    <n v="96"/>
    <n v="48"/>
    <n v="36"/>
    <n v="72"/>
    <n v="48"/>
    <n v="12"/>
    <n v="72"/>
    <n v="36"/>
    <n v="60"/>
    <n v="60"/>
    <n v="144"/>
    <n v="108"/>
    <n v="36"/>
    <n v="120"/>
    <n v="72"/>
    <n v="72"/>
    <n v="36"/>
    <n v="48"/>
    <n v="240"/>
    <n v="48"/>
    <n v="36"/>
    <n v="60"/>
    <n v="72"/>
    <n v="72"/>
    <n v="12"/>
    <n v="36"/>
    <n v="126"/>
    <n v="36"/>
    <n v="12"/>
    <n v="12"/>
    <n v="36"/>
    <n v="48"/>
    <n v="24"/>
    <n v="0"/>
    <n v="264"/>
    <n v="132"/>
    <n v="12"/>
    <n v="12"/>
    <n v="156"/>
    <n v="12"/>
  </r>
  <r>
    <s v="L'Oreal"/>
    <x v="1"/>
    <x v="1"/>
    <x v="0"/>
    <x v="3"/>
    <n v="7509552816297"/>
    <x v="31"/>
    <x v="162"/>
    <x v="5"/>
    <n v="303"/>
    <n v="252"/>
    <n v="150"/>
    <n v="0"/>
    <n v="384"/>
    <n v="63"/>
    <n v="120"/>
    <n v="78"/>
    <n v="108"/>
    <n v="30"/>
    <n v="84"/>
    <n v="102"/>
    <n v="327"/>
    <n v="0"/>
    <n v="312"/>
    <n v="150"/>
    <n v="66"/>
    <n v="84"/>
    <n v="30"/>
    <n v="96"/>
    <n v="96"/>
    <n v="0"/>
    <n v="0"/>
    <n v="108"/>
    <n v="114"/>
    <n v="105"/>
    <n v="78"/>
    <n v="54"/>
    <n v="36"/>
    <n v="84"/>
    <n v="75"/>
    <n v="3"/>
    <n v="15"/>
    <n v="18"/>
    <n v="72"/>
    <n v="69"/>
    <n v="84"/>
    <n v="51"/>
    <n v="102"/>
    <n v="18"/>
    <n v="0"/>
    <n v="120"/>
  </r>
  <r>
    <s v="L'Oreal"/>
    <x v="1"/>
    <x v="1"/>
    <x v="0"/>
    <x v="3"/>
    <n v="7509552823837"/>
    <x v="31"/>
    <x v="163"/>
    <x v="1"/>
    <n v="0"/>
    <n v="0"/>
    <n v="0"/>
    <n v="0"/>
    <n v="0"/>
    <n v="0"/>
    <n v="0"/>
    <n v="0"/>
    <n v="0"/>
    <n v="0"/>
    <n v="0"/>
    <n v="0"/>
    <n v="24"/>
    <n v="252"/>
    <n v="912"/>
    <n v="300"/>
    <n v="48"/>
    <n v="804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23851"/>
    <x v="32"/>
    <x v="164"/>
    <x v="1"/>
    <n v="0"/>
    <n v="0"/>
    <n v="0"/>
    <n v="0"/>
    <n v="0"/>
    <n v="0"/>
    <n v="0"/>
    <n v="0"/>
    <n v="0"/>
    <n v="0"/>
    <n v="0"/>
    <n v="0"/>
    <n v="0"/>
    <n v="60"/>
    <n v="252"/>
    <n v="0"/>
    <n v="0"/>
    <n v="0"/>
    <n v="126"/>
    <n v="156"/>
    <n v="552"/>
    <n v="24"/>
    <n v="84"/>
    <n v="36"/>
    <n v="96"/>
    <n v="12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23868"/>
    <x v="30"/>
    <x v="16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96"/>
    <n v="24"/>
    <n v="0"/>
    <n v="24"/>
    <n v="108"/>
    <n v="72"/>
    <n v="96"/>
    <n v="12"/>
    <n v="24"/>
    <n v="36"/>
    <n v="12"/>
    <n v="84"/>
    <n v="36"/>
  </r>
  <r>
    <s v="L'Oreal"/>
    <x v="1"/>
    <x v="1"/>
    <x v="0"/>
    <x v="3"/>
    <n v="7509552823899"/>
    <x v="33"/>
    <x v="166"/>
    <x v="1"/>
    <n v="0"/>
    <n v="0"/>
    <n v="0"/>
    <n v="0"/>
    <n v="0"/>
    <n v="0"/>
    <n v="0"/>
    <n v="0"/>
    <n v="0"/>
    <n v="0"/>
    <n v="0"/>
    <n v="0"/>
    <n v="0"/>
    <n v="0"/>
    <n v="0"/>
    <n v="0"/>
    <n v="30"/>
    <n v="318"/>
    <n v="10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23905"/>
    <x v="33"/>
    <x v="167"/>
    <x v="1"/>
    <n v="0"/>
    <n v="0"/>
    <n v="0"/>
    <n v="0"/>
    <n v="0"/>
    <n v="0"/>
    <n v="0"/>
    <n v="0"/>
    <n v="0"/>
    <n v="0"/>
    <n v="0"/>
    <n v="48"/>
    <n v="168"/>
    <n v="60"/>
    <n v="60"/>
    <n v="144"/>
    <n v="120"/>
    <n v="108"/>
    <n v="30"/>
    <n v="72"/>
    <n v="516"/>
    <n v="60"/>
    <n v="24"/>
    <n v="36"/>
    <n v="48"/>
    <n v="60"/>
    <n v="0"/>
    <n v="60"/>
    <n v="0"/>
    <n v="48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23912"/>
    <x v="30"/>
    <x v="16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60"/>
    <n v="24"/>
    <n v="0"/>
    <n v="198"/>
    <n v="378"/>
    <n v="84"/>
    <n v="0"/>
    <n v="0"/>
    <n v="72"/>
    <n v="96"/>
    <n v="300"/>
    <n v="384"/>
    <n v="132"/>
    <n v="426"/>
    <n v="1188"/>
    <n v="306"/>
    <n v="72"/>
    <n v="84"/>
  </r>
  <r>
    <s v="L'Oreal"/>
    <x v="1"/>
    <x v="1"/>
    <x v="0"/>
    <x v="3"/>
    <n v="7509552827002"/>
    <x v="31"/>
    <x v="169"/>
    <x v="1"/>
    <n v="300"/>
    <n v="252"/>
    <n v="264"/>
    <n v="240"/>
    <n v="108"/>
    <n v="228"/>
    <n v="120"/>
    <n v="12"/>
    <n v="84"/>
    <n v="60"/>
    <n v="60"/>
    <n v="108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27019"/>
    <x v="31"/>
    <x v="170"/>
    <x v="1"/>
    <n v="1070"/>
    <n v="1380"/>
    <n v="990"/>
    <n v="1398"/>
    <n v="522"/>
    <n v="1068"/>
    <n v="372"/>
    <n v="624"/>
    <n v="858"/>
    <n v="294"/>
    <n v="608"/>
    <n v="600"/>
    <n v="4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28030"/>
    <x v="27"/>
    <x v="171"/>
    <x v="8"/>
    <n v="426"/>
    <n v="750"/>
    <n v="396"/>
    <n v="528"/>
    <n v="84"/>
    <n v="324"/>
    <n v="186"/>
    <n v="216"/>
    <n v="540"/>
    <n v="354"/>
    <n v="492"/>
    <n v="180"/>
    <n v="708"/>
    <n v="384"/>
    <n v="798"/>
    <n v="516"/>
    <n v="312"/>
    <n v="516"/>
    <n v="384"/>
    <n v="492"/>
    <n v="492"/>
    <n v="54"/>
    <n v="222"/>
    <n v="270"/>
    <n v="228"/>
    <n v="216"/>
    <n v="120"/>
    <n v="342"/>
    <n v="192"/>
    <n v="522"/>
    <n v="684"/>
    <n v="516"/>
    <n v="204"/>
    <n v="180"/>
    <n v="186"/>
    <n v="648"/>
    <n v="384"/>
    <n v="294"/>
    <n v="318"/>
    <n v="588"/>
    <n v="126"/>
    <n v="270"/>
  </r>
  <r>
    <s v="L'Oreal"/>
    <x v="1"/>
    <x v="1"/>
    <x v="0"/>
    <x v="3"/>
    <n v="7509552828078"/>
    <x v="27"/>
    <x v="172"/>
    <x v="8"/>
    <n v="162"/>
    <n v="534"/>
    <n v="234"/>
    <n v="330"/>
    <n v="168"/>
    <n v="120"/>
    <n v="36"/>
    <n v="54"/>
    <n v="150"/>
    <n v="84"/>
    <n v="126"/>
    <n v="54"/>
    <n v="186"/>
    <n v="144"/>
    <n v="228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28962"/>
    <x v="27"/>
    <x v="173"/>
    <x v="8"/>
    <n v="462"/>
    <n v="702"/>
    <n v="414"/>
    <n v="570"/>
    <n v="330"/>
    <n v="432"/>
    <n v="282"/>
    <n v="366"/>
    <n v="624"/>
    <n v="480"/>
    <n v="798"/>
    <n v="534"/>
    <n v="972"/>
    <n v="726"/>
    <n v="891"/>
    <n v="360"/>
    <n v="360"/>
    <n v="672"/>
    <n v="270"/>
    <n v="582"/>
    <n v="702"/>
    <n v="168"/>
    <n v="324"/>
    <n v="348"/>
    <n v="468"/>
    <n v="378"/>
    <n v="438"/>
    <n v="576"/>
    <n v="564"/>
    <n v="822"/>
    <n v="762"/>
    <n v="702"/>
    <n v="582"/>
    <n v="0"/>
    <n v="1392"/>
    <n v="930"/>
    <n v="414"/>
    <n v="912"/>
    <n v="1032"/>
    <n v="1554"/>
    <n v="198"/>
    <n v="390"/>
  </r>
  <r>
    <s v="L'Oreal"/>
    <x v="1"/>
    <x v="1"/>
    <x v="0"/>
    <x v="3"/>
    <n v="7509552830507"/>
    <x v="34"/>
    <x v="174"/>
    <x v="8"/>
    <n v="1428"/>
    <n v="1194"/>
    <n v="1860"/>
    <n v="1236"/>
    <n v="1218"/>
    <n v="1080"/>
    <n v="732"/>
    <n v="948"/>
    <n v="1044"/>
    <n v="570"/>
    <n v="1146"/>
    <n v="1494"/>
    <n v="738"/>
    <n v="744"/>
    <n v="534"/>
    <n v="144"/>
    <n v="108"/>
    <n v="60"/>
    <n v="24"/>
    <n v="72"/>
    <n v="564"/>
    <n v="36"/>
    <n v="60"/>
    <n v="372"/>
    <n v="432"/>
    <n v="168"/>
    <n v="2052"/>
    <n v="336"/>
    <n v="36"/>
    <n v="12"/>
    <n v="1740"/>
    <n v="48"/>
    <n v="36"/>
    <n v="216"/>
    <n v="24"/>
    <n v="108"/>
    <n v="108"/>
    <n v="60"/>
    <n v="144"/>
    <n v="36"/>
    <n v="1116"/>
    <n v="132"/>
  </r>
  <r>
    <s v="L'Oreal"/>
    <x v="1"/>
    <x v="1"/>
    <x v="0"/>
    <x v="3"/>
    <n v="7509552830583"/>
    <x v="34"/>
    <x v="175"/>
    <x v="16"/>
    <n v="324"/>
    <n v="48"/>
    <n v="0"/>
    <n v="324"/>
    <n v="96"/>
    <n v="36"/>
    <n v="12"/>
    <n v="12"/>
    <n v="12"/>
    <n v="12"/>
    <n v="0"/>
    <n v="0"/>
    <n v="156"/>
    <n v="204"/>
    <n v="24"/>
    <n v="108"/>
    <n v="72"/>
    <n v="36"/>
    <n v="48"/>
    <n v="72"/>
    <n v="264"/>
    <n v="24"/>
    <n v="36"/>
    <n v="12"/>
    <n v="12"/>
    <n v="240"/>
    <n v="12"/>
    <n v="0"/>
    <n v="0"/>
    <n v="0"/>
    <n v="36"/>
    <n v="12"/>
    <n v="0"/>
    <n v="36"/>
    <n v="120"/>
    <n v="24"/>
    <n v="330"/>
    <n v="672"/>
    <n v="180"/>
    <n v="0"/>
    <n v="24"/>
    <n v="0"/>
  </r>
  <r>
    <s v="L'Oreal"/>
    <x v="1"/>
    <x v="1"/>
    <x v="0"/>
    <x v="3"/>
    <n v="7509552830620"/>
    <x v="34"/>
    <x v="176"/>
    <x v="8"/>
    <n v="276"/>
    <n v="360"/>
    <n v="204"/>
    <n v="204"/>
    <n v="168"/>
    <n v="192"/>
    <n v="96"/>
    <n v="36"/>
    <n v="96"/>
    <n v="72"/>
    <n v="228"/>
    <n v="456"/>
    <n v="180"/>
    <n v="84"/>
    <n v="108"/>
    <n v="156"/>
    <n v="144"/>
    <n v="72"/>
    <n v="72"/>
    <n v="48"/>
    <n v="360"/>
    <n v="24"/>
    <n v="60"/>
    <n v="48"/>
    <n v="84"/>
    <n v="60"/>
    <n v="24"/>
    <n v="48"/>
    <n v="36"/>
    <n v="12"/>
    <n v="72"/>
    <n v="72"/>
    <n v="84"/>
    <n v="168"/>
    <n v="132"/>
    <n v="84"/>
    <n v="474"/>
    <n v="720"/>
    <n v="120"/>
    <n v="12"/>
    <n v="168"/>
    <n v="48"/>
  </r>
  <r>
    <s v="L'Oreal"/>
    <x v="1"/>
    <x v="1"/>
    <x v="0"/>
    <x v="3"/>
    <n v="7509552830965"/>
    <x v="34"/>
    <x v="177"/>
    <x v="1"/>
    <n v="72"/>
    <n v="204"/>
    <n v="108"/>
    <n v="96"/>
    <n v="168"/>
    <n v="24"/>
    <n v="72"/>
    <n v="72"/>
    <n v="60"/>
    <n v="48"/>
    <n v="84"/>
    <n v="144"/>
    <n v="288"/>
    <n v="60"/>
    <n v="156"/>
    <n v="120"/>
    <n v="120"/>
    <n v="0"/>
    <n v="108"/>
    <n v="120"/>
    <n v="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31016"/>
    <x v="34"/>
    <x v="178"/>
    <x v="1"/>
    <n v="1464"/>
    <n v="1098"/>
    <n v="1656"/>
    <n v="1200"/>
    <n v="1194"/>
    <n v="1092"/>
    <n v="720"/>
    <n v="1020"/>
    <n v="1032"/>
    <n v="510"/>
    <n v="858"/>
    <n v="1014"/>
    <n v="714"/>
    <n v="696"/>
    <n v="486"/>
    <n v="0"/>
    <n v="0"/>
    <n v="0"/>
    <n v="168"/>
    <n v="180"/>
    <n v="588"/>
    <n v="48"/>
    <n v="72"/>
    <n v="84"/>
    <n v="24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41794"/>
    <x v="27"/>
    <x v="179"/>
    <x v="8"/>
    <n v="228"/>
    <n v="588"/>
    <n v="246"/>
    <n v="498"/>
    <n v="222"/>
    <n v="186"/>
    <n v="276"/>
    <n v="294"/>
    <n v="450"/>
    <n v="252"/>
    <n v="342"/>
    <n v="396"/>
    <n v="732"/>
    <n v="282"/>
    <n v="396"/>
    <n v="486"/>
    <n v="228"/>
    <n v="108"/>
    <n v="186"/>
    <n v="264"/>
    <n v="636"/>
    <n v="30"/>
    <n v="90"/>
    <n v="126"/>
    <n v="120"/>
    <n v="126"/>
    <n v="54"/>
    <n v="30"/>
    <n v="372"/>
    <n v="150"/>
    <n v="150"/>
    <n v="114"/>
    <n v="120"/>
    <n v="102"/>
    <n v="120"/>
    <n v="180"/>
    <n v="252"/>
    <n v="78"/>
    <n v="174"/>
    <n v="156"/>
    <n v="90"/>
    <n v="276"/>
  </r>
  <r>
    <s v="L'Oreal"/>
    <x v="1"/>
    <x v="1"/>
    <x v="0"/>
    <x v="3"/>
    <n v="7509552844153"/>
    <x v="27"/>
    <x v="180"/>
    <x v="5"/>
    <n v="246"/>
    <n v="324"/>
    <n v="144"/>
    <n v="396"/>
    <n v="90"/>
    <n v="36"/>
    <n v="246"/>
    <n v="156"/>
    <n v="0"/>
    <n v="12"/>
    <n v="12"/>
    <n v="30"/>
    <n v="72"/>
    <n v="120"/>
    <n v="66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44160"/>
    <x v="27"/>
    <x v="181"/>
    <x v="5"/>
    <n v="138"/>
    <n v="252"/>
    <n v="132"/>
    <n v="288"/>
    <n v="66"/>
    <n v="0"/>
    <n v="246"/>
    <n v="120"/>
    <n v="24"/>
    <n v="0"/>
    <n v="12"/>
    <n v="30"/>
    <n v="96"/>
    <n v="96"/>
    <n v="90"/>
    <n v="96"/>
    <n v="60"/>
    <n v="6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44177"/>
    <x v="27"/>
    <x v="182"/>
    <x v="5"/>
    <n v="456"/>
    <n v="444"/>
    <n v="126"/>
    <n v="396"/>
    <n v="24"/>
    <n v="120"/>
    <n v="324"/>
    <n v="180"/>
    <n v="90"/>
    <n v="48"/>
    <n v="156"/>
    <n v="102"/>
    <n v="210"/>
    <n v="174"/>
    <n v="24"/>
    <n v="6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44184"/>
    <x v="27"/>
    <x v="183"/>
    <x v="5"/>
    <n v="312"/>
    <n v="300"/>
    <n v="78"/>
    <n v="264"/>
    <n v="48"/>
    <n v="60"/>
    <n v="276"/>
    <n v="120"/>
    <n v="6"/>
    <n v="0"/>
    <n v="84"/>
    <n v="78"/>
    <n v="138"/>
    <n v="186"/>
    <n v="168"/>
    <n v="102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44191"/>
    <x v="27"/>
    <x v="184"/>
    <x v="5"/>
    <n v="276"/>
    <n v="438"/>
    <n v="120"/>
    <n v="408"/>
    <n v="48"/>
    <n v="84"/>
    <n v="348"/>
    <n v="216"/>
    <n v="60"/>
    <n v="54"/>
    <n v="114"/>
    <n v="144"/>
    <n v="150"/>
    <n v="294"/>
    <n v="216"/>
    <n v="168"/>
    <n v="270"/>
    <n v="156"/>
    <n v="96"/>
    <n v="84"/>
    <n v="528"/>
    <n v="228"/>
    <n v="48"/>
    <n v="120"/>
    <n v="156"/>
    <n v="72"/>
    <n v="0"/>
    <n v="0"/>
    <n v="228"/>
    <n v="168"/>
    <n v="96"/>
    <n v="216"/>
    <n v="132"/>
    <n v="108"/>
    <n v="132"/>
    <n v="120"/>
    <n v="204"/>
    <n v="192"/>
    <n v="180"/>
    <n v="84"/>
    <n v="300"/>
    <n v="180"/>
  </r>
  <r>
    <s v="L'Oreal"/>
    <x v="1"/>
    <x v="1"/>
    <x v="0"/>
    <x v="3"/>
    <n v="7509552844207"/>
    <x v="27"/>
    <x v="185"/>
    <x v="5"/>
    <n v="228"/>
    <n v="294"/>
    <n v="72"/>
    <n v="300"/>
    <n v="12"/>
    <n v="60"/>
    <n v="324"/>
    <n v="192"/>
    <n v="36"/>
    <n v="30"/>
    <n v="78"/>
    <n v="96"/>
    <n v="162"/>
    <n v="162"/>
    <n v="240"/>
    <n v="156"/>
    <n v="258"/>
    <n v="132"/>
    <n v="72"/>
    <n v="48"/>
    <n v="0"/>
    <n v="0"/>
    <n v="156"/>
    <n v="84"/>
    <n v="108"/>
    <n v="108"/>
    <n v="120"/>
    <n v="24"/>
    <n v="84"/>
    <n v="84"/>
    <n v="120"/>
    <n v="12"/>
    <n v="120"/>
    <n v="60"/>
    <n v="96"/>
    <n v="132"/>
    <n v="180"/>
    <n v="180"/>
    <n v="120"/>
    <n v="0"/>
    <n v="276"/>
    <n v="204"/>
  </r>
  <r>
    <s v="L'Oreal"/>
    <x v="1"/>
    <x v="1"/>
    <x v="0"/>
    <x v="3"/>
    <n v="7509552844214"/>
    <x v="27"/>
    <x v="186"/>
    <x v="5"/>
    <n v="318"/>
    <n v="474"/>
    <n v="252"/>
    <n v="438"/>
    <n v="252"/>
    <n v="156"/>
    <n v="402"/>
    <n v="216"/>
    <n v="132"/>
    <n v="96"/>
    <n v="276"/>
    <n v="210"/>
    <n v="354"/>
    <n v="288"/>
    <n v="304"/>
    <n v="180"/>
    <n v="336"/>
    <n v="450"/>
    <n v="240"/>
    <n v="480"/>
    <n v="216"/>
    <n v="0"/>
    <n v="498"/>
    <n v="0"/>
    <n v="324"/>
    <n v="72"/>
    <n v="204"/>
    <n v="228"/>
    <n v="240"/>
    <n v="204"/>
    <n v="288"/>
    <n v="360"/>
    <n v="204"/>
    <n v="240"/>
    <n v="264"/>
    <n v="276"/>
    <n v="420"/>
    <n v="312"/>
    <n v="432"/>
    <n v="168"/>
    <n v="288"/>
    <n v="348"/>
  </r>
  <r>
    <s v="L'Oreal"/>
    <x v="1"/>
    <x v="1"/>
    <x v="0"/>
    <x v="3"/>
    <n v="7509552844221"/>
    <x v="27"/>
    <x v="187"/>
    <x v="5"/>
    <n v="234"/>
    <n v="318"/>
    <n v="192"/>
    <n v="474"/>
    <n v="216"/>
    <n v="84"/>
    <n v="318"/>
    <n v="228"/>
    <n v="120"/>
    <n v="48"/>
    <n v="216"/>
    <n v="210"/>
    <n v="282"/>
    <n v="180"/>
    <n v="288"/>
    <n v="192"/>
    <n v="384"/>
    <n v="414"/>
    <n v="168"/>
    <n v="252"/>
    <n v="696"/>
    <n v="144"/>
    <n v="78"/>
    <n v="108"/>
    <n v="264"/>
    <n v="168"/>
    <n v="132"/>
    <n v="108"/>
    <n v="228"/>
    <n v="108"/>
    <n v="228"/>
    <n v="120"/>
    <n v="204"/>
    <n v="252"/>
    <n v="132"/>
    <n v="132"/>
    <n v="444"/>
    <n v="48"/>
    <n v="204"/>
    <n v="24"/>
    <n v="348"/>
    <n v="408"/>
  </r>
  <r>
    <s v="L'Oreal"/>
    <x v="1"/>
    <x v="1"/>
    <x v="0"/>
    <x v="3"/>
    <n v="7509552849509"/>
    <x v="27"/>
    <x v="188"/>
    <x v="5"/>
    <n v="180"/>
    <n v="168"/>
    <n v="204"/>
    <n v="444"/>
    <n v="84"/>
    <n v="120"/>
    <n v="144"/>
    <n v="132"/>
    <n v="204"/>
    <n v="120"/>
    <n v="168"/>
    <n v="216"/>
    <n v="228"/>
    <n v="80"/>
    <n v="84"/>
    <n v="120"/>
    <n v="144"/>
    <n v="144"/>
    <n v="48"/>
    <n v="96"/>
    <n v="72"/>
    <n v="0"/>
    <n v="0"/>
    <n v="168"/>
    <n v="132"/>
    <n v="108"/>
    <n v="48"/>
    <n v="48"/>
    <n v="144"/>
    <n v="96"/>
    <n v="60"/>
    <n v="120"/>
    <n v="84"/>
    <n v="96"/>
    <n v="96"/>
    <n v="0"/>
    <n v="0"/>
    <n v="0"/>
    <n v="0"/>
    <n v="0"/>
    <n v="0"/>
    <n v="0"/>
  </r>
  <r>
    <s v="L'Oreal"/>
    <x v="1"/>
    <x v="1"/>
    <x v="0"/>
    <x v="3"/>
    <n v="7509552849516"/>
    <x v="27"/>
    <x v="189"/>
    <x v="5"/>
    <n v="132"/>
    <n v="108"/>
    <n v="72"/>
    <n v="324"/>
    <n v="96"/>
    <n v="24"/>
    <n v="72"/>
    <n v="24"/>
    <n v="144"/>
    <n v="48"/>
    <n v="96"/>
    <n v="132"/>
    <n v="132"/>
    <n v="48"/>
    <n v="96"/>
    <n v="84"/>
    <n v="48"/>
    <n v="24"/>
    <n v="24"/>
    <n v="96"/>
    <n v="48"/>
    <n v="0"/>
    <n v="48"/>
    <n v="0"/>
    <n v="0"/>
    <n v="108"/>
    <n v="0"/>
    <n v="48"/>
    <n v="24"/>
    <n v="60"/>
    <n v="0"/>
    <n v="0"/>
    <n v="60"/>
    <n v="24"/>
    <n v="12"/>
    <n v="0"/>
    <n v="96"/>
    <n v="132"/>
    <n v="12"/>
    <n v="0"/>
    <n v="0"/>
    <n v="0"/>
  </r>
  <r>
    <s v="L'Oreal"/>
    <x v="1"/>
    <x v="1"/>
    <x v="0"/>
    <x v="3"/>
    <n v="7509552849523"/>
    <x v="27"/>
    <x v="190"/>
    <x v="8"/>
    <n v="210"/>
    <n v="402"/>
    <n v="234"/>
    <n v="240"/>
    <n v="240"/>
    <n v="240"/>
    <n v="180"/>
    <n v="150"/>
    <n v="390"/>
    <n v="270"/>
    <n v="336"/>
    <n v="270"/>
    <n v="546"/>
    <n v="180"/>
    <n v="125"/>
    <n v="318"/>
    <n v="264"/>
    <n v="132"/>
    <n v="150"/>
    <n v="354"/>
    <n v="108"/>
    <n v="0"/>
    <n v="12"/>
    <n v="72"/>
    <n v="48"/>
    <n v="84"/>
    <n v="108"/>
    <n v="72"/>
    <n v="420"/>
    <n v="114"/>
    <n v="252"/>
    <n v="174"/>
    <n v="114"/>
    <n v="264"/>
    <n v="108"/>
    <n v="0"/>
    <n v="0"/>
    <n v="0"/>
    <n v="0"/>
    <n v="0"/>
    <n v="0"/>
    <n v="0"/>
  </r>
  <r>
    <s v="L'Oreal"/>
    <x v="1"/>
    <x v="1"/>
    <x v="0"/>
    <x v="3"/>
    <n v="7509552849554"/>
    <x v="33"/>
    <x v="191"/>
    <x v="5"/>
    <n v="42"/>
    <n v="36"/>
    <n v="108"/>
    <n v="84"/>
    <n v="60"/>
    <n v="6"/>
    <n v="30"/>
    <n v="12"/>
    <n v="66"/>
    <n v="12"/>
    <n v="30"/>
    <n v="42"/>
    <n v="204"/>
    <n v="80"/>
    <n v="121"/>
    <n v="78"/>
    <n v="90"/>
    <n v="48"/>
    <n v="42"/>
    <n v="84"/>
    <n v="210"/>
    <n v="30"/>
    <n v="6"/>
    <n v="0"/>
    <n v="0"/>
    <n v="37"/>
    <n v="12"/>
    <n v="24"/>
    <n v="18"/>
    <n v="96"/>
    <n v="36"/>
    <n v="90"/>
    <n v="48"/>
    <n v="18"/>
    <n v="0"/>
    <n v="111"/>
    <n v="111"/>
    <n v="12"/>
    <n v="0"/>
    <n v="39"/>
    <n v="0"/>
    <n v="0"/>
  </r>
  <r>
    <s v="L'Oreal"/>
    <x v="1"/>
    <x v="1"/>
    <x v="0"/>
    <x v="3"/>
    <n v="7509552849561"/>
    <x v="33"/>
    <x v="192"/>
    <x v="5"/>
    <n v="294"/>
    <n v="330"/>
    <n v="255"/>
    <n v="183"/>
    <n v="348"/>
    <n v="204"/>
    <n v="204"/>
    <n v="546"/>
    <n v="294"/>
    <n v="318"/>
    <n v="378"/>
    <n v="360"/>
    <n v="432"/>
    <n v="345"/>
    <n v="330"/>
    <n v="360"/>
    <n v="192"/>
    <n v="348"/>
    <n v="0"/>
    <n v="474"/>
    <n v="747"/>
    <n v="138"/>
    <n v="288"/>
    <n v="306"/>
    <n v="309"/>
    <n v="129"/>
    <n v="0"/>
    <n v="468"/>
    <n v="222"/>
    <n v="272"/>
    <n v="156"/>
    <n v="228"/>
    <n v="327"/>
    <n v="198"/>
    <n v="66"/>
    <n v="156"/>
    <n v="690"/>
    <n v="378"/>
    <n v="180"/>
    <n v="438"/>
    <n v="467"/>
    <n v="60"/>
  </r>
  <r>
    <s v="L'Oreal"/>
    <x v="1"/>
    <x v="1"/>
    <x v="0"/>
    <x v="3"/>
    <n v="7509552849653"/>
    <x v="33"/>
    <x v="193"/>
    <x v="16"/>
    <n v="268"/>
    <n v="0"/>
    <n v="0"/>
    <n v="324"/>
    <n v="108"/>
    <n v="24"/>
    <n v="12"/>
    <n v="12"/>
    <n v="12"/>
    <n v="12"/>
    <n v="0"/>
    <n v="12"/>
    <n v="36"/>
    <n v="120"/>
    <n v="0"/>
    <n v="96"/>
    <n v="48"/>
    <n v="36"/>
    <n v="60"/>
    <n v="72"/>
    <n v="228"/>
    <n v="36"/>
    <n v="0"/>
    <n v="0"/>
    <n v="36"/>
    <n v="180"/>
    <n v="0"/>
    <n v="36"/>
    <n v="12"/>
    <n v="12"/>
    <n v="36"/>
    <n v="12"/>
    <n v="0"/>
    <n v="72"/>
    <n v="0"/>
    <n v="132"/>
    <n v="0"/>
    <n v="48"/>
    <n v="240"/>
    <n v="12"/>
    <n v="24"/>
    <n v="156"/>
  </r>
  <r>
    <s v="L'Oreal"/>
    <x v="1"/>
    <x v="1"/>
    <x v="0"/>
    <x v="3"/>
    <n v="7509552849660"/>
    <x v="33"/>
    <x v="194"/>
    <x v="8"/>
    <n v="702"/>
    <n v="1746"/>
    <n v="834"/>
    <n v="1236"/>
    <n v="1368"/>
    <n v="450"/>
    <n v="390"/>
    <n v="774"/>
    <n v="660"/>
    <n v="486"/>
    <n v="924"/>
    <n v="774"/>
    <n v="966"/>
    <n v="744"/>
    <n v="1062"/>
    <n v="642"/>
    <n v="582"/>
    <n v="462"/>
    <n v="1128"/>
    <n v="96"/>
    <n v="432"/>
    <n v="60"/>
    <n v="312"/>
    <n v="336"/>
    <n v="192"/>
    <n v="264"/>
    <n v="408"/>
    <n v="156"/>
    <n v="60"/>
    <n v="48"/>
    <n v="204"/>
    <n v="204"/>
    <n v="132"/>
    <n v="228"/>
    <n v="264"/>
    <n v="264"/>
    <n v="360"/>
    <n v="972"/>
    <n v="1260"/>
    <n v="366"/>
    <n v="1236"/>
    <n v="234"/>
  </r>
  <r>
    <s v="L'Oreal"/>
    <x v="1"/>
    <x v="1"/>
    <x v="0"/>
    <x v="3"/>
    <n v="7509552849691"/>
    <x v="33"/>
    <x v="195"/>
    <x v="1"/>
    <n v="147"/>
    <n v="138"/>
    <n v="99"/>
    <n v="77"/>
    <n v="59"/>
    <n v="72"/>
    <n v="50"/>
    <n v="1224"/>
    <n v="264"/>
    <n v="12"/>
    <n v="30"/>
    <n v="48"/>
    <n v="0"/>
    <n v="0"/>
    <n v="0"/>
    <n v="0"/>
    <n v="0"/>
    <n v="0"/>
    <n v="0"/>
    <n v="0"/>
    <n v="0"/>
    <n v="0"/>
    <n v="0"/>
    <n v="0"/>
    <n v="0"/>
    <n v="20"/>
    <n v="1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49707"/>
    <x v="33"/>
    <x v="196"/>
    <x v="1"/>
    <n v="866"/>
    <n v="1422"/>
    <n v="846"/>
    <n v="1128"/>
    <n v="1368"/>
    <n v="438"/>
    <n v="380"/>
    <n v="726"/>
    <n v="648"/>
    <n v="474"/>
    <n v="816"/>
    <n v="642"/>
    <n v="978"/>
    <n v="696"/>
    <n v="978"/>
    <n v="606"/>
    <n v="480"/>
    <n v="0"/>
    <n v="0"/>
    <n v="0"/>
    <n v="0"/>
    <n v="0"/>
    <n v="0"/>
    <n v="0"/>
    <n v="0"/>
    <n v="20"/>
    <n v="1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849714"/>
    <x v="33"/>
    <x v="197"/>
    <x v="5"/>
    <n v="144"/>
    <n v="120"/>
    <n v="120"/>
    <n v="156"/>
    <n v="168"/>
    <n v="24"/>
    <n v="48"/>
    <n v="24"/>
    <n v="72"/>
    <n v="12"/>
    <n v="72"/>
    <n v="24"/>
    <n v="204"/>
    <n v="168"/>
    <n v="84"/>
    <n v="96"/>
    <n v="72"/>
    <n v="0"/>
    <n v="36"/>
    <n v="120"/>
    <n v="228"/>
    <n v="24"/>
    <n v="36"/>
    <n v="36"/>
    <n v="36"/>
    <n v="96"/>
    <n v="72"/>
    <n v="36"/>
    <n v="24"/>
    <n v="72"/>
    <n v="36"/>
    <n v="0"/>
    <n v="0"/>
    <n v="60"/>
    <n v="96"/>
    <n v="24"/>
    <n v="84"/>
    <n v="84"/>
    <n v="0"/>
    <n v="36"/>
    <n v="0"/>
    <n v="132"/>
  </r>
  <r>
    <s v="L'Oreal"/>
    <x v="1"/>
    <x v="1"/>
    <x v="0"/>
    <x v="3"/>
    <n v="7509552849721"/>
    <x v="33"/>
    <x v="198"/>
    <x v="8"/>
    <n v="48"/>
    <n v="420"/>
    <n v="132"/>
    <n v="168"/>
    <n v="60"/>
    <n v="84"/>
    <n v="108"/>
    <n v="96"/>
    <n v="156"/>
    <n v="36"/>
    <n v="288"/>
    <n v="216"/>
    <n v="84"/>
    <n v="120"/>
    <n v="132"/>
    <n v="204"/>
    <n v="96"/>
    <n v="360"/>
    <n v="12"/>
    <n v="24"/>
    <n v="288"/>
    <n v="0"/>
    <n v="228"/>
    <n v="336"/>
    <n v="180"/>
    <n v="60"/>
    <n v="0"/>
    <n v="420"/>
    <n v="108"/>
    <n v="204"/>
    <n v="84"/>
    <n v="156"/>
    <n v="132"/>
    <n v="192"/>
    <n v="240"/>
    <n v="288"/>
    <n v="156"/>
    <n v="240"/>
    <n v="432"/>
    <n v="252"/>
    <n v="108"/>
    <n v="168"/>
  </r>
  <r>
    <s v="L'Oreal"/>
    <x v="1"/>
    <x v="1"/>
    <x v="0"/>
    <x v="3"/>
    <n v="7509552876499"/>
    <x v="35"/>
    <x v="199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1572"/>
    <n v="1188"/>
    <n v="1344"/>
    <n v="1308"/>
    <n v="84"/>
    <n v="276"/>
    <n v="468"/>
    <n v="444"/>
    <n v="396"/>
    <n v="504"/>
    <n v="336"/>
    <n v="312"/>
    <n v="696"/>
    <n v="120"/>
    <n v="408"/>
    <n v="204"/>
    <n v="384"/>
    <n v="348"/>
    <n v="420"/>
    <n v="264"/>
    <n v="432"/>
    <n v="264"/>
    <n v="420"/>
    <n v="468"/>
    <n v="192"/>
  </r>
  <r>
    <s v="L'Oreal"/>
    <x v="1"/>
    <x v="1"/>
    <x v="0"/>
    <x v="3"/>
    <n v="7509552876529"/>
    <x v="35"/>
    <x v="200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582"/>
    <n v="48"/>
    <n v="180"/>
    <n v="552"/>
    <n v="12"/>
    <n v="24"/>
    <n v="60"/>
    <n v="144"/>
    <n v="276"/>
    <n v="0"/>
    <n v="36"/>
    <n v="276"/>
    <n v="48"/>
    <n v="60"/>
    <n v="12"/>
    <n v="498"/>
    <n v="174"/>
    <n v="12"/>
    <n v="48"/>
    <n v="294"/>
    <n v="348"/>
    <n v="264"/>
    <n v="0"/>
    <n v="48"/>
    <n v="444"/>
  </r>
  <r>
    <s v="L'Oreal"/>
    <x v="1"/>
    <x v="1"/>
    <x v="0"/>
    <x v="3"/>
    <n v="7509552876604"/>
    <x v="35"/>
    <x v="201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1062"/>
    <n v="144"/>
    <n v="0"/>
    <n v="1248"/>
    <n v="72"/>
    <n v="216"/>
    <n v="288"/>
    <n v="504"/>
    <n v="300"/>
    <n v="324"/>
    <n v="288"/>
    <n v="168"/>
    <n v="276"/>
    <n v="324"/>
    <n v="132"/>
    <n v="168"/>
    <n v="84"/>
    <n v="180"/>
    <n v="216"/>
    <n v="408"/>
    <n v="216"/>
    <n v="0"/>
    <n v="372"/>
    <n v="144"/>
    <n v="276"/>
  </r>
  <r>
    <s v="L'Oreal"/>
    <x v="1"/>
    <x v="1"/>
    <x v="0"/>
    <x v="3"/>
    <n v="7509552876611"/>
    <x v="27"/>
    <x v="20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8"/>
    <n v="312"/>
  </r>
  <r>
    <s v="L'Oreal"/>
    <x v="1"/>
    <x v="1"/>
    <x v="0"/>
    <x v="3"/>
    <n v="7509552876628"/>
    <x v="27"/>
    <x v="20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44"/>
    <n v="264"/>
  </r>
  <r>
    <s v="L'Oreal"/>
    <x v="1"/>
    <x v="1"/>
    <x v="0"/>
    <x v="3"/>
    <n v="7509552876635"/>
    <x v="27"/>
    <x v="204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0"/>
    <n v="636"/>
  </r>
  <r>
    <s v="L'Oreal"/>
    <x v="1"/>
    <x v="1"/>
    <x v="0"/>
    <x v="3"/>
    <n v="7509552876666"/>
    <x v="35"/>
    <x v="2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1512"/>
    <n v="1092"/>
    <n v="1188"/>
    <n v="1224"/>
    <n v="60"/>
    <n v="0"/>
    <n v="672"/>
    <n v="324"/>
    <n v="276"/>
    <n v="324"/>
    <n v="444"/>
    <n v="600"/>
    <n v="492"/>
    <n v="264"/>
    <n v="420"/>
    <n v="690"/>
    <n v="294"/>
    <n v="372"/>
    <n v="420"/>
    <n v="498"/>
    <n v="576"/>
    <n v="432"/>
    <n v="408"/>
    <n v="444"/>
    <n v="360"/>
  </r>
  <r>
    <s v="L'Oreal"/>
    <x v="1"/>
    <x v="1"/>
    <x v="0"/>
    <x v="3"/>
    <n v="7509552901696"/>
    <x v="36"/>
    <x v="206"/>
    <x v="8"/>
    <n v="240"/>
    <n v="216"/>
    <n v="312"/>
    <n v="132"/>
    <n v="180"/>
    <n v="204"/>
    <n v="144"/>
    <n v="300"/>
    <n v="240"/>
    <n v="96"/>
    <n v="144"/>
    <n v="252"/>
    <n v="192"/>
    <n v="144"/>
    <n v="216"/>
    <n v="276"/>
    <n v="396"/>
    <n v="180"/>
    <n v="72"/>
    <n v="0"/>
    <n v="0"/>
    <n v="36"/>
    <n v="336"/>
    <n v="168"/>
    <n v="240"/>
    <n v="240"/>
    <n v="96"/>
    <n v="96"/>
    <n v="168"/>
    <n v="180"/>
    <n v="72"/>
    <n v="96"/>
    <n v="192"/>
    <n v="264"/>
    <n v="96"/>
    <n v="396"/>
    <n v="120"/>
    <n v="0"/>
    <n v="0"/>
    <n v="0"/>
    <n v="0"/>
    <n v="0"/>
  </r>
  <r>
    <s v="L'Oreal"/>
    <x v="1"/>
    <x v="1"/>
    <x v="0"/>
    <x v="3"/>
    <n v="7509552905663"/>
    <x v="32"/>
    <x v="207"/>
    <x v="9"/>
    <n v="465"/>
    <n v="297"/>
    <n v="600"/>
    <n v="369"/>
    <n v="333"/>
    <n v="171"/>
    <n v="141"/>
    <n v="183"/>
    <n v="237"/>
    <n v="186"/>
    <n v="312"/>
    <n v="189"/>
    <n v="375"/>
    <n v="348"/>
    <n v="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906448"/>
    <x v="29"/>
    <x v="208"/>
    <x v="8"/>
    <n v="816"/>
    <n v="654"/>
    <n v="294"/>
    <n v="858"/>
    <n v="594"/>
    <n v="642"/>
    <n v="180"/>
    <n v="348"/>
    <n v="654"/>
    <n v="174"/>
    <n v="324"/>
    <n v="552"/>
    <n v="870"/>
    <n v="198"/>
    <n v="120"/>
    <n v="384"/>
    <n v="414"/>
    <n v="450"/>
    <n v="1338"/>
    <n v="276"/>
    <n v="618"/>
    <n v="12"/>
    <n v="48"/>
    <n v="36"/>
    <n v="36"/>
    <n v="84"/>
    <n v="360"/>
    <n v="60"/>
    <n v="24"/>
    <n v="120"/>
    <n v="516"/>
    <n v="384"/>
    <n v="0"/>
    <n v="180"/>
    <n v="696"/>
    <n v="120"/>
    <n v="72"/>
    <n v="96"/>
    <n v="36"/>
    <n v="36"/>
    <n v="72"/>
    <n v="132"/>
  </r>
  <r>
    <s v="L'Oreal"/>
    <x v="1"/>
    <x v="1"/>
    <x v="0"/>
    <x v="3"/>
    <n v="7509552906455"/>
    <x v="29"/>
    <x v="209"/>
    <x v="16"/>
    <n v="244"/>
    <n v="0"/>
    <n v="0"/>
    <n v="324"/>
    <n v="96"/>
    <n v="36"/>
    <n v="0"/>
    <n v="24"/>
    <n v="12"/>
    <n v="24"/>
    <n v="0"/>
    <n v="24"/>
    <n v="60"/>
    <n v="216"/>
    <n v="12"/>
    <n v="48"/>
    <n v="60"/>
    <n v="24"/>
    <n v="48"/>
    <n v="72"/>
    <n v="204"/>
    <n v="12"/>
    <n v="0"/>
    <n v="36"/>
    <n v="24"/>
    <n v="228"/>
    <n v="12"/>
    <n v="12"/>
    <n v="24"/>
    <n v="108"/>
    <n v="24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906479"/>
    <x v="29"/>
    <x v="210"/>
    <x v="8"/>
    <n v="288"/>
    <n v="288"/>
    <n v="192"/>
    <n v="228"/>
    <n v="168"/>
    <n v="120"/>
    <n v="156"/>
    <n v="132"/>
    <n v="372"/>
    <n v="120"/>
    <n v="156"/>
    <n v="192"/>
    <n v="384"/>
    <n v="132"/>
    <n v="216"/>
    <n v="252"/>
    <n v="324"/>
    <n v="132"/>
    <n v="96"/>
    <n v="72"/>
    <n v="0"/>
    <n v="144"/>
    <n v="228"/>
    <n v="144"/>
    <n v="576"/>
    <n v="312"/>
    <n v="120"/>
    <n v="120"/>
    <n v="132"/>
    <n v="204"/>
    <n v="12"/>
    <n v="0"/>
    <n v="108"/>
    <n v="240"/>
    <n v="192"/>
    <n v="312"/>
    <n v="192"/>
    <n v="168"/>
    <n v="120"/>
    <n v="60"/>
    <n v="156"/>
    <n v="204"/>
  </r>
  <r>
    <s v="L'Oreal"/>
    <x v="1"/>
    <x v="1"/>
    <x v="0"/>
    <x v="3"/>
    <n v="7509552908701"/>
    <x v="30"/>
    <x v="211"/>
    <x v="8"/>
    <n v="738"/>
    <n v="762"/>
    <n v="636"/>
    <n v="798"/>
    <n v="450"/>
    <n v="588"/>
    <n v="162"/>
    <n v="210"/>
    <n v="624"/>
    <n v="102"/>
    <n v="156"/>
    <n v="372"/>
    <n v="690"/>
    <n v="228"/>
    <n v="498"/>
    <n v="546"/>
    <n v="282"/>
    <n v="162"/>
    <n v="1302"/>
    <n v="18"/>
    <n v="276"/>
    <n v="12"/>
    <n v="12"/>
    <n v="24"/>
    <n v="48"/>
    <n v="48"/>
    <n v="2196"/>
    <n v="210"/>
    <n v="366"/>
    <n v="0"/>
    <n v="0"/>
    <n v="0"/>
    <n v="0"/>
    <n v="36"/>
    <n v="552"/>
    <n v="504"/>
    <n v="180"/>
    <n v="402"/>
    <n v="1176"/>
    <n v="330"/>
    <n v="36"/>
    <n v="144"/>
  </r>
  <r>
    <s v="L'Oreal"/>
    <x v="1"/>
    <x v="1"/>
    <x v="0"/>
    <x v="3"/>
    <n v="7509552909678"/>
    <x v="37"/>
    <x v="212"/>
    <x v="8"/>
    <n v="0"/>
    <n v="0"/>
    <n v="0"/>
    <n v="0"/>
    <n v="1464"/>
    <n v="468"/>
    <n v="276"/>
    <n v="444"/>
    <n v="504"/>
    <n v="372"/>
    <n v="492"/>
    <n v="324"/>
    <n v="480"/>
    <n v="420"/>
    <n v="504"/>
    <n v="420"/>
    <n v="444"/>
    <n v="528"/>
    <n v="384"/>
    <n v="78"/>
    <n v="0"/>
    <n v="384"/>
    <n v="612"/>
    <n v="276"/>
    <n v="528"/>
    <n v="468"/>
    <n v="480"/>
    <n v="240"/>
    <n v="264"/>
    <n v="564"/>
    <n v="192"/>
    <n v="84"/>
    <n v="60"/>
    <n v="240"/>
    <n v="120"/>
    <n v="72"/>
    <n v="192"/>
    <n v="72"/>
    <n v="72"/>
    <n v="72"/>
    <n v="108"/>
    <n v="24"/>
  </r>
  <r>
    <s v="L'Oreal"/>
    <x v="1"/>
    <x v="1"/>
    <x v="0"/>
    <x v="3"/>
    <n v="7509552909913"/>
    <x v="32"/>
    <x v="213"/>
    <x v="9"/>
    <n v="75"/>
    <n v="114"/>
    <n v="75"/>
    <n v="78"/>
    <n v="105"/>
    <n v="129"/>
    <n v="96"/>
    <n v="90"/>
    <n v="192"/>
    <n v="105"/>
    <n v="60"/>
    <n v="141"/>
    <n v="375"/>
    <n v="177"/>
    <n v="246"/>
    <n v="93"/>
    <n v="135"/>
    <n v="102"/>
    <n v="87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914030"/>
    <x v="30"/>
    <x v="214"/>
    <x v="8"/>
    <n v="60"/>
    <n v="168"/>
    <n v="108"/>
    <n v="48"/>
    <n v="48"/>
    <n v="12"/>
    <n v="24"/>
    <n v="12"/>
    <n v="24"/>
    <n v="0"/>
    <n v="0"/>
    <n v="72"/>
    <n v="132"/>
    <n v="36"/>
    <n v="108"/>
    <n v="84"/>
    <n v="48"/>
    <n v="36"/>
    <n v="24"/>
    <n v="36"/>
    <n v="228"/>
    <n v="12"/>
    <n v="0"/>
    <n v="72"/>
    <n v="12"/>
    <n v="12"/>
    <n v="36"/>
    <n v="12"/>
    <n v="12"/>
    <n v="72"/>
    <n v="24"/>
    <n v="12"/>
    <n v="12"/>
    <n v="36"/>
    <n v="36"/>
    <n v="0"/>
    <n v="0"/>
    <n v="0"/>
    <n v="0"/>
    <n v="0"/>
    <n v="0"/>
    <n v="0"/>
  </r>
  <r>
    <s v="L'Oreal"/>
    <x v="1"/>
    <x v="1"/>
    <x v="0"/>
    <x v="3"/>
    <n v="7509552914108"/>
    <x v="29"/>
    <x v="215"/>
    <x v="8"/>
    <n v="48"/>
    <n v="48"/>
    <n v="192"/>
    <n v="24"/>
    <n v="60"/>
    <n v="36"/>
    <n v="24"/>
    <n v="24"/>
    <n v="48"/>
    <n v="36"/>
    <n v="60"/>
    <n v="108"/>
    <n v="84"/>
    <n v="60"/>
    <n v="60"/>
    <n v="132"/>
    <n v="36"/>
    <n v="24"/>
    <n v="48"/>
    <n v="24"/>
    <n v="216"/>
    <n v="12"/>
    <n v="0"/>
    <n v="12"/>
    <n v="48"/>
    <n v="84"/>
    <n v="24"/>
    <n v="36"/>
    <n v="24"/>
    <n v="132"/>
    <n v="36"/>
    <n v="24"/>
    <n v="0"/>
    <n v="48"/>
    <n v="60"/>
    <n v="192"/>
    <n v="180"/>
    <n v="24"/>
    <n v="48"/>
    <n v="48"/>
    <n v="0"/>
    <n v="0"/>
  </r>
  <r>
    <s v="L'Oreal"/>
    <x v="1"/>
    <x v="1"/>
    <x v="0"/>
    <x v="3"/>
    <n v="7509552914641"/>
    <x v="38"/>
    <x v="216"/>
    <x v="8"/>
    <n v="48"/>
    <n v="12"/>
    <n v="84"/>
    <n v="24"/>
    <n v="60"/>
    <n v="24"/>
    <n v="12"/>
    <n v="12"/>
    <n v="36"/>
    <n v="36"/>
    <n v="12"/>
    <n v="36"/>
    <n v="132"/>
    <n v="72"/>
    <n v="60"/>
    <n v="84"/>
    <n v="96"/>
    <n v="24"/>
    <n v="24"/>
    <n v="48"/>
    <n v="216"/>
    <n v="0"/>
    <n v="0"/>
    <n v="0"/>
    <n v="12"/>
    <n v="24"/>
    <n v="0"/>
    <n v="36"/>
    <n v="12"/>
    <n v="48"/>
    <n v="0"/>
    <n v="12"/>
    <n v="0"/>
    <n v="36"/>
    <n v="60"/>
    <n v="132"/>
    <n v="48"/>
    <n v="24"/>
    <n v="0"/>
    <n v="0"/>
    <n v="0"/>
    <n v="0"/>
  </r>
  <r>
    <s v="L'Oreal"/>
    <x v="1"/>
    <x v="1"/>
    <x v="0"/>
    <x v="3"/>
    <n v="7509552914696"/>
    <x v="38"/>
    <x v="217"/>
    <x v="5"/>
    <n v="342"/>
    <n v="183"/>
    <n v="132"/>
    <n v="114"/>
    <n v="264"/>
    <n v="129"/>
    <n v="159"/>
    <n v="159"/>
    <n v="189"/>
    <n v="87"/>
    <n v="114"/>
    <n v="168"/>
    <n v="642"/>
    <n v="60"/>
    <n v="393"/>
    <n v="270"/>
    <n v="108"/>
    <n v="114"/>
    <n v="102"/>
    <n v="189"/>
    <n v="468"/>
    <n v="30"/>
    <n v="126"/>
    <n v="6"/>
    <n v="0"/>
    <n v="93"/>
    <n v="147"/>
    <n v="84"/>
    <n v="69"/>
    <n v="54"/>
    <n v="138"/>
    <n v="90"/>
    <n v="0"/>
    <n v="144"/>
    <n v="60"/>
    <n v="30"/>
    <n v="252"/>
    <n v="186"/>
    <n v="0"/>
    <n v="54"/>
    <n v="228"/>
    <n v="144"/>
  </r>
  <r>
    <s v="L'Oreal"/>
    <x v="1"/>
    <x v="1"/>
    <x v="0"/>
    <x v="3"/>
    <n v="7509552915112"/>
    <x v="29"/>
    <x v="218"/>
    <x v="5"/>
    <n v="12"/>
    <n v="0"/>
    <n v="0"/>
    <n v="0"/>
    <n v="0"/>
    <n v="0"/>
    <n v="0"/>
    <n v="9"/>
    <n v="0"/>
    <n v="0"/>
    <n v="0"/>
    <n v="120"/>
    <n v="360"/>
    <n v="60"/>
    <n v="48"/>
    <n v="156"/>
    <n v="72"/>
    <n v="48"/>
    <n v="36"/>
    <n v="48"/>
    <n v="420"/>
    <n v="0"/>
    <n v="36"/>
    <n v="72"/>
    <n v="96"/>
    <n v="36"/>
    <n v="24"/>
    <n v="24"/>
    <n v="60"/>
    <n v="36"/>
    <n v="60"/>
    <n v="12"/>
    <n v="24"/>
    <n v="48"/>
    <n v="96"/>
    <n v="168"/>
    <n v="72"/>
    <n v="24"/>
    <n v="24"/>
    <n v="36"/>
    <n v="60"/>
    <n v="72"/>
  </r>
  <r>
    <s v="L'Oreal"/>
    <x v="1"/>
    <x v="1"/>
    <x v="0"/>
    <x v="3"/>
    <n v="7509552920864"/>
    <x v="31"/>
    <x v="21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4"/>
    <n v="162"/>
    <n v="108"/>
    <n v="186"/>
    <n v="210"/>
    <n v="372"/>
    <n v="216"/>
    <n v="450"/>
    <n v="690"/>
    <n v="168"/>
    <n v="228"/>
    <n v="60"/>
  </r>
  <r>
    <s v="L'Oreal"/>
    <x v="1"/>
    <x v="1"/>
    <x v="0"/>
    <x v="3"/>
    <n v="7509552922226"/>
    <x v="33"/>
    <x v="22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"/>
    <n v="252"/>
    <n v="768"/>
    <n v="840"/>
    <n v="198"/>
    <n v="1032"/>
    <n v="174"/>
  </r>
  <r>
    <s v="L'Oreal"/>
    <x v="1"/>
    <x v="1"/>
    <x v="0"/>
    <x v="3"/>
    <n v="7509552922288"/>
    <x v="33"/>
    <x v="22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36"/>
    <n v="0"/>
    <n v="60"/>
    <n v="60"/>
    <n v="12"/>
    <n v="60"/>
    <n v="24"/>
    <n v="60"/>
    <n v="12"/>
    <n v="72"/>
    <n v="72"/>
  </r>
  <r>
    <s v="L'Oreal"/>
    <x v="1"/>
    <x v="1"/>
    <x v="0"/>
    <x v="3"/>
    <n v="7509552922301"/>
    <x v="39"/>
    <x v="22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n v="24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922325"/>
    <x v="39"/>
    <x v="22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n v="48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3"/>
    <n v="7509552922332"/>
    <x v="40"/>
    <x v="22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"/>
    <n v="12"/>
    <n v="12"/>
    <n v="0"/>
    <n v="0"/>
    <n v="156"/>
    <n v="108"/>
    <n v="12"/>
    <n v="48"/>
    <n v="0"/>
    <n v="108"/>
    <n v="48"/>
  </r>
  <r>
    <s v="L'Oreal"/>
    <x v="1"/>
    <x v="1"/>
    <x v="0"/>
    <x v="3"/>
    <n v="7509552930535"/>
    <x v="41"/>
    <x v="22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8"/>
    <n v="456"/>
    <n v="480"/>
    <n v="480"/>
    <n v="756"/>
    <n v="312"/>
    <n v="420"/>
    <n v="1578"/>
    <n v="1188"/>
    <n v="762"/>
    <n v="924"/>
  </r>
  <r>
    <s v="L'Oreal"/>
    <x v="1"/>
    <x v="1"/>
    <x v="0"/>
    <x v="3"/>
    <n v="7509552930559"/>
    <x v="41"/>
    <x v="226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4"/>
    <n v="396"/>
    <n v="504"/>
    <n v="738"/>
    <n v="912"/>
    <n v="324"/>
    <n v="516"/>
    <n v="996"/>
    <n v="1734"/>
    <n v="0"/>
    <n v="288"/>
  </r>
  <r>
    <s v="L'Oreal"/>
    <x v="1"/>
    <x v="1"/>
    <x v="0"/>
    <x v="3"/>
    <n v="7509552930573"/>
    <x v="41"/>
    <x v="227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6"/>
    <n v="108"/>
    <n v="276"/>
    <n v="0"/>
    <n v="348"/>
    <n v="240"/>
    <n v="192"/>
    <n v="168"/>
    <n v="384"/>
    <n v="96"/>
    <n v="120"/>
  </r>
  <r>
    <s v="L'Oreal"/>
    <x v="1"/>
    <x v="1"/>
    <x v="0"/>
    <x v="3"/>
    <n v="7509552932164"/>
    <x v="41"/>
    <x v="228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0"/>
    <n v="312"/>
    <n v="252"/>
    <n v="690"/>
    <n v="828"/>
    <n v="84"/>
    <n v="600"/>
    <n v="1068"/>
    <n v="1158"/>
    <n v="336"/>
    <n v="648"/>
  </r>
  <r>
    <s v="L'Oreal"/>
    <x v="1"/>
    <x v="1"/>
    <x v="0"/>
    <x v="3"/>
    <n v="7509552964035"/>
    <x v="41"/>
    <x v="22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6"/>
    <n v="312"/>
    <n v="72"/>
    <n v="132"/>
    <n v="108"/>
  </r>
  <r>
    <s v="L'Oreal"/>
    <x v="1"/>
    <x v="1"/>
    <x v="0"/>
    <x v="3"/>
    <n v="7509552964042"/>
    <x v="41"/>
    <x v="23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8"/>
    <n v="1206"/>
    <n v="192"/>
    <n v="786"/>
    <n v="636"/>
  </r>
  <r>
    <s v="L'Oreal"/>
    <x v="1"/>
    <x v="1"/>
    <x v="0"/>
    <x v="3"/>
    <n v="7899706170611"/>
    <x v="27"/>
    <x v="231"/>
    <x v="17"/>
    <n v="360"/>
    <n v="24"/>
    <n v="-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4"/>
    <n v="7501027218384"/>
    <x v="42"/>
    <x v="232"/>
    <x v="18"/>
    <n v="267"/>
    <n v="177"/>
    <n v="192"/>
    <n v="123"/>
    <n v="138"/>
    <n v="96"/>
    <n v="138"/>
    <n v="156"/>
    <n v="153"/>
    <n v="60"/>
    <n v="111"/>
    <n v="165"/>
    <n v="231"/>
    <n v="249"/>
    <n v="144"/>
    <n v="546"/>
    <n v="90"/>
    <n v="144"/>
    <n v="109"/>
    <n v="126"/>
    <n v="192"/>
    <n v="24"/>
    <n v="72"/>
    <n v="120"/>
    <n v="198"/>
    <n v="138"/>
    <n v="90"/>
    <n v="0"/>
    <n v="0"/>
    <n v="0"/>
    <n v="0"/>
    <n v="0"/>
    <n v="0"/>
    <n v="27"/>
    <n v="27"/>
    <n v="129"/>
    <n v="57"/>
    <n v="42"/>
    <n v="42"/>
    <n v="0"/>
    <n v="0"/>
    <n v="0"/>
  </r>
  <r>
    <s v="L'Oreal"/>
    <x v="1"/>
    <x v="1"/>
    <x v="0"/>
    <x v="4"/>
    <n v="7501027280657"/>
    <x v="42"/>
    <x v="233"/>
    <x v="18"/>
    <n v="267"/>
    <n v="138"/>
    <n v="201"/>
    <n v="108"/>
    <n v="135"/>
    <n v="126"/>
    <n v="114"/>
    <n v="84"/>
    <n v="156"/>
    <n v="84"/>
    <n v="180"/>
    <n v="180"/>
    <n v="162"/>
    <n v="201"/>
    <n v="111"/>
    <n v="543"/>
    <n v="78"/>
    <n v="156"/>
    <n v="120"/>
    <n v="123"/>
    <n v="306"/>
    <n v="42"/>
    <n v="102"/>
    <n v="120"/>
    <n v="228"/>
    <n v="102"/>
    <n v="0"/>
    <n v="234"/>
    <n v="126"/>
    <n v="147"/>
    <n v="69"/>
    <n v="18"/>
    <n v="12"/>
    <n v="27"/>
    <n v="0"/>
    <n v="0"/>
    <n v="0"/>
    <n v="0"/>
    <n v="0"/>
    <n v="114"/>
    <n v="3"/>
    <n v="0"/>
  </r>
  <r>
    <s v="L'Oreal"/>
    <x v="1"/>
    <x v="1"/>
    <x v="0"/>
    <x v="4"/>
    <n v="7509552780987"/>
    <x v="42"/>
    <x v="234"/>
    <x v="18"/>
    <n v="312"/>
    <n v="372"/>
    <n v="174"/>
    <n v="132"/>
    <n v="48"/>
    <n v="84"/>
    <n v="45"/>
    <n v="72"/>
    <n v="72"/>
    <n v="30"/>
    <n v="120"/>
    <n v="72"/>
    <n v="138"/>
    <n v="69"/>
    <n v="87"/>
    <n v="384"/>
    <n v="42"/>
    <n v="132"/>
    <n v="24"/>
    <n v="240"/>
    <n v="129"/>
    <n v="0"/>
    <n v="60"/>
    <n v="48"/>
    <n v="42"/>
    <n v="84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0"/>
    <x v="5"/>
    <n v="71249119297"/>
    <x v="43"/>
    <x v="235"/>
    <x v="0"/>
    <n v="825"/>
    <n v="891"/>
    <n v="459"/>
    <n v="987"/>
    <n v="12"/>
    <n v="1"/>
    <n v="0"/>
    <n v="966"/>
    <n v="1263"/>
    <n v="123"/>
    <n v="1368"/>
    <n v="784"/>
    <n v="0"/>
    <n v="534"/>
    <n v="1698"/>
    <n v="579"/>
    <n v="579"/>
    <n v="582"/>
    <n v="398"/>
    <n v="702"/>
    <n v="1422"/>
    <n v="174"/>
    <n v="402"/>
    <n v="681"/>
    <n v="945"/>
    <n v="828"/>
    <n v="486"/>
    <n v="0"/>
    <n v="0"/>
    <n v="813"/>
    <n v="921"/>
    <n v="408"/>
    <n v="0"/>
    <n v="0"/>
    <n v="1629"/>
    <n v="783"/>
    <n v="849"/>
    <n v="549"/>
    <n v="936"/>
    <n v="600"/>
    <n v="528"/>
    <n v="504"/>
  </r>
  <r>
    <s v="L'Oreal"/>
    <x v="1"/>
    <x v="1"/>
    <x v="0"/>
    <x v="5"/>
    <n v="71249119334"/>
    <x v="44"/>
    <x v="236"/>
    <x v="0"/>
    <n v="98"/>
    <n v="0"/>
    <n v="195"/>
    <n v="589"/>
    <n v="0"/>
    <n v="0"/>
    <n v="0"/>
    <n v="0"/>
    <n v="0"/>
    <n v="0"/>
    <n v="582"/>
    <n v="18"/>
    <n v="0"/>
    <n v="510"/>
    <n v="459"/>
    <n v="315"/>
    <n v="228"/>
    <n v="264"/>
    <n v="246"/>
    <n v="168"/>
    <n v="831"/>
    <n v="162"/>
    <n v="192"/>
    <n v="105"/>
    <n v="0"/>
    <n v="0"/>
    <n v="573"/>
    <n v="336"/>
    <n v="447"/>
    <n v="288"/>
    <n v="312"/>
    <n v="213"/>
    <n v="294"/>
    <n v="387"/>
    <n v="342"/>
    <n v="426"/>
    <n v="381"/>
    <n v="453"/>
    <n v="387"/>
    <n v="291"/>
    <n v="213"/>
    <n v="261"/>
  </r>
  <r>
    <s v="L'Oreal"/>
    <x v="1"/>
    <x v="1"/>
    <x v="0"/>
    <x v="5"/>
    <n v="7501027252838"/>
    <x v="45"/>
    <x v="237"/>
    <x v="0"/>
    <n v="555"/>
    <n v="27"/>
    <n v="645"/>
    <n v="459"/>
    <n v="255"/>
    <n v="465"/>
    <n v="285"/>
    <n v="60"/>
    <n v="471"/>
    <n v="120"/>
    <n v="579"/>
    <n v="447"/>
    <n v="126"/>
    <n v="528"/>
    <n v="252"/>
    <n v="0"/>
    <n v="0"/>
    <n v="291"/>
    <n v="498"/>
    <n v="579"/>
    <n v="1095"/>
    <n v="87"/>
    <n v="186"/>
    <n v="306"/>
    <n v="334"/>
    <n v="0"/>
    <n v="0"/>
    <n v="0"/>
    <n v="711"/>
    <n v="354"/>
    <n v="462"/>
    <n v="153"/>
    <n v="48"/>
    <n v="465"/>
    <n v="186"/>
    <n v="156"/>
    <n v="0"/>
    <n v="264"/>
    <n v="0"/>
    <n v="492"/>
    <n v="126"/>
    <n v="105"/>
  </r>
  <r>
    <s v="L'Oreal"/>
    <x v="1"/>
    <x v="1"/>
    <x v="0"/>
    <x v="5"/>
    <n v="7501027284945"/>
    <x v="46"/>
    <x v="238"/>
    <x v="0"/>
    <n v="687"/>
    <n v="0"/>
    <n v="972"/>
    <n v="462"/>
    <n v="399"/>
    <n v="369"/>
    <n v="573"/>
    <n v="417"/>
    <n v="825"/>
    <n v="573"/>
    <n v="732"/>
    <n v="777"/>
    <n v="1059"/>
    <n v="663"/>
    <n v="807"/>
    <n v="948"/>
    <n v="615"/>
    <n v="585"/>
    <n v="462"/>
    <n v="483"/>
    <n v="1572"/>
    <n v="273"/>
    <n v="615"/>
    <n v="480"/>
    <n v="1072"/>
    <n v="48"/>
    <n v="0"/>
    <n v="1218"/>
    <n v="609"/>
    <n v="639"/>
    <n v="300"/>
    <n v="84"/>
    <n v="0"/>
    <n v="1181"/>
    <n v="324"/>
    <n v="803"/>
    <n v="942"/>
    <n v="30"/>
    <n v="849"/>
    <n v="477"/>
    <n v="771"/>
    <n v="564"/>
  </r>
  <r>
    <s v="L'Oreal"/>
    <x v="1"/>
    <x v="1"/>
    <x v="1"/>
    <x v="6"/>
    <n v="7896014184439"/>
    <x v="47"/>
    <x v="239"/>
    <x v="19"/>
    <n v="168"/>
    <n v="300"/>
    <n v="108"/>
    <n v="285"/>
    <n v="105"/>
    <n v="234"/>
    <n v="153"/>
    <n v="240"/>
    <n v="189"/>
    <n v="162"/>
    <n v="255"/>
    <n v="171"/>
    <n v="168"/>
    <n v="93"/>
    <n v="219"/>
    <n v="102"/>
    <n v="198"/>
    <n v="129"/>
    <n v="219"/>
    <n v="153"/>
    <n v="159"/>
    <n v="72"/>
    <n v="99"/>
    <n v="105"/>
    <n v="141"/>
    <n v="183"/>
    <n v="105"/>
    <n v="86"/>
    <n v="86"/>
    <n v="114"/>
    <n v="144"/>
    <n v="120"/>
    <n v="108"/>
    <n v="126"/>
    <n v="180"/>
    <n v="321"/>
    <n v="60"/>
    <n v="60"/>
    <n v="75"/>
    <n v="102"/>
    <n v="195"/>
    <n v="96"/>
  </r>
  <r>
    <s v="L'Oreal"/>
    <x v="1"/>
    <x v="1"/>
    <x v="1"/>
    <x v="6"/>
    <n v="7896014184477"/>
    <x v="47"/>
    <x v="240"/>
    <x v="19"/>
    <n v="60"/>
    <n v="189"/>
    <n v="63"/>
    <n v="171"/>
    <n v="19"/>
    <n v="105"/>
    <n v="123"/>
    <n v="102"/>
    <n v="141"/>
    <n v="57"/>
    <n v="252"/>
    <n v="114"/>
    <n v="66"/>
    <n v="54"/>
    <n v="69"/>
    <n v="51"/>
    <n v="48"/>
    <n v="123"/>
    <n v="60"/>
    <n v="75"/>
    <n v="117"/>
    <n v="30"/>
    <n v="120"/>
    <n v="162"/>
    <n v="111"/>
    <n v="90"/>
    <n v="3"/>
    <n v="138"/>
    <n v="18"/>
    <n v="123"/>
    <n v="87"/>
    <n v="21"/>
    <n v="261"/>
    <n v="129"/>
    <n v="159"/>
    <n v="9"/>
    <n v="195"/>
    <n v="105"/>
    <n v="72"/>
    <n v="120"/>
    <n v="126"/>
    <n v="63"/>
  </r>
  <r>
    <s v="L'Oreal"/>
    <x v="1"/>
    <x v="1"/>
    <x v="1"/>
    <x v="6"/>
    <n v="7896014184484"/>
    <x v="47"/>
    <x v="241"/>
    <x v="19"/>
    <n v="192"/>
    <n v="558"/>
    <n v="216"/>
    <n v="0"/>
    <n v="435"/>
    <n v="462"/>
    <n v="279"/>
    <n v="435"/>
    <n v="354"/>
    <n v="255"/>
    <n v="375"/>
    <n v="369"/>
    <n v="294"/>
    <n v="219"/>
    <n v="318"/>
    <n v="186"/>
    <n v="477"/>
    <n v="423"/>
    <n v="222"/>
    <n v="363"/>
    <n v="60"/>
    <n v="0"/>
    <n v="441"/>
    <n v="252"/>
    <n v="333"/>
    <n v="309"/>
    <n v="264"/>
    <n v="321"/>
    <n v="235"/>
    <n v="294"/>
    <n v="315"/>
    <n v="248"/>
    <n v="261"/>
    <n v="402"/>
    <n v="276"/>
    <n v="462"/>
    <n v="267"/>
    <n v="186"/>
    <n v="235"/>
    <n v="294"/>
    <n v="378"/>
    <n v="315"/>
  </r>
  <r>
    <s v="L'Oreal"/>
    <x v="1"/>
    <x v="1"/>
    <x v="1"/>
    <x v="6"/>
    <n v="7896014184491"/>
    <x v="47"/>
    <x v="242"/>
    <x v="19"/>
    <n v="207"/>
    <n v="306"/>
    <n v="156"/>
    <n v="285"/>
    <n v="195"/>
    <n v="255"/>
    <n v="216"/>
    <n v="222"/>
    <n v="249"/>
    <n v="135"/>
    <n v="252"/>
    <n v="171"/>
    <n v="177"/>
    <n v="78"/>
    <n v="186"/>
    <n v="77"/>
    <n v="237"/>
    <n v="216"/>
    <n v="123"/>
    <n v="147"/>
    <n v="273"/>
    <n v="66"/>
    <n v="138"/>
    <n v="155"/>
    <n v="186"/>
    <n v="141"/>
    <n v="0"/>
    <n v="312"/>
    <n v="150"/>
    <n v="147"/>
    <n v="183"/>
    <n v="177"/>
    <n v="165"/>
    <n v="126"/>
    <n v="207"/>
    <n v="333"/>
    <n v="90"/>
    <n v="177"/>
    <n v="108"/>
    <n v="170"/>
    <n v="210"/>
    <n v="153"/>
  </r>
  <r>
    <s v="L'Oreal"/>
    <x v="1"/>
    <x v="1"/>
    <x v="1"/>
    <x v="6"/>
    <n v="7896014184507"/>
    <x v="47"/>
    <x v="243"/>
    <x v="19"/>
    <n v="150"/>
    <n v="240"/>
    <n v="132"/>
    <n v="273"/>
    <n v="81"/>
    <n v="183"/>
    <n v="138"/>
    <n v="171"/>
    <n v="180"/>
    <n v="111"/>
    <n v="240"/>
    <n v="168"/>
    <n v="159"/>
    <n v="45"/>
    <n v="120"/>
    <n v="87"/>
    <n v="108"/>
    <n v="213"/>
    <n v="84"/>
    <n v="111"/>
    <n v="174"/>
    <n v="63"/>
    <n v="114"/>
    <n v="123"/>
    <n v="177"/>
    <n v="129"/>
    <n v="97"/>
    <n v="90"/>
    <n v="54"/>
    <n v="138"/>
    <n v="120"/>
    <n v="87"/>
    <n v="129"/>
    <n v="117"/>
    <n v="177"/>
    <n v="285"/>
    <n v="108"/>
    <n v="108"/>
    <n v="81"/>
    <n v="120"/>
    <n v="267"/>
    <n v="69"/>
  </r>
  <r>
    <s v="L'Oreal"/>
    <x v="1"/>
    <x v="1"/>
    <x v="1"/>
    <x v="6"/>
    <n v="7896014184514"/>
    <x v="47"/>
    <x v="244"/>
    <x v="19"/>
    <n v="282"/>
    <n v="345"/>
    <n v="342"/>
    <n v="135"/>
    <n v="255"/>
    <n v="453"/>
    <n v="234"/>
    <n v="396"/>
    <n v="351"/>
    <n v="180"/>
    <n v="288"/>
    <n v="321"/>
    <n v="252"/>
    <n v="225"/>
    <n v="339"/>
    <n v="183"/>
    <n v="366"/>
    <n v="390"/>
    <n v="204"/>
    <n v="294"/>
    <n v="303"/>
    <n v="123"/>
    <n v="36"/>
    <n v="252"/>
    <n v="216"/>
    <n v="333"/>
    <n v="246"/>
    <n v="285"/>
    <n v="264"/>
    <n v="276"/>
    <n v="291"/>
    <n v="195"/>
    <n v="246"/>
    <n v="270"/>
    <n v="306"/>
    <n v="393"/>
    <n v="243"/>
    <n v="207"/>
    <n v="144"/>
    <n v="48"/>
    <n v="447"/>
    <n v="228"/>
  </r>
  <r>
    <s v="L'Oreal"/>
    <x v="1"/>
    <x v="1"/>
    <x v="1"/>
    <x v="6"/>
    <n v="7896014184538"/>
    <x v="47"/>
    <x v="245"/>
    <x v="19"/>
    <n v="78"/>
    <n v="87"/>
    <n v="12"/>
    <n v="0"/>
    <n v="54"/>
    <n v="114"/>
    <n v="90"/>
    <n v="45"/>
    <n v="51"/>
    <n v="24"/>
    <n v="39"/>
    <n v="39"/>
    <n v="42"/>
    <n v="48"/>
    <n v="66"/>
    <n v="33"/>
    <n v="33"/>
    <n v="69"/>
    <n v="27"/>
    <n v="48"/>
    <n v="54"/>
    <n v="36"/>
    <n v="75"/>
    <n v="84"/>
    <n v="33"/>
    <n v="54"/>
    <n v="30"/>
    <n v="51"/>
    <n v="33"/>
    <n v="144"/>
    <n v="21"/>
    <n v="15"/>
    <n v="24"/>
    <n v="54"/>
    <n v="72"/>
    <n v="156"/>
    <n v="0"/>
    <n v="18"/>
    <n v="18"/>
    <n v="45"/>
    <n v="33"/>
    <n v="15"/>
  </r>
  <r>
    <s v="L'Oreal"/>
    <x v="1"/>
    <x v="1"/>
    <x v="1"/>
    <x v="6"/>
    <n v="7896014184545"/>
    <x v="47"/>
    <x v="246"/>
    <x v="19"/>
    <n v="135"/>
    <n v="255"/>
    <n v="30"/>
    <n v="174"/>
    <n v="30"/>
    <n v="180"/>
    <n v="147"/>
    <n v="126"/>
    <n v="141"/>
    <n v="87"/>
    <n v="234"/>
    <n v="78"/>
    <n v="117"/>
    <n v="36"/>
    <n v="108"/>
    <n v="69"/>
    <n v="72"/>
    <n v="102"/>
    <n v="51"/>
    <n v="87"/>
    <n v="102"/>
    <n v="39"/>
    <n v="69"/>
    <n v="102"/>
    <n v="60"/>
    <n v="132"/>
    <n v="120"/>
    <n v="135"/>
    <n v="81"/>
    <n v="84"/>
    <n v="102"/>
    <n v="93"/>
    <n v="54"/>
    <n v="120"/>
    <n v="141"/>
    <n v="204"/>
    <n v="39"/>
    <n v="78"/>
    <n v="72"/>
    <n v="69"/>
    <n v="126"/>
    <n v="108"/>
  </r>
  <r>
    <s v="L'Oreal"/>
    <x v="1"/>
    <x v="1"/>
    <x v="1"/>
    <x v="6"/>
    <n v="7896014184552"/>
    <x v="47"/>
    <x v="247"/>
    <x v="19"/>
    <n v="111"/>
    <n v="210"/>
    <n v="144"/>
    <n v="150"/>
    <n v="102"/>
    <n v="111"/>
    <n v="135"/>
    <n v="111"/>
    <n v="174"/>
    <n v="90"/>
    <n v="165"/>
    <n v="138"/>
    <n v="72"/>
    <n v="27"/>
    <n v="93"/>
    <n v="84"/>
    <n v="78"/>
    <n v="171"/>
    <n v="168"/>
    <n v="81"/>
    <n v="105"/>
    <n v="42"/>
    <n v="129"/>
    <n v="66"/>
    <n v="99"/>
    <n v="141"/>
    <n v="87"/>
    <n v="90"/>
    <n v="79"/>
    <n v="84"/>
    <n v="108"/>
    <n v="86"/>
    <n v="51"/>
    <n v="111"/>
    <n v="138"/>
    <n v="240"/>
    <n v="57"/>
    <n v="72"/>
    <n v="72"/>
    <n v="105"/>
    <n v="162"/>
    <n v="72"/>
  </r>
  <r>
    <s v="L'Oreal"/>
    <x v="1"/>
    <x v="1"/>
    <x v="1"/>
    <x v="6"/>
    <n v="7896014184569"/>
    <x v="47"/>
    <x v="248"/>
    <x v="19"/>
    <n v="69"/>
    <n v="111"/>
    <n v="51"/>
    <n v="21"/>
    <n v="54"/>
    <n v="84"/>
    <n v="72"/>
    <n v="51"/>
    <n v="66"/>
    <n v="39"/>
    <n v="48"/>
    <n v="75"/>
    <n v="54"/>
    <n v="30"/>
    <n v="45"/>
    <n v="24"/>
    <n v="12"/>
    <n v="102"/>
    <n v="57"/>
    <n v="9"/>
    <n v="33"/>
    <n v="6"/>
    <n v="12"/>
    <n v="0"/>
    <n v="3"/>
    <n v="105"/>
    <n v="24"/>
    <n v="84"/>
    <n v="36"/>
    <n v="48"/>
    <n v="72"/>
    <n v="51"/>
    <n v="69"/>
    <n v="39"/>
    <n v="90"/>
    <n v="171"/>
    <n v="3"/>
    <n v="9"/>
    <n v="3"/>
    <n v="39"/>
    <n v="78"/>
    <n v="18"/>
  </r>
  <r>
    <s v="L'Oreal"/>
    <x v="1"/>
    <x v="1"/>
    <x v="1"/>
    <x v="6"/>
    <n v="7896014187997"/>
    <x v="47"/>
    <x v="249"/>
    <x v="19"/>
    <n v="249"/>
    <n v="516"/>
    <n v="213"/>
    <n v="0"/>
    <n v="297"/>
    <n v="453"/>
    <n v="309"/>
    <n v="306"/>
    <n v="318"/>
    <n v="210"/>
    <n v="468"/>
    <n v="180"/>
    <n v="216"/>
    <n v="222"/>
    <n v="318"/>
    <n v="138"/>
    <n v="483"/>
    <n v="168"/>
    <n v="156"/>
    <n v="309"/>
    <n v="408"/>
    <n v="144"/>
    <n v="216"/>
    <n v="147"/>
    <n v="312"/>
    <n v="255"/>
    <n v="246"/>
    <n v="222"/>
    <n v="171"/>
    <n v="363"/>
    <n v="231"/>
    <n v="204"/>
    <n v="234"/>
    <n v="303"/>
    <n v="258"/>
    <n v="405"/>
    <n v="237"/>
    <n v="165"/>
    <n v="159"/>
    <n v="273"/>
    <n v="323"/>
    <n v="252"/>
  </r>
  <r>
    <s v="L'Oreal"/>
    <x v="1"/>
    <x v="1"/>
    <x v="1"/>
    <x v="6"/>
    <n v="7896014188000"/>
    <x v="47"/>
    <x v="250"/>
    <x v="19"/>
    <n v="98"/>
    <n v="216"/>
    <n v="87"/>
    <n v="177"/>
    <n v="81"/>
    <n v="144"/>
    <n v="105"/>
    <n v="105"/>
    <n v="138"/>
    <n v="27"/>
    <n v="162"/>
    <n v="153"/>
    <n v="87"/>
    <n v="66"/>
    <n v="81"/>
    <n v="39"/>
    <n v="33"/>
    <n v="135"/>
    <n v="57"/>
    <n v="93"/>
    <n v="75"/>
    <n v="66"/>
    <n v="83"/>
    <n v="123"/>
    <n v="75"/>
    <n v="147"/>
    <n v="72"/>
    <n v="111"/>
    <n v="120"/>
    <n v="117"/>
    <n v="105"/>
    <n v="98"/>
    <n v="156"/>
    <n v="159"/>
    <n v="144"/>
    <n v="243"/>
    <n v="102"/>
    <n v="59"/>
    <n v="93"/>
    <n v="111"/>
    <n v="160"/>
    <n v="102"/>
  </r>
  <r>
    <s v="L'Oreal"/>
    <x v="1"/>
    <x v="1"/>
    <x v="1"/>
    <x v="6"/>
    <n v="7896014188017"/>
    <x v="47"/>
    <x v="251"/>
    <x v="19"/>
    <n v="378"/>
    <n v="513"/>
    <n v="354"/>
    <n v="531"/>
    <n v="162"/>
    <n v="477"/>
    <n v="396"/>
    <n v="453"/>
    <n v="402"/>
    <n v="249"/>
    <n v="465"/>
    <n v="333"/>
    <n v="294"/>
    <n v="210"/>
    <n v="444"/>
    <n v="243"/>
    <n v="474"/>
    <n v="300"/>
    <n v="315"/>
    <n v="330"/>
    <n v="450"/>
    <n v="126"/>
    <n v="300"/>
    <n v="212"/>
    <n v="363"/>
    <n v="336"/>
    <n v="198"/>
    <n v="363"/>
    <n v="282"/>
    <n v="315"/>
    <n v="366"/>
    <n v="279"/>
    <n v="300"/>
    <n v="312"/>
    <n v="363"/>
    <n v="450"/>
    <n v="321"/>
    <n v="222"/>
    <n v="270"/>
    <n v="318"/>
    <n v="355"/>
    <n v="261"/>
  </r>
  <r>
    <s v="L'Oreal"/>
    <x v="1"/>
    <x v="1"/>
    <x v="1"/>
    <x v="6"/>
    <n v="7896014188031"/>
    <x v="47"/>
    <x v="252"/>
    <x v="19"/>
    <n v="228"/>
    <n v="420"/>
    <n v="216"/>
    <n v="0"/>
    <n v="327"/>
    <n v="381"/>
    <n v="264"/>
    <n v="342"/>
    <n v="252"/>
    <n v="213"/>
    <n v="333"/>
    <n v="255"/>
    <n v="243"/>
    <n v="162"/>
    <n v="279"/>
    <n v="201"/>
    <n v="339"/>
    <n v="291"/>
    <n v="180"/>
    <n v="243"/>
    <n v="312"/>
    <n v="0"/>
    <n v="255"/>
    <n v="189"/>
    <n v="333"/>
    <n v="177"/>
    <n v="177"/>
    <n v="234"/>
    <n v="142"/>
    <n v="204"/>
    <n v="215"/>
    <n v="213"/>
    <n v="171"/>
    <n v="264"/>
    <n v="246"/>
    <n v="387"/>
    <n v="168"/>
    <n v="126"/>
    <n v="132"/>
    <n v="183"/>
    <n v="246"/>
    <n v="255"/>
  </r>
  <r>
    <s v="L'Oreal"/>
    <x v="1"/>
    <x v="1"/>
    <x v="1"/>
    <x v="6"/>
    <n v="7899026496507"/>
    <x v="47"/>
    <x v="253"/>
    <x v="19"/>
    <n v="96"/>
    <n v="195"/>
    <n v="57"/>
    <n v="204"/>
    <n v="36"/>
    <n v="156"/>
    <n v="66"/>
    <n v="117"/>
    <n v="117"/>
    <n v="54"/>
    <n v="195"/>
    <n v="132"/>
    <n v="162"/>
    <n v="30"/>
    <n v="60"/>
    <n v="51"/>
    <n v="54"/>
    <n v="72"/>
    <n v="93"/>
    <n v="102"/>
    <n v="138"/>
    <n v="48"/>
    <n v="150"/>
    <n v="124"/>
    <n v="90"/>
    <n v="69"/>
    <n v="111"/>
    <n v="78"/>
    <n v="84"/>
    <n v="105"/>
    <n v="123"/>
    <n v="78"/>
    <n v="93"/>
    <n v="111"/>
    <n v="117"/>
    <n v="249"/>
    <n v="84"/>
    <n v="81"/>
    <n v="105"/>
    <n v="87"/>
    <n v="147"/>
    <n v="94"/>
  </r>
  <r>
    <s v="L'Oreal"/>
    <x v="1"/>
    <x v="1"/>
    <x v="1"/>
    <x v="6"/>
    <n v="7899026496514"/>
    <x v="47"/>
    <x v="254"/>
    <x v="19"/>
    <n v="0"/>
    <n v="0"/>
    <n v="9"/>
    <n v="195"/>
    <n v="81"/>
    <n v="162"/>
    <n v="207"/>
    <n v="1"/>
    <n v="246"/>
    <n v="72"/>
    <n v="135"/>
    <n v="216"/>
    <n v="126"/>
    <n v="72"/>
    <n v="96"/>
    <n v="54"/>
    <n v="0"/>
    <n v="129"/>
    <n v="72"/>
    <n v="30"/>
    <n v="42"/>
    <n v="228"/>
    <n v="60"/>
    <n v="30"/>
    <n v="60"/>
    <n v="45"/>
    <n v="15"/>
    <n v="108"/>
    <n v="69"/>
    <n v="102"/>
    <n v="27"/>
    <n v="39"/>
    <n v="0"/>
    <n v="0"/>
    <n v="0"/>
    <n v="0"/>
    <n v="0"/>
    <n v="0"/>
    <n v="0"/>
    <n v="138"/>
    <n v="159"/>
    <n v="45"/>
  </r>
  <r>
    <s v="L'Oreal"/>
    <x v="1"/>
    <x v="1"/>
    <x v="1"/>
    <x v="6"/>
    <n v="7899706135887"/>
    <x v="47"/>
    <x v="255"/>
    <x v="19"/>
    <n v="6"/>
    <n v="75"/>
    <n v="12"/>
    <n v="27"/>
    <n v="66"/>
    <n v="39"/>
    <n v="12"/>
    <n v="27"/>
    <n v="54"/>
    <n v="24"/>
    <n v="84"/>
    <n v="33"/>
    <n v="24"/>
    <n v="30"/>
    <n v="42"/>
    <n v="6"/>
    <n v="9"/>
    <n v="27"/>
    <n v="0"/>
    <n v="12"/>
    <n v="48"/>
    <n v="0"/>
    <n v="48"/>
    <n v="75"/>
    <n v="12"/>
    <n v="108"/>
    <n v="18"/>
    <n v="48"/>
    <n v="15"/>
    <n v="36"/>
    <n v="33"/>
    <n v="15"/>
    <n v="18"/>
    <n v="9"/>
    <n v="78"/>
    <n v="180"/>
    <n v="36"/>
    <n v="27"/>
    <n v="21"/>
    <n v="45"/>
    <n v="48"/>
    <n v="114"/>
  </r>
  <r>
    <s v="L'Oreal"/>
    <x v="1"/>
    <x v="1"/>
    <x v="1"/>
    <x v="7"/>
    <n v="7509552828894"/>
    <x v="48"/>
    <x v="256"/>
    <x v="19"/>
    <n v="762"/>
    <n v="966"/>
    <n v="792"/>
    <n v="222"/>
    <n v="654"/>
    <n v="708"/>
    <n v="510"/>
    <n v="780"/>
    <n v="586"/>
    <n v="360"/>
    <n v="552"/>
    <n v="702"/>
    <n v="630"/>
    <n v="600"/>
    <n v="456"/>
    <n v="438"/>
    <n v="479"/>
    <n v="870"/>
    <n v="222"/>
    <n v="606"/>
    <n v="606"/>
    <n v="108"/>
    <n v="414"/>
    <n v="378"/>
    <n v="798"/>
    <n v="126"/>
    <n v="0"/>
    <n v="1500"/>
    <n v="54"/>
    <n v="378"/>
    <n v="366"/>
    <n v="396"/>
    <n v="384"/>
    <n v="648"/>
    <n v="522"/>
    <n v="654"/>
    <n v="384"/>
    <n v="312"/>
    <n v="822"/>
    <n v="480"/>
    <n v="522"/>
    <n v="414"/>
  </r>
  <r>
    <s v="L'Oreal"/>
    <x v="1"/>
    <x v="1"/>
    <x v="1"/>
    <x v="7"/>
    <n v="7898587770651"/>
    <x v="48"/>
    <x v="257"/>
    <x v="19"/>
    <n v="390"/>
    <n v="450"/>
    <n v="390"/>
    <n v="258"/>
    <n v="294"/>
    <n v="444"/>
    <n v="208"/>
    <n v="216"/>
    <n v="330"/>
    <n v="168"/>
    <n v="348"/>
    <n v="312"/>
    <n v="366"/>
    <n v="270"/>
    <n v="366"/>
    <n v="186"/>
    <n v="234"/>
    <n v="288"/>
    <n v="306"/>
    <n v="258"/>
    <n v="378"/>
    <n v="42"/>
    <n v="168"/>
    <n v="180"/>
    <n v="222"/>
    <n v="18"/>
    <n v="0"/>
    <n v="906"/>
    <n v="102"/>
    <n v="120"/>
    <n v="306"/>
    <n v="234"/>
    <n v="306"/>
    <n v="312"/>
    <n v="258"/>
    <n v="534"/>
    <n v="306"/>
    <n v="156"/>
    <n v="342"/>
    <n v="396"/>
    <n v="408"/>
    <n v="312"/>
  </r>
  <r>
    <s v="L'Oreal"/>
    <x v="1"/>
    <x v="1"/>
    <x v="1"/>
    <x v="7"/>
    <n v="7898587770668"/>
    <x v="48"/>
    <x v="258"/>
    <x v="19"/>
    <n v="990"/>
    <n v="834"/>
    <n v="1026"/>
    <n v="270"/>
    <n v="606"/>
    <n v="714"/>
    <n v="456"/>
    <n v="726"/>
    <n v="588"/>
    <n v="456"/>
    <n v="792"/>
    <n v="564"/>
    <n v="570"/>
    <n v="690"/>
    <n v="624"/>
    <n v="480"/>
    <n v="720"/>
    <n v="894"/>
    <n v="282"/>
    <n v="510"/>
    <n v="912"/>
    <n v="132"/>
    <n v="408"/>
    <n v="354"/>
    <n v="636"/>
    <n v="42"/>
    <n v="0"/>
    <n v="1026"/>
    <n v="648"/>
    <n v="450"/>
    <n v="510"/>
    <n v="558"/>
    <n v="462"/>
    <n v="762"/>
    <n v="474"/>
    <n v="696"/>
    <n v="708"/>
    <n v="468"/>
    <n v="720"/>
    <n v="756"/>
    <n v="738"/>
    <n v="690"/>
  </r>
  <r>
    <s v="L'Oreal"/>
    <x v="1"/>
    <x v="1"/>
    <x v="1"/>
    <x v="7"/>
    <n v="7898587770699"/>
    <x v="48"/>
    <x v="259"/>
    <x v="19"/>
    <n v="330"/>
    <n v="606"/>
    <n v="516"/>
    <n v="306"/>
    <n v="378"/>
    <n v="534"/>
    <n v="204"/>
    <n v="432"/>
    <n v="288"/>
    <n v="270"/>
    <n v="330"/>
    <n v="372"/>
    <n v="414"/>
    <n v="390"/>
    <n v="294"/>
    <n v="234"/>
    <n v="504"/>
    <n v="318"/>
    <n v="42"/>
    <n v="126"/>
    <n v="444"/>
    <n v="138"/>
    <n v="186"/>
    <n v="276"/>
    <n v="252"/>
    <n v="66"/>
    <n v="0"/>
    <n v="647"/>
    <n v="162"/>
    <n v="192"/>
    <n v="186"/>
    <n v="186"/>
    <n v="294"/>
    <n v="252"/>
    <n v="264"/>
    <n v="600"/>
    <n v="408"/>
    <n v="654"/>
    <n v="678"/>
    <n v="372"/>
    <n v="490"/>
    <n v="492"/>
  </r>
  <r>
    <s v="L'Oreal"/>
    <x v="1"/>
    <x v="1"/>
    <x v="1"/>
    <x v="7"/>
    <n v="7898587770705"/>
    <x v="48"/>
    <x v="260"/>
    <x v="19"/>
    <n v="690"/>
    <n v="828"/>
    <n v="714"/>
    <n v="348"/>
    <n v="630"/>
    <n v="720"/>
    <n v="462"/>
    <n v="654"/>
    <n v="504"/>
    <n v="372"/>
    <n v="720"/>
    <n v="582"/>
    <n v="582"/>
    <n v="558"/>
    <n v="712"/>
    <n v="426"/>
    <n v="918"/>
    <n v="972"/>
    <n v="234"/>
    <n v="438"/>
    <n v="624"/>
    <n v="114"/>
    <n v="390"/>
    <n v="240"/>
    <n v="648"/>
    <n v="156"/>
    <n v="0"/>
    <n v="1032"/>
    <n v="120"/>
    <n v="468"/>
    <n v="360"/>
    <n v="378"/>
    <n v="438"/>
    <n v="588"/>
    <n v="408"/>
    <n v="684"/>
    <n v="660"/>
    <n v="348"/>
    <n v="696"/>
    <n v="504"/>
    <n v="594"/>
    <n v="432"/>
  </r>
  <r>
    <s v="L'Oreal"/>
    <x v="1"/>
    <x v="1"/>
    <x v="1"/>
    <x v="7"/>
    <n v="7898587775908"/>
    <x v="48"/>
    <x v="261"/>
    <x v="19"/>
    <n v="696"/>
    <n v="726"/>
    <n v="672"/>
    <n v="294"/>
    <n v="540"/>
    <n v="564"/>
    <n v="360"/>
    <n v="498"/>
    <n v="492"/>
    <n v="288"/>
    <n v="498"/>
    <n v="426"/>
    <n v="510"/>
    <n v="396"/>
    <n v="504"/>
    <n v="408"/>
    <n v="606"/>
    <n v="624"/>
    <n v="216"/>
    <n v="324"/>
    <n v="660"/>
    <n v="12"/>
    <n v="444"/>
    <n v="354"/>
    <n v="444"/>
    <n v="0"/>
    <n v="0"/>
    <n v="1242"/>
    <n v="138"/>
    <n v="294"/>
    <n v="312"/>
    <n v="366"/>
    <n v="300"/>
    <n v="504"/>
    <n v="396"/>
    <n v="630"/>
    <n v="426"/>
    <n v="246"/>
    <n v="354"/>
    <n v="653"/>
    <n v="558"/>
    <n v="456"/>
  </r>
  <r>
    <s v="L'Oreal"/>
    <x v="1"/>
    <x v="1"/>
    <x v="1"/>
    <x v="7"/>
    <n v="7898587775922"/>
    <x v="48"/>
    <x v="262"/>
    <x v="19"/>
    <n v="384"/>
    <n v="378"/>
    <n v="252"/>
    <n v="222"/>
    <n v="360"/>
    <n v="438"/>
    <n v="222"/>
    <n v="288"/>
    <n v="330"/>
    <n v="180"/>
    <n v="348"/>
    <n v="252"/>
    <n v="318"/>
    <n v="258"/>
    <n v="306"/>
    <n v="216"/>
    <n v="186"/>
    <n v="384"/>
    <n v="288"/>
    <n v="258"/>
    <n v="336"/>
    <n v="24"/>
    <n v="240"/>
    <n v="198"/>
    <n v="304"/>
    <n v="270"/>
    <n v="144"/>
    <n v="432"/>
    <n v="264"/>
    <n v="204"/>
    <n v="234"/>
    <n v="288"/>
    <n v="312"/>
    <n v="204"/>
    <n v="354"/>
    <n v="450"/>
    <n v="420"/>
    <n v="204"/>
    <n v="420"/>
    <n v="462"/>
    <n v="300"/>
    <n v="276"/>
  </r>
  <r>
    <s v="L'Oreal"/>
    <x v="1"/>
    <x v="1"/>
    <x v="1"/>
    <x v="7"/>
    <n v="7898587775939"/>
    <x v="48"/>
    <x v="263"/>
    <x v="19"/>
    <n v="606"/>
    <n v="654"/>
    <n v="384"/>
    <n v="366"/>
    <n v="540"/>
    <n v="630"/>
    <n v="396"/>
    <n v="462"/>
    <n v="402"/>
    <n v="324"/>
    <n v="498"/>
    <n v="402"/>
    <n v="516"/>
    <n v="504"/>
    <n v="582"/>
    <n v="276"/>
    <n v="324"/>
    <n v="600"/>
    <n v="276"/>
    <n v="510"/>
    <n v="588"/>
    <n v="180"/>
    <n v="462"/>
    <n v="426"/>
    <n v="240"/>
    <n v="12"/>
    <n v="0"/>
    <n v="1578"/>
    <n v="228"/>
    <n v="294"/>
    <n v="456"/>
    <n v="480"/>
    <n v="450"/>
    <n v="564"/>
    <n v="540"/>
    <n v="594"/>
    <n v="552"/>
    <n v="390"/>
    <n v="690"/>
    <n v="624"/>
    <n v="714"/>
    <n v="486"/>
  </r>
  <r>
    <s v="L'Oreal"/>
    <x v="1"/>
    <x v="1"/>
    <x v="1"/>
    <x v="7"/>
    <n v="7898587775946"/>
    <x v="48"/>
    <x v="264"/>
    <x v="19"/>
    <n v="948"/>
    <n v="1026"/>
    <n v="1080"/>
    <n v="294"/>
    <n v="816"/>
    <n v="1002"/>
    <n v="558"/>
    <n v="906"/>
    <n v="714"/>
    <n v="576"/>
    <n v="888"/>
    <n v="672"/>
    <n v="882"/>
    <n v="618"/>
    <n v="888"/>
    <n v="492"/>
    <n v="1104"/>
    <n v="936"/>
    <n v="300"/>
    <n v="534"/>
    <n v="786"/>
    <n v="108"/>
    <n v="318"/>
    <n v="474"/>
    <n v="744"/>
    <n v="48"/>
    <n v="0"/>
    <n v="1854"/>
    <n v="324"/>
    <n v="372"/>
    <n v="504"/>
    <n v="600"/>
    <n v="564"/>
    <n v="684"/>
    <n v="528"/>
    <n v="1080"/>
    <n v="618"/>
    <n v="504"/>
    <n v="762"/>
    <n v="660"/>
    <n v="574"/>
    <n v="636"/>
  </r>
  <r>
    <s v="L'Oreal"/>
    <x v="1"/>
    <x v="1"/>
    <x v="1"/>
    <x v="7"/>
    <n v="7899026462533"/>
    <x v="48"/>
    <x v="265"/>
    <x v="19"/>
    <n v="1500"/>
    <n v="1410"/>
    <n v="1746"/>
    <n v="528"/>
    <n v="1152"/>
    <n v="1434"/>
    <n v="774"/>
    <n v="1176"/>
    <n v="1104"/>
    <n v="726"/>
    <n v="1212"/>
    <n v="1176"/>
    <n v="1170"/>
    <n v="1056"/>
    <n v="1536"/>
    <n v="828"/>
    <n v="1710"/>
    <n v="1644"/>
    <n v="504"/>
    <n v="1056"/>
    <n v="1518"/>
    <n v="90"/>
    <n v="786"/>
    <n v="558"/>
    <n v="1194"/>
    <n v="780"/>
    <n v="672"/>
    <n v="948"/>
    <n v="810"/>
    <n v="972"/>
    <n v="618"/>
    <n v="1078"/>
    <n v="882"/>
    <n v="1080"/>
    <n v="822"/>
    <n v="1506"/>
    <n v="960"/>
    <n v="738"/>
    <n v="1494"/>
    <n v="1158"/>
    <n v="1314"/>
    <n v="1110"/>
  </r>
  <r>
    <s v="L'Oreal"/>
    <x v="1"/>
    <x v="1"/>
    <x v="1"/>
    <x v="7"/>
    <n v="7899026462540"/>
    <x v="48"/>
    <x v="266"/>
    <x v="19"/>
    <n v="654"/>
    <n v="834"/>
    <n v="594"/>
    <n v="336"/>
    <n v="570"/>
    <n v="737"/>
    <n v="486"/>
    <n v="564"/>
    <n v="570"/>
    <n v="340"/>
    <n v="558"/>
    <n v="420"/>
    <n v="504"/>
    <n v="480"/>
    <n v="480"/>
    <n v="330"/>
    <n v="354"/>
    <n v="660"/>
    <n v="228"/>
    <n v="420"/>
    <n v="642"/>
    <n v="72"/>
    <n v="420"/>
    <n v="270"/>
    <n v="384"/>
    <n v="408"/>
    <n v="360"/>
    <n v="648"/>
    <n v="250"/>
    <n v="444"/>
    <n v="330"/>
    <n v="444"/>
    <n v="438"/>
    <n v="510"/>
    <n v="348"/>
    <n v="612"/>
    <n v="576"/>
    <n v="312"/>
    <n v="684"/>
    <n v="504"/>
    <n v="684"/>
    <n v="540"/>
  </r>
  <r>
    <s v="L'Oreal"/>
    <x v="1"/>
    <x v="1"/>
    <x v="1"/>
    <x v="7"/>
    <n v="7899026462557"/>
    <x v="48"/>
    <x v="267"/>
    <x v="19"/>
    <n v="1020"/>
    <n v="1074"/>
    <n v="1242"/>
    <n v="384"/>
    <n v="912"/>
    <n v="1182"/>
    <n v="612"/>
    <n v="744"/>
    <n v="798"/>
    <n v="618"/>
    <n v="924"/>
    <n v="678"/>
    <n v="828"/>
    <n v="702"/>
    <n v="876"/>
    <n v="570"/>
    <n v="1278"/>
    <n v="1278"/>
    <n v="420"/>
    <n v="738"/>
    <n v="1110"/>
    <n v="120"/>
    <n v="468"/>
    <n v="414"/>
    <n v="882"/>
    <n v="534"/>
    <n v="300"/>
    <n v="1092"/>
    <n v="618"/>
    <n v="780"/>
    <n v="642"/>
    <n v="858"/>
    <n v="720"/>
    <n v="996"/>
    <n v="654"/>
    <n v="516"/>
    <n v="1218"/>
    <n v="534"/>
    <n v="1062"/>
    <n v="948"/>
    <n v="1032"/>
    <n v="672"/>
  </r>
  <r>
    <s v="L'Oreal"/>
    <x v="1"/>
    <x v="1"/>
    <x v="1"/>
    <x v="7"/>
    <n v="7899026462564"/>
    <x v="48"/>
    <x v="268"/>
    <x v="19"/>
    <n v="186"/>
    <n v="540"/>
    <n v="0"/>
    <n v="510"/>
    <n v="396"/>
    <n v="528"/>
    <n v="276"/>
    <n v="270"/>
    <n v="486"/>
    <n v="222"/>
    <n v="426"/>
    <n v="276"/>
    <n v="336"/>
    <n v="282"/>
    <n v="312"/>
    <n v="234"/>
    <n v="282"/>
    <n v="504"/>
    <n v="414"/>
    <n v="294"/>
    <n v="420"/>
    <n v="66"/>
    <n v="222"/>
    <n v="312"/>
    <n v="504"/>
    <n v="210"/>
    <n v="252"/>
    <n v="450"/>
    <n v="184"/>
    <n v="384"/>
    <n v="264"/>
    <n v="348"/>
    <n v="288"/>
    <n v="498"/>
    <n v="366"/>
    <n v="384"/>
    <n v="600"/>
    <n v="246"/>
    <n v="384"/>
    <n v="384"/>
    <n v="636"/>
    <n v="372"/>
  </r>
  <r>
    <s v="L'Oreal"/>
    <x v="1"/>
    <x v="1"/>
    <x v="1"/>
    <x v="7"/>
    <n v="7899026462571"/>
    <x v="48"/>
    <x v="269"/>
    <x v="19"/>
    <n v="1032"/>
    <n v="1194"/>
    <n v="1338"/>
    <n v="354"/>
    <n v="834"/>
    <n v="1344"/>
    <n v="630"/>
    <n v="888"/>
    <n v="774"/>
    <n v="588"/>
    <n v="852"/>
    <n v="678"/>
    <n v="816"/>
    <n v="780"/>
    <n v="1002"/>
    <n v="690"/>
    <n v="1584"/>
    <n v="1272"/>
    <n v="330"/>
    <n v="654"/>
    <n v="1080"/>
    <n v="102"/>
    <n v="420"/>
    <n v="462"/>
    <n v="750"/>
    <n v="564"/>
    <n v="132"/>
    <n v="66"/>
    <n v="1242"/>
    <n v="1014"/>
    <n v="252"/>
    <n v="1050"/>
    <n v="654"/>
    <n v="696"/>
    <n v="1014"/>
    <n v="1284"/>
    <n v="936"/>
    <n v="660"/>
    <n v="876"/>
    <n v="930"/>
    <n v="1062"/>
    <n v="774"/>
  </r>
  <r>
    <s v="L'Oreal"/>
    <x v="1"/>
    <x v="1"/>
    <x v="1"/>
    <x v="7"/>
    <n v="7899026462588"/>
    <x v="48"/>
    <x v="270"/>
    <x v="19"/>
    <n v="408"/>
    <n v="408"/>
    <n v="306"/>
    <n v="276"/>
    <n v="294"/>
    <n v="426"/>
    <n v="246"/>
    <n v="288"/>
    <n v="354"/>
    <n v="204"/>
    <n v="282"/>
    <n v="270"/>
    <n v="234"/>
    <n v="216"/>
    <n v="288"/>
    <n v="138"/>
    <n v="216"/>
    <n v="558"/>
    <n v="108"/>
    <n v="198"/>
    <n v="366"/>
    <n v="60"/>
    <n v="138"/>
    <n v="162"/>
    <n v="198"/>
    <n v="132"/>
    <n v="186"/>
    <n v="504"/>
    <n v="190"/>
    <n v="216"/>
    <n v="234"/>
    <n v="276"/>
    <n v="228"/>
    <n v="330"/>
    <n v="354"/>
    <n v="276"/>
    <n v="486"/>
    <n v="276"/>
    <n v="294"/>
    <n v="372"/>
    <n v="408"/>
    <n v="276"/>
  </r>
  <r>
    <s v="L'Oreal"/>
    <x v="1"/>
    <x v="1"/>
    <x v="1"/>
    <x v="7"/>
    <n v="7899026462595"/>
    <x v="48"/>
    <x v="269"/>
    <x v="19"/>
    <n v="342"/>
    <n v="492"/>
    <n v="276"/>
    <n v="114"/>
    <n v="312"/>
    <n v="432"/>
    <n v="108"/>
    <n v="318"/>
    <n v="246"/>
    <n v="138"/>
    <n v="198"/>
    <n v="276"/>
    <n v="402"/>
    <n v="246"/>
    <n v="270"/>
    <n v="84"/>
    <n v="72"/>
    <n v="390"/>
    <n v="6"/>
    <n v="168"/>
    <n v="276"/>
    <n v="96"/>
    <n v="210"/>
    <n v="114"/>
    <n v="306"/>
    <n v="102"/>
    <n v="126"/>
    <n v="438"/>
    <n v="72"/>
    <n v="138"/>
    <n v="114"/>
    <n v="162"/>
    <n v="210"/>
    <n v="270"/>
    <n v="210"/>
    <n v="432"/>
    <n v="162"/>
    <n v="192"/>
    <n v="294"/>
    <n v="336"/>
    <n v="270"/>
    <n v="180"/>
  </r>
  <r>
    <s v="L'Oreal"/>
    <x v="1"/>
    <x v="1"/>
    <x v="1"/>
    <x v="7"/>
    <n v="7899026462601"/>
    <x v="48"/>
    <x v="271"/>
    <x v="19"/>
    <n v="1416"/>
    <n v="1548"/>
    <n v="1986"/>
    <n v="444"/>
    <n v="1194"/>
    <n v="1584"/>
    <n v="930"/>
    <n v="1248"/>
    <n v="1020"/>
    <n v="840"/>
    <n v="1248"/>
    <n v="996"/>
    <n v="1194"/>
    <n v="1032"/>
    <n v="1668"/>
    <n v="822"/>
    <n v="1596"/>
    <n v="1458"/>
    <n v="462"/>
    <n v="930"/>
    <n v="1452"/>
    <n v="132"/>
    <n v="684"/>
    <n v="582"/>
    <n v="1458"/>
    <n v="336"/>
    <n v="0"/>
    <n v="2334"/>
    <n v="660"/>
    <n v="1218"/>
    <n v="324"/>
    <n v="1224"/>
    <n v="936"/>
    <n v="1002"/>
    <n v="1092"/>
    <n v="1554"/>
    <n v="1152"/>
    <n v="924"/>
    <n v="1476"/>
    <n v="1338"/>
    <n v="1134"/>
    <n v="1140"/>
  </r>
  <r>
    <s v="L'Oreal"/>
    <x v="1"/>
    <x v="1"/>
    <x v="1"/>
    <x v="7"/>
    <n v="7899026462618"/>
    <x v="48"/>
    <x v="272"/>
    <x v="19"/>
    <n v="797"/>
    <n v="690"/>
    <n v="882"/>
    <n v="282"/>
    <n v="660"/>
    <n v="948"/>
    <n v="384"/>
    <n v="714"/>
    <n v="564"/>
    <n v="324"/>
    <n v="630"/>
    <n v="438"/>
    <n v="654"/>
    <n v="510"/>
    <n v="696"/>
    <n v="384"/>
    <n v="954"/>
    <n v="498"/>
    <n v="342"/>
    <n v="642"/>
    <n v="834"/>
    <n v="150"/>
    <n v="618"/>
    <n v="396"/>
    <n v="240"/>
    <n v="6"/>
    <n v="0"/>
    <n v="2052"/>
    <n v="174"/>
    <n v="396"/>
    <n v="588"/>
    <n v="732"/>
    <n v="644"/>
    <n v="732"/>
    <n v="708"/>
    <n v="810"/>
    <n v="672"/>
    <n v="492"/>
    <n v="828"/>
    <n v="738"/>
    <n v="780"/>
    <n v="642"/>
  </r>
  <r>
    <s v="L'Oreal"/>
    <x v="1"/>
    <x v="1"/>
    <x v="1"/>
    <x v="7"/>
    <n v="7899026462625"/>
    <x v="48"/>
    <x v="273"/>
    <x v="19"/>
    <n v="1404"/>
    <n v="1866"/>
    <n v="1944"/>
    <n v="606"/>
    <n v="1164"/>
    <n v="1668"/>
    <n v="978"/>
    <n v="1290"/>
    <n v="1104"/>
    <n v="900"/>
    <n v="1068"/>
    <n v="1008"/>
    <n v="1152"/>
    <n v="1044"/>
    <n v="1440"/>
    <n v="984"/>
    <n v="1884"/>
    <n v="1638"/>
    <n v="588"/>
    <n v="876"/>
    <n v="1560"/>
    <n v="102"/>
    <n v="588"/>
    <n v="594"/>
    <n v="1224"/>
    <n v="318"/>
    <n v="0"/>
    <n v="2940"/>
    <n v="402"/>
    <n v="1110"/>
    <n v="498"/>
    <n v="1158"/>
    <n v="1092"/>
    <n v="1014"/>
    <n v="1008"/>
    <n v="1590"/>
    <n v="1290"/>
    <n v="834"/>
    <n v="1410"/>
    <n v="1224"/>
    <n v="1398"/>
    <n v="1122"/>
  </r>
  <r>
    <s v="L'Oreal"/>
    <x v="1"/>
    <x v="1"/>
    <x v="1"/>
    <x v="7"/>
    <n v="7899026462632"/>
    <x v="48"/>
    <x v="274"/>
    <x v="19"/>
    <n v="510"/>
    <n v="540"/>
    <n v="468"/>
    <n v="270"/>
    <n v="396"/>
    <n v="774"/>
    <n v="258"/>
    <n v="426"/>
    <n v="402"/>
    <n v="360"/>
    <n v="420"/>
    <n v="384"/>
    <n v="450"/>
    <n v="366"/>
    <n v="426"/>
    <n v="264"/>
    <n v="702"/>
    <n v="504"/>
    <n v="144"/>
    <n v="312"/>
    <n v="540"/>
    <n v="42"/>
    <n v="324"/>
    <n v="306"/>
    <n v="444"/>
    <n v="198"/>
    <n v="0"/>
    <n v="984"/>
    <n v="192"/>
    <n v="306"/>
    <n v="288"/>
    <n v="372"/>
    <n v="396"/>
    <n v="228"/>
    <n v="474"/>
    <n v="504"/>
    <n v="510"/>
    <n v="342"/>
    <n v="450"/>
    <n v="486"/>
    <n v="444"/>
    <n v="396"/>
  </r>
  <r>
    <s v="L'Oreal"/>
    <x v="1"/>
    <x v="1"/>
    <x v="1"/>
    <x v="7"/>
    <n v="7899026462649"/>
    <x v="48"/>
    <x v="275"/>
    <x v="19"/>
    <n v="276"/>
    <n v="684"/>
    <n v="282"/>
    <n v="246"/>
    <n v="282"/>
    <n v="678"/>
    <n v="174"/>
    <n v="480"/>
    <n v="354"/>
    <n v="384"/>
    <n v="312"/>
    <n v="282"/>
    <n v="552"/>
    <n v="306"/>
    <n v="528"/>
    <n v="180"/>
    <n v="480"/>
    <n v="450"/>
    <n v="336"/>
    <n v="216"/>
    <n v="462"/>
    <n v="42"/>
    <n v="210"/>
    <n v="282"/>
    <n v="402"/>
    <n v="72"/>
    <n v="0"/>
    <n v="606"/>
    <n v="222"/>
    <n v="246"/>
    <n v="156"/>
    <n v="252"/>
    <n v="282"/>
    <n v="348"/>
    <n v="174"/>
    <n v="654"/>
    <n v="246"/>
    <n v="216"/>
    <n v="450"/>
    <n v="198"/>
    <n v="276"/>
    <n v="216"/>
  </r>
  <r>
    <s v="L'Oreal"/>
    <x v="1"/>
    <x v="1"/>
    <x v="1"/>
    <x v="7"/>
    <n v="7899026462656"/>
    <x v="48"/>
    <x v="276"/>
    <x v="19"/>
    <n v="696"/>
    <n v="1218"/>
    <n v="696"/>
    <n v="438"/>
    <n v="702"/>
    <n v="1020"/>
    <n v="462"/>
    <n v="990"/>
    <n v="792"/>
    <n v="360"/>
    <n v="654"/>
    <n v="816"/>
    <n v="1194"/>
    <n v="618"/>
    <n v="1080"/>
    <n v="420"/>
    <n v="1506"/>
    <n v="1182"/>
    <n v="156"/>
    <n v="276"/>
    <n v="360"/>
    <n v="150"/>
    <n v="288"/>
    <n v="420"/>
    <n v="888"/>
    <n v="666"/>
    <n v="48"/>
    <n v="684"/>
    <n v="528"/>
    <n v="714"/>
    <n v="390"/>
    <n v="474"/>
    <n v="492"/>
    <n v="660"/>
    <n v="534"/>
    <n v="1140"/>
    <n v="648"/>
    <n v="426"/>
    <n v="882"/>
    <n v="546"/>
    <n v="678"/>
    <n v="492"/>
  </r>
  <r>
    <s v="L'Oreal"/>
    <x v="1"/>
    <x v="1"/>
    <x v="1"/>
    <x v="7"/>
    <n v="7899026462670"/>
    <x v="48"/>
    <x v="277"/>
    <x v="19"/>
    <n v="1686"/>
    <n v="2022"/>
    <n v="2304"/>
    <n v="642"/>
    <n v="1326"/>
    <n v="1878"/>
    <n v="1002"/>
    <n v="1470"/>
    <n v="1290"/>
    <n v="1008"/>
    <n v="1410"/>
    <n v="1182"/>
    <n v="1260"/>
    <n v="1134"/>
    <n v="2034"/>
    <n v="1020"/>
    <n v="1890"/>
    <n v="1962"/>
    <n v="618"/>
    <n v="1062"/>
    <n v="1728"/>
    <n v="258"/>
    <n v="858"/>
    <n v="684"/>
    <n v="1374"/>
    <n v="930"/>
    <n v="2400"/>
    <n v="681"/>
    <n v="570"/>
    <n v="750"/>
    <n v="906"/>
    <n v="1158"/>
    <n v="1152"/>
    <n v="1404"/>
    <n v="1074"/>
    <n v="1716"/>
    <n v="1356"/>
    <n v="954"/>
    <n v="1458"/>
    <n v="1206"/>
    <n v="1296"/>
    <n v="1146"/>
  </r>
  <r>
    <s v="L'Oreal"/>
    <x v="1"/>
    <x v="1"/>
    <x v="1"/>
    <x v="7"/>
    <n v="7899026462687"/>
    <x v="48"/>
    <x v="278"/>
    <x v="19"/>
    <n v="1290"/>
    <n v="1968"/>
    <n v="1824"/>
    <n v="582"/>
    <n v="1308"/>
    <n v="1752"/>
    <n v="843"/>
    <n v="1464"/>
    <n v="1290"/>
    <n v="834"/>
    <n v="1356"/>
    <n v="1170"/>
    <n v="1368"/>
    <n v="990"/>
    <n v="1812"/>
    <n v="780"/>
    <n v="1842"/>
    <n v="1482"/>
    <n v="438"/>
    <n v="942"/>
    <n v="1536"/>
    <n v="246"/>
    <n v="630"/>
    <n v="438"/>
    <n v="1368"/>
    <n v="234"/>
    <n v="0"/>
    <n v="2832"/>
    <n v="468"/>
    <n v="984"/>
    <n v="804"/>
    <n v="840"/>
    <n v="822"/>
    <n v="1032"/>
    <n v="864"/>
    <n v="1506"/>
    <n v="1056"/>
    <n v="798"/>
    <n v="1524"/>
    <n v="1096"/>
    <n v="1200"/>
    <n v="1152"/>
  </r>
  <r>
    <s v="L'Oreal"/>
    <x v="1"/>
    <x v="1"/>
    <x v="1"/>
    <x v="7"/>
    <n v="7899026462694"/>
    <x v="48"/>
    <x v="279"/>
    <x v="19"/>
    <n v="498"/>
    <n v="522"/>
    <n v="510"/>
    <n v="264"/>
    <n v="372"/>
    <n v="486"/>
    <n v="288"/>
    <n v="360"/>
    <n v="330"/>
    <n v="168"/>
    <n v="366"/>
    <n v="234"/>
    <n v="366"/>
    <n v="342"/>
    <n v="312"/>
    <n v="198"/>
    <n v="276"/>
    <n v="588"/>
    <n v="144"/>
    <n v="228"/>
    <n v="312"/>
    <n v="82"/>
    <n v="246"/>
    <n v="192"/>
    <n v="414"/>
    <n v="78"/>
    <n v="0"/>
    <n v="630"/>
    <n v="150"/>
    <n v="186"/>
    <n v="198"/>
    <n v="246"/>
    <n v="258"/>
    <n v="360"/>
    <n v="300"/>
    <n v="396"/>
    <n v="318"/>
    <n v="282"/>
    <n v="288"/>
    <n v="234"/>
    <n v="341"/>
    <n v="336"/>
  </r>
  <r>
    <s v="L'Oreal"/>
    <x v="1"/>
    <x v="1"/>
    <x v="1"/>
    <x v="7"/>
    <n v="7899026462717"/>
    <x v="48"/>
    <x v="280"/>
    <x v="19"/>
    <n v="558"/>
    <n v="462"/>
    <n v="546"/>
    <n v="240"/>
    <n v="390"/>
    <n v="522"/>
    <n v="210"/>
    <n v="474"/>
    <n v="366"/>
    <n v="198"/>
    <n v="396"/>
    <n v="288"/>
    <n v="372"/>
    <n v="294"/>
    <n v="240"/>
    <n v="198"/>
    <n v="216"/>
    <n v="552"/>
    <n v="132"/>
    <n v="252"/>
    <n v="378"/>
    <n v="18"/>
    <n v="258"/>
    <n v="84"/>
    <n v="342"/>
    <n v="246"/>
    <n v="240"/>
    <n v="522"/>
    <n v="198"/>
    <n v="138"/>
    <n v="174"/>
    <n v="246"/>
    <n v="192"/>
    <n v="276"/>
    <n v="210"/>
    <n v="450"/>
    <n v="270"/>
    <n v="202"/>
    <n v="288"/>
    <n v="285"/>
    <n v="374"/>
    <n v="324"/>
  </r>
  <r>
    <s v="L'Oreal"/>
    <x v="1"/>
    <x v="1"/>
    <x v="1"/>
    <x v="7"/>
    <n v="7899026462724"/>
    <x v="48"/>
    <x v="281"/>
    <x v="19"/>
    <n v="948"/>
    <n v="786"/>
    <n v="780"/>
    <n v="396"/>
    <n v="618"/>
    <n v="978"/>
    <n v="390"/>
    <n v="774"/>
    <n v="654"/>
    <n v="390"/>
    <n v="600"/>
    <n v="480"/>
    <n v="630"/>
    <n v="503"/>
    <n v="534"/>
    <n v="306"/>
    <n v="996"/>
    <n v="696"/>
    <n v="234"/>
    <n v="546"/>
    <n v="762"/>
    <n v="84"/>
    <n v="252"/>
    <n v="222"/>
    <n v="642"/>
    <n v="384"/>
    <n v="480"/>
    <n v="618"/>
    <n v="330"/>
    <n v="378"/>
    <n v="330"/>
    <n v="462"/>
    <n v="390"/>
    <n v="552"/>
    <n v="516"/>
    <n v="666"/>
    <n v="504"/>
    <n v="438"/>
    <n v="558"/>
    <n v="516"/>
    <n v="492"/>
    <n v="450"/>
  </r>
  <r>
    <s v="L'Oreal"/>
    <x v="1"/>
    <x v="1"/>
    <x v="1"/>
    <x v="8"/>
    <n v="7501027207258"/>
    <x v="49"/>
    <x v="282"/>
    <x v="20"/>
    <n v="261"/>
    <n v="384"/>
    <n v="201"/>
    <n v="273"/>
    <n v="354"/>
    <n v="339"/>
    <n v="216"/>
    <n v="372"/>
    <n v="276"/>
    <n v="174"/>
    <n v="414"/>
    <n v="231"/>
    <n v="180"/>
    <n v="351"/>
    <n v="417"/>
    <n v="213"/>
    <n v="195"/>
    <n v="354"/>
    <n v="81"/>
    <n v="153"/>
    <n v="534"/>
    <n v="12"/>
    <n v="390"/>
    <n v="84"/>
    <n v="72"/>
    <n v="126"/>
    <n v="168"/>
    <n v="360"/>
    <n v="129"/>
    <n v="321"/>
    <n v="108"/>
    <n v="0"/>
    <n v="306"/>
    <n v="300"/>
    <n v="456"/>
    <n v="204"/>
    <n v="216"/>
    <n v="201"/>
    <n v="126"/>
    <n v="429"/>
    <n v="324"/>
    <n v="96"/>
  </r>
  <r>
    <s v="L'Oreal"/>
    <x v="1"/>
    <x v="1"/>
    <x v="1"/>
    <x v="8"/>
    <n v="7501027235367"/>
    <x v="49"/>
    <x v="283"/>
    <x v="20"/>
    <n v="126"/>
    <n v="291"/>
    <n v="186"/>
    <n v="321"/>
    <n v="135"/>
    <n v="369"/>
    <n v="138"/>
    <n v="225"/>
    <n v="252"/>
    <n v="153"/>
    <n v="276"/>
    <n v="183"/>
    <n v="105"/>
    <n v="207"/>
    <n v="318"/>
    <n v="168"/>
    <n v="129"/>
    <n v="105"/>
    <n v="57"/>
    <n v="129"/>
    <n v="354"/>
    <n v="24"/>
    <n v="114"/>
    <n v="42"/>
    <n v="153"/>
    <n v="107"/>
    <n v="81"/>
    <n v="237"/>
    <n v="210"/>
    <n v="204"/>
    <n v="0"/>
    <n v="54"/>
    <n v="0"/>
    <n v="108"/>
    <n v="249"/>
    <n v="279"/>
    <n v="333"/>
    <n v="132"/>
    <n v="105"/>
    <n v="318"/>
    <n v="255"/>
    <n v="108"/>
  </r>
  <r>
    <s v="L'Oreal"/>
    <x v="1"/>
    <x v="1"/>
    <x v="1"/>
    <x v="8"/>
    <n v="7501027275042"/>
    <x v="49"/>
    <x v="284"/>
    <x v="20"/>
    <n v="396"/>
    <n v="711"/>
    <n v="627"/>
    <n v="489"/>
    <n v="381"/>
    <n v="834"/>
    <n v="417"/>
    <n v="570"/>
    <n v="630"/>
    <n v="344"/>
    <n v="645"/>
    <n v="324"/>
    <n v="390"/>
    <n v="570"/>
    <n v="963"/>
    <n v="603"/>
    <n v="523"/>
    <n v="849"/>
    <n v="69"/>
    <n v="447"/>
    <n v="876"/>
    <n v="90"/>
    <n v="246"/>
    <n v="159"/>
    <n v="66"/>
    <n v="414"/>
    <n v="135"/>
    <n v="306"/>
    <n v="141"/>
    <n v="0"/>
    <n v="567"/>
    <n v="300"/>
    <n v="276"/>
    <n v="579"/>
    <n v="333"/>
    <n v="564"/>
    <n v="153"/>
    <n v="225"/>
    <n v="192"/>
    <n v="444"/>
    <n v="236"/>
    <n v="252"/>
  </r>
  <r>
    <s v="L'Oreal"/>
    <x v="1"/>
    <x v="1"/>
    <x v="1"/>
    <x v="8"/>
    <n v="7501027275080"/>
    <x v="49"/>
    <x v="285"/>
    <x v="20"/>
    <n v="480"/>
    <n v="1122"/>
    <n v="1062"/>
    <n v="720"/>
    <n v="501"/>
    <n v="1050"/>
    <n v="516"/>
    <n v="594"/>
    <n v="720"/>
    <n v="525"/>
    <n v="933"/>
    <n v="486"/>
    <n v="600"/>
    <n v="663"/>
    <n v="1173"/>
    <n v="783"/>
    <n v="360"/>
    <n v="1413"/>
    <n v="150"/>
    <n v="612"/>
    <n v="1164"/>
    <n v="138"/>
    <n v="393"/>
    <n v="222"/>
    <n v="237"/>
    <n v="552"/>
    <n v="9"/>
    <n v="618"/>
    <n v="312"/>
    <n v="720"/>
    <n v="246"/>
    <n v="261"/>
    <n v="0"/>
    <n v="690"/>
    <n v="813"/>
    <n v="690"/>
    <n v="276"/>
    <n v="321"/>
    <n v="315"/>
    <n v="567"/>
    <n v="465"/>
    <n v="312"/>
  </r>
  <r>
    <s v="L'Oreal"/>
    <x v="1"/>
    <x v="1"/>
    <x v="1"/>
    <x v="8"/>
    <n v="7501027275097"/>
    <x v="49"/>
    <x v="286"/>
    <x v="20"/>
    <n v="285"/>
    <n v="285"/>
    <n v="306"/>
    <n v="228"/>
    <n v="291"/>
    <n v="309"/>
    <n v="264"/>
    <n v="252"/>
    <n v="249"/>
    <n v="165"/>
    <n v="384"/>
    <n v="207"/>
    <n v="123"/>
    <n v="333"/>
    <n v="339"/>
    <n v="207"/>
    <n v="201"/>
    <n v="243"/>
    <n v="105"/>
    <n v="195"/>
    <n v="408"/>
    <n v="96"/>
    <n v="234"/>
    <n v="111"/>
    <n v="42"/>
    <n v="96"/>
    <n v="156"/>
    <n v="156"/>
    <n v="87"/>
    <n v="258"/>
    <n v="72"/>
    <n v="165"/>
    <n v="108"/>
    <n v="177"/>
    <n v="294"/>
    <n v="384"/>
    <n v="102"/>
    <n v="150"/>
    <n v="90"/>
    <n v="351"/>
    <n v="153"/>
    <n v="60"/>
  </r>
  <r>
    <s v="L'Oreal"/>
    <x v="1"/>
    <x v="1"/>
    <x v="1"/>
    <x v="8"/>
    <n v="7501027275127"/>
    <x v="49"/>
    <x v="287"/>
    <x v="20"/>
    <n v="594"/>
    <n v="1140"/>
    <n v="1152"/>
    <n v="615"/>
    <n v="516"/>
    <n v="1008"/>
    <n v="528"/>
    <n v="708"/>
    <n v="675"/>
    <n v="621"/>
    <n v="957"/>
    <n v="495"/>
    <n v="531"/>
    <n v="729"/>
    <n v="1104"/>
    <n v="1104"/>
    <n v="342"/>
    <n v="1044"/>
    <n v="306"/>
    <n v="639"/>
    <n v="1239"/>
    <n v="186"/>
    <n v="387"/>
    <n v="369"/>
    <n v="207"/>
    <n v="636"/>
    <n v="360"/>
    <n v="513"/>
    <n v="546"/>
    <n v="1035"/>
    <n v="403"/>
    <n v="222"/>
    <n v="0"/>
    <n v="966"/>
    <n v="645"/>
    <n v="987"/>
    <n v="246"/>
    <n v="309"/>
    <n v="465"/>
    <n v="738"/>
    <n v="369"/>
    <n v="330"/>
  </r>
  <r>
    <s v="L'Oreal"/>
    <x v="1"/>
    <x v="1"/>
    <x v="1"/>
    <x v="8"/>
    <n v="7501027275134"/>
    <x v="49"/>
    <x v="288"/>
    <x v="20"/>
    <n v="249"/>
    <n v="417"/>
    <n v="267"/>
    <n v="363"/>
    <n v="210"/>
    <n v="462"/>
    <n v="213"/>
    <n v="264"/>
    <n v="294"/>
    <n v="186"/>
    <n v="444"/>
    <n v="216"/>
    <n v="174"/>
    <n v="306"/>
    <n v="465"/>
    <n v="255"/>
    <n v="219"/>
    <n v="318"/>
    <n v="111"/>
    <n v="126"/>
    <n v="471"/>
    <n v="123"/>
    <n v="282"/>
    <n v="186"/>
    <n v="132"/>
    <n v="252"/>
    <n v="60"/>
    <n v="255"/>
    <n v="162"/>
    <n v="246"/>
    <n v="147"/>
    <n v="144"/>
    <n v="255"/>
    <n v="414"/>
    <n v="174"/>
    <n v="165"/>
    <n v="423"/>
    <n v="279"/>
    <n v="129"/>
    <n v="327"/>
    <n v="273"/>
    <n v="96"/>
  </r>
  <r>
    <s v="L'Oreal"/>
    <x v="1"/>
    <x v="1"/>
    <x v="1"/>
    <x v="8"/>
    <n v="7501027275172"/>
    <x v="49"/>
    <x v="289"/>
    <x v="20"/>
    <n v="303"/>
    <n v="510"/>
    <n v="504"/>
    <n v="237"/>
    <n v="393"/>
    <n v="519"/>
    <n v="267"/>
    <n v="399"/>
    <n v="396"/>
    <n v="195"/>
    <n v="474"/>
    <n v="345"/>
    <n v="327"/>
    <n v="378"/>
    <n v="417"/>
    <n v="354"/>
    <n v="174"/>
    <n v="549"/>
    <n v="150"/>
    <n v="192"/>
    <n v="516"/>
    <n v="315"/>
    <n v="216"/>
    <n v="105"/>
    <n v="54"/>
    <n v="279"/>
    <n v="165"/>
    <n v="374"/>
    <n v="162"/>
    <n v="354"/>
    <n v="112"/>
    <n v="276"/>
    <n v="138"/>
    <n v="0"/>
    <n v="747"/>
    <n v="468"/>
    <n v="153"/>
    <n v="372"/>
    <n v="189"/>
    <n v="486"/>
    <n v="123"/>
    <n v="204"/>
  </r>
  <r>
    <s v="L'Oreal"/>
    <x v="1"/>
    <x v="1"/>
    <x v="1"/>
    <x v="8"/>
    <n v="7501027275226"/>
    <x v="49"/>
    <x v="290"/>
    <x v="20"/>
    <n v="270"/>
    <n v="411"/>
    <n v="363"/>
    <n v="300"/>
    <n v="342"/>
    <n v="444"/>
    <n v="204"/>
    <n v="372"/>
    <n v="324"/>
    <n v="177"/>
    <n v="459"/>
    <n v="234"/>
    <n v="237"/>
    <n v="417"/>
    <n v="915"/>
    <n v="486"/>
    <n v="525"/>
    <n v="930"/>
    <n v="81"/>
    <n v="336"/>
    <n v="543"/>
    <n v="87"/>
    <n v="288"/>
    <n v="147"/>
    <n v="42"/>
    <n v="210"/>
    <n v="198"/>
    <n v="372"/>
    <n v="69"/>
    <n v="462"/>
    <n v="138"/>
    <n v="318"/>
    <n v="147"/>
    <n v="255"/>
    <n v="429"/>
    <n v="456"/>
    <n v="186"/>
    <n v="228"/>
    <n v="165"/>
    <n v="528"/>
    <n v="201"/>
    <n v="219"/>
  </r>
  <r>
    <s v="L'Oreal"/>
    <x v="1"/>
    <x v="1"/>
    <x v="1"/>
    <x v="8"/>
    <n v="7501027275295"/>
    <x v="49"/>
    <x v="291"/>
    <x v="20"/>
    <n v="189"/>
    <n v="333"/>
    <n v="171"/>
    <n v="342"/>
    <n v="147"/>
    <n v="372"/>
    <n v="153"/>
    <n v="216"/>
    <n v="240"/>
    <n v="219"/>
    <n v="414"/>
    <n v="270"/>
    <n v="51"/>
    <n v="198"/>
    <n v="333"/>
    <n v="156"/>
    <n v="102"/>
    <n v="267"/>
    <n v="102"/>
    <n v="78"/>
    <n v="309"/>
    <n v="27"/>
    <n v="66"/>
    <n v="66"/>
    <n v="141"/>
    <n v="186"/>
    <n v="0"/>
    <n v="33"/>
    <n v="219"/>
    <n v="283"/>
    <n v="57"/>
    <n v="141"/>
    <n v="60"/>
    <n v="84"/>
    <n v="228"/>
    <n v="195"/>
    <n v="114"/>
    <n v="132"/>
    <n v="57"/>
    <n v="302"/>
    <n v="183"/>
    <n v="108"/>
  </r>
  <r>
    <s v="L'Oreal"/>
    <x v="1"/>
    <x v="1"/>
    <x v="1"/>
    <x v="8"/>
    <n v="7501027275301"/>
    <x v="49"/>
    <x v="292"/>
    <x v="20"/>
    <n v="1026"/>
    <n v="1260"/>
    <n v="1956"/>
    <n v="777"/>
    <n v="759"/>
    <n v="1218"/>
    <n v="864"/>
    <n v="1122"/>
    <n v="972"/>
    <n v="807"/>
    <n v="1308"/>
    <n v="747"/>
    <n v="906"/>
    <n v="1005"/>
    <n v="1791"/>
    <n v="1377"/>
    <n v="381"/>
    <n v="1389"/>
    <n v="576"/>
    <n v="747"/>
    <n v="1726"/>
    <n v="240"/>
    <n v="675"/>
    <n v="348"/>
    <n v="360"/>
    <n v="711"/>
    <n v="462"/>
    <n v="393"/>
    <n v="885"/>
    <n v="1179"/>
    <n v="306"/>
    <n v="45"/>
    <n v="774"/>
    <n v="372"/>
    <n v="894"/>
    <n v="1002"/>
    <n v="915"/>
    <n v="640"/>
    <n v="696"/>
    <n v="1173"/>
    <n v="657"/>
    <n v="543"/>
  </r>
  <r>
    <s v="L'Oreal"/>
    <x v="1"/>
    <x v="1"/>
    <x v="1"/>
    <x v="8"/>
    <n v="7506078917491"/>
    <x v="49"/>
    <x v="293"/>
    <x v="20"/>
    <n v="171"/>
    <n v="204"/>
    <n v="201"/>
    <n v="111"/>
    <n v="141"/>
    <n v="288"/>
    <n v="138"/>
    <n v="132"/>
    <n v="174"/>
    <n v="135"/>
    <n v="102"/>
    <n v="207"/>
    <n v="129"/>
    <n v="102"/>
    <n v="261"/>
    <n v="48"/>
    <n v="51"/>
    <n v="279"/>
    <n v="12"/>
    <n v="63"/>
    <n v="180"/>
    <n v="123"/>
    <n v="39"/>
    <n v="90"/>
    <n v="54"/>
    <n v="117"/>
    <n v="141"/>
    <n v="0"/>
    <n v="0"/>
    <n v="231"/>
    <n v="0"/>
    <n v="135"/>
    <n v="132"/>
    <n v="138"/>
    <n v="174"/>
    <n v="243"/>
    <n v="63"/>
    <n v="90"/>
    <n v="45"/>
    <n v="99"/>
    <n v="276"/>
    <n v="120"/>
  </r>
  <r>
    <s v="L'Oreal"/>
    <x v="1"/>
    <x v="1"/>
    <x v="1"/>
    <x v="8"/>
    <n v="7506078921603"/>
    <x v="49"/>
    <x v="294"/>
    <x v="20"/>
    <n v="330"/>
    <n v="375"/>
    <n v="342"/>
    <n v="408"/>
    <n v="192"/>
    <n v="378"/>
    <n v="324"/>
    <n v="369"/>
    <n v="260"/>
    <n v="132"/>
    <n v="396"/>
    <n v="222"/>
    <n v="165"/>
    <n v="291"/>
    <n v="459"/>
    <n v="264"/>
    <n v="366"/>
    <n v="486"/>
    <n v="168"/>
    <n v="63"/>
    <n v="342"/>
    <n v="0"/>
    <n v="468"/>
    <n v="66"/>
    <n v="120"/>
    <n v="0"/>
    <n v="276"/>
    <n v="383"/>
    <n v="288"/>
    <n v="481"/>
    <n v="108"/>
    <n v="300"/>
    <n v="222"/>
    <n v="351"/>
    <n v="333"/>
    <n v="432"/>
    <n v="39"/>
    <n v="99"/>
    <n v="198"/>
    <n v="525"/>
    <n v="228"/>
    <n v="174"/>
  </r>
  <r>
    <s v="L'Oreal"/>
    <x v="1"/>
    <x v="1"/>
    <x v="1"/>
    <x v="8"/>
    <n v="7506078935488"/>
    <x v="49"/>
    <x v="295"/>
    <x v="20"/>
    <n v="294"/>
    <n v="390"/>
    <n v="342"/>
    <n v="255"/>
    <n v="357"/>
    <n v="435"/>
    <n v="336"/>
    <n v="327"/>
    <n v="336"/>
    <n v="150"/>
    <n v="498"/>
    <n v="222"/>
    <n v="183"/>
    <n v="387"/>
    <n v="690"/>
    <n v="534"/>
    <n v="168"/>
    <n v="549"/>
    <n v="33"/>
    <n v="222"/>
    <n v="453"/>
    <n v="21"/>
    <n v="267"/>
    <n v="189"/>
    <n v="90"/>
    <n v="135"/>
    <n v="102"/>
    <n v="270"/>
    <n v="144"/>
    <n v="261"/>
    <n v="123"/>
    <n v="150"/>
    <n v="192"/>
    <n v="207"/>
    <n v="357"/>
    <n v="480"/>
    <n v="141"/>
    <n v="123"/>
    <n v="132"/>
    <n v="351"/>
    <n v="294"/>
    <n v="117"/>
  </r>
  <r>
    <s v="L'Oreal"/>
    <x v="1"/>
    <x v="1"/>
    <x v="1"/>
    <x v="8"/>
    <n v="7506078935501"/>
    <x v="49"/>
    <x v="296"/>
    <x v="20"/>
    <n v="252"/>
    <n v="405"/>
    <n v="432"/>
    <n v="387"/>
    <n v="240"/>
    <n v="462"/>
    <n v="336"/>
    <n v="429"/>
    <n v="315"/>
    <n v="177"/>
    <n v="408"/>
    <n v="228"/>
    <n v="210"/>
    <n v="345"/>
    <n v="684"/>
    <n v="522"/>
    <n v="42"/>
    <n v="687"/>
    <n v="27"/>
    <n v="315"/>
    <n v="447"/>
    <n v="21"/>
    <n v="222"/>
    <n v="189"/>
    <n v="57"/>
    <n v="123"/>
    <n v="83"/>
    <n v="255"/>
    <n v="117"/>
    <n v="216"/>
    <n v="60"/>
    <n v="162"/>
    <n v="135"/>
    <n v="267"/>
    <n v="270"/>
    <n v="66"/>
    <n v="231"/>
    <n v="142"/>
    <n v="75"/>
    <n v="285"/>
    <n v="279"/>
    <n v="75"/>
  </r>
  <r>
    <s v="L'Oreal"/>
    <x v="1"/>
    <x v="1"/>
    <x v="1"/>
    <x v="8"/>
    <n v="7506078935907"/>
    <x v="49"/>
    <x v="297"/>
    <x v="20"/>
    <n v="321"/>
    <n v="534"/>
    <n v="351"/>
    <n v="402"/>
    <n v="270"/>
    <n v="540"/>
    <n v="396"/>
    <n v="417"/>
    <n v="447"/>
    <n v="204"/>
    <n v="639"/>
    <n v="333"/>
    <n v="153"/>
    <n v="411"/>
    <n v="897"/>
    <n v="474"/>
    <n v="498"/>
    <n v="1203"/>
    <n v="36"/>
    <n v="288"/>
    <n v="570"/>
    <n v="105"/>
    <n v="219"/>
    <n v="144"/>
    <n v="204"/>
    <n v="318"/>
    <n v="216"/>
    <n v="300"/>
    <n v="183"/>
    <n v="324"/>
    <n v="126"/>
    <n v="210"/>
    <n v="291"/>
    <n v="285"/>
    <n v="414"/>
    <n v="480"/>
    <n v="153"/>
    <n v="201"/>
    <n v="165"/>
    <n v="444"/>
    <n v="243"/>
    <n v="117"/>
  </r>
  <r>
    <s v="L'Oreal"/>
    <x v="1"/>
    <x v="1"/>
    <x v="1"/>
    <x v="8"/>
    <n v="7509552791778"/>
    <x v="49"/>
    <x v="298"/>
    <x v="20"/>
    <n v="0"/>
    <n v="0"/>
    <n v="0"/>
    <n v="0"/>
    <n v="0"/>
    <n v="0"/>
    <n v="0"/>
    <n v="9"/>
    <n v="6"/>
    <n v="246"/>
    <n v="468"/>
    <n v="57"/>
    <n v="51"/>
    <n v="57"/>
    <n v="150"/>
    <n v="18"/>
    <n v="90"/>
    <n v="63"/>
    <n v="27"/>
    <n v="18"/>
    <n v="96"/>
    <n v="30"/>
    <n v="54"/>
    <n v="12"/>
    <n v="102"/>
    <n v="33"/>
    <n v="3"/>
    <n v="0"/>
    <n v="0"/>
    <n v="3"/>
    <n v="0"/>
    <n v="0"/>
    <n v="0"/>
    <n v="0"/>
    <n v="0"/>
    <n v="0"/>
    <n v="0"/>
    <n v="0"/>
    <n v="0"/>
    <n v="0"/>
    <n v="0"/>
    <n v="0"/>
  </r>
  <r>
    <s v="L'Oreal"/>
    <x v="1"/>
    <x v="1"/>
    <x v="1"/>
    <x v="8"/>
    <n v="7509552841831"/>
    <x v="49"/>
    <x v="299"/>
    <x v="19"/>
    <n v="42"/>
    <n v="117"/>
    <n v="42"/>
    <n v="48"/>
    <n v="36"/>
    <n v="156"/>
    <n v="42"/>
    <n v="51"/>
    <n v="33"/>
    <n v="21"/>
    <n v="69"/>
    <n v="57"/>
    <n v="66"/>
    <n v="36"/>
    <n v="48"/>
    <n v="9"/>
    <n v="3"/>
    <n v="72"/>
    <n v="2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8"/>
    <n v="7509552844443"/>
    <x v="49"/>
    <x v="300"/>
    <x v="20"/>
    <n v="228"/>
    <n v="174"/>
    <n v="180"/>
    <n v="204"/>
    <n v="141"/>
    <n v="228"/>
    <n v="42"/>
    <n v="111"/>
    <n v="222"/>
    <n v="72"/>
    <n v="138"/>
    <n v="78"/>
    <n v="30"/>
    <n v="144"/>
    <n v="138"/>
    <n v="84"/>
    <n v="72"/>
    <n v="48"/>
    <n v="39"/>
    <n v="3"/>
    <n v="120"/>
    <n v="105"/>
    <n v="27"/>
    <n v="120"/>
    <n v="12"/>
    <n v="111"/>
    <n v="57"/>
    <n v="60"/>
    <n v="51"/>
    <n v="72"/>
    <n v="123"/>
    <n v="45"/>
    <n v="48"/>
    <n v="78"/>
    <n v="36"/>
    <n v="12"/>
    <n v="9"/>
    <n v="18"/>
    <n v="30"/>
    <n v="24"/>
    <n v="39"/>
    <n v="0"/>
  </r>
  <r>
    <s v="L'Oreal"/>
    <x v="1"/>
    <x v="1"/>
    <x v="1"/>
    <x v="8"/>
    <n v="7509552844450"/>
    <x v="49"/>
    <x v="301"/>
    <x v="20"/>
    <n v="234"/>
    <n v="306"/>
    <n v="303"/>
    <n v="93"/>
    <n v="231"/>
    <n v="186"/>
    <n v="117"/>
    <n v="162"/>
    <n v="198"/>
    <n v="57"/>
    <n v="135"/>
    <n v="63"/>
    <n v="39"/>
    <n v="144"/>
    <n v="189"/>
    <n v="123"/>
    <n v="6"/>
    <n v="96"/>
    <n v="48"/>
    <n v="111"/>
    <n v="168"/>
    <n v="0"/>
    <n v="84"/>
    <n v="96"/>
    <n v="78"/>
    <n v="96"/>
    <n v="57"/>
    <n v="141"/>
    <n v="42"/>
    <n v="123"/>
    <n v="69"/>
    <n v="66"/>
    <n v="48"/>
    <n v="60"/>
    <n v="99"/>
    <n v="258"/>
    <n v="54"/>
    <n v="78"/>
    <n v="66"/>
    <n v="189"/>
    <n v="105"/>
    <n v="69"/>
  </r>
  <r>
    <s v="L'Oreal"/>
    <x v="1"/>
    <x v="1"/>
    <x v="1"/>
    <x v="8"/>
    <n v="7509552844467"/>
    <x v="49"/>
    <x v="302"/>
    <x v="20"/>
    <n v="249"/>
    <n v="210"/>
    <n v="237"/>
    <n v="102"/>
    <n v="225"/>
    <n v="186"/>
    <n v="81"/>
    <n v="120"/>
    <n v="174"/>
    <n v="51"/>
    <n v="174"/>
    <n v="72"/>
    <n v="84"/>
    <n v="150"/>
    <n v="189"/>
    <n v="96"/>
    <n v="66"/>
    <n v="144"/>
    <n v="66"/>
    <n v="135"/>
    <n v="222"/>
    <n v="15"/>
    <n v="66"/>
    <n v="51"/>
    <n v="90"/>
    <n v="90"/>
    <n v="60"/>
    <n v="114"/>
    <n v="57"/>
    <n v="108"/>
    <n v="60"/>
    <n v="72"/>
    <n v="69"/>
    <n v="111"/>
    <n v="159"/>
    <n v="0"/>
    <n v="204"/>
    <n v="90"/>
    <n v="120"/>
    <n v="159"/>
    <n v="45"/>
    <n v="69"/>
  </r>
  <r>
    <s v="L'Oreal"/>
    <x v="1"/>
    <x v="1"/>
    <x v="1"/>
    <x v="8"/>
    <n v="7509552844474"/>
    <x v="49"/>
    <x v="303"/>
    <x v="20"/>
    <n v="153"/>
    <n v="204"/>
    <n v="234"/>
    <n v="126"/>
    <n v="216"/>
    <n v="159"/>
    <n v="99"/>
    <n v="177"/>
    <n v="165"/>
    <n v="48"/>
    <n v="135"/>
    <n v="69"/>
    <n v="30"/>
    <n v="114"/>
    <n v="162"/>
    <n v="90"/>
    <n v="60"/>
    <n v="96"/>
    <n v="60"/>
    <n v="120"/>
    <n v="129"/>
    <n v="3"/>
    <n v="30"/>
    <n v="51"/>
    <n v="102"/>
    <n v="75"/>
    <n v="78"/>
    <n v="189"/>
    <n v="15"/>
    <n v="171"/>
    <n v="39"/>
    <n v="60"/>
    <n v="0"/>
    <n v="3"/>
    <n v="192"/>
    <n v="33"/>
    <n v="237"/>
    <n v="99"/>
    <n v="96"/>
    <n v="156"/>
    <n v="120"/>
    <n v="99"/>
  </r>
  <r>
    <s v="L'Oreal"/>
    <x v="1"/>
    <x v="1"/>
    <x v="1"/>
    <x v="8"/>
    <n v="7509552844481"/>
    <x v="49"/>
    <x v="304"/>
    <x v="20"/>
    <n v="240"/>
    <n v="225"/>
    <n v="198"/>
    <n v="186"/>
    <n v="264"/>
    <n v="177"/>
    <n v="117"/>
    <n v="204"/>
    <n v="177"/>
    <n v="69"/>
    <n v="201"/>
    <n v="114"/>
    <n v="36"/>
    <n v="168"/>
    <n v="213"/>
    <n v="96"/>
    <n v="108"/>
    <n v="162"/>
    <n v="66"/>
    <n v="96"/>
    <n v="231"/>
    <n v="27"/>
    <n v="129"/>
    <n v="165"/>
    <n v="3"/>
    <n v="132"/>
    <n v="51"/>
    <n v="126"/>
    <n v="57"/>
    <n v="120"/>
    <n v="42"/>
    <n v="81"/>
    <n v="96"/>
    <n v="66"/>
    <n v="102"/>
    <n v="9"/>
    <n v="117"/>
    <n v="96"/>
    <n v="84"/>
    <n v="123"/>
    <n v="153"/>
    <n v="114"/>
  </r>
  <r>
    <s v="L'Oreal"/>
    <x v="1"/>
    <x v="1"/>
    <x v="1"/>
    <x v="8"/>
    <n v="7509552844498"/>
    <x v="49"/>
    <x v="305"/>
    <x v="20"/>
    <n v="195"/>
    <n v="63"/>
    <n v="0"/>
    <n v="498"/>
    <n v="291"/>
    <n v="228"/>
    <n v="150"/>
    <n v="213"/>
    <n v="222"/>
    <n v="81"/>
    <n v="225"/>
    <n v="138"/>
    <n v="75"/>
    <n v="144"/>
    <n v="216"/>
    <n v="75"/>
    <n v="102"/>
    <n v="177"/>
    <n v="105"/>
    <n v="96"/>
    <n v="219"/>
    <n v="54"/>
    <n v="99"/>
    <n v="159"/>
    <n v="78"/>
    <n v="165"/>
    <n v="54"/>
    <n v="144"/>
    <n v="124"/>
    <n v="147"/>
    <n v="39"/>
    <n v="72"/>
    <n v="60"/>
    <n v="75"/>
    <n v="135"/>
    <n v="156"/>
    <n v="120"/>
    <n v="111"/>
    <n v="111"/>
    <n v="228"/>
    <n v="75"/>
    <n v="39"/>
  </r>
  <r>
    <s v="L'Oreal"/>
    <x v="1"/>
    <x v="1"/>
    <x v="1"/>
    <x v="8"/>
    <n v="7509552844511"/>
    <x v="49"/>
    <x v="306"/>
    <x v="20"/>
    <n v="258"/>
    <n v="0"/>
    <n v="909"/>
    <n v="264"/>
    <n v="201"/>
    <n v="390"/>
    <n v="282"/>
    <n v="138"/>
    <n v="489"/>
    <n v="246"/>
    <n v="429"/>
    <n v="174"/>
    <n v="213"/>
    <n v="288"/>
    <n v="363"/>
    <n v="183"/>
    <n v="207"/>
    <n v="309"/>
    <n v="144"/>
    <n v="207"/>
    <n v="372"/>
    <n v="57"/>
    <n v="144"/>
    <n v="177"/>
    <n v="108"/>
    <n v="0"/>
    <n v="195"/>
    <n v="378"/>
    <n v="117"/>
    <n v="266"/>
    <n v="135"/>
    <n v="150"/>
    <n v="114"/>
    <n v="243"/>
    <n v="234"/>
    <n v="282"/>
    <n v="135"/>
    <n v="198"/>
    <n v="174"/>
    <n v="384"/>
    <n v="222"/>
    <n v="153"/>
  </r>
  <r>
    <s v="L'Oreal"/>
    <x v="1"/>
    <x v="1"/>
    <x v="1"/>
    <x v="8"/>
    <n v="7509552850567"/>
    <x v="49"/>
    <x v="307"/>
    <x v="20"/>
    <n v="525"/>
    <n v="483"/>
    <n v="72"/>
    <n v="67"/>
    <n v="35"/>
    <n v="156"/>
    <n v="18"/>
    <n v="609"/>
    <n v="255"/>
    <n v="99"/>
    <n v="210"/>
    <n v="144"/>
    <n v="129"/>
    <n v="144"/>
    <n v="132"/>
    <n v="78"/>
    <n v="102"/>
    <n v="93"/>
    <n v="90"/>
    <n v="105"/>
    <n v="30"/>
    <n v="9"/>
    <n v="66"/>
    <n v="180"/>
    <n v="63"/>
    <n v="36"/>
    <n v="0"/>
    <n v="0"/>
    <n v="0"/>
    <n v="0"/>
    <n v="0"/>
    <n v="36"/>
    <n v="0"/>
    <n v="0"/>
    <n v="108"/>
    <n v="243"/>
    <n v="54"/>
    <n v="45"/>
    <n v="15"/>
    <n v="15"/>
    <n v="48"/>
    <n v="15"/>
  </r>
  <r>
    <s v="L'Oreal"/>
    <x v="1"/>
    <x v="1"/>
    <x v="1"/>
    <x v="8"/>
    <n v="7509552878196"/>
    <x v="50"/>
    <x v="30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4"/>
    <n v="27"/>
    <n v="234"/>
    <n v="47"/>
    <n v="133"/>
    <n v="111"/>
    <n v="105"/>
    <n v="111"/>
    <n v="52"/>
    <n v="78"/>
    <n v="69"/>
    <n v="198"/>
    <n v="36"/>
    <n v="87"/>
    <n v="48"/>
    <n v="213"/>
    <n v="33"/>
    <n v="126"/>
    <n v="39"/>
    <n v="63"/>
    <n v="168"/>
    <n v="183"/>
    <n v="102"/>
    <n v="39"/>
  </r>
  <r>
    <s v="L'Oreal"/>
    <x v="1"/>
    <x v="1"/>
    <x v="1"/>
    <x v="8"/>
    <n v="7509552878202"/>
    <x v="50"/>
    <x v="30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9"/>
    <n v="60"/>
    <n v="483"/>
    <n v="233"/>
    <n v="582"/>
    <n v="241"/>
    <n v="226"/>
    <n v="312"/>
    <n v="401"/>
    <n v="519"/>
    <n v="268"/>
    <n v="861"/>
    <n v="522"/>
    <n v="84"/>
    <n v="0"/>
    <n v="276"/>
    <n v="949"/>
    <n v="116"/>
    <n v="576"/>
    <n v="504"/>
    <n v="660"/>
    <n v="702"/>
    <n v="385"/>
    <n v="406"/>
  </r>
  <r>
    <s v="L'Oreal"/>
    <x v="1"/>
    <x v="1"/>
    <x v="1"/>
    <x v="8"/>
    <n v="7509552878219"/>
    <x v="50"/>
    <x v="31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7"/>
    <n v="27"/>
    <n v="345"/>
    <n v="104"/>
    <n v="219"/>
    <n v="129"/>
    <n v="209"/>
    <n v="216"/>
    <n v="162"/>
    <n v="327"/>
    <n v="157"/>
    <n v="621"/>
    <n v="174"/>
    <n v="117"/>
    <n v="246"/>
    <n v="196"/>
    <n v="394"/>
    <n v="413"/>
    <n v="156"/>
    <n v="273"/>
    <n v="202"/>
    <n v="448"/>
    <n v="242"/>
    <n v="272"/>
  </r>
  <r>
    <s v="L'Oreal"/>
    <x v="1"/>
    <x v="1"/>
    <x v="1"/>
    <x v="8"/>
    <n v="7509552878226"/>
    <x v="50"/>
    <x v="311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4"/>
    <n v="216"/>
    <n v="110"/>
    <n v="24"/>
    <n v="36"/>
    <n v="39"/>
    <n v="48"/>
    <n v="27"/>
    <n v="10"/>
    <n v="0"/>
    <n v="57"/>
    <n v="18"/>
    <n v="9"/>
    <n v="6"/>
    <n v="15"/>
    <n v="15"/>
    <n v="27"/>
    <n v="12"/>
    <n v="21"/>
    <n v="12"/>
    <n v="90"/>
    <n v="3"/>
    <n v="0"/>
  </r>
  <r>
    <s v="L'Oreal"/>
    <x v="1"/>
    <x v="1"/>
    <x v="1"/>
    <x v="8"/>
    <n v="7509552878233"/>
    <x v="50"/>
    <x v="31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3"/>
    <n v="96"/>
    <n v="497"/>
    <n v="269"/>
    <n v="435"/>
    <n v="265"/>
    <n v="375"/>
    <n v="379"/>
    <n v="-12"/>
    <n v="0"/>
    <n v="0"/>
    <n v="408"/>
    <n v="1050"/>
    <n v="213"/>
    <n v="195"/>
    <n v="243"/>
    <n v="562"/>
    <n v="749"/>
    <n v="213"/>
    <n v="402"/>
    <n v="327"/>
    <n v="663"/>
    <n v="391"/>
    <n v="420"/>
  </r>
  <r>
    <s v="L'Oreal"/>
    <x v="1"/>
    <x v="1"/>
    <x v="1"/>
    <x v="8"/>
    <n v="7509552878240"/>
    <x v="50"/>
    <x v="31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8"/>
    <n v="24"/>
    <n v="252"/>
    <n v="53"/>
    <n v="180"/>
    <n v="114"/>
    <n v="123"/>
    <n v="98"/>
    <n v="116"/>
    <n v="177"/>
    <n v="75"/>
    <n v="347"/>
    <n v="66"/>
    <n v="80"/>
    <n v="93"/>
    <n v="249"/>
    <n v="147"/>
    <n v="243"/>
    <n v="36"/>
    <n v="141"/>
    <n v="135"/>
    <n v="270"/>
    <n v="152"/>
    <n v="90"/>
  </r>
  <r>
    <s v="L'Oreal"/>
    <x v="1"/>
    <x v="1"/>
    <x v="1"/>
    <x v="8"/>
    <n v="7509552878257"/>
    <x v="50"/>
    <x v="31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5"/>
    <n v="60"/>
    <n v="465"/>
    <n v="188"/>
    <n v="342"/>
    <n v="192"/>
    <n v="300"/>
    <n v="276"/>
    <n v="250"/>
    <n v="261"/>
    <n v="186"/>
    <n v="747"/>
    <n v="228"/>
    <n v="265"/>
    <n v="128"/>
    <n v="270"/>
    <n v="516"/>
    <n v="513"/>
    <n v="276"/>
    <n v="417"/>
    <n v="483"/>
    <n v="622"/>
    <n v="307"/>
    <n v="256"/>
  </r>
  <r>
    <s v="L'Oreal"/>
    <x v="1"/>
    <x v="1"/>
    <x v="1"/>
    <x v="8"/>
    <n v="7509552878264"/>
    <x v="50"/>
    <x v="31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2"/>
    <n v="96"/>
    <n v="441"/>
    <n v="497"/>
    <n v="81"/>
    <n v="87"/>
    <n v="381"/>
    <n v="247"/>
    <n v="246"/>
    <n v="348"/>
    <n v="193"/>
    <n v="777"/>
    <n v="237"/>
    <n v="168"/>
    <n v="302"/>
    <n v="345"/>
    <n v="231"/>
    <n v="228"/>
    <n v="511"/>
    <n v="309"/>
    <n v="249"/>
    <n v="432"/>
    <n v="366"/>
    <n v="281"/>
  </r>
  <r>
    <s v="L'Oreal"/>
    <x v="1"/>
    <x v="1"/>
    <x v="1"/>
    <x v="8"/>
    <n v="7509552878271"/>
    <x v="50"/>
    <x v="31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3"/>
    <n v="552"/>
    <n v="375"/>
    <n v="596"/>
    <n v="60"/>
    <n v="57"/>
    <n v="49"/>
    <n v="156"/>
    <n v="132"/>
    <n v="222"/>
    <n v="150"/>
    <n v="395"/>
    <n v="141"/>
    <n v="180"/>
    <n v="191"/>
    <n v="243"/>
    <n v="237"/>
    <n v="282"/>
    <n v="136"/>
    <n v="267"/>
    <n v="243"/>
    <n v="345"/>
    <n v="257"/>
    <n v="71"/>
  </r>
  <r>
    <s v="L'Oreal"/>
    <x v="1"/>
    <x v="1"/>
    <x v="1"/>
    <x v="8"/>
    <n v="7509552909531"/>
    <x v="49"/>
    <x v="317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402"/>
    <n v="49"/>
    <n v="474"/>
    <n v="75"/>
    <n v="243"/>
    <n v="177"/>
    <n v="348"/>
    <n v="279"/>
    <n v="216"/>
    <n v="0"/>
    <n v="0"/>
    <n v="0"/>
    <n v="0"/>
    <n v="0"/>
    <n v="0"/>
  </r>
  <r>
    <s v="L'Oreal"/>
    <x v="1"/>
    <x v="1"/>
    <x v="1"/>
    <x v="8"/>
    <n v="7509552909920"/>
    <x v="49"/>
    <x v="318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822"/>
    <n v="87"/>
    <n v="111"/>
    <n v="112"/>
    <n v="238"/>
    <n v="180"/>
    <n v="204"/>
    <n v="231"/>
    <n v="75"/>
    <n v="60"/>
    <n v="76"/>
    <n v="0"/>
    <n v="0"/>
  </r>
  <r>
    <s v="L'Oreal"/>
    <x v="1"/>
    <x v="1"/>
    <x v="1"/>
    <x v="8"/>
    <n v="7509552910841"/>
    <x v="51"/>
    <x v="319"/>
    <x v="19"/>
    <n v="30"/>
    <n v="96"/>
    <n v="30"/>
    <n v="111"/>
    <n v="93"/>
    <n v="93"/>
    <n v="54"/>
    <n v="102"/>
    <n v="75"/>
    <n v="51"/>
    <n v="96"/>
    <n v="48"/>
    <n v="66"/>
    <n v="63"/>
    <n v="90"/>
    <n v="36"/>
    <n v="27"/>
    <n v="36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8"/>
    <n v="7509552910858"/>
    <x v="51"/>
    <x v="320"/>
    <x v="19"/>
    <n v="45"/>
    <n v="159"/>
    <n v="30"/>
    <n v="138"/>
    <n v="27"/>
    <n v="192"/>
    <n v="99"/>
    <n v="117"/>
    <n v="81"/>
    <n v="33"/>
    <n v="102"/>
    <n v="39"/>
    <n v="54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8"/>
    <n v="7509552910889"/>
    <x v="51"/>
    <x v="321"/>
    <x v="19"/>
    <n v="48"/>
    <n v="102"/>
    <n v="57"/>
    <n v="123"/>
    <n v="72"/>
    <n v="138"/>
    <n v="60"/>
    <n v="75"/>
    <n v="111"/>
    <n v="51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8"/>
    <n v="7509552910902"/>
    <x v="51"/>
    <x v="322"/>
    <x v="19"/>
    <n v="6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8"/>
    <n v="7509552910919"/>
    <x v="51"/>
    <x v="323"/>
    <x v="19"/>
    <n v="132"/>
    <n v="273"/>
    <n v="93"/>
    <n v="189"/>
    <n v="207"/>
    <n v="273"/>
    <n v="114"/>
    <n v="201"/>
    <n v="234"/>
    <n v="117"/>
    <n v="321"/>
    <n v="109"/>
    <n v="96"/>
    <n v="177"/>
    <n v="276"/>
    <n v="132"/>
    <n v="39"/>
    <n v="93"/>
    <n v="90"/>
    <n v="126"/>
    <n v="285"/>
    <n v="99"/>
    <n v="141"/>
    <n v="42"/>
    <n v="123"/>
    <n v="138"/>
    <n v="117"/>
    <n v="243"/>
    <n v="84"/>
    <n v="231"/>
    <n v="129"/>
    <n v="123"/>
    <n v="165"/>
    <n v="240"/>
    <n v="153"/>
    <n v="183"/>
    <n v="60"/>
    <n v="99"/>
    <n v="117"/>
    <n v="267"/>
    <n v="216"/>
    <n v="81"/>
  </r>
  <r>
    <s v="L'Oreal"/>
    <x v="1"/>
    <x v="1"/>
    <x v="1"/>
    <x v="8"/>
    <n v="7509552911077"/>
    <x v="49"/>
    <x v="32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750"/>
    <n v="249"/>
    <n v="528"/>
    <n v="420"/>
    <n v="171"/>
    <n v="352"/>
    <n v="378"/>
    <n v="348"/>
    <n v="525"/>
    <n v="486"/>
    <n v="327"/>
    <n v="219"/>
    <n v="78"/>
    <n v="0"/>
    <n v="0"/>
    <n v="0"/>
  </r>
  <r>
    <s v="L'Oreal"/>
    <x v="1"/>
    <x v="1"/>
    <x v="1"/>
    <x v="8"/>
    <n v="7509552911794"/>
    <x v="49"/>
    <x v="325"/>
    <x v="20"/>
    <n v="186"/>
    <n v="291"/>
    <n v="210"/>
    <n v="318"/>
    <n v="150"/>
    <n v="408"/>
    <n v="129"/>
    <n v="228"/>
    <n v="177"/>
    <n v="141"/>
    <n v="372"/>
    <n v="189"/>
    <n v="171"/>
    <n v="264"/>
    <n v="318"/>
    <n v="156"/>
    <n v="189"/>
    <n v="198"/>
    <n v="120"/>
    <n v="189"/>
    <n v="450"/>
    <n v="120"/>
    <n v="57"/>
    <n v="129"/>
    <n v="156"/>
    <n v="300"/>
    <n v="77"/>
    <n v="228"/>
    <n v="147"/>
    <n v="327"/>
    <n v="93"/>
    <n v="174"/>
    <n v="0"/>
    <n v="255"/>
    <n v="348"/>
    <n v="62"/>
    <n v="273"/>
    <n v="144"/>
    <n v="171"/>
    <n v="474"/>
    <n v="213"/>
    <n v="78"/>
  </r>
  <r>
    <s v="L'Oreal"/>
    <x v="1"/>
    <x v="1"/>
    <x v="1"/>
    <x v="8"/>
    <n v="7509552911800"/>
    <x v="49"/>
    <x v="326"/>
    <x v="20"/>
    <n v="1404"/>
    <n v="1446"/>
    <n v="1752"/>
    <n v="645"/>
    <n v="645"/>
    <n v="1245"/>
    <n v="738"/>
    <n v="936"/>
    <n v="918"/>
    <n v="663"/>
    <n v="1158"/>
    <n v="558"/>
    <n v="657"/>
    <n v="735"/>
    <n v="1779"/>
    <n v="1080"/>
    <n v="840"/>
    <n v="948"/>
    <n v="225"/>
    <n v="963"/>
    <n v="1551"/>
    <n v="141"/>
    <n v="426"/>
    <n v="237"/>
    <n v="396"/>
    <n v="672"/>
    <n v="462"/>
    <n v="561"/>
    <n v="540"/>
    <n v="960"/>
    <n v="351"/>
    <n v="519"/>
    <n v="543"/>
    <n v="699"/>
    <n v="678"/>
    <n v="300"/>
    <n v="915"/>
    <n v="435"/>
    <n v="690"/>
    <n v="957"/>
    <n v="558"/>
    <n v="351"/>
  </r>
  <r>
    <s v="L'Oreal"/>
    <x v="1"/>
    <x v="1"/>
    <x v="1"/>
    <x v="8"/>
    <n v="7509552911817"/>
    <x v="49"/>
    <x v="327"/>
    <x v="20"/>
    <n v="615"/>
    <n v="987"/>
    <n v="771"/>
    <n v="627"/>
    <n v="423"/>
    <n v="930"/>
    <n v="543"/>
    <n v="729"/>
    <n v="630"/>
    <n v="462"/>
    <n v="861"/>
    <n v="501"/>
    <n v="459"/>
    <n v="591"/>
    <n v="1251"/>
    <n v="759"/>
    <n v="603"/>
    <n v="1110"/>
    <n v="117"/>
    <n v="579"/>
    <n v="816"/>
    <n v="366"/>
    <n v="102"/>
    <n v="201"/>
    <n v="357"/>
    <n v="471"/>
    <n v="366"/>
    <n v="510"/>
    <n v="174"/>
    <n v="537"/>
    <n v="321"/>
    <n v="405"/>
    <n v="372"/>
    <n v="486"/>
    <n v="546"/>
    <n v="756"/>
    <n v="219"/>
    <n v="312"/>
    <n v="240"/>
    <n v="570"/>
    <n v="300"/>
    <n v="249"/>
  </r>
  <r>
    <s v="L'Oreal"/>
    <x v="1"/>
    <x v="1"/>
    <x v="1"/>
    <x v="8"/>
    <n v="7509552911831"/>
    <x v="49"/>
    <x v="328"/>
    <x v="20"/>
    <n v="90"/>
    <n v="246"/>
    <n v="201"/>
    <n v="321"/>
    <n v="102"/>
    <n v="279"/>
    <n v="165"/>
    <n v="273"/>
    <n v="186"/>
    <n v="114"/>
    <n v="237"/>
    <n v="138"/>
    <n v="123"/>
    <n v="165"/>
    <n v="282"/>
    <n v="146"/>
    <n v="195"/>
    <n v="174"/>
    <n v="66"/>
    <n v="102"/>
    <n v="270"/>
    <n v="87"/>
    <n v="39"/>
    <n v="111"/>
    <n v="141"/>
    <n v="174"/>
    <n v="126"/>
    <n v="156"/>
    <n v="0"/>
    <n v="300"/>
    <n v="30"/>
    <n v="156"/>
    <n v="108"/>
    <n v="60"/>
    <n v="297"/>
    <n v="204"/>
    <n v="126"/>
    <n v="87"/>
    <n v="87"/>
    <n v="276"/>
    <n v="165"/>
    <n v="102"/>
  </r>
  <r>
    <s v="L'Oreal"/>
    <x v="1"/>
    <x v="1"/>
    <x v="1"/>
    <x v="8"/>
    <n v="7509552911848"/>
    <x v="49"/>
    <x v="329"/>
    <x v="20"/>
    <n v="312"/>
    <n v="345"/>
    <n v="162"/>
    <n v="162"/>
    <n v="129"/>
    <n v="348"/>
    <n v="672"/>
    <n v="324"/>
    <n v="261"/>
    <n v="309"/>
    <n v="324"/>
    <n v="408"/>
    <n v="225"/>
    <n v="360"/>
    <n v="741"/>
    <n v="525"/>
    <n v="501"/>
    <n v="501"/>
    <n v="57"/>
    <n v="348"/>
    <n v="333"/>
    <n v="51"/>
    <n v="309"/>
    <n v="90"/>
    <n v="72"/>
    <n v="279"/>
    <n v="135"/>
    <n v="216"/>
    <n v="135"/>
    <n v="225"/>
    <n v="183"/>
    <n v="249"/>
    <n v="168"/>
    <n v="351"/>
    <n v="297"/>
    <n v="369"/>
    <n v="201"/>
    <n v="138"/>
    <n v="150"/>
    <n v="405"/>
    <n v="249"/>
    <n v="162"/>
  </r>
  <r>
    <s v="L'Oreal"/>
    <x v="1"/>
    <x v="1"/>
    <x v="1"/>
    <x v="8"/>
    <n v="7509552948035"/>
    <x v="49"/>
    <x v="318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25"/>
    <n v="75"/>
  </r>
  <r>
    <s v="L'Oreal"/>
    <x v="1"/>
    <x v="1"/>
    <x v="1"/>
    <x v="8"/>
    <n v="7509552948158"/>
    <x v="49"/>
    <x v="317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168"/>
    <n v="192"/>
    <n v="204"/>
    <n v="336"/>
    <n v="228"/>
    <n v="33"/>
  </r>
  <r>
    <s v="L'Oreal"/>
    <x v="1"/>
    <x v="1"/>
    <x v="1"/>
    <x v="8"/>
    <n v="7509552948202"/>
    <x v="49"/>
    <x v="33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561"/>
    <n v="208"/>
    <n v="241"/>
  </r>
  <r>
    <s v="L'Oreal"/>
    <x v="1"/>
    <x v="1"/>
    <x v="1"/>
    <x v="8"/>
    <n v="7899706126786"/>
    <x v="49"/>
    <x v="331"/>
    <x v="20"/>
    <n v="543"/>
    <n v="513"/>
    <n v="507"/>
    <n v="448"/>
    <n v="285"/>
    <n v="691"/>
    <n v="312"/>
    <n v="456"/>
    <n v="591"/>
    <n v="267"/>
    <n v="519"/>
    <n v="435"/>
    <n v="429"/>
    <n v="495"/>
    <n v="933"/>
    <n v="576"/>
    <n v="645"/>
    <n v="6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8"/>
    <n v="7899706127059"/>
    <x v="49"/>
    <x v="332"/>
    <x v="20"/>
    <n v="210"/>
    <n v="234"/>
    <n v="252"/>
    <n v="231"/>
    <n v="255"/>
    <n v="269"/>
    <n v="204"/>
    <n v="255"/>
    <n v="234"/>
    <n v="111"/>
    <n v="366"/>
    <n v="213"/>
    <n v="108"/>
    <n v="0"/>
    <n v="513"/>
    <n v="144"/>
    <n v="54"/>
    <n v="28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8"/>
    <n v="7899706127165"/>
    <x v="49"/>
    <x v="333"/>
    <x v="20"/>
    <n v="111"/>
    <n v="275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8"/>
    <n v="7899706127196"/>
    <x v="49"/>
    <x v="334"/>
    <x v="20"/>
    <n v="354"/>
    <n v="327"/>
    <n v="354"/>
    <n v="321"/>
    <n v="138"/>
    <n v="381"/>
    <n v="209"/>
    <n v="339"/>
    <n v="369"/>
    <n v="156"/>
    <n v="336"/>
    <n v="291"/>
    <n v="228"/>
    <n v="276"/>
    <n v="438"/>
    <n v="195"/>
    <n v="207"/>
    <n v="321"/>
    <n v="102"/>
    <n v="168"/>
    <n v="408"/>
    <n v="135"/>
    <n v="312"/>
    <n v="132"/>
    <n v="1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8"/>
    <n v="7899706127219"/>
    <x v="49"/>
    <x v="335"/>
    <x v="20"/>
    <n v="78"/>
    <n v="72"/>
    <n v="60"/>
    <n v="45"/>
    <n v="30"/>
    <n v="117"/>
    <n v="75"/>
    <n v="117"/>
    <n v="72"/>
    <n v="75"/>
    <n v="120"/>
    <n v="117"/>
    <n v="63"/>
    <n v="51"/>
    <n v="57"/>
    <n v="42"/>
    <n v="66"/>
    <n v="126"/>
    <n v="15"/>
    <n v="36"/>
    <n v="63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9"/>
    <n v="7509552841862"/>
    <x v="52"/>
    <x v="336"/>
    <x v="21"/>
    <n v="66"/>
    <n v="102"/>
    <n v="36"/>
    <n v="18"/>
    <n v="66"/>
    <n v="138"/>
    <n v="6"/>
    <n v="0"/>
    <n v="0"/>
    <n v="288"/>
    <n v="102"/>
    <n v="66"/>
    <n v="90"/>
    <n v="78"/>
    <n v="144"/>
    <n v="54"/>
    <n v="120"/>
    <n v="54"/>
    <n v="144"/>
    <n v="90"/>
    <n v="132"/>
    <n v="18"/>
    <n v="90"/>
    <n v="96"/>
    <n v="90"/>
    <n v="150"/>
    <n v="90"/>
    <n v="216"/>
    <n v="36"/>
    <n v="0"/>
    <n v="0"/>
    <n v="0"/>
    <n v="0"/>
    <n v="0"/>
    <n v="366"/>
    <n v="162"/>
    <n v="126"/>
    <n v="96"/>
    <n v="72"/>
    <n v="66"/>
    <n v="240"/>
    <n v="186"/>
  </r>
  <r>
    <s v="L'Oreal"/>
    <x v="1"/>
    <x v="1"/>
    <x v="1"/>
    <x v="9"/>
    <n v="7509552841879"/>
    <x v="52"/>
    <x v="337"/>
    <x v="21"/>
    <n v="150"/>
    <n v="228"/>
    <n v="132"/>
    <n v="96"/>
    <n v="96"/>
    <n v="150"/>
    <n v="30"/>
    <n v="354"/>
    <n v="168"/>
    <n v="114"/>
    <n v="144"/>
    <n v="90"/>
    <n v="120"/>
    <n v="114"/>
    <n v="186"/>
    <n v="66"/>
    <n v="180"/>
    <n v="126"/>
    <n v="186"/>
    <n v="114"/>
    <n v="0"/>
    <n v="0"/>
    <n v="330"/>
    <n v="174"/>
    <n v="102"/>
    <n v="0"/>
    <n v="0"/>
    <n v="78"/>
    <n v="336"/>
    <n v="216"/>
    <n v="0"/>
    <n v="180"/>
    <n v="288"/>
    <n v="138"/>
    <n v="0"/>
    <n v="12"/>
    <n v="360"/>
    <n v="198"/>
    <n v="114"/>
    <n v="78"/>
    <n v="324"/>
    <n v="150"/>
  </r>
  <r>
    <s v="L'Oreal"/>
    <x v="1"/>
    <x v="1"/>
    <x v="1"/>
    <x v="9"/>
    <n v="7509552917390"/>
    <x v="52"/>
    <x v="337"/>
    <x v="21"/>
    <n v="72"/>
    <n v="66"/>
    <n v="204"/>
    <n v="366"/>
    <n v="234"/>
    <n v="282"/>
    <n v="180"/>
    <n v="156"/>
    <n v="198"/>
    <n v="156"/>
    <n v="210"/>
    <n v="126"/>
    <n v="144"/>
    <n v="126"/>
    <n v="234"/>
    <n v="108"/>
    <n v="174"/>
    <n v="180"/>
    <n v="234"/>
    <n v="36"/>
    <n v="0"/>
    <n v="312"/>
    <n v="252"/>
    <n v="222"/>
    <n v="270"/>
    <n v="150"/>
    <n v="72"/>
    <n v="228"/>
    <n v="156"/>
    <n v="180"/>
    <n v="120"/>
    <n v="246"/>
    <n v="168"/>
    <n v="6"/>
    <n v="336"/>
    <n v="336"/>
    <n v="330"/>
    <n v="186"/>
    <n v="30"/>
    <n v="378"/>
    <n v="426"/>
    <n v="150"/>
  </r>
  <r>
    <s v="L'Oreal"/>
    <x v="1"/>
    <x v="1"/>
    <x v="1"/>
    <x v="9"/>
    <n v="7509552917406"/>
    <x v="52"/>
    <x v="338"/>
    <x v="21"/>
    <n v="0"/>
    <n v="0"/>
    <n v="1662"/>
    <n v="426"/>
    <n v="0"/>
    <n v="1038"/>
    <n v="408"/>
    <n v="252"/>
    <n v="726"/>
    <n v="372"/>
    <n v="378"/>
    <n v="300"/>
    <n v="348"/>
    <n v="258"/>
    <n v="606"/>
    <n v="378"/>
    <n v="696"/>
    <n v="456"/>
    <n v="522"/>
    <n v="417"/>
    <n v="888"/>
    <n v="180"/>
    <n v="438"/>
    <n v="624"/>
    <n v="612"/>
    <n v="606"/>
    <n v="264"/>
    <n v="612"/>
    <n v="528"/>
    <n v="198"/>
    <n v="522"/>
    <n v="762"/>
    <n v="480"/>
    <n v="0"/>
    <n v="1098"/>
    <n v="696"/>
    <n v="888"/>
    <n v="570"/>
    <n v="534"/>
    <n v="624"/>
    <n v="900"/>
    <n v="630"/>
  </r>
  <r>
    <s v="L'Oreal"/>
    <x v="1"/>
    <x v="1"/>
    <x v="1"/>
    <x v="9"/>
    <n v="7509552917413"/>
    <x v="52"/>
    <x v="339"/>
    <x v="21"/>
    <n v="54"/>
    <n v="54"/>
    <n v="78"/>
    <n v="522"/>
    <n v="294"/>
    <n v="414"/>
    <n v="186"/>
    <n v="132"/>
    <n v="174"/>
    <n v="84"/>
    <n v="204"/>
    <n v="60"/>
    <n v="108"/>
    <n v="108"/>
    <n v="204"/>
    <n v="96"/>
    <n v="222"/>
    <n v="72"/>
    <n v="108"/>
    <n v="150"/>
    <n v="60"/>
    <n v="0"/>
    <n v="354"/>
    <n v="156"/>
    <n v="96"/>
    <n v="0"/>
    <n v="0"/>
    <n v="474"/>
    <n v="18"/>
    <n v="126"/>
    <n v="186"/>
    <n v="120"/>
    <n v="276"/>
    <n v="0"/>
    <n v="420"/>
    <n v="288"/>
    <n v="162"/>
    <n v="156"/>
    <n v="144"/>
    <n v="84"/>
    <n v="366"/>
    <n v="144"/>
  </r>
  <r>
    <s v="L'Oreal"/>
    <x v="1"/>
    <x v="1"/>
    <x v="1"/>
    <x v="9"/>
    <n v="7509552917420"/>
    <x v="52"/>
    <x v="340"/>
    <x v="21"/>
    <n v="48"/>
    <n v="0"/>
    <n v="786"/>
    <n v="162"/>
    <n v="0"/>
    <n v="966"/>
    <n v="390"/>
    <n v="96"/>
    <n v="432"/>
    <n v="324"/>
    <n v="300"/>
    <n v="186"/>
    <n v="294"/>
    <n v="234"/>
    <n v="402"/>
    <n v="246"/>
    <n v="522"/>
    <n v="276"/>
    <n v="0"/>
    <n v="672"/>
    <n v="486"/>
    <n v="150"/>
    <n v="528"/>
    <n v="336"/>
    <n v="498"/>
    <n v="552"/>
    <n v="108"/>
    <n v="126"/>
    <n v="990"/>
    <n v="216"/>
    <n v="576"/>
    <n v="360"/>
    <n v="666"/>
    <n v="186"/>
    <n v="654"/>
    <n v="492"/>
    <n v="642"/>
    <n v="516"/>
    <n v="438"/>
    <n v="414"/>
    <n v="600"/>
    <n v="288"/>
  </r>
  <r>
    <s v="L'Oreal"/>
    <x v="1"/>
    <x v="1"/>
    <x v="1"/>
    <x v="9"/>
    <n v="7509552917437"/>
    <x v="52"/>
    <x v="341"/>
    <x v="21"/>
    <n v="192"/>
    <n v="0"/>
    <n v="834"/>
    <n v="174"/>
    <n v="612"/>
    <n v="774"/>
    <n v="288"/>
    <n v="456"/>
    <n v="852"/>
    <n v="396"/>
    <n v="408"/>
    <n v="354"/>
    <n v="378"/>
    <n v="282"/>
    <n v="516"/>
    <n v="336"/>
    <n v="642"/>
    <n v="486"/>
    <n v="504"/>
    <n v="726"/>
    <n v="870"/>
    <n v="216"/>
    <n v="492"/>
    <n v="426"/>
    <n v="744"/>
    <n v="258"/>
    <n v="0"/>
    <n v="906"/>
    <n v="294"/>
    <n v="378"/>
    <n v="780"/>
    <n v="648"/>
    <n v="324"/>
    <n v="24"/>
    <n v="1308"/>
    <n v="744"/>
    <n v="828"/>
    <n v="456"/>
    <n v="474"/>
    <n v="882"/>
    <n v="798"/>
    <n v="480"/>
  </r>
  <r>
    <s v="L'Oreal"/>
    <x v="1"/>
    <x v="1"/>
    <x v="1"/>
    <x v="9"/>
    <n v="7509552917550"/>
    <x v="52"/>
    <x v="342"/>
    <x v="21"/>
    <n v="48"/>
    <n v="66"/>
    <n v="36"/>
    <n v="30"/>
    <n v="30"/>
    <n v="36"/>
    <n v="18"/>
    <n v="0"/>
    <n v="6"/>
    <n v="18"/>
    <n v="174"/>
    <n v="0"/>
    <n v="12"/>
    <n v="42"/>
    <n v="48"/>
    <n v="0"/>
    <n v="264"/>
    <n v="36"/>
    <n v="126"/>
    <n v="24"/>
    <n v="60"/>
    <n v="6"/>
    <n v="60"/>
    <n v="66"/>
    <n v="54"/>
    <n v="24"/>
    <n v="48"/>
    <n v="78"/>
    <n v="90"/>
    <n v="30"/>
    <n v="48"/>
    <n v="6"/>
    <n v="18"/>
    <n v="6"/>
    <n v="18"/>
    <n v="120"/>
    <n v="18"/>
    <n v="6"/>
    <n v="0"/>
    <n v="0"/>
    <n v="0"/>
    <n v="0"/>
  </r>
  <r>
    <s v="L'Oreal"/>
    <x v="1"/>
    <x v="1"/>
    <x v="1"/>
    <x v="10"/>
    <n v="7506078967786"/>
    <x v="53"/>
    <x v="343"/>
    <x v="22"/>
    <n v="120"/>
    <n v="156"/>
    <n v="63"/>
    <n v="120"/>
    <n v="84"/>
    <n v="141"/>
    <n v="93"/>
    <n v="99"/>
    <n v="147"/>
    <n v="51"/>
    <n v="180"/>
    <n v="69"/>
    <n v="45"/>
    <n v="123"/>
    <n v="159"/>
    <n v="117"/>
    <n v="105"/>
    <n v="75"/>
    <n v="63"/>
    <n v="90"/>
    <n v="192"/>
    <n v="0"/>
    <n v="15"/>
    <n v="69"/>
    <n v="75"/>
    <n v="12"/>
    <n v="12"/>
    <n v="0"/>
    <n v="36"/>
    <n v="306"/>
    <n v="0"/>
    <n v="264"/>
    <n v="54"/>
    <n v="327"/>
    <n v="3"/>
    <n v="0"/>
    <n v="306"/>
    <n v="81"/>
    <n v="69"/>
    <n v="240"/>
    <n v="39"/>
    <n v="48"/>
  </r>
  <r>
    <s v="L'Oreal"/>
    <x v="1"/>
    <x v="1"/>
    <x v="1"/>
    <x v="10"/>
    <n v="7506078967793"/>
    <x v="53"/>
    <x v="344"/>
    <x v="22"/>
    <n v="15"/>
    <n v="90"/>
    <n v="36"/>
    <n v="42"/>
    <n v="45"/>
    <n v="96"/>
    <n v="54"/>
    <n v="39"/>
    <n v="69"/>
    <n v="81"/>
    <n v="36"/>
    <n v="51"/>
    <n v="48"/>
    <n v="15"/>
    <n v="45"/>
    <n v="24"/>
    <n v="9"/>
    <n v="33"/>
    <n v="12"/>
    <n v="9"/>
    <n v="15"/>
    <n v="0"/>
    <n v="36"/>
    <n v="69"/>
    <n v="54"/>
    <n v="36"/>
    <n v="12"/>
    <n v="48"/>
    <n v="18"/>
    <n v="27"/>
    <n v="21"/>
    <n v="75"/>
    <n v="3"/>
    <n v="0"/>
    <n v="135"/>
    <n v="198"/>
    <n v="30"/>
    <n v="27"/>
    <n v="3"/>
    <n v="36"/>
    <n v="9"/>
    <n v="54"/>
  </r>
  <r>
    <s v="L'Oreal"/>
    <x v="1"/>
    <x v="1"/>
    <x v="1"/>
    <x v="10"/>
    <n v="7506078967809"/>
    <x v="53"/>
    <x v="345"/>
    <x v="22"/>
    <n v="225"/>
    <n v="228"/>
    <n v="108"/>
    <n v="189"/>
    <n v="111"/>
    <n v="276"/>
    <n v="132"/>
    <n v="144"/>
    <n v="225"/>
    <n v="78"/>
    <n v="276"/>
    <n v="135"/>
    <n v="141"/>
    <n v="129"/>
    <n v="267"/>
    <n v="42"/>
    <n v="162"/>
    <n v="147"/>
    <n v="96"/>
    <n v="174"/>
    <n v="234"/>
    <n v="96"/>
    <n v="12"/>
    <n v="264"/>
    <n v="228"/>
    <n v="174"/>
    <n v="126"/>
    <n v="144"/>
    <n v="171"/>
    <n v="321"/>
    <n v="54"/>
    <n v="162"/>
    <n v="0"/>
    <n v="0"/>
    <n v="477"/>
    <n v="270"/>
    <n v="207"/>
    <n v="192"/>
    <n v="153"/>
    <n v="402"/>
    <n v="78"/>
    <n v="144"/>
  </r>
  <r>
    <s v="L'Oreal"/>
    <x v="1"/>
    <x v="1"/>
    <x v="1"/>
    <x v="10"/>
    <n v="7506078967816"/>
    <x v="53"/>
    <x v="346"/>
    <x v="22"/>
    <n v="312"/>
    <n v="504"/>
    <n v="300"/>
    <n v="381"/>
    <n v="336"/>
    <n v="534"/>
    <n v="348"/>
    <n v="327"/>
    <n v="435"/>
    <n v="249"/>
    <n v="459"/>
    <n v="315"/>
    <n v="477"/>
    <n v="285"/>
    <n v="432"/>
    <n v="345"/>
    <n v="360"/>
    <n v="252"/>
    <n v="399"/>
    <n v="381"/>
    <n v="651"/>
    <n v="36"/>
    <n v="324"/>
    <n v="246"/>
    <n v="510"/>
    <n v="321"/>
    <n v="129"/>
    <n v="501"/>
    <n v="210"/>
    <n v="6"/>
    <n v="639"/>
    <n v="12"/>
    <n v="0"/>
    <n v="0"/>
    <n v="852"/>
    <n v="0"/>
    <n v="999"/>
    <n v="423"/>
    <n v="375"/>
    <n v="552"/>
    <n v="246"/>
    <n v="156"/>
  </r>
  <r>
    <s v="L'Oreal"/>
    <x v="1"/>
    <x v="1"/>
    <x v="1"/>
    <x v="11"/>
    <n v="7501027209184"/>
    <x v="54"/>
    <x v="347"/>
    <x v="19"/>
    <n v="510"/>
    <n v="561"/>
    <n v="861"/>
    <n v="561"/>
    <n v="423"/>
    <n v="876"/>
    <n v="423"/>
    <n v="747"/>
    <n v="681"/>
    <n v="366"/>
    <n v="738"/>
    <n v="459"/>
    <n v="486"/>
    <n v="576"/>
    <n v="357"/>
    <n v="420"/>
    <n v="225"/>
    <n v="498"/>
    <n v="192"/>
    <n v="369"/>
    <n v="633"/>
    <n v="141"/>
    <n v="543"/>
    <n v="225"/>
    <n v="6"/>
    <n v="0"/>
    <n v="303"/>
    <n v="477"/>
    <n v="390"/>
    <n v="276"/>
    <n v="242"/>
    <n v="324"/>
    <n v="273"/>
    <n v="275"/>
    <n v="381"/>
    <n v="534"/>
    <n v="345"/>
    <n v="267"/>
    <n v="204"/>
    <n v="171"/>
    <n v="363"/>
    <n v="207"/>
  </r>
  <r>
    <s v="L'Oreal"/>
    <x v="1"/>
    <x v="1"/>
    <x v="1"/>
    <x v="11"/>
    <n v="7501027209214"/>
    <x v="54"/>
    <x v="348"/>
    <x v="19"/>
    <n v="405"/>
    <n v="459"/>
    <n v="369"/>
    <n v="498"/>
    <n v="285"/>
    <n v="615"/>
    <n v="324"/>
    <n v="483"/>
    <n v="459"/>
    <n v="249"/>
    <n v="579"/>
    <n v="375"/>
    <n v="243"/>
    <n v="441"/>
    <n v="318"/>
    <n v="315"/>
    <n v="342"/>
    <n v="270"/>
    <n v="129"/>
    <n v="282"/>
    <n v="513"/>
    <n v="27"/>
    <n v="453"/>
    <n v="291"/>
    <n v="75"/>
    <n v="3"/>
    <n v="219"/>
    <n v="384"/>
    <n v="240"/>
    <n v="276"/>
    <n v="168"/>
    <n v="273"/>
    <n v="138"/>
    <n v="276"/>
    <n v="189"/>
    <n v="324"/>
    <n v="258"/>
    <n v="153"/>
    <n v="153"/>
    <n v="186"/>
    <n v="294"/>
    <n v="210"/>
  </r>
  <r>
    <s v="L'Oreal"/>
    <x v="1"/>
    <x v="1"/>
    <x v="1"/>
    <x v="11"/>
    <n v="7501027209221"/>
    <x v="54"/>
    <x v="349"/>
    <x v="19"/>
    <n v="504"/>
    <n v="474"/>
    <n v="621"/>
    <n v="444"/>
    <n v="600"/>
    <n v="834"/>
    <n v="321"/>
    <n v="567"/>
    <n v="744"/>
    <n v="285"/>
    <n v="579"/>
    <n v="420"/>
    <n v="453"/>
    <n v="579"/>
    <n v="534"/>
    <n v="390"/>
    <n v="189"/>
    <n v="534"/>
    <n v="309"/>
    <n v="477"/>
    <n v="630"/>
    <n v="87"/>
    <n v="639"/>
    <n v="144"/>
    <n v="243"/>
    <n v="150"/>
    <n v="0"/>
    <n v="510"/>
    <n v="0"/>
    <n v="462"/>
    <n v="369"/>
    <n v="375"/>
    <n v="324"/>
    <n v="318"/>
    <n v="492"/>
    <n v="624"/>
    <n v="315"/>
    <n v="249"/>
    <n v="276"/>
    <n v="249"/>
    <n v="474"/>
    <n v="282"/>
  </r>
  <r>
    <s v="L'Oreal"/>
    <x v="1"/>
    <x v="1"/>
    <x v="1"/>
    <x v="11"/>
    <n v="7501027209542"/>
    <x v="54"/>
    <x v="350"/>
    <x v="19"/>
    <n v="336"/>
    <n v="384"/>
    <n v="501"/>
    <n v="483"/>
    <n v="288"/>
    <n v="510"/>
    <n v="330"/>
    <n v="588"/>
    <n v="468"/>
    <n v="270"/>
    <n v="594"/>
    <n v="279"/>
    <n v="228"/>
    <n v="459"/>
    <n v="336"/>
    <n v="426"/>
    <n v="354"/>
    <n v="300"/>
    <n v="213"/>
    <n v="348"/>
    <n v="630"/>
    <n v="129"/>
    <n v="456"/>
    <n v="330"/>
    <n v="225"/>
    <n v="114"/>
    <n v="246"/>
    <n v="471"/>
    <n v="264"/>
    <n v="297"/>
    <n v="252"/>
    <n v="297"/>
    <n v="201"/>
    <n v="336"/>
    <n v="337"/>
    <n v="561"/>
    <n v="294"/>
    <n v="189"/>
    <n v="243"/>
    <n v="213"/>
    <n v="348"/>
    <n v="261"/>
  </r>
  <r>
    <s v="L'Oreal"/>
    <x v="1"/>
    <x v="1"/>
    <x v="1"/>
    <x v="11"/>
    <n v="7501027209566"/>
    <x v="54"/>
    <x v="351"/>
    <x v="19"/>
    <n v="165"/>
    <n v="141"/>
    <n v="198"/>
    <n v="231"/>
    <n v="96"/>
    <n v="150"/>
    <n v="96"/>
    <n v="174"/>
    <n v="150"/>
    <n v="114"/>
    <n v="240"/>
    <n v="162"/>
    <n v="30"/>
    <n v="210"/>
    <n v="180"/>
    <n v="168"/>
    <n v="129"/>
    <n v="138"/>
    <n v="57"/>
    <n v="258"/>
    <n v="222"/>
    <n v="75"/>
    <n v="234"/>
    <n v="153"/>
    <n v="144"/>
    <n v="141"/>
    <n v="57"/>
    <n v="75"/>
    <n v="183"/>
    <n v="51"/>
    <n v="108"/>
    <n v="189"/>
    <n v="63"/>
    <n v="60"/>
    <n v="189"/>
    <n v="144"/>
    <n v="222"/>
    <n v="87"/>
    <n v="159"/>
    <n v="138"/>
    <n v="192"/>
    <n v="111"/>
  </r>
  <r>
    <s v="L'Oreal"/>
    <x v="1"/>
    <x v="1"/>
    <x v="1"/>
    <x v="11"/>
    <n v="7501027209580"/>
    <x v="54"/>
    <x v="352"/>
    <x v="19"/>
    <n v="381"/>
    <n v="417"/>
    <n v="291"/>
    <n v="303"/>
    <n v="387"/>
    <n v="414"/>
    <n v="195"/>
    <n v="390"/>
    <n v="384"/>
    <n v="183"/>
    <n v="384"/>
    <n v="198"/>
    <n v="234"/>
    <n v="294"/>
    <n v="333"/>
    <n v="111"/>
    <n v="150"/>
    <n v="204"/>
    <n v="237"/>
    <n v="228"/>
    <n v="294"/>
    <n v="18"/>
    <n v="447"/>
    <n v="183"/>
    <n v="153"/>
    <n v="138"/>
    <n v="129"/>
    <n v="186"/>
    <n v="117"/>
    <n v="48"/>
    <n v="183"/>
    <n v="180"/>
    <n v="36"/>
    <n v="0"/>
    <n v="234"/>
    <n v="441"/>
    <n v="249"/>
    <n v="132"/>
    <n v="195"/>
    <n v="156"/>
    <n v="222"/>
    <n v="228"/>
  </r>
  <r>
    <s v="L'Oreal"/>
    <x v="1"/>
    <x v="1"/>
    <x v="1"/>
    <x v="11"/>
    <n v="7501027209627"/>
    <x v="54"/>
    <x v="353"/>
    <x v="19"/>
    <n v="228"/>
    <n v="309"/>
    <n v="306"/>
    <n v="258"/>
    <n v="312"/>
    <n v="381"/>
    <n v="267"/>
    <n v="336"/>
    <n v="246"/>
    <n v="201"/>
    <n v="333"/>
    <n v="195"/>
    <n v="144"/>
    <n v="222"/>
    <n v="219"/>
    <n v="222"/>
    <n v="63"/>
    <n v="396"/>
    <n v="120"/>
    <n v="183"/>
    <n v="255"/>
    <n v="39"/>
    <n v="105"/>
    <n v="84"/>
    <n v="264"/>
    <n v="30"/>
    <n v="108"/>
    <n v="237"/>
    <n v="128"/>
    <n v="210"/>
    <n v="129"/>
    <n v="105"/>
    <n v="78"/>
    <n v="156"/>
    <n v="227"/>
    <n v="159"/>
    <n v="183"/>
    <n v="180"/>
    <n v="66"/>
    <n v="117"/>
    <n v="171"/>
    <n v="105"/>
  </r>
  <r>
    <s v="L'Oreal"/>
    <x v="1"/>
    <x v="1"/>
    <x v="1"/>
    <x v="11"/>
    <n v="7501027209658"/>
    <x v="54"/>
    <x v="354"/>
    <x v="19"/>
    <n v="360"/>
    <n v="462"/>
    <n v="252"/>
    <n v="354"/>
    <n v="291"/>
    <n v="384"/>
    <n v="210"/>
    <n v="426"/>
    <n v="396"/>
    <n v="180"/>
    <n v="462"/>
    <n v="231"/>
    <n v="252"/>
    <n v="390"/>
    <n v="267"/>
    <n v="258"/>
    <n v="174"/>
    <n v="372"/>
    <n v="87"/>
    <n v="210"/>
    <n v="471"/>
    <n v="27"/>
    <n v="195"/>
    <n v="366"/>
    <n v="96"/>
    <n v="0"/>
    <n v="150"/>
    <n v="348"/>
    <n v="153"/>
    <n v="363"/>
    <n v="162"/>
    <n v="159"/>
    <n v="144"/>
    <n v="129"/>
    <n v="228"/>
    <n v="507"/>
    <n v="180"/>
    <n v="168"/>
    <n v="180"/>
    <n v="189"/>
    <n v="210"/>
    <n v="229"/>
  </r>
  <r>
    <s v="L'Oreal"/>
    <x v="1"/>
    <x v="1"/>
    <x v="1"/>
    <x v="11"/>
    <n v="7501027221780"/>
    <x v="54"/>
    <x v="355"/>
    <x v="19"/>
    <n v="399"/>
    <n v="309"/>
    <n v="339"/>
    <n v="300"/>
    <n v="357"/>
    <n v="318"/>
    <n v="330"/>
    <n v="441"/>
    <n v="315"/>
    <n v="252"/>
    <n v="543"/>
    <n v="252"/>
    <n v="147"/>
    <n v="315"/>
    <n v="210"/>
    <n v="282"/>
    <n v="105"/>
    <n v="387"/>
    <n v="138"/>
    <n v="288"/>
    <n v="456"/>
    <n v="75"/>
    <n v="387"/>
    <n v="159"/>
    <n v="99"/>
    <n v="150"/>
    <n v="93"/>
    <n v="252"/>
    <n v="249"/>
    <n v="210"/>
    <n v="168"/>
    <n v="189"/>
    <n v="96"/>
    <n v="129"/>
    <n v="282"/>
    <n v="177"/>
    <n v="360"/>
    <n v="102"/>
    <n v="159"/>
    <n v="237"/>
    <n v="228"/>
    <n v="168"/>
  </r>
  <r>
    <s v="L'Oreal"/>
    <x v="1"/>
    <x v="1"/>
    <x v="1"/>
    <x v="11"/>
    <n v="7501839100129"/>
    <x v="54"/>
    <x v="356"/>
    <x v="19"/>
    <n v="255"/>
    <n v="321"/>
    <n v="258"/>
    <n v="384"/>
    <n v="165"/>
    <n v="399"/>
    <n v="177"/>
    <n v="300"/>
    <n v="267"/>
    <n v="186"/>
    <n v="504"/>
    <n v="207"/>
    <n v="156"/>
    <n v="354"/>
    <n v="285"/>
    <n v="243"/>
    <n v="156"/>
    <n v="231"/>
    <n v="78"/>
    <n v="279"/>
    <n v="450"/>
    <n v="30"/>
    <n v="297"/>
    <n v="243"/>
    <n v="165"/>
    <n v="24"/>
    <n v="144"/>
    <n v="456"/>
    <n v="156"/>
    <n v="174"/>
    <n v="138"/>
    <n v="228"/>
    <n v="123"/>
    <n v="123"/>
    <n v="180"/>
    <n v="314"/>
    <n v="228"/>
    <n v="201"/>
    <n v="189"/>
    <n v="204"/>
    <n v="270"/>
    <n v="159"/>
  </r>
  <r>
    <s v="L'Oreal"/>
    <x v="1"/>
    <x v="1"/>
    <x v="1"/>
    <x v="11"/>
    <n v="7506078959934"/>
    <x v="55"/>
    <x v="357"/>
    <x v="19"/>
    <n v="585"/>
    <n v="528"/>
    <n v="480"/>
    <n v="450"/>
    <n v="312"/>
    <n v="258"/>
    <n v="459"/>
    <n v="606"/>
    <n v="609"/>
    <n v="375"/>
    <n v="399"/>
    <n v="387"/>
    <n v="531"/>
    <n v="570"/>
    <n v="342"/>
    <n v="321"/>
    <n v="426"/>
    <n v="432"/>
    <n v="216"/>
    <n v="414"/>
    <n v="765"/>
    <n v="51"/>
    <n v="504"/>
    <n v="81"/>
    <n v="516"/>
    <n v="102"/>
    <n v="69"/>
    <n v="978"/>
    <n v="262"/>
    <n v="321"/>
    <n v="318"/>
    <n v="348"/>
    <n v="225"/>
    <n v="375"/>
    <n v="411"/>
    <n v="420"/>
    <n v="303"/>
    <n v="285"/>
    <n v="201"/>
    <n v="213"/>
    <n v="480"/>
    <n v="324"/>
  </r>
  <r>
    <s v="L'Oreal"/>
    <x v="1"/>
    <x v="1"/>
    <x v="1"/>
    <x v="11"/>
    <n v="7506078959989"/>
    <x v="55"/>
    <x v="358"/>
    <x v="19"/>
    <n v="219"/>
    <n v="225"/>
    <n v="144"/>
    <n v="162"/>
    <n v="162"/>
    <n v="318"/>
    <n v="87"/>
    <n v="177"/>
    <n v="108"/>
    <n v="114"/>
    <n v="153"/>
    <n v="180"/>
    <n v="312"/>
    <n v="168"/>
    <n v="150"/>
    <n v="33"/>
    <n v="237"/>
    <n v="177"/>
    <n v="33"/>
    <n v="189"/>
    <n v="165"/>
    <n v="78"/>
    <n v="90"/>
    <n v="123"/>
    <n v="147"/>
    <n v="201"/>
    <n v="0"/>
    <n v="117"/>
    <n v="90"/>
    <n v="18"/>
    <n v="87"/>
    <n v="108"/>
    <n v="111"/>
    <n v="81"/>
    <n v="165"/>
    <n v="0"/>
    <n v="228"/>
    <n v="189"/>
    <n v="0"/>
    <n v="63"/>
    <n v="153"/>
    <n v="75"/>
  </r>
  <r>
    <s v="L'Oreal"/>
    <x v="1"/>
    <x v="1"/>
    <x v="1"/>
    <x v="11"/>
    <n v="7506078959996"/>
    <x v="55"/>
    <x v="359"/>
    <x v="19"/>
    <n v="738"/>
    <n v="612"/>
    <n v="912"/>
    <n v="294"/>
    <n v="717"/>
    <n v="717"/>
    <n v="537"/>
    <n v="585"/>
    <n v="768"/>
    <n v="375"/>
    <n v="1044"/>
    <n v="453"/>
    <n v="372"/>
    <n v="861"/>
    <n v="603"/>
    <n v="558"/>
    <n v="783"/>
    <n v="456"/>
    <n v="327"/>
    <n v="525"/>
    <n v="870"/>
    <n v="9"/>
    <n v="555"/>
    <n v="231"/>
    <n v="399"/>
    <n v="0"/>
    <n v="0"/>
    <n v="870"/>
    <n v="366"/>
    <n v="321"/>
    <n v="438"/>
    <n v="531"/>
    <n v="423"/>
    <n v="501"/>
    <n v="564"/>
    <n v="618"/>
    <n v="387"/>
    <n v="358"/>
    <n v="288"/>
    <n v="375"/>
    <n v="554"/>
    <n v="645"/>
  </r>
  <r>
    <s v="L'Oreal"/>
    <x v="1"/>
    <x v="1"/>
    <x v="1"/>
    <x v="11"/>
    <n v="7509552812251"/>
    <x v="55"/>
    <x v="360"/>
    <x v="19"/>
    <n v="0"/>
    <n v="0"/>
    <n v="0"/>
    <n v="0"/>
    <n v="0"/>
    <n v="0"/>
    <n v="0"/>
    <n v="0"/>
    <n v="0"/>
    <n v="0"/>
    <n v="0"/>
    <n v="0"/>
    <n v="30"/>
    <n v="300"/>
    <n v="214"/>
    <n v="243"/>
    <n v="66"/>
    <n v="310"/>
    <n v="115"/>
    <n v="267"/>
    <n v="397"/>
    <n v="354"/>
    <n v="153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12268"/>
    <x v="54"/>
    <x v="361"/>
    <x v="19"/>
    <n v="0"/>
    <n v="0"/>
    <n v="0"/>
    <n v="0"/>
    <n v="0"/>
    <n v="0"/>
    <n v="0"/>
    <n v="0"/>
    <n v="0"/>
    <n v="0"/>
    <n v="0"/>
    <n v="0"/>
    <n v="36"/>
    <n v="123"/>
    <n v="204"/>
    <n v="78"/>
    <n v="284"/>
    <n v="138"/>
    <n v="45"/>
    <n v="93"/>
    <n v="219"/>
    <n v="156"/>
    <n v="51"/>
    <n v="24"/>
    <n v="192"/>
    <n v="42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12275"/>
    <x v="55"/>
    <x v="362"/>
    <x v="19"/>
    <n v="0"/>
    <n v="0"/>
    <n v="0"/>
    <n v="0"/>
    <n v="0"/>
    <n v="0"/>
    <n v="0"/>
    <n v="0"/>
    <n v="0"/>
    <n v="0"/>
    <n v="0"/>
    <n v="0"/>
    <n v="279"/>
    <n v="371"/>
    <n v="228"/>
    <n v="210"/>
    <n v="105"/>
    <n v="186"/>
    <n v="234"/>
    <n v="6"/>
    <n v="0"/>
    <n v="0"/>
    <n v="0"/>
    <n v="0"/>
    <n v="0"/>
    <n v="63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12428"/>
    <x v="55"/>
    <x v="363"/>
    <x v="19"/>
    <n v="0"/>
    <n v="0"/>
    <n v="0"/>
    <n v="0"/>
    <n v="0"/>
    <n v="0"/>
    <n v="0"/>
    <n v="0"/>
    <n v="0"/>
    <n v="0"/>
    <n v="0"/>
    <n v="0"/>
    <n v="258"/>
    <n v="285"/>
    <n v="237"/>
    <n v="281"/>
    <n v="183"/>
    <n v="165"/>
    <n v="199"/>
    <n v="246"/>
    <n v="113"/>
    <n v="0"/>
    <n v="0"/>
    <n v="363"/>
    <n v="138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12442"/>
    <x v="55"/>
    <x v="364"/>
    <x v="19"/>
    <n v="0"/>
    <n v="0"/>
    <n v="0"/>
    <n v="0"/>
    <n v="0"/>
    <n v="0"/>
    <n v="0"/>
    <n v="0"/>
    <n v="0"/>
    <n v="75"/>
    <n v="42"/>
    <n v="42"/>
    <n v="201"/>
    <n v="303"/>
    <n v="179"/>
    <n v="219"/>
    <n v="100"/>
    <n v="241"/>
    <n v="159"/>
    <n v="162"/>
    <n v="28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12534"/>
    <x v="55"/>
    <x v="365"/>
    <x v="19"/>
    <n v="0"/>
    <n v="0"/>
    <n v="0"/>
    <n v="0"/>
    <n v="0"/>
    <n v="0"/>
    <n v="0"/>
    <n v="0"/>
    <n v="204"/>
    <n v="669"/>
    <n v="606"/>
    <n v="351"/>
    <n v="437"/>
    <n v="350"/>
    <n v="471"/>
    <n v="258"/>
    <n v="609"/>
    <n v="447"/>
    <n v="198"/>
    <n v="399"/>
    <n v="120"/>
    <n v="0"/>
    <n v="0"/>
    <n v="0"/>
    <n v="0"/>
    <n v="690"/>
    <n v="0"/>
    <n v="0"/>
    <n v="42"/>
    <n v="6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12718"/>
    <x v="55"/>
    <x v="366"/>
    <x v="19"/>
    <n v="0"/>
    <n v="0"/>
    <n v="0"/>
    <n v="0"/>
    <n v="0"/>
    <n v="0"/>
    <n v="0"/>
    <n v="0"/>
    <n v="120"/>
    <n v="356"/>
    <n v="469"/>
    <n v="276"/>
    <n v="216"/>
    <n v="410"/>
    <n v="257"/>
    <n v="201"/>
    <n v="170"/>
    <n v="280"/>
    <n v="88"/>
    <n v="267"/>
    <n v="360"/>
    <n v="111"/>
    <n v="348"/>
    <n v="198"/>
    <n v="132"/>
    <n v="258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16686"/>
    <x v="55"/>
    <x v="367"/>
    <x v="19"/>
    <n v="171"/>
    <n v="213"/>
    <n v="144"/>
    <n v="129"/>
    <n v="171"/>
    <n v="252"/>
    <n v="108"/>
    <n v="123"/>
    <n v="174"/>
    <n v="183"/>
    <n v="183"/>
    <n v="159"/>
    <n v="210"/>
    <n v="90"/>
    <n v="219"/>
    <n v="114"/>
    <n v="267"/>
    <n v="129"/>
    <n v="54"/>
    <n v="66"/>
    <n v="351"/>
    <n v="21"/>
    <n v="114"/>
    <n v="141"/>
    <n v="147"/>
    <n v="228"/>
    <n v="144"/>
    <n v="30"/>
    <n v="102"/>
    <n v="12"/>
    <n v="144"/>
    <n v="147"/>
    <n v="138"/>
    <n v="117"/>
    <n v="90"/>
    <n v="0"/>
    <n v="195"/>
    <n v="213"/>
    <n v="45"/>
    <n v="105"/>
    <n v="99"/>
    <n v="162"/>
  </r>
  <r>
    <s v="L'Oreal"/>
    <x v="1"/>
    <x v="1"/>
    <x v="1"/>
    <x v="11"/>
    <n v="7509552826579"/>
    <x v="55"/>
    <x v="368"/>
    <x v="19"/>
    <n v="249"/>
    <n v="285"/>
    <n v="144"/>
    <n v="270"/>
    <n v="210"/>
    <n v="327"/>
    <n v="153"/>
    <n v="228"/>
    <n v="282"/>
    <n v="168"/>
    <n v="204"/>
    <n v="57"/>
    <n v="102"/>
    <n v="411"/>
    <n v="291"/>
    <n v="264"/>
    <n v="18"/>
    <n v="246"/>
    <n v="138"/>
    <n v="168"/>
    <n v="264"/>
    <n v="45"/>
    <n v="237"/>
    <n v="192"/>
    <n v="129"/>
    <n v="261"/>
    <n v="69"/>
    <n v="207"/>
    <n v="123"/>
    <n v="72"/>
    <n v="159"/>
    <n v="84"/>
    <n v="171"/>
    <n v="36"/>
    <n v="126"/>
    <n v="156"/>
    <n v="246"/>
    <n v="105"/>
    <n v="114"/>
    <n v="9"/>
    <n v="171"/>
    <n v="246"/>
  </r>
  <r>
    <s v="L'Oreal"/>
    <x v="1"/>
    <x v="1"/>
    <x v="1"/>
    <x v="11"/>
    <n v="7509552826593"/>
    <x v="55"/>
    <x v="369"/>
    <x v="19"/>
    <n v="348"/>
    <n v="315"/>
    <n v="345"/>
    <n v="246"/>
    <n v="309"/>
    <n v="348"/>
    <n v="210"/>
    <n v="219"/>
    <n v="381"/>
    <n v="228"/>
    <n v="420"/>
    <n v="96"/>
    <n v="114"/>
    <n v="525"/>
    <n v="222"/>
    <n v="255"/>
    <n v="231"/>
    <n v="255"/>
    <n v="180"/>
    <n v="297"/>
    <n v="495"/>
    <n v="42"/>
    <n v="318"/>
    <n v="243"/>
    <n v="234"/>
    <n v="138"/>
    <n v="162"/>
    <n v="360"/>
    <n v="186"/>
    <n v="243"/>
    <n v="213"/>
    <n v="240"/>
    <n v="177"/>
    <n v="54"/>
    <n v="324"/>
    <n v="225"/>
    <n v="288"/>
    <n v="168"/>
    <n v="180"/>
    <n v="204"/>
    <n v="285"/>
    <n v="285"/>
  </r>
  <r>
    <s v="L'Oreal"/>
    <x v="1"/>
    <x v="1"/>
    <x v="1"/>
    <x v="11"/>
    <n v="7509552826920"/>
    <x v="55"/>
    <x v="370"/>
    <x v="19"/>
    <n v="171"/>
    <n v="168"/>
    <n v="165"/>
    <n v="123"/>
    <n v="126"/>
    <n v="174"/>
    <n v="90"/>
    <n v="138"/>
    <n v="189"/>
    <n v="27"/>
    <n v="153"/>
    <n v="99"/>
    <n v="186"/>
    <n v="225"/>
    <n v="99"/>
    <n v="192"/>
    <n v="3"/>
    <n v="81"/>
    <n v="87"/>
    <n v="147"/>
    <n v="222"/>
    <n v="15"/>
    <n v="228"/>
    <n v="117"/>
    <n v="90"/>
    <n v="120"/>
    <n v="51"/>
    <n v="120"/>
    <n v="111"/>
    <n v="54"/>
    <n v="69"/>
    <n v="66"/>
    <n v="45"/>
    <n v="54"/>
    <n v="105"/>
    <n v="171"/>
    <n v="30"/>
    <n v="51"/>
    <n v="9"/>
    <n v="0"/>
    <n v="159"/>
    <n v="69"/>
  </r>
  <r>
    <s v="L'Oreal"/>
    <x v="1"/>
    <x v="1"/>
    <x v="1"/>
    <x v="11"/>
    <n v="7509552828856"/>
    <x v="54"/>
    <x v="371"/>
    <x v="19"/>
    <n v="132"/>
    <n v="168"/>
    <n v="117"/>
    <n v="153"/>
    <n v="147"/>
    <n v="123"/>
    <n v="1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28863"/>
    <x v="55"/>
    <x v="372"/>
    <x v="19"/>
    <n v="174"/>
    <n v="21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36691"/>
    <x v="55"/>
    <x v="415"/>
    <x v="19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36899"/>
    <x v="55"/>
    <x v="373"/>
    <x v="19"/>
    <n v="72"/>
    <n v="0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37094"/>
    <x v="55"/>
    <x v="374"/>
    <x v="19"/>
    <n v="153"/>
    <n v="222"/>
    <n v="84"/>
    <n v="189"/>
    <n v="159"/>
    <n v="240"/>
    <n v="114"/>
    <n v="153"/>
    <n v="147"/>
    <n v="72"/>
    <n v="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838848"/>
    <x v="54"/>
    <x v="375"/>
    <x v="19"/>
    <n v="147"/>
    <n v="120"/>
    <n v="9"/>
    <n v="90"/>
    <n v="93"/>
    <n v="228"/>
    <n v="0"/>
    <n v="51"/>
    <n v="129"/>
    <n v="102"/>
    <n v="78"/>
    <n v="78"/>
    <n v="84"/>
    <n v="24"/>
    <n v="105"/>
    <n v="42"/>
    <n v="21"/>
    <n v="48"/>
    <n v="99"/>
    <n v="21"/>
    <n v="162"/>
    <n v="12"/>
    <n v="0"/>
    <n v="51"/>
    <n v="72"/>
    <n v="12"/>
    <n v="9"/>
    <n v="0"/>
    <n v="0"/>
    <n v="0"/>
    <n v="0"/>
    <n v="15"/>
    <n v="18"/>
    <n v="27"/>
    <n v="0"/>
    <n v="84"/>
    <n v="39"/>
    <n v="75"/>
    <n v="24"/>
    <n v="12"/>
    <n v="114"/>
    <n v="45"/>
  </r>
  <r>
    <s v="L'Oreal"/>
    <x v="1"/>
    <x v="1"/>
    <x v="1"/>
    <x v="11"/>
    <n v="7509552870572"/>
    <x v="56"/>
    <x v="37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0"/>
    <n v="219"/>
    <n v="5"/>
    <n v="0"/>
    <n v="30"/>
    <n v="138"/>
    <n v="57"/>
    <n v="45"/>
    <n v="63"/>
    <n v="72"/>
    <n v="198"/>
    <n v="66"/>
    <n v="135"/>
    <n v="78"/>
    <n v="186"/>
    <n v="78"/>
    <n v="90"/>
  </r>
  <r>
    <s v="L'Oreal"/>
    <x v="1"/>
    <x v="1"/>
    <x v="1"/>
    <x v="11"/>
    <n v="7509552870596"/>
    <x v="56"/>
    <x v="377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7"/>
    <n v="45"/>
    <n v="51"/>
    <n v="48"/>
    <n v="121"/>
    <n v="165"/>
    <n v="81"/>
    <n v="81"/>
    <n v="108"/>
    <n v="138"/>
    <n v="261"/>
    <n v="69"/>
    <n v="96"/>
    <n v="102"/>
    <n v="291"/>
    <n v="157"/>
    <n v="99"/>
  </r>
  <r>
    <s v="L'Oreal"/>
    <x v="1"/>
    <x v="1"/>
    <x v="1"/>
    <x v="11"/>
    <n v="7509552870602"/>
    <x v="56"/>
    <x v="37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"/>
    <n v="264"/>
    <n v="0"/>
    <n v="18"/>
    <n v="51"/>
    <n v="135"/>
    <n v="66"/>
    <n v="45"/>
    <n v="87"/>
    <n v="84"/>
    <n v="228"/>
    <n v="45"/>
    <n v="90"/>
    <n v="86"/>
    <n v="204"/>
    <n v="93"/>
    <n v="78"/>
  </r>
  <r>
    <s v="L'Oreal"/>
    <x v="1"/>
    <x v="1"/>
    <x v="1"/>
    <x v="11"/>
    <n v="7509552870619"/>
    <x v="56"/>
    <x v="37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"/>
    <n v="303"/>
    <n v="510"/>
    <n v="57"/>
    <n v="60"/>
    <n v="96"/>
    <n v="99"/>
    <n v="114"/>
    <n v="243"/>
    <n v="48"/>
    <n v="141"/>
    <n v="72"/>
    <n v="171"/>
    <n v="162"/>
    <n v="72"/>
  </r>
  <r>
    <s v="L'Oreal"/>
    <x v="1"/>
    <x v="1"/>
    <x v="1"/>
    <x v="11"/>
    <n v="7509552870633"/>
    <x v="56"/>
    <x v="38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0"/>
    <n v="409"/>
    <n v="0"/>
    <n v="15"/>
    <n v="21"/>
    <n v="39"/>
    <n v="54"/>
    <n v="54"/>
    <n v="45"/>
    <n v="99"/>
    <n v="195"/>
    <n v="48"/>
    <n v="75"/>
    <n v="94"/>
    <n v="154"/>
    <n v="78"/>
    <n v="102"/>
  </r>
  <r>
    <s v="L'Oreal"/>
    <x v="1"/>
    <x v="1"/>
    <x v="1"/>
    <x v="11"/>
    <n v="7509552870640"/>
    <x v="56"/>
    <x v="381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3"/>
    <n v="480"/>
    <n v="3"/>
    <n v="21"/>
    <n v="51"/>
    <n v="135"/>
    <n v="96"/>
    <n v="150"/>
    <n v="186"/>
    <n v="124"/>
    <n v="285"/>
    <n v="75"/>
    <n v="102"/>
    <n v="127"/>
    <n v="273"/>
    <n v="161"/>
    <n v="182"/>
  </r>
  <r>
    <s v="L'Oreal"/>
    <x v="1"/>
    <x v="1"/>
    <x v="1"/>
    <x v="11"/>
    <n v="7509552870664"/>
    <x v="56"/>
    <x v="38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6"/>
    <n v="660"/>
    <n v="4"/>
    <n v="33"/>
    <n v="156"/>
    <n v="246"/>
    <n v="177"/>
    <n v="288"/>
    <n v="123"/>
    <n v="117"/>
    <n v="264"/>
    <n v="93"/>
    <n v="93"/>
    <n v="27"/>
    <n v="366"/>
    <n v="210"/>
    <n v="122"/>
  </r>
  <r>
    <s v="L'Oreal"/>
    <x v="1"/>
    <x v="1"/>
    <x v="1"/>
    <x v="11"/>
    <n v="7509552870688"/>
    <x v="56"/>
    <x v="38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7"/>
    <n v="537"/>
    <n v="96"/>
    <n v="24"/>
    <n v="57"/>
    <n v="228"/>
    <n v="201"/>
    <n v="207"/>
    <n v="108"/>
    <n v="165"/>
    <n v="270"/>
    <n v="129"/>
    <n v="249"/>
    <n v="252"/>
    <n v="261"/>
    <n v="199"/>
    <n v="234"/>
  </r>
  <r>
    <s v="L'Oreal"/>
    <x v="1"/>
    <x v="1"/>
    <x v="1"/>
    <x v="11"/>
    <n v="7509552870695"/>
    <x v="56"/>
    <x v="38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7"/>
    <n v="471"/>
    <n v="3"/>
    <n v="24"/>
    <n v="48"/>
    <n v="159"/>
    <n v="141"/>
    <n v="150"/>
    <n v="117"/>
    <n v="129"/>
    <n v="304"/>
    <n v="90"/>
    <n v="198"/>
    <n v="187"/>
    <n v="273"/>
    <n v="187"/>
    <n v="169"/>
  </r>
  <r>
    <s v="L'Oreal"/>
    <x v="1"/>
    <x v="1"/>
    <x v="1"/>
    <x v="11"/>
    <n v="7509552870701"/>
    <x v="56"/>
    <x v="38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7"/>
    <n v="315"/>
    <n v="0"/>
    <n v="27"/>
    <n v="63"/>
    <n v="138"/>
    <n v="105"/>
    <n v="126"/>
    <n v="108"/>
    <n v="102"/>
    <n v="219"/>
    <n v="120"/>
    <n v="105"/>
    <n v="99"/>
    <n v="207"/>
    <n v="160"/>
    <n v="138"/>
  </r>
  <r>
    <s v="L'Oreal"/>
    <x v="1"/>
    <x v="1"/>
    <x v="1"/>
    <x v="11"/>
    <n v="7509552870718"/>
    <x v="56"/>
    <x v="38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1"/>
    <n v="312"/>
    <n v="24"/>
    <n v="12"/>
    <n v="51"/>
    <n v="87"/>
    <n v="33"/>
    <n v="114"/>
    <n v="75"/>
    <n v="42"/>
    <n v="192"/>
    <n v="66"/>
    <n v="81"/>
    <n v="66"/>
    <n v="165"/>
    <n v="69"/>
    <n v="63"/>
  </r>
  <r>
    <s v="L'Oreal"/>
    <x v="1"/>
    <x v="1"/>
    <x v="1"/>
    <x v="11"/>
    <n v="7509552870732"/>
    <x v="56"/>
    <x v="387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1"/>
    <n v="318"/>
    <n v="3"/>
    <n v="12"/>
    <n v="78"/>
    <n v="153"/>
    <n v="75"/>
    <n v="117"/>
    <n v="135"/>
    <n v="108"/>
    <n v="264"/>
    <n v="69"/>
    <n v="144"/>
    <n v="108"/>
    <n v="222"/>
    <n v="117"/>
    <n v="129"/>
  </r>
  <r>
    <s v="L'Oreal"/>
    <x v="1"/>
    <x v="1"/>
    <x v="1"/>
    <x v="11"/>
    <n v="7509552870756"/>
    <x v="56"/>
    <x v="38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1"/>
    <n v="282"/>
    <n v="3"/>
    <n v="15"/>
    <n v="12"/>
    <n v="92"/>
    <n v="39"/>
    <n v="6"/>
    <n v="45"/>
    <n v="60"/>
    <n v="178"/>
    <n v="72"/>
    <n v="51"/>
    <n v="87"/>
    <n v="114"/>
    <n v="57"/>
    <n v="30"/>
  </r>
  <r>
    <s v="L'Oreal"/>
    <x v="1"/>
    <x v="1"/>
    <x v="1"/>
    <x v="11"/>
    <n v="7509552901092"/>
    <x v="55"/>
    <x v="389"/>
    <x v="19"/>
    <n v="282"/>
    <n v="330"/>
    <n v="186"/>
    <n v="291"/>
    <n v="186"/>
    <n v="369"/>
    <n v="171"/>
    <n v="282"/>
    <n v="303"/>
    <n v="132"/>
    <n v="315"/>
    <n v="219"/>
    <n v="288"/>
    <n v="282"/>
    <n v="141"/>
    <n v="270"/>
    <n v="75"/>
    <n v="309"/>
    <n v="225"/>
    <n v="246"/>
    <n v="378"/>
    <n v="60"/>
    <n v="0"/>
    <n v="0"/>
    <n v="438"/>
    <n v="300"/>
    <n v="0"/>
    <n v="570"/>
    <n v="293"/>
    <n v="198"/>
    <n v="297"/>
    <n v="297"/>
    <n v="279"/>
    <n v="264"/>
    <n v="291"/>
    <n v="129"/>
    <n v="405"/>
    <n v="168"/>
    <n v="237"/>
    <n v="264"/>
    <n v="351"/>
    <n v="252"/>
  </r>
  <r>
    <s v="L'Oreal"/>
    <x v="1"/>
    <x v="1"/>
    <x v="1"/>
    <x v="11"/>
    <n v="7509552910315"/>
    <x v="55"/>
    <x v="390"/>
    <x v="19"/>
    <n v="339"/>
    <n v="336"/>
    <n v="147"/>
    <n v="261"/>
    <n v="258"/>
    <n v="417"/>
    <n v="153"/>
    <n v="309"/>
    <n v="351"/>
    <n v="165"/>
    <n v="480"/>
    <n v="255"/>
    <n v="273"/>
    <n v="372"/>
    <n v="204"/>
    <n v="300"/>
    <n v="249"/>
    <n v="273"/>
    <n v="129"/>
    <n v="198"/>
    <n v="387"/>
    <n v="102"/>
    <n v="342"/>
    <n v="204"/>
    <n v="210"/>
    <n v="150"/>
    <n v="216"/>
    <n v="345"/>
    <n v="311"/>
    <n v="0"/>
    <n v="180"/>
    <n v="0"/>
    <n v="0"/>
    <n v="558"/>
    <n v="261"/>
    <n v="207"/>
    <n v="363"/>
    <n v="261"/>
    <n v="201"/>
    <n v="192"/>
    <n v="306"/>
    <n v="354"/>
  </r>
  <r>
    <s v="L'Oreal"/>
    <x v="1"/>
    <x v="1"/>
    <x v="1"/>
    <x v="11"/>
    <n v="7509552916133"/>
    <x v="54"/>
    <x v="391"/>
    <x v="19"/>
    <n v="90"/>
    <n v="192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916140"/>
    <x v="54"/>
    <x v="392"/>
    <x v="19"/>
    <n v="0"/>
    <n v="90"/>
    <n v="42"/>
    <n v="27"/>
    <n v="72"/>
    <n v="96"/>
    <n v="21"/>
    <n v="39"/>
    <n v="72"/>
    <n v="30"/>
    <n v="42"/>
    <n v="93"/>
    <n v="12"/>
    <n v="57"/>
    <n v="75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509552923810"/>
    <x v="55"/>
    <x v="36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120"/>
    <n v="180"/>
    <n v="174"/>
    <n v="138"/>
    <n v="78"/>
    <n v="144"/>
    <n v="294"/>
    <n v="222"/>
    <n v="132"/>
    <n v="174"/>
    <n v="90"/>
    <n v="138"/>
    <n v="192"/>
    <n v="90"/>
  </r>
  <r>
    <s v="L'Oreal"/>
    <x v="1"/>
    <x v="1"/>
    <x v="1"/>
    <x v="11"/>
    <n v="7509552923827"/>
    <x v="54"/>
    <x v="39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7"/>
    <n v="148"/>
    <n v="246"/>
    <n v="114"/>
    <n v="162"/>
    <n v="125"/>
    <n v="114"/>
    <n v="138"/>
    <n v="210"/>
    <n v="198"/>
    <n v="102"/>
    <n v="94"/>
    <n v="35"/>
    <n v="144"/>
    <n v="186"/>
    <n v="132"/>
  </r>
  <r>
    <s v="L'Oreal"/>
    <x v="1"/>
    <x v="1"/>
    <x v="1"/>
    <x v="11"/>
    <n v="7509552923834"/>
    <x v="55"/>
    <x v="36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2"/>
    <n v="198"/>
    <n v="120"/>
    <n v="156"/>
    <n v="228"/>
    <n v="132"/>
    <n v="198"/>
    <n v="228"/>
    <n v="294"/>
    <n v="132"/>
    <n v="196"/>
    <n v="112"/>
    <n v="174"/>
    <n v="190"/>
    <n v="114"/>
  </r>
  <r>
    <s v="L'Oreal"/>
    <x v="1"/>
    <x v="1"/>
    <x v="1"/>
    <x v="11"/>
    <n v="7509552923841"/>
    <x v="54"/>
    <x v="361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"/>
    <n v="84"/>
    <n v="144"/>
    <n v="84"/>
    <n v="120"/>
    <n v="150"/>
    <n v="54"/>
    <n v="156"/>
    <n v="192"/>
    <n v="102"/>
    <n v="78"/>
    <n v="42"/>
    <n v="78"/>
    <n v="138"/>
    <n v="66"/>
  </r>
  <r>
    <s v="L'Oreal"/>
    <x v="1"/>
    <x v="1"/>
    <x v="1"/>
    <x v="11"/>
    <n v="7509552923858"/>
    <x v="55"/>
    <x v="36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168"/>
    <n v="270"/>
    <n v="162"/>
    <n v="226"/>
    <n v="144"/>
    <n v="239"/>
    <n v="282"/>
    <n v="294"/>
    <n v="180"/>
    <n v="186"/>
    <n v="100"/>
    <n v="134"/>
    <n v="203"/>
    <n v="192"/>
  </r>
  <r>
    <s v="L'Oreal"/>
    <x v="1"/>
    <x v="1"/>
    <x v="1"/>
    <x v="11"/>
    <n v="7509552923865"/>
    <x v="54"/>
    <x v="39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3"/>
    <n v="300"/>
    <n v="330"/>
    <n v="165"/>
    <n v="294"/>
    <n v="144"/>
    <n v="240"/>
    <n v="324"/>
    <n v="349"/>
    <n v="312"/>
    <n v="204"/>
    <n v="210"/>
    <n v="245"/>
    <n v="329"/>
    <n v="246"/>
  </r>
  <r>
    <s v="L'Oreal"/>
    <x v="1"/>
    <x v="1"/>
    <x v="1"/>
    <x v="11"/>
    <n v="7509552923919"/>
    <x v="55"/>
    <x v="36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162"/>
    <n v="192"/>
    <n v="156"/>
    <n v="148"/>
    <n v="108"/>
    <n v="150"/>
    <n v="210"/>
    <n v="198"/>
    <n v="222"/>
    <n v="178"/>
    <n v="113"/>
    <n v="102"/>
    <n v="342"/>
    <n v="131"/>
  </r>
  <r>
    <s v="L'Oreal"/>
    <x v="1"/>
    <x v="1"/>
    <x v="1"/>
    <x v="11"/>
    <n v="7896014191666"/>
    <x v="54"/>
    <x v="395"/>
    <x v="19"/>
    <n v="72"/>
    <n v="138"/>
    <n v="156"/>
    <n v="66"/>
    <n v="96"/>
    <n v="303"/>
    <n v="78"/>
    <n v="132"/>
    <n v="81"/>
    <n v="66"/>
    <n v="144"/>
    <n v="102"/>
    <n v="141"/>
    <n v="135"/>
    <n v="135"/>
    <n v="30"/>
    <n v="270"/>
    <n v="168"/>
    <n v="225"/>
    <n v="90"/>
    <n v="480"/>
    <n v="51"/>
    <n v="225"/>
    <n v="0"/>
    <n v="273"/>
    <n v="306"/>
    <n v="243"/>
    <n v="116"/>
    <n v="96"/>
    <n v="90"/>
    <n v="90"/>
    <n v="153"/>
    <n v="72"/>
    <n v="90"/>
    <n v="252"/>
    <n v="260"/>
    <n v="201"/>
    <n v="117"/>
    <n v="114"/>
    <n v="0"/>
    <n v="192"/>
    <n v="240"/>
  </r>
  <r>
    <s v="L'Oreal"/>
    <x v="1"/>
    <x v="1"/>
    <x v="1"/>
    <x v="11"/>
    <n v="7899706115216"/>
    <x v="54"/>
    <x v="396"/>
    <x v="19"/>
    <n v="189"/>
    <n v="219"/>
    <n v="255"/>
    <n v="309"/>
    <n v="201"/>
    <n v="390"/>
    <n v="225"/>
    <n v="297"/>
    <n v="299"/>
    <n v="171"/>
    <n v="396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899706115391"/>
    <x v="54"/>
    <x v="397"/>
    <x v="19"/>
    <n v="510"/>
    <n v="618"/>
    <n v="732"/>
    <n v="285"/>
    <n v="480"/>
    <n v="729"/>
    <n v="339"/>
    <n v="42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899706115407"/>
    <x v="54"/>
    <x v="398"/>
    <x v="19"/>
    <n v="378"/>
    <n v="309"/>
    <n v="294"/>
    <n v="348"/>
    <n v="264"/>
    <n v="479"/>
    <n v="285"/>
    <n v="255"/>
    <n v="6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899706115421"/>
    <x v="54"/>
    <x v="399"/>
    <x v="19"/>
    <n v="147"/>
    <n v="255"/>
    <n v="153"/>
    <n v="120"/>
    <n v="177"/>
    <n v="351"/>
    <n v="105"/>
    <n v="177"/>
    <n v="162"/>
    <n v="120"/>
    <n v="180"/>
    <n v="210"/>
    <n v="1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899706115445"/>
    <x v="54"/>
    <x v="400"/>
    <x v="19"/>
    <n v="300"/>
    <n v="171"/>
    <n v="192"/>
    <n v="126"/>
    <n v="138"/>
    <n v="327"/>
    <n v="552"/>
    <n v="282"/>
    <n v="285"/>
    <n v="294"/>
    <n v="216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899706115452"/>
    <x v="54"/>
    <x v="401"/>
    <x v="19"/>
    <n v="354"/>
    <n v="387"/>
    <n v="177"/>
    <n v="339"/>
    <n v="183"/>
    <n v="405"/>
    <n v="195"/>
    <n v="255"/>
    <n v="279"/>
    <n v="117"/>
    <n v="375"/>
    <n v="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899706115469"/>
    <x v="54"/>
    <x v="402"/>
    <x v="19"/>
    <n v="307"/>
    <n v="336"/>
    <n v="123"/>
    <n v="201"/>
    <n v="246"/>
    <n v="327"/>
    <n v="174"/>
    <n v="285"/>
    <n v="288"/>
    <n v="156"/>
    <n v="417"/>
    <n v="24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7899706119931"/>
    <x v="55"/>
    <x v="403"/>
    <x v="19"/>
    <n v="273"/>
    <n v="228"/>
    <n v="141"/>
    <n v="45"/>
    <n v="135"/>
    <n v="297"/>
    <n v="2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1"/>
    <x v="1"/>
    <x v="1"/>
    <x v="11"/>
    <n v="8901526566013"/>
    <x v="57"/>
    <x v="404"/>
    <x v="17"/>
    <n v="564"/>
    <n v="720"/>
    <n v="528"/>
    <n v="1164"/>
    <n v="492"/>
    <n v="882"/>
    <n v="372"/>
    <n v="654"/>
    <n v="678"/>
    <n v="564"/>
    <n v="894"/>
    <n v="882"/>
    <n v="744"/>
    <n v="864"/>
    <n v="606"/>
    <n v="906"/>
    <n v="492"/>
    <n v="906"/>
    <n v="522"/>
    <n v="846"/>
    <n v="1284"/>
    <n v="630"/>
    <n v="834"/>
    <n v="810"/>
    <n v="144"/>
    <n v="0"/>
    <n v="0"/>
    <n v="1452"/>
    <n v="918"/>
    <n v="1092"/>
    <n v="186"/>
    <n v="1080"/>
    <n v="702"/>
    <n v="1272"/>
    <n v="1014"/>
    <n v="0"/>
    <n v="2064"/>
    <n v="792"/>
    <n v="0"/>
    <n v="804"/>
    <n v="1182"/>
    <n v="1272"/>
  </r>
  <r>
    <s v="L'Oreal"/>
    <x v="1"/>
    <x v="1"/>
    <x v="1"/>
    <x v="11"/>
    <n v="8901526566020"/>
    <x v="57"/>
    <x v="405"/>
    <x v="17"/>
    <n v="372"/>
    <n v="576"/>
    <n v="420"/>
    <n v="1026"/>
    <n v="306"/>
    <n v="636"/>
    <n v="444"/>
    <n v="618"/>
    <n v="510"/>
    <n v="408"/>
    <n v="942"/>
    <n v="468"/>
    <n v="360"/>
    <n v="702"/>
    <n v="594"/>
    <n v="798"/>
    <n v="420"/>
    <n v="666"/>
    <n v="474"/>
    <n v="738"/>
    <n v="972"/>
    <n v="438"/>
    <n v="468"/>
    <n v="702"/>
    <n v="12"/>
    <n v="0"/>
    <n v="1037"/>
    <n v="918"/>
    <n v="228"/>
    <n v="0"/>
    <n v="1350"/>
    <n v="672"/>
    <n v="0"/>
    <n v="1260"/>
    <n v="1158"/>
    <n v="912"/>
    <n v="624"/>
    <n v="0"/>
    <n v="1104"/>
    <n v="1008"/>
    <n v="1062"/>
    <n v="144"/>
  </r>
  <r>
    <s v="L'Oreal"/>
    <x v="1"/>
    <x v="1"/>
    <x v="1"/>
    <x v="11"/>
    <n v="8901526566037"/>
    <x v="57"/>
    <x v="406"/>
    <x v="17"/>
    <n v="666"/>
    <n v="780"/>
    <n v="672"/>
    <n v="1458"/>
    <n v="714"/>
    <n v="864"/>
    <n v="660"/>
    <n v="822"/>
    <n v="948"/>
    <n v="792"/>
    <n v="984"/>
    <n v="786"/>
    <n v="858"/>
    <n v="798"/>
    <n v="1392"/>
    <n v="1044"/>
    <n v="954"/>
    <n v="1032"/>
    <n v="702"/>
    <n v="966"/>
    <n v="1146"/>
    <n v="756"/>
    <n v="912"/>
    <n v="756"/>
    <n v="606"/>
    <n v="420"/>
    <n v="384"/>
    <n v="2040"/>
    <n v="498"/>
    <n v="0"/>
    <n v="2058"/>
    <n v="1302"/>
    <n v="1698"/>
    <n v="156"/>
    <n v="1722"/>
    <n v="120"/>
    <n v="2160"/>
    <n v="1524"/>
    <n v="210"/>
    <n v="1800"/>
    <n v="942"/>
    <n v="96"/>
  </r>
  <r>
    <s v="L'Oreal"/>
    <x v="1"/>
    <x v="1"/>
    <x v="1"/>
    <x v="11"/>
    <n v="8901526566044"/>
    <x v="57"/>
    <x v="407"/>
    <x v="17"/>
    <n v="678"/>
    <n v="732"/>
    <n v="458"/>
    <n v="1272"/>
    <n v="665"/>
    <n v="66"/>
    <n v="1542"/>
    <n v="1230"/>
    <n v="600"/>
    <n v="1068"/>
    <n v="1128"/>
    <n v="966"/>
    <n v="1038"/>
    <n v="234"/>
    <n v="1674"/>
    <n v="822"/>
    <n v="966"/>
    <n v="882"/>
    <n v="1026"/>
    <n v="1512"/>
    <n v="1848"/>
    <n v="576"/>
    <n v="684"/>
    <n v="1092"/>
    <n v="798"/>
    <n v="222"/>
    <n v="0"/>
    <n v="1272"/>
    <n v="12"/>
    <n v="0"/>
    <n v="2910"/>
    <n v="1140"/>
    <n v="192"/>
    <n v="0"/>
    <n v="1974"/>
    <n v="0"/>
    <n v="708"/>
    <n v="0"/>
    <n v="450"/>
    <n v="2178"/>
    <n v="1302"/>
    <n v="900"/>
  </r>
  <r>
    <s v="L'Oreal"/>
    <x v="1"/>
    <x v="1"/>
    <x v="1"/>
    <x v="11"/>
    <n v="8901526566051"/>
    <x v="57"/>
    <x v="408"/>
    <x v="14"/>
    <n v="558"/>
    <n v="738"/>
    <n v="258"/>
    <n v="0"/>
    <n v="0"/>
    <n v="2190"/>
    <n v="708"/>
    <n v="1007"/>
    <n v="936"/>
    <n v="414"/>
    <n v="342"/>
    <n v="1368"/>
    <n v="528"/>
    <n v="768"/>
    <n v="876"/>
    <n v="1062"/>
    <n v="720"/>
    <n v="1392"/>
    <n v="642"/>
    <n v="900"/>
    <n v="1284"/>
    <n v="660"/>
    <n v="564"/>
    <n v="876"/>
    <n v="936"/>
    <n v="564"/>
    <n v="0"/>
    <n v="0"/>
    <n v="0"/>
    <n v="0"/>
    <n v="2760"/>
    <n v="912"/>
    <n v="222"/>
    <n v="108"/>
    <n v="1692"/>
    <n v="0"/>
    <n v="1926"/>
    <n v="678"/>
    <n v="372"/>
    <n v="1572"/>
    <n v="888"/>
    <n v="1362"/>
  </r>
  <r>
    <s v="L'Oreal"/>
    <x v="1"/>
    <x v="1"/>
    <x v="1"/>
    <x v="11"/>
    <n v="8901526566068"/>
    <x v="57"/>
    <x v="409"/>
    <x v="17"/>
    <n v="282"/>
    <n v="384"/>
    <n v="324"/>
    <n v="870"/>
    <n v="474"/>
    <n v="786"/>
    <n v="456"/>
    <n v="678"/>
    <n v="660"/>
    <n v="564"/>
    <n v="558"/>
    <n v="624"/>
    <n v="480"/>
    <n v="228"/>
    <n v="900"/>
    <n v="552"/>
    <n v="264"/>
    <n v="924"/>
    <n v="336"/>
    <n v="654"/>
    <n v="816"/>
    <n v="426"/>
    <n v="588"/>
    <n v="378"/>
    <n v="702"/>
    <n v="450"/>
    <n v="522"/>
    <n v="1434"/>
    <n v="695"/>
    <n v="426"/>
    <n v="486"/>
    <n v="432"/>
    <n v="1380"/>
    <n v="84"/>
    <n v="1416"/>
    <n v="18"/>
    <n v="1674"/>
    <n v="726"/>
    <n v="780"/>
    <n v="1092"/>
    <n v="1050"/>
    <n v="666"/>
  </r>
  <r>
    <s v="L'Oreal"/>
    <x v="1"/>
    <x v="1"/>
    <x v="1"/>
    <x v="11"/>
    <n v="8901526566075"/>
    <x v="57"/>
    <x v="410"/>
    <x v="17"/>
    <n v="528"/>
    <n v="798"/>
    <n v="684"/>
    <n v="1452"/>
    <n v="732"/>
    <n v="576"/>
    <n v="972"/>
    <n v="942"/>
    <n v="1056"/>
    <n v="732"/>
    <n v="960"/>
    <n v="786"/>
    <n v="978"/>
    <n v="870"/>
    <n v="1302"/>
    <n v="1056"/>
    <n v="414"/>
    <n v="1386"/>
    <n v="588"/>
    <n v="840"/>
    <n v="1476"/>
    <n v="774"/>
    <n v="882"/>
    <n v="612"/>
    <n v="282"/>
    <n v="78"/>
    <n v="84"/>
    <n v="1392"/>
    <n v="12"/>
    <n v="0"/>
    <n v="3072"/>
    <n v="720"/>
    <n v="0"/>
    <n v="192"/>
    <n v="2442"/>
    <n v="1356"/>
    <n v="1290"/>
    <n v="1476"/>
    <n v="276"/>
    <n v="1446"/>
    <n v="1794"/>
    <n v="1056"/>
  </r>
  <r>
    <s v="L'Oreal"/>
    <x v="1"/>
    <x v="1"/>
    <x v="1"/>
    <x v="11"/>
    <n v="8901526566082"/>
    <x v="57"/>
    <x v="411"/>
    <x v="17"/>
    <n v="588"/>
    <n v="582"/>
    <n v="1290"/>
    <n v="582"/>
    <n v="0"/>
    <n v="2400"/>
    <n v="678"/>
    <n v="360"/>
    <n v="1626"/>
    <n v="462"/>
    <n v="366"/>
    <n v="1542"/>
    <n v="1116"/>
    <n v="948"/>
    <n v="1002"/>
    <n v="1272"/>
    <n v="570"/>
    <n v="1278"/>
    <n v="750"/>
    <n v="1128"/>
    <n v="1296"/>
    <n v="246"/>
    <n v="744"/>
    <n v="870"/>
    <n v="846"/>
    <n v="96"/>
    <n v="702"/>
    <n v="1728"/>
    <n v="804"/>
    <n v="1116"/>
    <n v="1212"/>
    <n v="1110"/>
    <n v="678"/>
    <n v="810"/>
    <n v="930"/>
    <n v="1326"/>
    <n v="1338"/>
    <n v="828"/>
    <n v="942"/>
    <n v="1116"/>
    <n v="522"/>
    <n v="612"/>
  </r>
  <r>
    <s v="L'Oreal"/>
    <x v="1"/>
    <x v="1"/>
    <x v="1"/>
    <x v="11"/>
    <n v="8901526566099"/>
    <x v="57"/>
    <x v="412"/>
    <x v="17"/>
    <n v="390"/>
    <n v="528"/>
    <n v="450"/>
    <n v="1194"/>
    <n v="396"/>
    <n v="90"/>
    <n v="0"/>
    <n v="0"/>
    <n v="1674"/>
    <n v="168"/>
    <n v="1068"/>
    <n v="774"/>
    <n v="726"/>
    <n v="564"/>
    <n v="534"/>
    <n v="780"/>
    <n v="252"/>
    <n v="822"/>
    <n v="342"/>
    <n v="930"/>
    <n v="954"/>
    <n v="456"/>
    <n v="366"/>
    <n v="391"/>
    <n v="678"/>
    <n v="582"/>
    <n v="306"/>
    <n v="132"/>
    <n v="0"/>
    <n v="0"/>
    <n v="1596"/>
    <n v="948"/>
    <n v="426"/>
    <n v="720"/>
    <n v="570"/>
    <n v="234"/>
    <n v="1386"/>
    <n v="684"/>
    <n v="396"/>
    <n v="852"/>
    <n v="48"/>
    <n v="576"/>
  </r>
  <r>
    <s v="L'Oreal"/>
    <x v="1"/>
    <x v="1"/>
    <x v="1"/>
    <x v="11"/>
    <n v="8901526606061"/>
    <x v="57"/>
    <x v="413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1266"/>
    <n v="816"/>
    <n v="438"/>
    <n v="636"/>
    <n v="402"/>
    <n v="764"/>
    <n v="408"/>
    <n v="594"/>
    <n v="432"/>
    <n v="522"/>
    <n v="852"/>
    <n v="792"/>
    <n v="486"/>
    <n v="636"/>
    <n v="684"/>
    <n v="408"/>
    <n v="479"/>
    <n v="516"/>
    <n v="948"/>
    <n v="204"/>
    <n v="120"/>
    <n v="186"/>
    <n v="1002"/>
    <n v="132"/>
    <n v="984"/>
  </r>
  <r>
    <s v="L'Oreal"/>
    <x v="2"/>
    <x v="2"/>
    <x v="0"/>
    <x v="0"/>
    <n v="5601036100044"/>
    <x v="0"/>
    <x v="0"/>
    <x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3600523682799"/>
    <x v="1"/>
    <x v="1"/>
    <x v="1"/>
    <n v="4"/>
    <n v="1"/>
    <n v="0"/>
    <n v="0"/>
    <n v="1"/>
    <n v="2"/>
    <n v="1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3600523682850"/>
    <x v="1"/>
    <x v="2"/>
    <x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3600524095567"/>
    <x v="2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</r>
  <r>
    <s v="L'Oreal"/>
    <x v="2"/>
    <x v="2"/>
    <x v="0"/>
    <x v="1"/>
    <n v="7506078926912"/>
    <x v="3"/>
    <x v="4"/>
    <x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6078926929"/>
    <x v="3"/>
    <x v="5"/>
    <x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6078947894"/>
    <x v="4"/>
    <x v="6"/>
    <x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6078947900"/>
    <x v="4"/>
    <x v="7"/>
    <x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6078947917"/>
    <x v="4"/>
    <x v="8"/>
    <x v="5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3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L'Oreal"/>
    <x v="2"/>
    <x v="2"/>
    <x v="0"/>
    <x v="1"/>
    <n v="7506078959033"/>
    <x v="3"/>
    <x v="9"/>
    <x v="1"/>
    <n v="0"/>
    <n v="0"/>
    <n v="0"/>
    <n v="0"/>
    <n v="0"/>
    <n v="2"/>
    <n v="0"/>
    <n v="0"/>
    <n v="0"/>
    <n v="0"/>
    <n v="0"/>
    <n v="0"/>
    <n v="1"/>
    <n v="0"/>
    <n v="0"/>
    <n v="0"/>
    <n v="0"/>
    <n v="1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193831"/>
    <x v="4"/>
    <x v="10"/>
    <x v="1"/>
    <n v="0"/>
    <n v="4"/>
    <n v="0"/>
    <n v="0"/>
    <n v="0"/>
    <n v="0"/>
    <n v="0"/>
    <n v="1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791389"/>
    <x v="5"/>
    <x v="1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791396"/>
    <x v="5"/>
    <x v="12"/>
    <x v="1"/>
    <n v="0"/>
    <n v="0"/>
    <n v="0"/>
    <n v="0"/>
    <n v="0"/>
    <n v="0"/>
    <n v="0"/>
    <n v="0"/>
    <n v="0"/>
    <n v="0"/>
    <n v="0"/>
    <n v="0"/>
    <n v="0"/>
    <n v="0"/>
    <n v="0"/>
    <n v="1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00135"/>
    <x v="8"/>
    <x v="15"/>
    <x v="1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00258"/>
    <x v="8"/>
    <x v="16"/>
    <x v="4"/>
    <n v="0"/>
    <n v="0"/>
    <n v="0"/>
    <n v="1"/>
    <n v="0"/>
    <n v="0"/>
    <n v="0"/>
    <n v="0"/>
    <n v="0"/>
    <n v="1"/>
    <n v="0"/>
    <n v="0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16334"/>
    <x v="7"/>
    <x v="18"/>
    <x v="5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17348"/>
    <x v="4"/>
    <x v="19"/>
    <x v="6"/>
    <n v="1"/>
    <n v="2"/>
    <n v="1"/>
    <n v="0"/>
    <n v="4"/>
    <n v="1"/>
    <n v="1"/>
    <n v="1"/>
    <n v="1"/>
    <n v="1"/>
    <n v="1"/>
    <n v="4"/>
    <n v="5"/>
    <n v="5"/>
    <n v="1"/>
    <n v="3"/>
    <n v="4"/>
    <n v="12"/>
    <n v="0"/>
    <n v="2"/>
    <n v="0"/>
    <n v="0"/>
    <n v="0"/>
    <n v="20"/>
    <n v="5"/>
    <n v="4"/>
    <n v="1"/>
    <n v="6"/>
    <n v="0"/>
    <n v="6"/>
    <n v="6"/>
    <n v="6"/>
    <n v="1"/>
    <n v="0"/>
    <n v="0"/>
    <n v="3"/>
    <n v="5"/>
    <n v="6"/>
    <n v="3"/>
    <n v="3"/>
    <n v="15"/>
    <n v="4"/>
  </r>
  <r>
    <s v="L'Oreal"/>
    <x v="2"/>
    <x v="2"/>
    <x v="0"/>
    <x v="1"/>
    <n v="7509552817393"/>
    <x v="3"/>
    <x v="20"/>
    <x v="6"/>
    <n v="4"/>
    <n v="1"/>
    <n v="0"/>
    <n v="0"/>
    <n v="4"/>
    <n v="1"/>
    <n v="2"/>
    <n v="0"/>
    <n v="0"/>
    <n v="5"/>
    <n v="2"/>
    <n v="0"/>
    <n v="3"/>
    <n v="0"/>
    <n v="0"/>
    <n v="2"/>
    <n v="0"/>
    <n v="14"/>
    <n v="1"/>
    <n v="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17416"/>
    <x v="7"/>
    <x v="21"/>
    <x v="6"/>
    <n v="0"/>
    <n v="0"/>
    <n v="0"/>
    <n v="0"/>
    <n v="1"/>
    <n v="0"/>
    <n v="3"/>
    <n v="0"/>
    <n v="1"/>
    <n v="0"/>
    <n v="0"/>
    <n v="1"/>
    <n v="0"/>
    <n v="2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17430"/>
    <x v="8"/>
    <x v="22"/>
    <x v="6"/>
    <n v="2"/>
    <n v="0"/>
    <n v="1"/>
    <n v="0"/>
    <n v="4"/>
    <n v="1"/>
    <n v="2"/>
    <n v="1"/>
    <n v="1"/>
    <n v="4"/>
    <n v="1"/>
    <n v="1"/>
    <n v="1"/>
    <n v="1"/>
    <n v="3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21789"/>
    <x v="9"/>
    <x v="23"/>
    <x v="1"/>
    <n v="0"/>
    <n v="0"/>
    <n v="0"/>
    <n v="0"/>
    <n v="0"/>
    <n v="0"/>
    <n v="0"/>
    <n v="0"/>
    <n v="0"/>
    <n v="0"/>
    <n v="0"/>
    <n v="1"/>
    <n v="6"/>
    <n v="2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36509"/>
    <x v="10"/>
    <x v="24"/>
    <x v="4"/>
    <n v="0"/>
    <n v="0"/>
    <n v="2"/>
    <n v="0"/>
    <n v="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36554"/>
    <x v="10"/>
    <x v="25"/>
    <x v="1"/>
    <n v="0"/>
    <n v="1"/>
    <n v="0"/>
    <n v="10"/>
    <n v="48"/>
    <n v="0"/>
    <n v="48"/>
    <n v="48"/>
    <n v="0"/>
    <n v="24"/>
    <n v="0"/>
    <n v="24"/>
    <n v="0"/>
    <n v="36"/>
    <n v="12"/>
    <n v="12"/>
    <n v="36"/>
    <n v="24"/>
    <n v="36"/>
    <n v="0"/>
    <n v="0"/>
    <n v="0"/>
    <n v="72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36585"/>
    <x v="10"/>
    <x v="27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36677"/>
    <x v="10"/>
    <x v="28"/>
    <x v="5"/>
    <n v="0"/>
    <n v="0"/>
    <n v="1"/>
    <n v="0"/>
    <n v="2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0353"/>
    <x v="11"/>
    <x v="29"/>
    <x v="1"/>
    <n v="0"/>
    <n v="0"/>
    <n v="0"/>
    <n v="10"/>
    <n v="6"/>
    <n v="0"/>
    <n v="18"/>
    <n v="48"/>
    <n v="0"/>
    <n v="24"/>
    <n v="0"/>
    <n v="0"/>
    <n v="0"/>
    <n v="36"/>
    <n v="12"/>
    <n v="12"/>
    <n v="36"/>
    <n v="12"/>
    <n v="36"/>
    <n v="12"/>
    <n v="0"/>
    <n v="12"/>
    <n v="72"/>
    <n v="0"/>
    <n v="0"/>
    <n v="0"/>
    <n v="0"/>
    <n v="0"/>
    <n v="72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3026"/>
    <x v="12"/>
    <x v="31"/>
    <x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3057"/>
    <x v="12"/>
    <x v="32"/>
    <x v="4"/>
    <n v="0"/>
    <n v="5"/>
    <n v="0"/>
    <n v="1"/>
    <n v="0"/>
    <n v="1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3071"/>
    <x v="12"/>
    <x v="3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3101"/>
    <x v="12"/>
    <x v="34"/>
    <x v="1"/>
    <n v="0"/>
    <n v="0"/>
    <n v="0"/>
    <n v="0"/>
    <n v="0"/>
    <n v="0"/>
    <n v="0"/>
    <n v="0"/>
    <n v="0"/>
    <n v="0"/>
    <n v="0"/>
    <n v="0"/>
    <n v="0"/>
    <n v="0"/>
    <n v="0"/>
    <n v="0"/>
    <n v="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3132"/>
    <x v="3"/>
    <x v="35"/>
    <x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3149"/>
    <x v="3"/>
    <x v="36"/>
    <x v="2"/>
    <n v="0"/>
    <n v="0"/>
    <n v="0"/>
    <n v="0"/>
    <n v="0"/>
    <n v="0"/>
    <n v="0"/>
    <n v="0"/>
    <n v="1"/>
    <n v="0"/>
    <n v="1"/>
    <n v="0"/>
    <n v="0"/>
    <n v="0"/>
    <n v="1"/>
    <n v="1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5877"/>
    <x v="13"/>
    <x v="38"/>
    <x v="1"/>
    <n v="1"/>
    <n v="1"/>
    <n v="0"/>
    <n v="1"/>
    <n v="0"/>
    <n v="0"/>
    <n v="1"/>
    <n v="0"/>
    <n v="0"/>
    <n v="2"/>
    <n v="0"/>
    <n v="0"/>
    <n v="1"/>
    <n v="0"/>
    <n v="1"/>
    <n v="0"/>
    <n v="1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5884"/>
    <x v="13"/>
    <x v="39"/>
    <x v="7"/>
    <n v="2"/>
    <n v="3"/>
    <n v="3"/>
    <n v="3"/>
    <n v="1"/>
    <n v="4"/>
    <n v="5"/>
    <n v="2"/>
    <n v="1"/>
    <n v="4"/>
    <n v="1"/>
    <n v="1"/>
    <n v="2"/>
    <n v="0"/>
    <n v="6"/>
    <n v="7"/>
    <n v="2"/>
    <n v="1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5891"/>
    <x v="13"/>
    <x v="40"/>
    <x v="6"/>
    <n v="4"/>
    <n v="6"/>
    <n v="4"/>
    <n v="5"/>
    <n v="11"/>
    <n v="1"/>
    <n v="2"/>
    <n v="2"/>
    <n v="1"/>
    <n v="13"/>
    <n v="6"/>
    <n v="6"/>
    <n v="1"/>
    <n v="2"/>
    <n v="6"/>
    <n v="2"/>
    <n v="4"/>
    <n v="14"/>
    <n v="2"/>
    <n v="4"/>
    <n v="0"/>
    <n v="0"/>
    <n v="4"/>
    <n v="2"/>
    <n v="7"/>
    <n v="11"/>
    <n v="9"/>
    <n v="35"/>
    <n v="3"/>
    <n v="7"/>
    <n v="8"/>
    <n v="7"/>
    <n v="12"/>
    <n v="1"/>
    <n v="4"/>
    <n v="13"/>
    <n v="6"/>
    <n v="4"/>
    <n v="6"/>
    <n v="10"/>
    <n v="9"/>
    <n v="7"/>
  </r>
  <r>
    <s v="L'Oreal"/>
    <x v="2"/>
    <x v="2"/>
    <x v="0"/>
    <x v="1"/>
    <n v="7509552845907"/>
    <x v="13"/>
    <x v="41"/>
    <x v="1"/>
    <n v="0"/>
    <n v="0"/>
    <n v="1"/>
    <n v="0"/>
    <n v="0"/>
    <n v="0"/>
    <n v="1"/>
    <n v="0"/>
    <n v="0"/>
    <n v="1"/>
    <n v="0"/>
    <n v="0"/>
    <n v="1"/>
    <n v="0"/>
    <n v="0"/>
    <n v="1"/>
    <n v="0"/>
    <n v="2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5914"/>
    <x v="13"/>
    <x v="42"/>
    <x v="7"/>
    <n v="7"/>
    <n v="9"/>
    <n v="5"/>
    <n v="8"/>
    <n v="13"/>
    <n v="6"/>
    <n v="8"/>
    <n v="2"/>
    <n v="1"/>
    <n v="10"/>
    <n v="7"/>
    <n v="2"/>
    <n v="5"/>
    <n v="1"/>
    <n v="4"/>
    <n v="12"/>
    <n v="4"/>
    <n v="16"/>
    <n v="0"/>
    <n v="3"/>
    <n v="1"/>
    <n v="0"/>
    <n v="1"/>
    <n v="0"/>
    <n v="6"/>
    <n v="4"/>
    <n v="0"/>
    <n v="36"/>
    <n v="2"/>
    <n v="1"/>
    <n v="8"/>
    <n v="8"/>
    <n v="6"/>
    <n v="1"/>
    <n v="3"/>
    <n v="12"/>
    <n v="6"/>
    <n v="4"/>
    <n v="5"/>
    <n v="10"/>
    <n v="8"/>
    <n v="12"/>
  </r>
  <r>
    <s v="L'Oreal"/>
    <x v="2"/>
    <x v="2"/>
    <x v="0"/>
    <x v="1"/>
    <n v="7509552845938"/>
    <x v="13"/>
    <x v="43"/>
    <x v="5"/>
    <n v="7"/>
    <n v="0"/>
    <n v="2"/>
    <n v="2"/>
    <n v="11"/>
    <n v="1"/>
    <n v="9"/>
    <n v="0"/>
    <n v="0"/>
    <n v="7"/>
    <n v="1"/>
    <n v="2"/>
    <n v="2"/>
    <n v="0"/>
    <n v="6"/>
    <n v="3"/>
    <n v="0"/>
    <n v="2"/>
    <n v="6"/>
    <n v="6"/>
    <n v="1"/>
    <n v="0"/>
    <n v="12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499"/>
    <x v="3"/>
    <x v="44"/>
    <x v="7"/>
    <n v="0"/>
    <n v="1"/>
    <n v="0"/>
    <n v="10"/>
    <n v="8"/>
    <n v="0"/>
    <n v="18"/>
    <n v="24"/>
    <n v="0"/>
    <n v="24"/>
    <n v="0"/>
    <n v="24"/>
    <n v="0"/>
    <n v="0"/>
    <n v="0"/>
    <n v="24"/>
    <n v="0"/>
    <n v="12"/>
    <n v="12"/>
    <n v="12"/>
    <n v="3"/>
    <n v="12"/>
    <n v="0"/>
    <n v="72"/>
    <n v="0"/>
    <n v="0"/>
    <n v="0"/>
    <n v="0"/>
    <n v="6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505"/>
    <x v="6"/>
    <x v="45"/>
    <x v="7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512"/>
    <x v="6"/>
    <x v="46"/>
    <x v="7"/>
    <n v="0"/>
    <n v="0"/>
    <n v="0"/>
    <n v="0"/>
    <n v="0"/>
    <n v="0"/>
    <n v="6"/>
    <n v="0"/>
    <n v="0"/>
    <n v="0"/>
    <n v="0"/>
    <n v="1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529"/>
    <x v="14"/>
    <x v="47"/>
    <x v="7"/>
    <n v="0"/>
    <n v="0"/>
    <n v="0"/>
    <n v="10"/>
    <n v="6"/>
    <n v="0"/>
    <n v="18"/>
    <n v="48"/>
    <n v="0"/>
    <n v="24"/>
    <n v="0"/>
    <n v="0"/>
    <n v="0"/>
    <n v="36"/>
    <n v="13"/>
    <n v="12"/>
    <n v="37"/>
    <n v="12"/>
    <n v="36"/>
    <n v="12"/>
    <n v="0"/>
    <n v="12"/>
    <n v="72"/>
    <n v="0"/>
    <n v="0"/>
    <n v="0"/>
    <n v="0"/>
    <n v="0"/>
    <n v="72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536"/>
    <x v="14"/>
    <x v="48"/>
    <x v="7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543"/>
    <x v="2"/>
    <x v="49"/>
    <x v="7"/>
    <n v="0"/>
    <n v="0"/>
    <n v="0"/>
    <n v="0"/>
    <n v="0"/>
    <n v="0"/>
    <n v="0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550"/>
    <x v="8"/>
    <x v="50"/>
    <x v="7"/>
    <n v="0"/>
    <n v="0"/>
    <n v="0"/>
    <n v="0"/>
    <n v="1"/>
    <n v="0"/>
    <n v="2"/>
    <n v="1"/>
    <n v="0"/>
    <n v="1"/>
    <n v="1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574"/>
    <x v="8"/>
    <x v="51"/>
    <x v="7"/>
    <n v="0"/>
    <n v="0"/>
    <n v="0"/>
    <n v="0"/>
    <n v="1"/>
    <n v="0"/>
    <n v="1"/>
    <n v="1"/>
    <n v="3"/>
    <n v="0"/>
    <n v="1"/>
    <n v="1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581"/>
    <x v="10"/>
    <x v="52"/>
    <x v="7"/>
    <n v="0"/>
    <n v="0"/>
    <n v="0"/>
    <n v="10"/>
    <n v="48"/>
    <n v="0"/>
    <n v="49"/>
    <n v="48"/>
    <n v="1"/>
    <n v="24"/>
    <n v="3"/>
    <n v="24"/>
    <n v="0"/>
    <n v="36"/>
    <n v="12"/>
    <n v="17"/>
    <n v="36"/>
    <n v="12"/>
    <n v="36"/>
    <n v="0"/>
    <n v="0"/>
    <n v="0"/>
    <n v="72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598"/>
    <x v="12"/>
    <x v="53"/>
    <x v="7"/>
    <n v="0"/>
    <n v="0"/>
    <n v="0"/>
    <n v="0"/>
    <n v="0"/>
    <n v="0"/>
    <n v="0"/>
    <n v="0"/>
    <n v="0"/>
    <n v="0"/>
    <n v="1"/>
    <n v="0"/>
    <n v="0"/>
    <n v="0"/>
    <n v="0"/>
    <n v="0"/>
    <n v="0"/>
    <n v="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949"/>
    <x v="13"/>
    <x v="54"/>
    <x v="5"/>
    <n v="1"/>
    <n v="2"/>
    <n v="1"/>
    <n v="1"/>
    <n v="7"/>
    <n v="0"/>
    <n v="6"/>
    <n v="12"/>
    <n v="1"/>
    <n v="1"/>
    <n v="1"/>
    <n v="1"/>
    <n v="4"/>
    <n v="1"/>
    <n v="9"/>
    <n v="3"/>
    <n v="2"/>
    <n v="12"/>
    <n v="6"/>
    <n v="1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987"/>
    <x v="4"/>
    <x v="55"/>
    <x v="7"/>
    <n v="0"/>
    <n v="7"/>
    <n v="16"/>
    <n v="11"/>
    <n v="8"/>
    <n v="7"/>
    <n v="18"/>
    <n v="48"/>
    <n v="1"/>
    <n v="26"/>
    <n v="2"/>
    <n v="30"/>
    <n v="0"/>
    <n v="39"/>
    <n v="15"/>
    <n v="12"/>
    <n v="1"/>
    <n v="12"/>
    <n v="13"/>
    <n v="36"/>
    <n v="0"/>
    <n v="36"/>
    <n v="72"/>
    <n v="0"/>
    <n v="0"/>
    <n v="0"/>
    <n v="0"/>
    <n v="0"/>
    <n v="84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7994"/>
    <x v="4"/>
    <x v="56"/>
    <x v="7"/>
    <n v="0"/>
    <n v="2"/>
    <n v="3"/>
    <n v="1"/>
    <n v="3"/>
    <n v="14"/>
    <n v="1"/>
    <n v="0"/>
    <n v="0"/>
    <n v="4"/>
    <n v="4"/>
    <n v="7"/>
    <n v="1"/>
    <n v="3"/>
    <n v="2"/>
    <n v="0"/>
    <n v="5"/>
    <n v="15"/>
    <n v="2"/>
    <n v="1"/>
    <n v="0"/>
    <n v="0"/>
    <n v="6"/>
    <n v="10"/>
    <n v="4"/>
    <n v="5"/>
    <n v="6"/>
    <n v="6"/>
    <n v="2"/>
    <n v="9"/>
    <n v="1"/>
    <n v="5"/>
    <n v="2"/>
    <n v="0"/>
    <n v="2"/>
    <n v="2"/>
    <n v="4"/>
    <n v="7"/>
    <n v="4"/>
    <n v="3"/>
    <n v="8"/>
    <n v="3"/>
  </r>
  <r>
    <s v="L'Oreal"/>
    <x v="2"/>
    <x v="2"/>
    <x v="0"/>
    <x v="1"/>
    <n v="7509552848007"/>
    <x v="15"/>
    <x v="57"/>
    <x v="7"/>
    <n v="0"/>
    <n v="0"/>
    <n v="0"/>
    <n v="0"/>
    <n v="0"/>
    <n v="2"/>
    <n v="2"/>
    <n v="0"/>
    <n v="1"/>
    <n v="2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8014"/>
    <x v="15"/>
    <x v="58"/>
    <x v="7"/>
    <n v="0"/>
    <n v="0"/>
    <n v="0"/>
    <n v="1"/>
    <n v="0"/>
    <n v="1"/>
    <n v="0"/>
    <n v="1"/>
    <n v="1"/>
    <n v="0"/>
    <n v="1"/>
    <n v="2"/>
    <n v="0"/>
    <n v="4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8021"/>
    <x v="16"/>
    <x v="59"/>
    <x v="7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8052"/>
    <x v="12"/>
    <x v="62"/>
    <x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8069"/>
    <x v="10"/>
    <x v="63"/>
    <x v="7"/>
    <n v="0"/>
    <n v="0"/>
    <n v="0"/>
    <n v="0"/>
    <n v="3"/>
    <n v="0"/>
    <n v="3"/>
    <n v="0"/>
    <n v="0"/>
    <n v="1"/>
    <n v="6"/>
    <n v="0"/>
    <n v="0"/>
    <n v="0"/>
    <n v="1"/>
    <n v="4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48076"/>
    <x v="3"/>
    <x v="64"/>
    <x v="7"/>
    <n v="0"/>
    <n v="0"/>
    <n v="0"/>
    <n v="1"/>
    <n v="2"/>
    <n v="0"/>
    <n v="0"/>
    <n v="0"/>
    <n v="0"/>
    <n v="0"/>
    <n v="1"/>
    <n v="0"/>
    <n v="0"/>
    <n v="0"/>
    <n v="0"/>
    <n v="0"/>
    <n v="0"/>
    <n v="12"/>
    <n v="0"/>
    <n v="0"/>
    <n v="3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59119"/>
    <x v="6"/>
    <x v="65"/>
    <x v="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2"/>
    <n v="0"/>
    <n v="1"/>
    <n v="0"/>
  </r>
  <r>
    <s v="L'Oreal"/>
    <x v="2"/>
    <x v="2"/>
    <x v="0"/>
    <x v="1"/>
    <n v="7509552874952"/>
    <x v="17"/>
    <x v="66"/>
    <x v="7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74983"/>
    <x v="17"/>
    <x v="67"/>
    <x v="6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75010"/>
    <x v="17"/>
    <x v="68"/>
    <x v="7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75409"/>
    <x v="17"/>
    <x v="69"/>
    <x v="5"/>
    <n v="0"/>
    <n v="0"/>
    <n v="0"/>
    <n v="0"/>
    <n v="0"/>
    <n v="0"/>
    <n v="0"/>
    <n v="0"/>
    <n v="0"/>
    <n v="0"/>
    <n v="0"/>
    <n v="0"/>
    <n v="0"/>
    <n v="0"/>
    <n v="0"/>
    <n v="1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876642"/>
    <x v="17"/>
    <x v="7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02341"/>
    <x v="13"/>
    <x v="7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02396"/>
    <x v="3"/>
    <x v="79"/>
    <x v="1"/>
    <n v="0"/>
    <n v="0"/>
    <n v="0"/>
    <n v="10"/>
    <n v="6"/>
    <n v="0"/>
    <n v="18"/>
    <n v="24"/>
    <n v="0"/>
    <n v="24"/>
    <n v="0"/>
    <n v="24"/>
    <n v="1"/>
    <n v="0"/>
    <n v="0"/>
    <n v="24"/>
    <n v="0"/>
    <n v="25"/>
    <n v="12"/>
    <n v="12"/>
    <n v="0"/>
    <n v="13"/>
    <n v="0"/>
    <n v="72"/>
    <n v="0"/>
    <n v="0"/>
    <n v="0"/>
    <n v="0"/>
    <n v="6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02532"/>
    <x v="4"/>
    <x v="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</r>
  <r>
    <s v="L'Oreal"/>
    <x v="2"/>
    <x v="2"/>
    <x v="0"/>
    <x v="1"/>
    <n v="7509552902747"/>
    <x v="4"/>
    <x v="82"/>
    <x v="1"/>
    <n v="0"/>
    <n v="3"/>
    <n v="0"/>
    <n v="10"/>
    <n v="7"/>
    <n v="1"/>
    <n v="18"/>
    <n v="48"/>
    <n v="1"/>
    <n v="25"/>
    <n v="0"/>
    <n v="24"/>
    <n v="0"/>
    <n v="37"/>
    <n v="12"/>
    <n v="12"/>
    <n v="0"/>
    <n v="12"/>
    <n v="12"/>
    <n v="36"/>
    <n v="0"/>
    <n v="36"/>
    <n v="72"/>
    <n v="0"/>
    <n v="0"/>
    <n v="0"/>
    <n v="0"/>
    <n v="12"/>
    <n v="84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03348"/>
    <x v="3"/>
    <x v="83"/>
    <x v="5"/>
    <n v="1"/>
    <n v="1"/>
    <n v="1"/>
    <n v="0"/>
    <n v="0"/>
    <n v="1"/>
    <n v="1"/>
    <n v="0"/>
    <n v="0"/>
    <n v="0"/>
    <n v="0"/>
    <n v="0"/>
    <n v="0"/>
    <n v="0"/>
    <n v="0"/>
    <n v="1"/>
    <n v="0"/>
    <n v="12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1"/>
  </r>
  <r>
    <s v="L'Oreal"/>
    <x v="2"/>
    <x v="2"/>
    <x v="0"/>
    <x v="1"/>
    <n v="7509552903362"/>
    <x v="4"/>
    <x v="84"/>
    <x v="8"/>
    <n v="1"/>
    <n v="0"/>
    <n v="0"/>
    <n v="0"/>
    <n v="2"/>
    <n v="0"/>
    <n v="0"/>
    <n v="0"/>
    <n v="0"/>
    <n v="0"/>
    <n v="0"/>
    <n v="0"/>
    <n v="0"/>
    <n v="0"/>
    <n v="0"/>
    <n v="0"/>
    <n v="2"/>
    <n v="12"/>
    <n v="0"/>
    <n v="0"/>
    <n v="0"/>
    <n v="0"/>
    <n v="1"/>
    <n v="1"/>
    <n v="0"/>
    <n v="0"/>
    <n v="0"/>
    <n v="0"/>
    <n v="0"/>
    <n v="0"/>
    <n v="0"/>
    <n v="0"/>
    <n v="1"/>
    <n v="0"/>
    <n v="4"/>
    <n v="0"/>
    <n v="0"/>
    <n v="1"/>
    <n v="0"/>
    <n v="0"/>
    <n v="0"/>
    <n v="0"/>
  </r>
  <r>
    <s v="L'Oreal"/>
    <x v="2"/>
    <x v="2"/>
    <x v="0"/>
    <x v="1"/>
    <n v="7509552904819"/>
    <x v="18"/>
    <x v="87"/>
    <x v="9"/>
    <n v="0"/>
    <n v="0"/>
    <n v="1"/>
    <n v="4"/>
    <n v="6"/>
    <n v="0"/>
    <n v="1"/>
    <n v="0"/>
    <n v="1"/>
    <n v="8"/>
    <n v="1"/>
    <n v="6"/>
    <n v="1"/>
    <n v="1"/>
    <n v="3"/>
    <n v="0"/>
    <n v="1"/>
    <n v="2"/>
    <n v="0"/>
    <n v="0"/>
    <n v="0"/>
    <n v="0"/>
    <n v="1"/>
    <n v="0"/>
    <n v="0"/>
    <n v="1"/>
    <n v="0"/>
    <n v="1"/>
    <n v="14"/>
    <n v="0"/>
    <n v="1"/>
    <n v="4"/>
    <n v="4"/>
    <n v="0"/>
    <n v="0"/>
    <n v="0"/>
    <n v="5"/>
    <n v="0"/>
    <n v="0"/>
    <n v="9"/>
    <n v="2"/>
    <n v="7"/>
  </r>
  <r>
    <s v="L'Oreal"/>
    <x v="2"/>
    <x v="2"/>
    <x v="0"/>
    <x v="1"/>
    <n v="7509552906950"/>
    <x v="15"/>
    <x v="88"/>
    <x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06974"/>
    <x v="15"/>
    <x v="89"/>
    <x v="4"/>
    <n v="0"/>
    <n v="3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06998"/>
    <x v="15"/>
    <x v="9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07759"/>
    <x v="3"/>
    <x v="9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</r>
  <r>
    <s v="L'Oreal"/>
    <x v="2"/>
    <x v="2"/>
    <x v="0"/>
    <x v="1"/>
    <n v="7509552908459"/>
    <x v="6"/>
    <x v="92"/>
    <x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08497"/>
    <x v="6"/>
    <x v="93"/>
    <x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08572"/>
    <x v="7"/>
    <x v="96"/>
    <x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9"/>
    <n v="0"/>
    <n v="0"/>
    <n v="0"/>
    <n v="0"/>
  </r>
  <r>
    <s v="L'Oreal"/>
    <x v="2"/>
    <x v="2"/>
    <x v="0"/>
    <x v="1"/>
    <n v="7509552911473"/>
    <x v="16"/>
    <x v="99"/>
    <x v="5"/>
    <n v="1"/>
    <n v="0"/>
    <n v="1"/>
    <n v="0"/>
    <n v="0"/>
    <n v="0"/>
    <n v="5"/>
    <n v="0"/>
    <n v="2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L'Oreal"/>
    <x v="2"/>
    <x v="2"/>
    <x v="0"/>
    <x v="1"/>
    <n v="7509552912883"/>
    <x v="2"/>
    <x v="100"/>
    <x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13002"/>
    <x v="8"/>
    <x v="102"/>
    <x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13057"/>
    <x v="8"/>
    <x v="103"/>
    <x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509552928549"/>
    <x v="20"/>
    <x v="10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3"/>
    <n v="2"/>
    <n v="1"/>
    <n v="1"/>
    <n v="0"/>
    <n v="5"/>
    <n v="3"/>
    <n v="5"/>
    <n v="2"/>
    <n v="1"/>
    <n v="1"/>
    <n v="2"/>
    <n v="0"/>
  </r>
  <r>
    <s v="L'Oreal"/>
    <x v="2"/>
    <x v="2"/>
    <x v="0"/>
    <x v="1"/>
    <n v="7509552928563"/>
    <x v="20"/>
    <x v="10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2"/>
    <n v="1"/>
    <n v="0"/>
    <n v="0"/>
  </r>
  <r>
    <s v="L'Oreal"/>
    <x v="2"/>
    <x v="2"/>
    <x v="0"/>
    <x v="1"/>
    <n v="7509552928624"/>
    <x v="20"/>
    <x v="10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2"/>
    <n v="0"/>
    <n v="3"/>
    <n v="1"/>
    <n v="2"/>
    <n v="0"/>
    <n v="0"/>
    <n v="1"/>
    <n v="1"/>
    <n v="0"/>
  </r>
  <r>
    <s v="L'Oreal"/>
    <x v="2"/>
    <x v="2"/>
    <x v="0"/>
    <x v="1"/>
    <n v="7509552930337"/>
    <x v="20"/>
    <x v="11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</r>
  <r>
    <s v="L'Oreal"/>
    <x v="2"/>
    <x v="2"/>
    <x v="0"/>
    <x v="1"/>
    <n v="7509552931143"/>
    <x v="20"/>
    <x v="11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</r>
  <r>
    <s v="L'Oreal"/>
    <x v="2"/>
    <x v="2"/>
    <x v="0"/>
    <x v="1"/>
    <n v="7898587761925"/>
    <x v="4"/>
    <x v="414"/>
    <x v="1"/>
    <n v="0"/>
    <n v="0"/>
    <n v="1"/>
    <n v="0"/>
    <n v="1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898587762380"/>
    <x v="22"/>
    <x v="121"/>
    <x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898587762403"/>
    <x v="22"/>
    <x v="122"/>
    <x v="4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898587762892"/>
    <x v="18"/>
    <x v="123"/>
    <x v="9"/>
    <n v="0"/>
    <n v="0"/>
    <n v="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898587772518"/>
    <x v="15"/>
    <x v="12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898587774925"/>
    <x v="6"/>
    <x v="125"/>
    <x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898587775021"/>
    <x v="11"/>
    <x v="12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899706154185"/>
    <x v="23"/>
    <x v="128"/>
    <x v="10"/>
    <n v="0"/>
    <n v="0"/>
    <n v="1"/>
    <n v="0"/>
    <n v="7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1"/>
    <n v="7899706182812"/>
    <x v="4"/>
    <x v="129"/>
    <x v="11"/>
    <n v="0"/>
    <n v="0"/>
    <n v="0"/>
    <n v="0"/>
    <n v="0"/>
    <n v="0"/>
    <n v="2"/>
    <n v="1"/>
    <n v="0"/>
    <n v="2"/>
    <n v="1"/>
    <n v="0"/>
    <n v="2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2"/>
    <n v="71249341360"/>
    <x v="24"/>
    <x v="130"/>
    <x v="12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2"/>
    <n v="71249341377"/>
    <x v="24"/>
    <x v="131"/>
    <x v="1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2"/>
    <n v="71249341384"/>
    <x v="25"/>
    <x v="132"/>
    <x v="12"/>
    <n v="0"/>
    <n v="0"/>
    <n v="0"/>
    <n v="0"/>
    <n v="2"/>
    <n v="5"/>
    <n v="1"/>
    <n v="6"/>
    <n v="0"/>
    <n v="0"/>
    <n v="0"/>
    <n v="0"/>
    <n v="1"/>
    <n v="0"/>
    <n v="1"/>
    <n v="1"/>
    <n v="6"/>
    <n v="0"/>
    <n v="0"/>
    <n v="0"/>
    <n v="0"/>
    <n v="0"/>
    <n v="0"/>
    <n v="6"/>
    <n v="0"/>
    <n v="0"/>
    <n v="0"/>
    <n v="0"/>
    <n v="0"/>
    <n v="0"/>
    <n v="0"/>
    <n v="0"/>
    <n v="0"/>
    <n v="0"/>
    <n v="1"/>
    <n v="0"/>
    <n v="0"/>
    <n v="2"/>
    <n v="0"/>
    <n v="0"/>
    <n v="6"/>
    <n v="0"/>
  </r>
  <r>
    <s v="L'Oreal"/>
    <x v="2"/>
    <x v="2"/>
    <x v="0"/>
    <x v="2"/>
    <n v="71249341391"/>
    <x v="25"/>
    <x v="133"/>
    <x v="12"/>
    <n v="0"/>
    <n v="0"/>
    <n v="0"/>
    <n v="0"/>
    <n v="0"/>
    <n v="5"/>
    <n v="0"/>
    <n v="2"/>
    <n v="1"/>
    <n v="0"/>
    <n v="0"/>
    <n v="0"/>
    <n v="0"/>
    <n v="0"/>
    <n v="1"/>
    <n v="0"/>
    <n v="2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"/>
    <n v="0"/>
    <n v="0"/>
    <n v="2"/>
    <n v="0"/>
  </r>
  <r>
    <s v="L'Oreal"/>
    <x v="2"/>
    <x v="2"/>
    <x v="0"/>
    <x v="2"/>
    <n v="71249341421"/>
    <x v="24"/>
    <x v="134"/>
    <x v="12"/>
    <n v="0"/>
    <n v="0"/>
    <n v="0"/>
    <n v="3"/>
    <n v="6"/>
    <n v="1"/>
    <n v="0"/>
    <n v="0"/>
    <n v="0"/>
    <n v="1"/>
    <n v="1"/>
    <n v="0"/>
    <n v="0"/>
    <n v="0"/>
    <n v="0"/>
    <n v="0"/>
    <n v="0"/>
    <n v="0"/>
    <n v="3"/>
    <n v="0"/>
    <n v="0"/>
    <n v="0"/>
    <n v="3"/>
    <n v="1"/>
    <n v="1"/>
    <n v="0"/>
    <n v="0"/>
    <n v="0"/>
    <n v="2"/>
    <n v="1"/>
    <n v="0"/>
    <n v="0"/>
    <n v="0"/>
    <n v="0"/>
    <n v="0"/>
    <n v="0"/>
    <n v="0"/>
    <n v="0"/>
    <n v="0"/>
    <n v="0"/>
    <n v="0"/>
    <n v="0"/>
  </r>
  <r>
    <s v="L'Oreal"/>
    <x v="2"/>
    <x v="2"/>
    <x v="0"/>
    <x v="2"/>
    <n v="71249341445"/>
    <x v="24"/>
    <x v="135"/>
    <x v="12"/>
    <n v="0"/>
    <n v="0"/>
    <n v="0"/>
    <n v="3"/>
    <n v="6"/>
    <n v="1"/>
    <n v="0"/>
    <n v="0"/>
    <n v="0"/>
    <n v="1"/>
    <n v="0"/>
    <n v="0"/>
    <n v="0"/>
    <n v="0"/>
    <n v="3"/>
    <n v="0"/>
    <n v="0"/>
    <n v="0"/>
    <n v="0"/>
    <n v="0"/>
    <n v="0"/>
    <n v="3"/>
    <n v="3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L'Oreal"/>
    <x v="2"/>
    <x v="2"/>
    <x v="0"/>
    <x v="2"/>
    <n v="71249395349"/>
    <x v="24"/>
    <x v="136"/>
    <x v="1"/>
    <n v="0"/>
    <n v="0"/>
    <n v="0"/>
    <n v="0"/>
    <n v="0"/>
    <n v="1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2"/>
    <n v="71249395363"/>
    <x v="24"/>
    <x v="137"/>
    <x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</r>
  <r>
    <s v="L'Oreal"/>
    <x v="2"/>
    <x v="2"/>
    <x v="0"/>
    <x v="2"/>
    <n v="71249406915"/>
    <x v="24"/>
    <x v="13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</r>
  <r>
    <s v="L'Oreal"/>
    <x v="2"/>
    <x v="2"/>
    <x v="0"/>
    <x v="2"/>
    <n v="71249406922"/>
    <x v="24"/>
    <x v="13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s v="L'Oreal"/>
    <x v="2"/>
    <x v="2"/>
    <x v="0"/>
    <x v="2"/>
    <n v="71249645253"/>
    <x v="24"/>
    <x v="14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2"/>
    <n v="7"/>
    <n v="1"/>
    <n v="3"/>
    <n v="4"/>
    <n v="1"/>
  </r>
  <r>
    <s v="L'Oreal"/>
    <x v="2"/>
    <x v="2"/>
    <x v="0"/>
    <x v="2"/>
    <n v="71249645260"/>
    <x v="24"/>
    <x v="14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2"/>
    <n v="1"/>
    <n v="1"/>
  </r>
  <r>
    <s v="L'Oreal"/>
    <x v="2"/>
    <x v="2"/>
    <x v="0"/>
    <x v="2"/>
    <n v="71249672952"/>
    <x v="24"/>
    <x v="14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</r>
  <r>
    <s v="L'Oreal"/>
    <x v="2"/>
    <x v="2"/>
    <x v="0"/>
    <x v="3"/>
    <n v="603084082063"/>
    <x v="26"/>
    <x v="143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2"/>
    <n v="0"/>
    <n v="0"/>
    <n v="1"/>
    <n v="1"/>
    <n v="0"/>
    <n v="0"/>
    <n v="0"/>
    <n v="0"/>
    <n v="0"/>
    <n v="0"/>
    <n v="0"/>
    <n v="0"/>
    <n v="0"/>
    <n v="1"/>
    <n v="0"/>
    <n v="0"/>
    <n v="0"/>
    <n v="1"/>
    <n v="1"/>
    <n v="0"/>
    <n v="0"/>
  </r>
  <r>
    <s v="L'Oreal"/>
    <x v="2"/>
    <x v="2"/>
    <x v="0"/>
    <x v="3"/>
    <n v="3600542440622"/>
    <x v="27"/>
    <x v="144"/>
    <x v="14"/>
    <n v="0"/>
    <n v="0"/>
    <n v="0"/>
    <n v="0"/>
    <n v="0"/>
    <n v="1"/>
    <n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3600542441162"/>
    <x v="27"/>
    <x v="145"/>
    <x v="14"/>
    <n v="0"/>
    <n v="0"/>
    <n v="0"/>
    <n v="0"/>
    <n v="0"/>
    <n v="5"/>
    <n v="4"/>
    <n v="3"/>
    <n v="1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3600542442497"/>
    <x v="27"/>
    <x v="146"/>
    <x v="14"/>
    <n v="0"/>
    <n v="0"/>
    <n v="0"/>
    <n v="0"/>
    <n v="0"/>
    <n v="0"/>
    <n v="0"/>
    <n v="1"/>
    <n v="0"/>
    <n v="3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3600542449298"/>
    <x v="27"/>
    <x v="147"/>
    <x v="14"/>
    <n v="0"/>
    <n v="0"/>
    <n v="0"/>
    <n v="0"/>
    <n v="0"/>
    <n v="0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792294"/>
    <x v="27"/>
    <x v="149"/>
    <x v="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792317"/>
    <x v="27"/>
    <x v="150"/>
    <x v="5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795608"/>
    <x v="28"/>
    <x v="151"/>
    <x v="5"/>
    <n v="0"/>
    <n v="0"/>
    <n v="0"/>
    <n v="0"/>
    <n v="0"/>
    <n v="0"/>
    <n v="0"/>
    <n v="0"/>
    <n v="0"/>
    <n v="1"/>
    <n v="0"/>
    <n v="1"/>
    <n v="0"/>
    <n v="0"/>
    <n v="0"/>
    <n v="0"/>
    <n v="1"/>
    <n v="1"/>
    <n v="0"/>
    <n v="0"/>
    <n v="0"/>
    <n v="0"/>
    <n v="0"/>
    <n v="1"/>
    <n v="0"/>
    <n v="0"/>
    <n v="1"/>
    <n v="0"/>
    <n v="0"/>
    <n v="0"/>
    <n v="1"/>
    <n v="0"/>
    <n v="0"/>
    <n v="0"/>
    <n v="0"/>
    <n v="0"/>
    <n v="3"/>
    <n v="0"/>
    <n v="0"/>
    <n v="1"/>
    <n v="0"/>
    <n v="0"/>
  </r>
  <r>
    <s v="L'Oreal"/>
    <x v="2"/>
    <x v="2"/>
    <x v="0"/>
    <x v="3"/>
    <n v="7509552795646"/>
    <x v="28"/>
    <x v="152"/>
    <x v="15"/>
    <n v="0"/>
    <n v="0"/>
    <n v="0"/>
    <n v="0"/>
    <n v="0"/>
    <n v="0"/>
    <n v="2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796216"/>
    <x v="27"/>
    <x v="153"/>
    <x v="8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798456"/>
    <x v="28"/>
    <x v="154"/>
    <x v="8"/>
    <n v="0"/>
    <n v="0"/>
    <n v="0"/>
    <n v="0"/>
    <n v="0"/>
    <n v="1"/>
    <n v="4"/>
    <n v="1"/>
    <n v="1"/>
    <n v="0"/>
    <n v="0"/>
    <n v="0"/>
    <n v="0"/>
    <n v="1"/>
    <n v="0"/>
    <n v="0"/>
    <n v="1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05260"/>
    <x v="29"/>
    <x v="155"/>
    <x v="1"/>
    <n v="0"/>
    <n v="0"/>
    <n v="0"/>
    <n v="0"/>
    <n v="0"/>
    <n v="0"/>
    <n v="0"/>
    <n v="0"/>
    <n v="12"/>
    <n v="1"/>
    <n v="1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05307"/>
    <x v="29"/>
    <x v="156"/>
    <x v="1"/>
    <n v="0"/>
    <n v="0"/>
    <n v="0"/>
    <n v="0"/>
    <n v="0"/>
    <n v="0"/>
    <n v="0"/>
    <n v="0"/>
    <n v="0"/>
    <n v="0"/>
    <n v="1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05345"/>
    <x v="30"/>
    <x v="157"/>
    <x v="1"/>
    <n v="0"/>
    <n v="0"/>
    <n v="0"/>
    <n v="0"/>
    <n v="1"/>
    <n v="0"/>
    <n v="0"/>
    <n v="1"/>
    <n v="0"/>
    <n v="0"/>
    <n v="1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05383"/>
    <x v="30"/>
    <x v="158"/>
    <x v="1"/>
    <n v="0"/>
    <n v="0"/>
    <n v="0"/>
    <n v="0"/>
    <n v="0"/>
    <n v="0"/>
    <n v="0"/>
    <n v="1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16242"/>
    <x v="31"/>
    <x v="159"/>
    <x v="8"/>
    <n v="0"/>
    <n v="0"/>
    <n v="0"/>
    <n v="0"/>
    <n v="0"/>
    <n v="0"/>
    <n v="0"/>
    <n v="0"/>
    <n v="0"/>
    <n v="0"/>
    <n v="0"/>
    <n v="0"/>
    <n v="0"/>
    <n v="0"/>
    <n v="3"/>
    <n v="0"/>
    <n v="0"/>
    <n v="12"/>
    <n v="1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16266"/>
    <x v="31"/>
    <x v="160"/>
    <x v="16"/>
    <n v="4"/>
    <n v="0"/>
    <n v="2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16273"/>
    <x v="31"/>
    <x v="161"/>
    <x v="8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16297"/>
    <x v="31"/>
    <x v="16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1"/>
    <n v="1"/>
    <n v="1"/>
    <n v="0"/>
    <n v="12"/>
    <n v="0"/>
    <n v="0"/>
    <n v="0"/>
    <n v="0"/>
    <n v="0"/>
    <n v="0"/>
    <n v="0"/>
    <n v="1"/>
    <n v="0"/>
    <n v="0"/>
    <n v="0"/>
    <n v="0"/>
    <n v="0"/>
    <n v="0"/>
  </r>
  <r>
    <s v="L'Oreal"/>
    <x v="2"/>
    <x v="2"/>
    <x v="0"/>
    <x v="3"/>
    <n v="7509552823851"/>
    <x v="32"/>
    <x v="16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23899"/>
    <x v="33"/>
    <x v="16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23905"/>
    <x v="33"/>
    <x v="167"/>
    <x v="1"/>
    <n v="0"/>
    <n v="0"/>
    <n v="0"/>
    <n v="0"/>
    <n v="0"/>
    <n v="0"/>
    <n v="0"/>
    <n v="0"/>
    <n v="0"/>
    <n v="0"/>
    <n v="0"/>
    <n v="0"/>
    <n v="2"/>
    <n v="0"/>
    <n v="0"/>
    <n v="0"/>
    <n v="0"/>
    <n v="12"/>
    <n v="0"/>
    <n v="0"/>
    <n v="1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23912"/>
    <x v="30"/>
    <x v="16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27002"/>
    <x v="31"/>
    <x v="169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28030"/>
    <x v="27"/>
    <x v="171"/>
    <x v="8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s v="L'Oreal"/>
    <x v="2"/>
    <x v="2"/>
    <x v="0"/>
    <x v="3"/>
    <n v="7509552828078"/>
    <x v="27"/>
    <x v="172"/>
    <x v="8"/>
    <n v="0"/>
    <n v="0"/>
    <n v="0"/>
    <n v="0"/>
    <n v="6"/>
    <n v="0"/>
    <n v="1"/>
    <n v="1"/>
    <n v="4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28962"/>
    <x v="27"/>
    <x v="173"/>
    <x v="8"/>
    <n v="0"/>
    <n v="0"/>
    <n v="0"/>
    <n v="1"/>
    <n v="1"/>
    <n v="0"/>
    <n v="0"/>
    <n v="0"/>
    <n v="1"/>
    <n v="3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30507"/>
    <x v="34"/>
    <x v="174"/>
    <x v="8"/>
    <n v="0"/>
    <n v="0"/>
    <n v="0"/>
    <n v="0"/>
    <n v="0"/>
    <n v="0"/>
    <n v="0"/>
    <n v="0"/>
    <n v="0"/>
    <n v="0"/>
    <n v="1"/>
    <n v="0"/>
    <n v="0"/>
    <n v="0"/>
    <n v="0"/>
    <n v="0"/>
    <n v="1"/>
    <n v="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30583"/>
    <x v="34"/>
    <x v="175"/>
    <x v="16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30620"/>
    <x v="34"/>
    <x v="176"/>
    <x v="8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30965"/>
    <x v="34"/>
    <x v="177"/>
    <x v="1"/>
    <n v="0"/>
    <n v="0"/>
    <n v="1"/>
    <n v="0"/>
    <n v="0"/>
    <n v="0"/>
    <n v="3"/>
    <n v="0"/>
    <n v="0"/>
    <n v="3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31016"/>
    <x v="34"/>
    <x v="178"/>
    <x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1794"/>
    <x v="27"/>
    <x v="179"/>
    <x v="8"/>
    <n v="0"/>
    <n v="0"/>
    <n v="2"/>
    <n v="0"/>
    <n v="4"/>
    <n v="0"/>
    <n v="2"/>
    <n v="0"/>
    <n v="0"/>
    <n v="0"/>
    <n v="1"/>
    <n v="0"/>
    <n v="0"/>
    <n v="0"/>
    <n v="0"/>
    <n v="1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4153"/>
    <x v="27"/>
    <x v="180"/>
    <x v="5"/>
    <n v="0"/>
    <n v="0"/>
    <n v="0"/>
    <n v="0"/>
    <n v="0"/>
    <n v="0"/>
    <n v="1"/>
    <n v="3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4160"/>
    <x v="27"/>
    <x v="181"/>
    <x v="5"/>
    <n v="0"/>
    <n v="0"/>
    <n v="0"/>
    <n v="0"/>
    <n v="0"/>
    <n v="0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4177"/>
    <x v="27"/>
    <x v="182"/>
    <x v="5"/>
    <n v="1"/>
    <n v="0"/>
    <n v="0"/>
    <n v="2"/>
    <n v="0"/>
    <n v="0"/>
    <n v="2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4184"/>
    <x v="27"/>
    <x v="183"/>
    <x v="5"/>
    <n v="0"/>
    <n v="0"/>
    <n v="0"/>
    <n v="2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4191"/>
    <x v="27"/>
    <x v="184"/>
    <x v="5"/>
    <n v="0"/>
    <n v="0"/>
    <n v="0"/>
    <n v="0"/>
    <n v="0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4207"/>
    <x v="27"/>
    <x v="185"/>
    <x v="5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4214"/>
    <x v="27"/>
    <x v="186"/>
    <x v="5"/>
    <n v="0"/>
    <n v="0"/>
    <n v="0"/>
    <n v="0"/>
    <n v="1"/>
    <n v="6"/>
    <n v="1"/>
    <n v="1"/>
    <n v="0"/>
    <n v="1"/>
    <n v="1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4221"/>
    <x v="27"/>
    <x v="187"/>
    <x v="5"/>
    <n v="0"/>
    <n v="0"/>
    <n v="0"/>
    <n v="0"/>
    <n v="0"/>
    <n v="0"/>
    <n v="1"/>
    <n v="1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9509"/>
    <x v="27"/>
    <x v="188"/>
    <x v="5"/>
    <n v="0"/>
    <n v="0"/>
    <n v="0"/>
    <n v="2"/>
    <n v="1"/>
    <n v="6"/>
    <n v="4"/>
    <n v="0"/>
    <n v="0"/>
    <n v="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9516"/>
    <x v="27"/>
    <x v="189"/>
    <x v="5"/>
    <n v="0"/>
    <n v="3"/>
    <n v="0"/>
    <n v="2"/>
    <n v="0"/>
    <n v="0"/>
    <n v="2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9523"/>
    <x v="27"/>
    <x v="190"/>
    <x v="8"/>
    <n v="1"/>
    <n v="0"/>
    <n v="1"/>
    <n v="0"/>
    <n v="7"/>
    <n v="1"/>
    <n v="1"/>
    <n v="6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9561"/>
    <x v="33"/>
    <x v="192"/>
    <x v="5"/>
    <n v="1"/>
    <n v="0"/>
    <n v="1"/>
    <n v="0"/>
    <n v="0"/>
    <n v="0"/>
    <n v="1"/>
    <n v="0"/>
    <n v="0"/>
    <n v="0"/>
    <n v="0"/>
    <n v="0"/>
    <n v="0"/>
    <n v="0"/>
    <n v="0"/>
    <n v="1"/>
    <n v="2"/>
    <n v="0"/>
    <n v="0"/>
    <n v="0"/>
    <n v="1"/>
    <n v="2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2"/>
    <n v="0"/>
  </r>
  <r>
    <s v="L'Oreal"/>
    <x v="2"/>
    <x v="2"/>
    <x v="0"/>
    <x v="3"/>
    <n v="7509552849653"/>
    <x v="33"/>
    <x v="193"/>
    <x v="16"/>
    <n v="6"/>
    <n v="0"/>
    <n v="2"/>
    <n v="0"/>
    <n v="1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9660"/>
    <x v="33"/>
    <x v="194"/>
    <x v="8"/>
    <n v="0"/>
    <n v="0"/>
    <n v="3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9707"/>
    <x v="33"/>
    <x v="196"/>
    <x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9714"/>
    <x v="33"/>
    <x v="197"/>
    <x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49721"/>
    <x v="33"/>
    <x v="198"/>
    <x v="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76499"/>
    <x v="35"/>
    <x v="199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76529"/>
    <x v="35"/>
    <x v="200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76604"/>
    <x v="35"/>
    <x v="201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876611"/>
    <x v="27"/>
    <x v="20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</r>
  <r>
    <s v="L'Oreal"/>
    <x v="2"/>
    <x v="2"/>
    <x v="0"/>
    <x v="3"/>
    <n v="7509552876666"/>
    <x v="35"/>
    <x v="2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"/>
    <n v="2"/>
    <n v="1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01696"/>
    <x v="36"/>
    <x v="206"/>
    <x v="8"/>
    <n v="0"/>
    <n v="0"/>
    <n v="1"/>
    <n v="7"/>
    <n v="3"/>
    <n v="7"/>
    <n v="0"/>
    <n v="0"/>
    <n v="0"/>
    <n v="0"/>
    <n v="1"/>
    <n v="0"/>
    <n v="0"/>
    <n v="0"/>
    <n v="0"/>
    <n v="1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05663"/>
    <x v="32"/>
    <x v="207"/>
    <x v="9"/>
    <n v="2"/>
    <n v="0"/>
    <n v="0"/>
    <n v="1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06448"/>
    <x v="29"/>
    <x v="208"/>
    <x v="8"/>
    <n v="0"/>
    <n v="0"/>
    <n v="2"/>
    <n v="0"/>
    <n v="0"/>
    <n v="0"/>
    <n v="0"/>
    <n v="0"/>
    <n v="0"/>
    <n v="0"/>
    <n v="0"/>
    <n v="4"/>
    <n v="0"/>
    <n v="1"/>
    <n v="0"/>
    <n v="0"/>
    <n v="1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06455"/>
    <x v="29"/>
    <x v="209"/>
    <x v="16"/>
    <n v="0"/>
    <n v="5"/>
    <n v="0"/>
    <n v="0"/>
    <n v="3"/>
    <n v="1"/>
    <n v="5"/>
    <n v="0"/>
    <n v="2"/>
    <n v="6"/>
    <n v="0"/>
    <n v="0"/>
    <n v="2"/>
    <n v="0"/>
    <n v="2"/>
    <n v="2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06479"/>
    <x v="29"/>
    <x v="210"/>
    <x v="8"/>
    <n v="0"/>
    <n v="0"/>
    <n v="0"/>
    <n v="0"/>
    <n v="0"/>
    <n v="0"/>
    <n v="0"/>
    <n v="0"/>
    <n v="0"/>
    <n v="0"/>
    <n v="0"/>
    <n v="0"/>
    <n v="0"/>
    <n v="0"/>
    <n v="0"/>
    <n v="0"/>
    <n v="1"/>
    <n v="12"/>
    <n v="2"/>
    <n v="1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08701"/>
    <x v="30"/>
    <x v="211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2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09678"/>
    <x v="37"/>
    <x v="212"/>
    <x v="8"/>
    <n v="0"/>
    <n v="0"/>
    <n v="0"/>
    <n v="0"/>
    <n v="0"/>
    <n v="1"/>
    <n v="5"/>
    <n v="1"/>
    <n v="1"/>
    <n v="4"/>
    <n v="4"/>
    <n v="0"/>
    <n v="0"/>
    <n v="1"/>
    <n v="1"/>
    <n v="0"/>
    <n v="5"/>
    <n v="12"/>
    <n v="0"/>
    <n v="1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14108"/>
    <x v="29"/>
    <x v="215"/>
    <x v="8"/>
    <n v="0"/>
    <n v="0"/>
    <n v="2"/>
    <n v="0"/>
    <n v="3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14641"/>
    <x v="38"/>
    <x v="216"/>
    <x v="8"/>
    <n v="0"/>
    <n v="0"/>
    <n v="1"/>
    <n v="0"/>
    <n v="0"/>
    <n v="0"/>
    <n v="0"/>
    <n v="0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14696"/>
    <x v="38"/>
    <x v="217"/>
    <x v="5"/>
    <n v="4"/>
    <n v="1"/>
    <n v="1"/>
    <n v="0"/>
    <n v="0"/>
    <n v="0"/>
    <n v="0"/>
    <n v="0"/>
    <n v="0"/>
    <n v="0"/>
    <n v="0"/>
    <n v="1"/>
    <n v="0"/>
    <n v="2"/>
    <n v="0"/>
    <n v="1"/>
    <n v="0"/>
    <n v="12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3"/>
    <n v="0"/>
  </r>
  <r>
    <s v="L'Oreal"/>
    <x v="2"/>
    <x v="2"/>
    <x v="0"/>
    <x v="3"/>
    <n v="7509552915112"/>
    <x v="29"/>
    <x v="21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3"/>
    <n v="7509552930573"/>
    <x v="41"/>
    <x v="227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2"/>
    <n v="1"/>
    <n v="0"/>
  </r>
  <r>
    <s v="L'Oreal"/>
    <x v="2"/>
    <x v="2"/>
    <x v="0"/>
    <x v="4"/>
    <n v="7501027218384"/>
    <x v="42"/>
    <x v="232"/>
    <x v="18"/>
    <n v="4"/>
    <n v="2"/>
    <n v="3"/>
    <n v="2"/>
    <n v="2"/>
    <n v="7"/>
    <n v="3"/>
    <n v="0"/>
    <n v="2"/>
    <n v="0"/>
    <n v="4"/>
    <n v="0"/>
    <n v="2"/>
    <n v="0"/>
    <n v="4"/>
    <n v="1"/>
    <n v="3"/>
    <n v="13"/>
    <n v="3"/>
    <n v="0"/>
    <n v="0"/>
    <n v="0"/>
    <n v="2"/>
    <n v="1"/>
    <n v="3"/>
    <n v="3"/>
    <n v="1"/>
    <n v="0"/>
    <n v="0"/>
    <n v="0"/>
    <n v="0"/>
    <n v="0"/>
    <n v="0"/>
    <n v="0"/>
    <n v="6"/>
    <n v="12"/>
    <n v="5"/>
    <n v="10"/>
    <n v="0"/>
    <n v="0"/>
    <n v="0"/>
    <n v="0"/>
  </r>
  <r>
    <s v="L'Oreal"/>
    <x v="2"/>
    <x v="2"/>
    <x v="0"/>
    <x v="4"/>
    <n v="7501027280657"/>
    <x v="42"/>
    <x v="233"/>
    <x v="18"/>
    <n v="5"/>
    <n v="1"/>
    <n v="5"/>
    <n v="3"/>
    <n v="3"/>
    <n v="3"/>
    <n v="5"/>
    <n v="2"/>
    <n v="1"/>
    <n v="0"/>
    <n v="2"/>
    <n v="1"/>
    <n v="6"/>
    <n v="5"/>
    <n v="3"/>
    <n v="3"/>
    <n v="10"/>
    <n v="13"/>
    <n v="5"/>
    <n v="15"/>
    <n v="2"/>
    <n v="0"/>
    <n v="3"/>
    <n v="3"/>
    <n v="2"/>
    <n v="3"/>
    <n v="0"/>
    <n v="0"/>
    <n v="13"/>
    <n v="9"/>
    <n v="5"/>
    <n v="0"/>
    <n v="9"/>
    <n v="0"/>
    <n v="6"/>
    <n v="5"/>
    <n v="7"/>
    <n v="7"/>
    <n v="3"/>
    <n v="16"/>
    <n v="5"/>
    <n v="0"/>
  </r>
  <r>
    <s v="L'Oreal"/>
    <x v="2"/>
    <x v="2"/>
    <x v="0"/>
    <x v="4"/>
    <n v="7509552780987"/>
    <x v="42"/>
    <x v="234"/>
    <x v="18"/>
    <n v="3"/>
    <n v="2"/>
    <n v="7"/>
    <n v="6"/>
    <n v="6"/>
    <n v="5"/>
    <n v="2"/>
    <n v="0"/>
    <n v="1"/>
    <n v="3"/>
    <n v="1"/>
    <n v="0"/>
    <n v="1"/>
    <n v="6"/>
    <n v="3"/>
    <n v="4"/>
    <n v="4"/>
    <n v="13"/>
    <n v="2"/>
    <n v="9"/>
    <n v="2"/>
    <n v="0"/>
    <n v="2"/>
    <n v="0"/>
    <n v="6"/>
    <n v="4"/>
    <n v="1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0"/>
    <x v="5"/>
    <n v="71249119297"/>
    <x v="43"/>
    <x v="235"/>
    <x v="0"/>
    <n v="0"/>
    <n v="0"/>
    <n v="0"/>
    <n v="1"/>
    <n v="0"/>
    <n v="0"/>
    <n v="0"/>
    <n v="0"/>
    <n v="0"/>
    <n v="2"/>
    <n v="0"/>
    <n v="0"/>
    <n v="0"/>
    <n v="0"/>
    <n v="0"/>
    <n v="2"/>
    <n v="0"/>
    <n v="0"/>
    <n v="0"/>
    <n v="0"/>
    <n v="0"/>
    <n v="0"/>
    <n v="2"/>
    <n v="1"/>
    <n v="0"/>
    <n v="0"/>
    <n v="0"/>
    <n v="0"/>
    <n v="0"/>
    <n v="1"/>
    <n v="0"/>
    <n v="0"/>
    <n v="0"/>
    <n v="0"/>
    <n v="0"/>
    <n v="0"/>
    <n v="0"/>
    <n v="1"/>
    <n v="0"/>
    <n v="0"/>
    <n v="1"/>
    <n v="0"/>
  </r>
  <r>
    <s v="L'Oreal"/>
    <x v="2"/>
    <x v="2"/>
    <x v="0"/>
    <x v="5"/>
    <n v="71249119334"/>
    <x v="44"/>
    <x v="236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L'Oreal"/>
    <x v="2"/>
    <x v="2"/>
    <x v="0"/>
    <x v="5"/>
    <n v="7501027252838"/>
    <x v="45"/>
    <x v="237"/>
    <x v="0"/>
    <n v="0"/>
    <n v="2"/>
    <n v="0"/>
    <n v="1"/>
    <n v="2"/>
    <n v="5"/>
    <n v="1"/>
    <n v="0"/>
    <n v="1"/>
    <n v="0"/>
    <n v="0"/>
    <n v="0"/>
    <n v="0"/>
    <n v="0"/>
    <n v="2"/>
    <n v="0"/>
    <n v="0"/>
    <n v="0"/>
    <n v="0"/>
    <n v="1"/>
    <n v="0"/>
    <n v="0"/>
    <n v="4"/>
    <n v="1"/>
    <n v="0"/>
    <n v="0"/>
    <n v="0"/>
    <n v="0"/>
    <n v="0"/>
    <n v="1"/>
    <n v="2"/>
    <n v="0"/>
    <n v="0"/>
    <n v="0"/>
    <n v="0"/>
    <n v="0"/>
    <n v="0"/>
    <n v="0"/>
    <n v="0"/>
    <n v="0"/>
    <n v="2"/>
    <n v="0"/>
  </r>
  <r>
    <s v="L'Oreal"/>
    <x v="2"/>
    <x v="2"/>
    <x v="0"/>
    <x v="5"/>
    <n v="7501027284945"/>
    <x v="46"/>
    <x v="238"/>
    <x v="0"/>
    <n v="1"/>
    <n v="0"/>
    <n v="1"/>
    <n v="0"/>
    <n v="3"/>
    <n v="2"/>
    <n v="0"/>
    <n v="0"/>
    <n v="0"/>
    <n v="1"/>
    <n v="0"/>
    <n v="1"/>
    <n v="0"/>
    <n v="1"/>
    <n v="1"/>
    <n v="0"/>
    <n v="0"/>
    <n v="0"/>
    <n v="0"/>
    <n v="2"/>
    <n v="0"/>
    <n v="0"/>
    <n v="0"/>
    <n v="1"/>
    <n v="0"/>
    <n v="0"/>
    <n v="0"/>
    <n v="1"/>
    <n v="0"/>
    <n v="0"/>
    <n v="1"/>
    <n v="0"/>
    <n v="0"/>
    <n v="0"/>
    <n v="0"/>
    <n v="0"/>
    <n v="0"/>
    <n v="0"/>
    <n v="0"/>
    <n v="2"/>
    <n v="3"/>
    <n v="1"/>
  </r>
  <r>
    <s v="L'Oreal"/>
    <x v="2"/>
    <x v="2"/>
    <x v="1"/>
    <x v="6"/>
    <n v="7896014184439"/>
    <x v="47"/>
    <x v="239"/>
    <x v="1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6"/>
    <n v="7896014184484"/>
    <x v="47"/>
    <x v="241"/>
    <x v="19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L'Oreal"/>
    <x v="2"/>
    <x v="2"/>
    <x v="1"/>
    <x v="6"/>
    <n v="7896014184491"/>
    <x v="47"/>
    <x v="242"/>
    <x v="1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6"/>
    <n v="7896014184507"/>
    <x v="47"/>
    <x v="24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</r>
  <r>
    <s v="L'Oreal"/>
    <x v="2"/>
    <x v="2"/>
    <x v="1"/>
    <x v="6"/>
    <n v="7896014184514"/>
    <x v="47"/>
    <x v="24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L'Oreal"/>
    <x v="2"/>
    <x v="2"/>
    <x v="1"/>
    <x v="6"/>
    <n v="7896014184538"/>
    <x v="47"/>
    <x v="245"/>
    <x v="19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6"/>
    <n v="7896014184552"/>
    <x v="47"/>
    <x v="247"/>
    <x v="19"/>
    <n v="1"/>
    <n v="0"/>
    <n v="0"/>
    <n v="1"/>
    <n v="1"/>
    <n v="0"/>
    <n v="0"/>
    <n v="1"/>
    <n v="0"/>
    <n v="3"/>
    <n v="0"/>
    <n v="0"/>
    <n v="1"/>
    <n v="0"/>
    <n v="1"/>
    <n v="0"/>
    <n v="0"/>
    <n v="0"/>
    <n v="1"/>
    <n v="1"/>
    <n v="0"/>
    <n v="0"/>
    <n v="0"/>
    <n v="0"/>
    <n v="0"/>
    <n v="0"/>
    <n v="0"/>
    <n v="0"/>
    <n v="0"/>
    <n v="0"/>
    <n v="2"/>
    <n v="0"/>
    <n v="0"/>
    <n v="0"/>
    <n v="0"/>
    <n v="2"/>
    <n v="0"/>
    <n v="0"/>
    <n v="0"/>
    <n v="1"/>
    <n v="0"/>
    <n v="0"/>
  </r>
  <r>
    <s v="L'Oreal"/>
    <x v="2"/>
    <x v="2"/>
    <x v="1"/>
    <x v="6"/>
    <n v="7896014187997"/>
    <x v="47"/>
    <x v="249"/>
    <x v="19"/>
    <n v="0"/>
    <n v="1"/>
    <n v="0"/>
    <n v="0"/>
    <n v="0"/>
    <n v="0"/>
    <n v="2"/>
    <n v="1"/>
    <n v="0"/>
    <n v="1"/>
    <n v="1"/>
    <n v="1"/>
    <n v="2"/>
    <n v="0"/>
    <n v="2"/>
    <n v="0"/>
    <n v="2"/>
    <n v="0"/>
    <n v="2"/>
    <n v="0"/>
    <n v="0"/>
    <n v="0"/>
    <n v="0"/>
    <n v="3"/>
    <n v="0"/>
    <n v="0"/>
    <n v="0"/>
    <n v="4"/>
    <n v="0"/>
    <n v="0"/>
    <n v="3"/>
    <n v="0"/>
    <n v="0"/>
    <n v="0"/>
    <n v="5"/>
    <n v="0"/>
    <n v="0"/>
    <n v="0"/>
    <n v="0"/>
    <n v="4"/>
    <n v="0"/>
    <n v="0"/>
  </r>
  <r>
    <s v="L'Oreal"/>
    <x v="2"/>
    <x v="2"/>
    <x v="1"/>
    <x v="6"/>
    <n v="7896014188000"/>
    <x v="47"/>
    <x v="250"/>
    <x v="19"/>
    <n v="0"/>
    <n v="0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6"/>
    <n v="7896014188017"/>
    <x v="47"/>
    <x v="251"/>
    <x v="19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6"/>
    <n v="7896014188031"/>
    <x v="47"/>
    <x v="252"/>
    <x v="19"/>
    <n v="0"/>
    <n v="0"/>
    <n v="0"/>
    <n v="0"/>
    <n v="0"/>
    <n v="0"/>
    <n v="2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509552828894"/>
    <x v="48"/>
    <x v="256"/>
    <x v="19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898587770651"/>
    <x v="48"/>
    <x v="257"/>
    <x v="19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898587770699"/>
    <x v="48"/>
    <x v="259"/>
    <x v="1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898587770705"/>
    <x v="48"/>
    <x v="260"/>
    <x v="19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898587775939"/>
    <x v="48"/>
    <x v="263"/>
    <x v="19"/>
    <n v="1"/>
    <n v="2"/>
    <n v="0"/>
    <n v="0"/>
    <n v="0"/>
    <n v="5"/>
    <n v="0"/>
    <n v="4"/>
    <n v="0"/>
    <n v="0"/>
    <n v="1"/>
    <n v="3"/>
    <n v="1"/>
    <n v="0"/>
    <n v="1"/>
    <n v="0"/>
    <n v="0"/>
    <n v="6"/>
    <n v="3"/>
    <n v="3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6"/>
  </r>
  <r>
    <s v="L'Oreal"/>
    <x v="2"/>
    <x v="2"/>
    <x v="1"/>
    <x v="7"/>
    <n v="7899026462533"/>
    <x v="48"/>
    <x v="265"/>
    <x v="19"/>
    <n v="1"/>
    <n v="4"/>
    <n v="0"/>
    <n v="4"/>
    <n v="0"/>
    <n v="0"/>
    <n v="4"/>
    <n v="1"/>
    <n v="0"/>
    <n v="4"/>
    <n v="0"/>
    <n v="4"/>
    <n v="0"/>
    <n v="0"/>
    <n v="4"/>
    <n v="4"/>
    <n v="2"/>
    <n v="0"/>
    <n v="5"/>
    <n v="0"/>
    <n v="0"/>
    <n v="0"/>
    <n v="0"/>
    <n v="6"/>
    <n v="0"/>
    <n v="0"/>
    <n v="0"/>
    <n v="6"/>
    <n v="0"/>
    <n v="6"/>
    <n v="0"/>
    <n v="6"/>
    <n v="6"/>
    <n v="0"/>
    <n v="0"/>
    <n v="0"/>
    <n v="0"/>
    <n v="0"/>
    <n v="0"/>
    <n v="0"/>
    <n v="0"/>
    <n v="0"/>
  </r>
  <r>
    <s v="L'Oreal"/>
    <x v="2"/>
    <x v="2"/>
    <x v="1"/>
    <x v="7"/>
    <n v="7899026462557"/>
    <x v="48"/>
    <x v="267"/>
    <x v="19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899026462564"/>
    <x v="48"/>
    <x v="268"/>
    <x v="19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899026462601"/>
    <x v="48"/>
    <x v="271"/>
    <x v="19"/>
    <n v="1"/>
    <n v="2"/>
    <n v="0"/>
    <n v="0"/>
    <n v="10"/>
    <n v="0"/>
    <n v="4"/>
    <n v="0"/>
    <n v="0"/>
    <n v="0"/>
    <n v="0"/>
    <n v="2"/>
    <n v="2"/>
    <n v="4"/>
    <n v="2"/>
    <n v="4"/>
    <n v="0"/>
    <n v="0"/>
    <n v="1"/>
    <n v="3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6"/>
    <n v="0"/>
    <n v="0"/>
  </r>
  <r>
    <s v="L'Oreal"/>
    <x v="2"/>
    <x v="2"/>
    <x v="1"/>
    <x v="7"/>
    <n v="7899026462625"/>
    <x v="48"/>
    <x v="273"/>
    <x v="19"/>
    <n v="0"/>
    <n v="2"/>
    <n v="2"/>
    <n v="0"/>
    <n v="8"/>
    <n v="0"/>
    <n v="7"/>
    <n v="0"/>
    <n v="0"/>
    <n v="6"/>
    <n v="0"/>
    <n v="0"/>
    <n v="8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</r>
  <r>
    <s v="L'Oreal"/>
    <x v="2"/>
    <x v="2"/>
    <x v="1"/>
    <x v="7"/>
    <n v="7899026462632"/>
    <x v="48"/>
    <x v="274"/>
    <x v="19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899026462649"/>
    <x v="48"/>
    <x v="275"/>
    <x v="19"/>
    <n v="0"/>
    <n v="0"/>
    <n v="5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899026462656"/>
    <x v="48"/>
    <x v="276"/>
    <x v="19"/>
    <n v="0"/>
    <n v="0"/>
    <n v="0"/>
    <n v="0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899026462670"/>
    <x v="48"/>
    <x v="277"/>
    <x v="19"/>
    <n v="0"/>
    <n v="0"/>
    <n v="4"/>
    <n v="0"/>
    <n v="2"/>
    <n v="0"/>
    <n v="0"/>
    <n v="1"/>
    <n v="0"/>
    <n v="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7"/>
    <n v="7899026462724"/>
    <x v="48"/>
    <x v="281"/>
    <x v="1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1027207258"/>
    <x v="49"/>
    <x v="282"/>
    <x v="20"/>
    <n v="0"/>
    <n v="1"/>
    <n v="0"/>
    <n v="2"/>
    <n v="3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1027235367"/>
    <x v="49"/>
    <x v="283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1027275042"/>
    <x v="49"/>
    <x v="284"/>
    <x v="20"/>
    <n v="0"/>
    <n v="0"/>
    <n v="0"/>
    <n v="0"/>
    <n v="0"/>
    <n v="0"/>
    <n v="0"/>
    <n v="1"/>
    <n v="0"/>
    <n v="2"/>
    <n v="0"/>
    <n v="1"/>
    <n v="3"/>
    <n v="0"/>
    <n v="0"/>
    <n v="0"/>
    <n v="0"/>
    <n v="0"/>
    <n v="2"/>
    <n v="1"/>
    <n v="1"/>
    <n v="0"/>
    <n v="0"/>
    <n v="0"/>
    <n v="0"/>
    <n v="0"/>
    <n v="0"/>
    <n v="0"/>
    <n v="0"/>
    <n v="0"/>
    <n v="0"/>
    <n v="2"/>
    <n v="0"/>
    <n v="0"/>
    <n v="4"/>
    <n v="0"/>
    <n v="0"/>
    <n v="0"/>
    <n v="0"/>
    <n v="0"/>
    <n v="0"/>
    <n v="0"/>
  </r>
  <r>
    <s v="L'Oreal"/>
    <x v="2"/>
    <x v="2"/>
    <x v="1"/>
    <x v="8"/>
    <n v="7501027275080"/>
    <x v="49"/>
    <x v="285"/>
    <x v="20"/>
    <n v="0"/>
    <n v="2"/>
    <n v="0"/>
    <n v="1"/>
    <n v="1"/>
    <n v="2"/>
    <n v="0"/>
    <n v="3"/>
    <n v="0"/>
    <n v="0"/>
    <n v="0"/>
    <n v="3"/>
    <n v="0"/>
    <n v="0"/>
    <n v="0"/>
    <n v="0"/>
    <n v="4"/>
    <n v="1"/>
    <n v="0"/>
    <n v="0"/>
    <n v="0"/>
    <n v="0"/>
    <n v="0"/>
    <n v="0"/>
    <n v="0"/>
    <n v="2"/>
    <n v="0"/>
    <n v="0"/>
    <n v="4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1027275097"/>
    <x v="49"/>
    <x v="286"/>
    <x v="20"/>
    <n v="0"/>
    <n v="2"/>
    <n v="0"/>
    <n v="4"/>
    <n v="0"/>
    <n v="0"/>
    <n v="3"/>
    <n v="0"/>
    <n v="0"/>
    <n v="0"/>
    <n v="0"/>
    <n v="0"/>
    <n v="2"/>
    <n v="0"/>
    <n v="0"/>
    <n v="2"/>
    <n v="1"/>
    <n v="0"/>
    <n v="0"/>
    <n v="2"/>
    <n v="0"/>
    <n v="0"/>
    <n v="0"/>
    <n v="0"/>
    <n v="0"/>
    <n v="4"/>
    <n v="0"/>
    <n v="0"/>
    <n v="0"/>
    <n v="3"/>
    <n v="0"/>
    <n v="0"/>
    <n v="0"/>
    <n v="3"/>
    <n v="0"/>
    <n v="0"/>
    <n v="2"/>
    <n v="3"/>
    <n v="5"/>
    <n v="0"/>
    <n v="0"/>
    <n v="0"/>
  </r>
  <r>
    <s v="L'Oreal"/>
    <x v="2"/>
    <x v="2"/>
    <x v="1"/>
    <x v="8"/>
    <n v="7501027275127"/>
    <x v="49"/>
    <x v="287"/>
    <x v="20"/>
    <n v="3"/>
    <n v="4"/>
    <n v="1"/>
    <n v="1"/>
    <n v="6"/>
    <n v="0"/>
    <n v="6"/>
    <n v="1"/>
    <n v="0"/>
    <n v="4"/>
    <n v="0"/>
    <n v="0"/>
    <n v="4"/>
    <n v="0"/>
    <n v="0"/>
    <n v="4"/>
    <n v="0"/>
    <n v="0"/>
    <n v="1"/>
    <n v="2"/>
    <n v="0"/>
    <n v="0"/>
    <n v="0"/>
    <n v="0"/>
    <n v="6"/>
    <n v="1"/>
    <n v="1"/>
    <n v="5"/>
    <n v="0"/>
    <n v="0"/>
    <n v="1"/>
    <n v="2"/>
    <n v="0"/>
    <n v="0"/>
    <n v="0"/>
    <n v="2"/>
    <n v="0"/>
    <n v="0"/>
    <n v="0"/>
    <n v="0"/>
    <n v="0"/>
    <n v="0"/>
  </r>
  <r>
    <s v="L'Oreal"/>
    <x v="2"/>
    <x v="2"/>
    <x v="1"/>
    <x v="8"/>
    <n v="7501027275134"/>
    <x v="49"/>
    <x v="288"/>
    <x v="20"/>
    <n v="0"/>
    <n v="0"/>
    <n v="2"/>
    <n v="0"/>
    <n v="2"/>
    <n v="1"/>
    <n v="0"/>
    <n v="0"/>
    <n v="2"/>
    <n v="0"/>
    <n v="2"/>
    <n v="0"/>
    <n v="0"/>
    <n v="2"/>
    <n v="0"/>
    <n v="0"/>
    <n v="0"/>
    <n v="1"/>
    <n v="1"/>
    <n v="2"/>
    <n v="0"/>
    <n v="0"/>
    <n v="0"/>
    <n v="2"/>
    <n v="0"/>
    <n v="2"/>
    <n v="0"/>
    <n v="0"/>
    <n v="4"/>
    <n v="0"/>
    <n v="3"/>
    <n v="0"/>
    <n v="0"/>
    <n v="0"/>
    <n v="5"/>
    <n v="0"/>
    <n v="0"/>
    <n v="3"/>
    <n v="0"/>
    <n v="0"/>
    <n v="0"/>
    <n v="0"/>
  </r>
  <r>
    <s v="L'Oreal"/>
    <x v="2"/>
    <x v="2"/>
    <x v="1"/>
    <x v="8"/>
    <n v="7501027275172"/>
    <x v="49"/>
    <x v="289"/>
    <x v="2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2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</r>
  <r>
    <s v="L'Oreal"/>
    <x v="2"/>
    <x v="2"/>
    <x v="1"/>
    <x v="8"/>
    <n v="7501027275226"/>
    <x v="49"/>
    <x v="290"/>
    <x v="20"/>
    <n v="0"/>
    <n v="0"/>
    <n v="4"/>
    <n v="0"/>
    <n v="0"/>
    <n v="2"/>
    <n v="0"/>
    <n v="4"/>
    <n v="0"/>
    <n v="3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1027275295"/>
    <x v="49"/>
    <x v="291"/>
    <x v="20"/>
    <n v="0"/>
    <n v="2"/>
    <n v="0"/>
    <n v="0"/>
    <n v="1"/>
    <n v="0"/>
    <n v="0"/>
    <n v="0"/>
    <n v="0"/>
    <n v="0"/>
    <n v="0"/>
    <n v="0"/>
    <n v="0"/>
    <n v="0"/>
    <n v="0"/>
    <n v="1"/>
    <n v="0"/>
    <n v="0"/>
    <n v="0"/>
    <n v="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1027275301"/>
    <x v="49"/>
    <x v="292"/>
    <x v="20"/>
    <n v="2"/>
    <n v="0"/>
    <n v="1"/>
    <n v="0"/>
    <n v="4"/>
    <n v="4"/>
    <n v="2"/>
    <n v="5"/>
    <n v="0"/>
    <n v="2"/>
    <n v="6"/>
    <n v="0"/>
    <n v="3"/>
    <n v="0"/>
    <n v="1"/>
    <n v="3"/>
    <n v="0"/>
    <n v="4"/>
    <n v="3"/>
    <n v="4"/>
    <n v="0"/>
    <n v="0"/>
    <n v="2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</r>
  <r>
    <s v="L'Oreal"/>
    <x v="2"/>
    <x v="2"/>
    <x v="1"/>
    <x v="8"/>
    <n v="7506078917491"/>
    <x v="49"/>
    <x v="293"/>
    <x v="20"/>
    <n v="0"/>
    <n v="0"/>
    <n v="0"/>
    <n v="0"/>
    <n v="0"/>
    <n v="1"/>
    <n v="0"/>
    <n v="0"/>
    <n v="0"/>
    <n v="0"/>
    <n v="0"/>
    <n v="1"/>
    <n v="0"/>
    <n v="0"/>
    <n v="1"/>
    <n v="0"/>
    <n v="0"/>
    <n v="2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6078921603"/>
    <x v="49"/>
    <x v="294"/>
    <x v="20"/>
    <n v="0"/>
    <n v="3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6078935488"/>
    <x v="49"/>
    <x v="295"/>
    <x v="20"/>
    <n v="1"/>
    <n v="0"/>
    <n v="0"/>
    <n v="0"/>
    <n v="0"/>
    <n v="0"/>
    <n v="2"/>
    <n v="1"/>
    <n v="0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6078935501"/>
    <x v="49"/>
    <x v="296"/>
    <x v="2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6078935907"/>
    <x v="49"/>
    <x v="297"/>
    <x v="20"/>
    <n v="1"/>
    <n v="0"/>
    <n v="0"/>
    <n v="0"/>
    <n v="0"/>
    <n v="0"/>
    <n v="1"/>
    <n v="0"/>
    <n v="0"/>
    <n v="3"/>
    <n v="1"/>
    <n v="0"/>
    <n v="1"/>
    <n v="5"/>
    <n v="0"/>
    <n v="1"/>
    <n v="2"/>
    <n v="0"/>
    <n v="2"/>
    <n v="0"/>
    <n v="0"/>
    <n v="0"/>
    <n v="0"/>
    <n v="0"/>
    <n v="2"/>
    <n v="0"/>
    <n v="1"/>
    <n v="2"/>
    <n v="0"/>
    <n v="1"/>
    <n v="1"/>
    <n v="1"/>
    <n v="0"/>
    <n v="0"/>
    <n v="0"/>
    <n v="0"/>
    <n v="1"/>
    <n v="2"/>
    <n v="0"/>
    <n v="1"/>
    <n v="2"/>
    <n v="0"/>
  </r>
  <r>
    <s v="L'Oreal"/>
    <x v="2"/>
    <x v="2"/>
    <x v="1"/>
    <x v="8"/>
    <n v="7509552844443"/>
    <x v="49"/>
    <x v="300"/>
    <x v="2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844450"/>
    <x v="49"/>
    <x v="301"/>
    <x v="2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844467"/>
    <x v="49"/>
    <x v="302"/>
    <x v="2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844481"/>
    <x v="49"/>
    <x v="304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1"/>
    <n v="0"/>
    <n v="0"/>
    <n v="2"/>
    <n v="0"/>
    <n v="0"/>
    <n v="3"/>
    <n v="0"/>
    <n v="0"/>
    <n v="0"/>
    <n v="0"/>
  </r>
  <r>
    <s v="L'Oreal"/>
    <x v="2"/>
    <x v="2"/>
    <x v="1"/>
    <x v="8"/>
    <n v="7509552844511"/>
    <x v="49"/>
    <x v="306"/>
    <x v="2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850567"/>
    <x v="49"/>
    <x v="307"/>
    <x v="20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878196"/>
    <x v="50"/>
    <x v="30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878202"/>
    <x v="50"/>
    <x v="30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4"/>
    <n v="4"/>
    <n v="0"/>
    <n v="2"/>
    <n v="4"/>
    <n v="0"/>
    <n v="0"/>
    <n v="0"/>
    <n v="6"/>
    <n v="0"/>
    <n v="0"/>
    <n v="0"/>
    <n v="0"/>
    <n v="1"/>
    <n v="4"/>
    <n v="0"/>
    <n v="0"/>
    <n v="0"/>
    <n v="0"/>
  </r>
  <r>
    <s v="L'Oreal"/>
    <x v="2"/>
    <x v="2"/>
    <x v="1"/>
    <x v="8"/>
    <n v="7509552878219"/>
    <x v="50"/>
    <x v="31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4"/>
    <n v="1"/>
    <n v="0"/>
    <n v="0"/>
    <n v="4"/>
    <n v="0"/>
    <n v="0"/>
    <n v="0"/>
  </r>
  <r>
    <s v="L'Oreal"/>
    <x v="2"/>
    <x v="2"/>
    <x v="1"/>
    <x v="8"/>
    <n v="7509552878233"/>
    <x v="50"/>
    <x v="31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3"/>
    <n v="0"/>
    <n v="2"/>
    <n v="0"/>
    <n v="0"/>
    <n v="0"/>
    <n v="0"/>
    <n v="0"/>
  </r>
  <r>
    <s v="L'Oreal"/>
    <x v="2"/>
    <x v="2"/>
    <x v="1"/>
    <x v="8"/>
    <n v="7509552878240"/>
    <x v="50"/>
    <x v="31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878257"/>
    <x v="50"/>
    <x v="31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878264"/>
    <x v="50"/>
    <x v="31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878271"/>
    <x v="50"/>
    <x v="31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</r>
  <r>
    <s v="L'Oreal"/>
    <x v="2"/>
    <x v="2"/>
    <x v="1"/>
    <x v="8"/>
    <n v="7509552909531"/>
    <x v="49"/>
    <x v="317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</r>
  <r>
    <s v="L'Oreal"/>
    <x v="2"/>
    <x v="2"/>
    <x v="1"/>
    <x v="8"/>
    <n v="7509552909920"/>
    <x v="49"/>
    <x v="318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910919"/>
    <x v="51"/>
    <x v="323"/>
    <x v="19"/>
    <n v="5"/>
    <n v="0"/>
    <n v="6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</r>
  <r>
    <s v="L'Oreal"/>
    <x v="2"/>
    <x v="2"/>
    <x v="1"/>
    <x v="8"/>
    <n v="7509552911077"/>
    <x v="49"/>
    <x v="32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911794"/>
    <x v="49"/>
    <x v="325"/>
    <x v="2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509552911800"/>
    <x v="49"/>
    <x v="326"/>
    <x v="20"/>
    <n v="1"/>
    <n v="2"/>
    <n v="0"/>
    <n v="1"/>
    <n v="10"/>
    <n v="0"/>
    <n v="1"/>
    <n v="8"/>
    <n v="1"/>
    <n v="0"/>
    <n v="3"/>
    <n v="8"/>
    <n v="2"/>
    <n v="0"/>
    <n v="0"/>
    <n v="4"/>
    <n v="0"/>
    <n v="3"/>
    <n v="2"/>
    <n v="5"/>
    <n v="0"/>
    <n v="0"/>
    <n v="0"/>
    <n v="2"/>
    <n v="0"/>
    <n v="0"/>
    <n v="3"/>
    <n v="3"/>
    <n v="0"/>
    <n v="0"/>
    <n v="0"/>
    <n v="3"/>
    <n v="0"/>
    <n v="0"/>
    <n v="3"/>
    <n v="0"/>
    <n v="0"/>
    <n v="0"/>
    <n v="3"/>
    <n v="0"/>
    <n v="0"/>
    <n v="0"/>
  </r>
  <r>
    <s v="L'Oreal"/>
    <x v="2"/>
    <x v="2"/>
    <x v="1"/>
    <x v="8"/>
    <n v="7509552911817"/>
    <x v="49"/>
    <x v="327"/>
    <x v="20"/>
    <n v="1"/>
    <n v="0"/>
    <n v="1"/>
    <n v="0"/>
    <n v="0"/>
    <n v="0"/>
    <n v="2"/>
    <n v="0"/>
    <n v="0"/>
    <n v="1"/>
    <n v="1"/>
    <n v="3"/>
    <n v="1"/>
    <n v="0"/>
    <n v="0"/>
    <n v="0"/>
    <n v="1"/>
    <n v="0"/>
    <n v="0"/>
    <n v="0"/>
    <n v="0"/>
    <n v="1"/>
    <n v="0"/>
    <n v="0"/>
    <n v="1"/>
    <n v="0"/>
    <n v="0"/>
    <n v="3"/>
    <n v="0"/>
    <n v="0"/>
    <n v="0"/>
    <n v="1"/>
    <n v="0"/>
    <n v="1"/>
    <n v="1"/>
    <n v="1"/>
    <n v="0"/>
    <n v="0"/>
    <n v="0"/>
    <n v="0"/>
    <n v="0"/>
    <n v="0"/>
  </r>
  <r>
    <s v="L'Oreal"/>
    <x v="2"/>
    <x v="2"/>
    <x v="1"/>
    <x v="8"/>
    <n v="7509552911848"/>
    <x v="49"/>
    <x v="329"/>
    <x v="2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899706126786"/>
    <x v="49"/>
    <x v="331"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899706127059"/>
    <x v="49"/>
    <x v="332"/>
    <x v="2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8"/>
    <n v="7899706127219"/>
    <x v="49"/>
    <x v="335"/>
    <x v="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9"/>
    <n v="7509552841862"/>
    <x v="52"/>
    <x v="336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9"/>
    <n v="7509552841879"/>
    <x v="52"/>
    <x v="337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9"/>
    <n v="7509552917390"/>
    <x v="52"/>
    <x v="337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9"/>
    <n v="7509552917406"/>
    <x v="52"/>
    <x v="338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9"/>
    <n v="7509552917413"/>
    <x v="52"/>
    <x v="339"/>
    <x v="21"/>
    <n v="0"/>
    <n v="0"/>
    <n v="0"/>
    <n v="6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9"/>
    <n v="7509552917437"/>
    <x v="52"/>
    <x v="341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9"/>
    <n v="7509552917550"/>
    <x v="52"/>
    <x v="342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0"/>
    <n v="7506078967786"/>
    <x v="53"/>
    <x v="343"/>
    <x v="22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0"/>
    <n v="7506078967809"/>
    <x v="53"/>
    <x v="345"/>
    <x v="2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0"/>
    <n v="7506078967816"/>
    <x v="53"/>
    <x v="346"/>
    <x v="22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7501027209184"/>
    <x v="54"/>
    <x v="347"/>
    <x v="19"/>
    <n v="0"/>
    <n v="1"/>
    <n v="0"/>
    <n v="0"/>
    <n v="3"/>
    <n v="0"/>
    <n v="2"/>
    <n v="0"/>
    <n v="0"/>
    <n v="1"/>
    <n v="2"/>
    <n v="0"/>
    <n v="0"/>
    <n v="0"/>
    <n v="2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</r>
  <r>
    <s v="L'Oreal"/>
    <x v="2"/>
    <x v="2"/>
    <x v="1"/>
    <x v="11"/>
    <n v="7501027209214"/>
    <x v="54"/>
    <x v="34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7501027209221"/>
    <x v="54"/>
    <x v="349"/>
    <x v="19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1"/>
    <n v="0"/>
    <n v="1"/>
    <n v="0"/>
  </r>
  <r>
    <s v="L'Oreal"/>
    <x v="2"/>
    <x v="2"/>
    <x v="1"/>
    <x v="11"/>
    <n v="7501027209542"/>
    <x v="54"/>
    <x v="350"/>
    <x v="19"/>
    <n v="0"/>
    <n v="0"/>
    <n v="0"/>
    <n v="6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3"/>
    <n v="0"/>
    <n v="0"/>
    <n v="0"/>
    <n v="0"/>
    <n v="1"/>
  </r>
  <r>
    <s v="L'Oreal"/>
    <x v="2"/>
    <x v="2"/>
    <x v="1"/>
    <x v="11"/>
    <n v="7501027209566"/>
    <x v="54"/>
    <x v="351"/>
    <x v="19"/>
    <n v="0"/>
    <n v="0"/>
    <n v="0"/>
    <n v="0"/>
    <n v="0"/>
    <n v="0"/>
    <n v="0"/>
    <n v="0"/>
    <n v="0"/>
    <n v="0"/>
    <n v="0"/>
    <n v="0"/>
    <n v="0"/>
    <n v="0"/>
    <n v="3"/>
    <n v="0"/>
    <n v="2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7501027209580"/>
    <x v="54"/>
    <x v="352"/>
    <x v="19"/>
    <n v="0"/>
    <n v="0"/>
    <n v="0"/>
    <n v="2"/>
    <n v="0"/>
    <n v="0"/>
    <n v="0"/>
    <n v="0"/>
    <n v="2"/>
    <n v="0"/>
    <n v="0"/>
    <n v="0"/>
    <n v="1"/>
    <n v="0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6"/>
    <n v="-3"/>
    <n v="0"/>
    <n v="0"/>
    <n v="0"/>
    <n v="0"/>
  </r>
  <r>
    <s v="L'Oreal"/>
    <x v="2"/>
    <x v="2"/>
    <x v="1"/>
    <x v="11"/>
    <n v="7501027209627"/>
    <x v="54"/>
    <x v="353"/>
    <x v="1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</r>
  <r>
    <s v="L'Oreal"/>
    <x v="2"/>
    <x v="2"/>
    <x v="1"/>
    <x v="11"/>
    <n v="7501027209658"/>
    <x v="54"/>
    <x v="35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s v="L'Oreal"/>
    <x v="2"/>
    <x v="2"/>
    <x v="1"/>
    <x v="11"/>
    <n v="7501839100129"/>
    <x v="54"/>
    <x v="35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3"/>
    <n v="0"/>
    <n v="0"/>
    <n v="0"/>
    <n v="0"/>
    <n v="0"/>
  </r>
  <r>
    <s v="L'Oreal"/>
    <x v="2"/>
    <x v="2"/>
    <x v="1"/>
    <x v="11"/>
    <n v="7506078959934"/>
    <x v="55"/>
    <x v="357"/>
    <x v="1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3"/>
    <n v="0"/>
    <n v="0"/>
    <n v="1"/>
    <n v="0"/>
    <n v="0"/>
  </r>
  <r>
    <s v="L'Oreal"/>
    <x v="2"/>
    <x v="2"/>
    <x v="1"/>
    <x v="11"/>
    <n v="7506078959989"/>
    <x v="55"/>
    <x v="35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s v="L'Oreal"/>
    <x v="2"/>
    <x v="2"/>
    <x v="1"/>
    <x v="11"/>
    <n v="7506078959996"/>
    <x v="55"/>
    <x v="35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s v="L'Oreal"/>
    <x v="2"/>
    <x v="2"/>
    <x v="1"/>
    <x v="11"/>
    <n v="7509552812534"/>
    <x v="55"/>
    <x v="365"/>
    <x v="19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7509552816686"/>
    <x v="55"/>
    <x v="367"/>
    <x v="1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3"/>
    <n v="0"/>
    <n v="0"/>
    <n v="0"/>
    <n v="2"/>
  </r>
  <r>
    <s v="L'Oreal"/>
    <x v="2"/>
    <x v="2"/>
    <x v="1"/>
    <x v="11"/>
    <n v="7509552826593"/>
    <x v="55"/>
    <x v="369"/>
    <x v="19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2"/>
    <n v="0"/>
    <n v="0"/>
    <n v="0"/>
  </r>
  <r>
    <s v="L'Oreal"/>
    <x v="2"/>
    <x v="2"/>
    <x v="1"/>
    <x v="11"/>
    <n v="7509552826920"/>
    <x v="55"/>
    <x v="37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3"/>
    <n v="0"/>
    <n v="0"/>
    <n v="0"/>
    <n v="0"/>
    <n v="0"/>
  </r>
  <r>
    <s v="L'Oreal"/>
    <x v="2"/>
    <x v="2"/>
    <x v="1"/>
    <x v="11"/>
    <n v="7509552838848"/>
    <x v="54"/>
    <x v="375"/>
    <x v="19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7509552870596"/>
    <x v="56"/>
    <x v="377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1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7509552870640"/>
    <x v="56"/>
    <x v="381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3"/>
    <n v="0"/>
    <n v="0"/>
    <n v="0"/>
    <n v="0"/>
    <n v="0"/>
    <n v="0"/>
    <n v="0"/>
    <n v="0"/>
    <n v="0"/>
  </r>
  <r>
    <s v="L'Oreal"/>
    <x v="2"/>
    <x v="2"/>
    <x v="1"/>
    <x v="11"/>
    <n v="7509552870664"/>
    <x v="56"/>
    <x v="38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</r>
  <r>
    <s v="L'Oreal"/>
    <x v="2"/>
    <x v="2"/>
    <x v="1"/>
    <x v="11"/>
    <n v="7509552870688"/>
    <x v="56"/>
    <x v="38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0"/>
    <n v="0"/>
    <n v="2"/>
    <n v="2"/>
    <n v="0"/>
    <n v="1"/>
    <n v="0"/>
  </r>
  <r>
    <s v="L'Oreal"/>
    <x v="2"/>
    <x v="2"/>
    <x v="1"/>
    <x v="11"/>
    <n v="7509552870695"/>
    <x v="56"/>
    <x v="38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7509552870701"/>
    <x v="56"/>
    <x v="38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7509552870718"/>
    <x v="56"/>
    <x v="38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7509552901092"/>
    <x v="55"/>
    <x v="389"/>
    <x v="19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s v="L'Oreal"/>
    <x v="2"/>
    <x v="2"/>
    <x v="1"/>
    <x v="11"/>
    <n v="7509552910315"/>
    <x v="55"/>
    <x v="39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3"/>
    <n v="0"/>
    <n v="0"/>
    <n v="0"/>
    <n v="0"/>
    <n v="0"/>
  </r>
  <r>
    <s v="L'Oreal"/>
    <x v="2"/>
    <x v="2"/>
    <x v="1"/>
    <x v="11"/>
    <n v="7896014191666"/>
    <x v="54"/>
    <x v="39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s v="L'Oreal"/>
    <x v="2"/>
    <x v="2"/>
    <x v="1"/>
    <x v="11"/>
    <n v="7899706115391"/>
    <x v="54"/>
    <x v="397"/>
    <x v="19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8901526566013"/>
    <x v="57"/>
    <x v="404"/>
    <x v="17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8901526566020"/>
    <x v="57"/>
    <x v="405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8901526566037"/>
    <x v="57"/>
    <x v="406"/>
    <x v="17"/>
    <n v="2"/>
    <n v="0"/>
    <n v="0"/>
    <n v="0"/>
    <n v="0"/>
    <n v="0"/>
    <n v="0"/>
    <n v="0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6"/>
    <n v="2"/>
    <n v="0"/>
    <n v="0"/>
    <n v="0"/>
    <n v="0"/>
    <n v="0"/>
    <n v="6"/>
    <n v="0"/>
    <n v="0"/>
    <n v="0"/>
    <n v="0"/>
  </r>
  <r>
    <s v="L'Oreal"/>
    <x v="2"/>
    <x v="2"/>
    <x v="1"/>
    <x v="11"/>
    <n v="8901526566044"/>
    <x v="57"/>
    <x v="407"/>
    <x v="17"/>
    <n v="0"/>
    <n v="0"/>
    <n v="0"/>
    <n v="0"/>
    <n v="0"/>
    <n v="0"/>
    <n v="0"/>
    <n v="0"/>
    <n v="3"/>
    <n v="0"/>
    <n v="1"/>
    <n v="0"/>
    <n v="0"/>
    <n v="0"/>
    <n v="0"/>
    <n v="0"/>
    <n v="0"/>
    <n v="0"/>
    <n v="1"/>
    <n v="1"/>
    <n v="1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8901526566051"/>
    <x v="57"/>
    <x v="408"/>
    <x v="14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6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8901526566068"/>
    <x v="57"/>
    <x v="409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6"/>
    <n v="0"/>
    <n v="0"/>
    <n v="0"/>
    <n v="0"/>
    <n v="0"/>
    <n v="0"/>
    <n v="0"/>
    <n v="0"/>
  </r>
  <r>
    <s v="L'Oreal"/>
    <x v="2"/>
    <x v="2"/>
    <x v="1"/>
    <x v="11"/>
    <n v="8901526566075"/>
    <x v="57"/>
    <x v="410"/>
    <x v="17"/>
    <n v="0"/>
    <n v="0"/>
    <n v="0"/>
    <n v="6"/>
    <n v="0"/>
    <n v="0"/>
    <n v="0"/>
    <n v="4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0"/>
    <n v="0"/>
    <n v="0"/>
    <n v="0"/>
    <n v="1"/>
    <n v="0"/>
    <n v="0"/>
    <n v="0"/>
    <n v="0"/>
    <n v="0"/>
    <n v="19"/>
  </r>
  <r>
    <s v="L'Oreal"/>
    <x v="2"/>
    <x v="2"/>
    <x v="1"/>
    <x v="11"/>
    <n v="8901526566082"/>
    <x v="57"/>
    <x v="411"/>
    <x v="17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2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2"/>
    <x v="2"/>
    <x v="1"/>
    <x v="11"/>
    <n v="8901526606061"/>
    <x v="57"/>
    <x v="413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0"/>
    <n v="5601036100037"/>
    <x v="0"/>
    <x v="0"/>
    <x v="0"/>
    <n v="102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0"/>
    <n v="5601036100044"/>
    <x v="0"/>
    <x v="0"/>
    <x v="0"/>
    <n v="72"/>
    <n v="96"/>
    <n v="0"/>
    <n v="0"/>
    <n v="1236"/>
    <n v="0"/>
    <n v="126"/>
    <n v="270"/>
    <n v="0"/>
    <n v="0"/>
    <n v="2844"/>
    <n v="0"/>
    <n v="0"/>
    <n v="144"/>
    <n v="1500"/>
    <n v="114"/>
    <n v="72"/>
    <n v="84"/>
    <n v="-12"/>
    <n v="162"/>
    <n v="600"/>
    <n v="30"/>
    <n v="300"/>
    <n v="552"/>
    <n v="288"/>
    <n v="96"/>
    <n v="168"/>
    <n v="240"/>
    <n v="222"/>
    <n v="246"/>
    <n v="192"/>
    <n v="198"/>
    <n v="324"/>
    <n v="258"/>
    <n v="330"/>
    <n v="876"/>
    <n v="18"/>
    <n v="168"/>
    <n v="282"/>
    <n v="678"/>
    <n v="90"/>
    <n v="78"/>
  </r>
  <r>
    <s v="L'Oreal"/>
    <x v="3"/>
    <x v="3"/>
    <x v="0"/>
    <x v="1"/>
    <n v="3600523682799"/>
    <x v="1"/>
    <x v="1"/>
    <x v="1"/>
    <n v="2088"/>
    <n v="1146"/>
    <n v="864"/>
    <n v="1152"/>
    <n v="1212"/>
    <n v="1044"/>
    <n v="4554"/>
    <n v="1402"/>
    <n v="1836"/>
    <n v="1736"/>
    <n v="1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3600523682850"/>
    <x v="1"/>
    <x v="2"/>
    <x v="2"/>
    <n v="1398"/>
    <n v="540"/>
    <n v="306"/>
    <n v="504"/>
    <n v="588"/>
    <n v="564"/>
    <n v="3732"/>
    <n v="440"/>
    <n v="1296"/>
    <n v="1088"/>
    <n v="1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3600524095567"/>
    <x v="2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-6"/>
    <n v="84"/>
    <n v="0"/>
    <n v="60"/>
    <n v="0"/>
    <n v="24"/>
    <n v="105"/>
    <n v="30"/>
    <n v="18"/>
    <n v="12"/>
    <n v="12"/>
    <n v="24"/>
    <n v="48"/>
    <n v="0"/>
    <n v="12"/>
    <n v="24"/>
    <n v="0"/>
    <n v="0"/>
    <n v="72"/>
  </r>
  <r>
    <s v="L'Oreal"/>
    <x v="3"/>
    <x v="3"/>
    <x v="0"/>
    <x v="1"/>
    <n v="7506078926912"/>
    <x v="3"/>
    <x v="4"/>
    <x v="4"/>
    <n v="2772"/>
    <n v="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6078926929"/>
    <x v="3"/>
    <x v="5"/>
    <x v="4"/>
    <n v="1140"/>
    <n v="2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6078947894"/>
    <x v="4"/>
    <x v="6"/>
    <x v="4"/>
    <n v="1506"/>
    <n v="1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6078947900"/>
    <x v="4"/>
    <x v="7"/>
    <x v="4"/>
    <n v="144"/>
    <n v="768"/>
    <n v="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6078947917"/>
    <x v="4"/>
    <x v="8"/>
    <x v="5"/>
    <n v="192"/>
    <n v="351"/>
    <n v="135"/>
    <n v="108"/>
    <n v="180"/>
    <n v="135"/>
    <n v="93"/>
    <n v="279"/>
    <n v="135"/>
    <n v="99"/>
    <n v="390"/>
    <n v="543"/>
    <n v="351"/>
    <n v="45"/>
    <n v="228"/>
    <n v="120"/>
    <n v="171"/>
    <n v="252"/>
    <n v="57"/>
    <n v="180"/>
    <n v="159"/>
    <n v="15"/>
    <n v="147"/>
    <n v="186"/>
    <n v="372"/>
    <n v="51"/>
    <n v="0"/>
    <n v="123"/>
    <n v="336"/>
    <n v="279"/>
    <n v="0"/>
    <n v="108"/>
    <n v="114"/>
    <n v="117"/>
    <n v="288"/>
    <n v="231"/>
    <n v="213"/>
    <n v="165"/>
    <n v="222"/>
    <n v="225"/>
    <n v="171"/>
    <n v="144"/>
  </r>
  <r>
    <s v="L'Oreal"/>
    <x v="3"/>
    <x v="3"/>
    <x v="0"/>
    <x v="1"/>
    <n v="7506078959033"/>
    <x v="3"/>
    <x v="9"/>
    <x v="1"/>
    <n v="1560"/>
    <n v="996"/>
    <n v="888"/>
    <n v="600"/>
    <n v="1020"/>
    <n v="360"/>
    <n v="528"/>
    <n v="1596"/>
    <n v="2050"/>
    <n v="1728"/>
    <n v="564"/>
    <n v="312"/>
    <n v="432"/>
    <n v="540"/>
    <n v="630"/>
    <n v="328"/>
    <n v="1076"/>
    <n v="864"/>
    <n v="108"/>
    <n v="336"/>
    <n v="1140"/>
    <n v="240"/>
    <n v="252"/>
    <n v="0"/>
    <n v="648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193831"/>
    <x v="4"/>
    <x v="10"/>
    <x v="1"/>
    <n v="588"/>
    <n v="228"/>
    <n v="1264"/>
    <n v="36"/>
    <n v="232"/>
    <n v="36"/>
    <n v="24"/>
    <n v="1140"/>
    <n v="118"/>
    <n v="0"/>
    <n v="0"/>
    <n v="0"/>
    <n v="0"/>
    <n v="24"/>
    <n v="270"/>
    <n v="148"/>
    <n v="212"/>
    <n v="168"/>
    <n v="24"/>
    <n v="96"/>
    <n v="612"/>
    <n v="24"/>
    <n v="216"/>
    <n v="624"/>
    <n v="276"/>
    <n v="0"/>
    <n v="798"/>
    <n v="168"/>
    <n v="228"/>
    <n v="732"/>
    <n v="144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791389"/>
    <x v="5"/>
    <x v="11"/>
    <x v="1"/>
    <n v="0"/>
    <n v="0"/>
    <n v="0"/>
    <n v="0"/>
    <n v="0"/>
    <n v="0"/>
    <n v="0"/>
    <n v="0"/>
    <n v="0"/>
    <n v="0"/>
    <n v="0"/>
    <n v="0"/>
    <n v="0"/>
    <n v="0"/>
    <n v="0"/>
    <n v="12"/>
    <n v="72"/>
    <n v="108"/>
    <n v="36"/>
    <n v="12"/>
    <n v="84"/>
    <n v="108"/>
    <n v="132"/>
    <n v="72"/>
    <n v="48"/>
    <n v="96"/>
    <n v="552"/>
    <n v="60"/>
    <n v="60"/>
    <n v="120"/>
    <n v="84"/>
    <n v="72"/>
    <n v="252"/>
    <n v="0"/>
    <n v="0"/>
    <n v="0"/>
    <n v="0"/>
    <n v="0"/>
    <n v="0"/>
    <n v="0"/>
    <n v="0"/>
    <n v="0"/>
  </r>
  <r>
    <s v="L'Oreal"/>
    <x v="3"/>
    <x v="3"/>
    <x v="0"/>
    <x v="1"/>
    <n v="7509552791396"/>
    <x v="5"/>
    <x v="12"/>
    <x v="1"/>
    <n v="0"/>
    <n v="0"/>
    <n v="0"/>
    <n v="0"/>
    <n v="0"/>
    <n v="0"/>
    <n v="0"/>
    <n v="24"/>
    <n v="84"/>
    <n v="0"/>
    <n v="804"/>
    <n v="228"/>
    <n v="3162"/>
    <n v="2232"/>
    <n v="2820"/>
    <n v="984"/>
    <n v="924"/>
    <n v="324"/>
    <n v="954"/>
    <n v="1806"/>
    <n v="582"/>
    <n v="252"/>
    <n v="192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791457"/>
    <x v="6"/>
    <x v="1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"/>
    <n v="12"/>
    <n v="72"/>
    <n v="84"/>
    <n v="36"/>
    <n v="60"/>
    <n v="12"/>
    <n v="36"/>
    <n v="36"/>
    <n v="12"/>
    <n v="3948"/>
    <n v="72"/>
  </r>
  <r>
    <s v="L'Oreal"/>
    <x v="3"/>
    <x v="3"/>
    <x v="0"/>
    <x v="1"/>
    <n v="7509552791860"/>
    <x v="7"/>
    <x v="1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192"/>
    <n v="24"/>
    <n v="24"/>
    <n v="72"/>
    <n v="24"/>
    <n v="12"/>
    <n v="156"/>
    <n v="96"/>
    <n v="120"/>
    <n v="84"/>
    <n v="72"/>
    <n v="1980"/>
    <n v="0"/>
  </r>
  <r>
    <s v="L'Oreal"/>
    <x v="3"/>
    <x v="3"/>
    <x v="0"/>
    <x v="1"/>
    <n v="7509552800135"/>
    <x v="8"/>
    <x v="15"/>
    <x v="1"/>
    <n v="360"/>
    <n v="144"/>
    <n v="132"/>
    <n v="216"/>
    <n v="252"/>
    <n v="216"/>
    <n v="60"/>
    <n v="156"/>
    <n v="912"/>
    <n v="12"/>
    <n v="336"/>
    <n v="24"/>
    <n v="84"/>
    <n v="6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00258"/>
    <x v="8"/>
    <x v="16"/>
    <x v="4"/>
    <n v="108"/>
    <n v="60"/>
    <n v="36"/>
    <n v="36"/>
    <n v="36"/>
    <n v="24"/>
    <n v="24"/>
    <n v="12"/>
    <n v="0"/>
    <n v="24"/>
    <n v="144"/>
    <n v="0"/>
    <n v="12"/>
    <n v="12"/>
    <n v="0"/>
    <n v="12"/>
    <n v="84"/>
    <n v="24"/>
    <n v="0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00371"/>
    <x v="8"/>
    <x v="17"/>
    <x v="1"/>
    <n v="288"/>
    <n v="3834"/>
    <n v="2046"/>
    <n v="2520"/>
    <n v="2790"/>
    <n v="1386"/>
    <n v="1866"/>
    <n v="192"/>
    <n v="714"/>
    <n v="216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16334"/>
    <x v="7"/>
    <x v="18"/>
    <x v="5"/>
    <n v="174"/>
    <n v="30"/>
    <n v="159"/>
    <n v="78"/>
    <n v="102"/>
    <n v="84"/>
    <n v="51"/>
    <n v="177"/>
    <n v="36"/>
    <n v="51"/>
    <n v="150"/>
    <n v="357"/>
    <n v="138"/>
    <n v="0"/>
    <n v="141"/>
    <n v="27"/>
    <n v="66"/>
    <n v="141"/>
    <n v="3"/>
    <n v="30"/>
    <n v="42"/>
    <n v="15"/>
    <n v="12"/>
    <n v="39"/>
    <n v="0"/>
    <n v="0"/>
    <n v="0"/>
    <n v="114"/>
    <n v="15"/>
    <n v="69"/>
    <n v="39"/>
    <n v="3"/>
    <n v="30"/>
    <n v="42"/>
    <n v="54"/>
    <n v="93"/>
    <n v="72"/>
    <n v="60"/>
    <n v="0"/>
    <n v="39"/>
    <n v="111"/>
    <n v="12"/>
  </r>
  <r>
    <s v="L'Oreal"/>
    <x v="3"/>
    <x v="3"/>
    <x v="0"/>
    <x v="1"/>
    <n v="7509552817348"/>
    <x v="4"/>
    <x v="19"/>
    <x v="6"/>
    <n v="0"/>
    <n v="924"/>
    <n v="888"/>
    <n v="2184"/>
    <n v="468"/>
    <n v="630"/>
    <n v="672"/>
    <n v="360"/>
    <n v="336"/>
    <n v="456"/>
    <n v="720"/>
    <n v="534"/>
    <n v="780"/>
    <n v="450"/>
    <n v="636"/>
    <n v="696"/>
    <n v="1116"/>
    <n v="186"/>
    <n v="276"/>
    <n v="660"/>
    <n v="774"/>
    <n v="162"/>
    <n v="642"/>
    <n v="774"/>
    <n v="1656"/>
    <n v="1530"/>
    <n v="1554"/>
    <n v="660"/>
    <n v="1308"/>
    <n v="96"/>
    <n v="1314"/>
    <n v="318"/>
    <n v="1182"/>
    <n v="12"/>
    <n v="942"/>
    <n v="-12"/>
    <n v="924"/>
    <n v="492"/>
    <n v="984"/>
    <n v="408"/>
    <n v="834"/>
    <n v="1710"/>
  </r>
  <r>
    <s v="L'Oreal"/>
    <x v="3"/>
    <x v="3"/>
    <x v="0"/>
    <x v="1"/>
    <n v="7509552817393"/>
    <x v="3"/>
    <x v="20"/>
    <x v="6"/>
    <n v="960"/>
    <n v="2010"/>
    <n v="12"/>
    <n v="0"/>
    <n v="1962"/>
    <n v="1578"/>
    <n v="522"/>
    <n v="198"/>
    <n v="294"/>
    <n v="684"/>
    <n v="534"/>
    <n v="348"/>
    <n v="624"/>
    <n v="630"/>
    <n v="474"/>
    <n v="762"/>
    <n v="684"/>
    <n v="234"/>
    <n v="348"/>
    <n v="786"/>
    <n v="846"/>
    <n v="150"/>
    <n v="528"/>
    <n v="516"/>
    <n v="1380"/>
    <n v="1728"/>
    <n v="1536"/>
    <n v="540"/>
    <n v="1416"/>
    <n v="24"/>
    <n v="750"/>
    <n v="300"/>
    <n v="396"/>
    <n v="2790"/>
    <n v="24"/>
    <n v="834"/>
    <n v="564"/>
    <n v="552"/>
    <n v="330"/>
    <n v="570"/>
    <n v="372"/>
    <n v="684"/>
  </r>
  <r>
    <s v="L'Oreal"/>
    <x v="3"/>
    <x v="3"/>
    <x v="0"/>
    <x v="1"/>
    <n v="7509552817416"/>
    <x v="7"/>
    <x v="21"/>
    <x v="6"/>
    <n v="426"/>
    <n v="876"/>
    <n v="270"/>
    <n v="2298"/>
    <n v="456"/>
    <n v="12"/>
    <n v="204"/>
    <n v="84"/>
    <n v="342"/>
    <n v="78"/>
    <n v="258"/>
    <n v="72"/>
    <n v="198"/>
    <n v="318"/>
    <n v="144"/>
    <n v="882"/>
    <n v="234"/>
    <n v="42"/>
    <n v="42"/>
    <n v="198"/>
    <n v="384"/>
    <n v="30"/>
    <n v="474"/>
    <n v="96"/>
    <n v="816"/>
    <n v="672"/>
    <n v="648"/>
    <n v="336"/>
    <n v="330"/>
    <n v="1548"/>
    <n v="12"/>
    <n v="24"/>
    <n v="24"/>
    <n v="12"/>
    <n v="0"/>
    <n v="24"/>
    <n v="0"/>
    <n v="12"/>
    <n v="0"/>
    <n v="12"/>
    <n v="1932"/>
    <n v="0"/>
  </r>
  <r>
    <s v="L'Oreal"/>
    <x v="3"/>
    <x v="3"/>
    <x v="0"/>
    <x v="1"/>
    <n v="7509552817430"/>
    <x v="8"/>
    <x v="22"/>
    <x v="6"/>
    <n v="462"/>
    <n v="1380"/>
    <n v="48"/>
    <n v="36"/>
    <n v="12"/>
    <n v="24"/>
    <n v="84"/>
    <n v="36"/>
    <n v="0"/>
    <n v="0"/>
    <n v="36"/>
    <n v="12"/>
    <n v="48"/>
    <n v="24"/>
    <n v="12"/>
    <n v="36"/>
    <n v="12"/>
    <n v="12"/>
    <n v="12"/>
    <n v="0"/>
    <n v="24"/>
    <n v="12"/>
    <n v="0"/>
    <n v="0"/>
    <n v="24"/>
    <n v="0"/>
    <n v="72"/>
    <n v="60"/>
    <n v="120"/>
    <n v="180"/>
    <n v="12"/>
    <n v="720"/>
    <n v="0"/>
    <n v="0"/>
    <n v="0"/>
    <n v="0"/>
    <n v="0"/>
    <n v="0"/>
    <n v="0"/>
    <n v="0"/>
    <n v="0"/>
    <n v="0"/>
  </r>
  <r>
    <s v="L'Oreal"/>
    <x v="3"/>
    <x v="3"/>
    <x v="0"/>
    <x v="1"/>
    <n v="7509552821789"/>
    <x v="9"/>
    <x v="23"/>
    <x v="1"/>
    <n v="0"/>
    <n v="0"/>
    <n v="0"/>
    <n v="0"/>
    <n v="0"/>
    <n v="0"/>
    <n v="0"/>
    <n v="0"/>
    <n v="0"/>
    <n v="0"/>
    <n v="1032"/>
    <n v="564"/>
    <n v="408"/>
    <n v="576"/>
    <n v="144"/>
    <n v="84"/>
    <n v="204"/>
    <n v="336"/>
    <n v="48"/>
    <n v="36"/>
    <n v="168"/>
    <n v="12"/>
    <n v="36"/>
    <n v="36"/>
    <n v="48"/>
    <n v="48"/>
    <n v="540"/>
    <n v="84"/>
    <n v="-24"/>
    <n v="84"/>
    <n v="24"/>
    <n v="0"/>
    <n v="48"/>
    <n v="24"/>
    <n v="180"/>
    <n v="24"/>
    <n v="84"/>
    <n v="-24"/>
    <n v="48"/>
    <n v="12"/>
    <n v="84"/>
    <n v="144"/>
  </r>
  <r>
    <s v="L'Oreal"/>
    <x v="3"/>
    <x v="3"/>
    <x v="0"/>
    <x v="1"/>
    <n v="7509552836509"/>
    <x v="10"/>
    <x v="24"/>
    <x v="4"/>
    <n v="1086"/>
    <n v="2610"/>
    <n v="432"/>
    <n v="12"/>
    <n v="60"/>
    <n v="0"/>
    <n v="12"/>
    <n v="24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36554"/>
    <x v="10"/>
    <x v="25"/>
    <x v="1"/>
    <n v="978"/>
    <n v="2706"/>
    <n v="1356"/>
    <n v="846"/>
    <n v="2832"/>
    <n v="264"/>
    <n v="864"/>
    <n v="456"/>
    <n v="1206"/>
    <n v="1074"/>
    <n v="264"/>
    <n v="180"/>
    <n v="1680"/>
    <n v="1188"/>
    <n v="966"/>
    <n v="300"/>
    <n v="336"/>
    <n v="78"/>
    <n v="444"/>
    <n v="444"/>
    <n v="522"/>
    <n v="120"/>
    <n v="48"/>
    <n v="342"/>
    <n v="366"/>
    <n v="918"/>
    <n v="1608"/>
    <n v="624"/>
    <n v="12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36561"/>
    <x v="10"/>
    <x v="26"/>
    <x v="4"/>
    <n v="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36585"/>
    <x v="10"/>
    <x v="27"/>
    <x v="1"/>
    <n v="336"/>
    <n v="156"/>
    <n v="84"/>
    <n v="0"/>
    <n v="132"/>
    <n v="84"/>
    <n v="72"/>
    <n v="108"/>
    <n v="588"/>
    <n v="0"/>
    <n v="144"/>
    <n v="24"/>
    <n v="144"/>
    <n v="24"/>
    <n v="12"/>
    <n v="72"/>
    <n v="132"/>
    <n v="72"/>
    <n v="-48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36677"/>
    <x v="10"/>
    <x v="28"/>
    <x v="5"/>
    <n v="132"/>
    <n v="231"/>
    <n v="33"/>
    <n v="111"/>
    <n v="39"/>
    <n v="42"/>
    <n v="21"/>
    <n v="93"/>
    <n v="39"/>
    <n v="54"/>
    <n v="30"/>
    <n v="90"/>
    <n v="36"/>
    <n v="219"/>
    <n v="30"/>
    <n v="39"/>
    <n v="18"/>
    <n v="111"/>
    <n v="-9"/>
    <n v="21"/>
    <n v="39"/>
    <n v="3"/>
    <n v="18"/>
    <n v="63"/>
    <n v="108"/>
    <n v="36"/>
    <n v="111"/>
    <n v="0"/>
    <n v="18"/>
    <n v="15"/>
    <n v="0"/>
    <n v="3"/>
    <n v="12"/>
    <n v="0"/>
    <n v="0"/>
    <n v="0"/>
    <n v="0"/>
    <n v="0"/>
    <n v="0"/>
    <n v="0"/>
    <n v="0"/>
    <n v="0"/>
  </r>
  <r>
    <s v="L'Oreal"/>
    <x v="3"/>
    <x v="3"/>
    <x v="0"/>
    <x v="1"/>
    <n v="7509552840353"/>
    <x v="11"/>
    <x v="29"/>
    <x v="1"/>
    <n v="1434"/>
    <n v="1002"/>
    <n v="930"/>
    <n v="1014"/>
    <n v="1242"/>
    <n v="1968"/>
    <n v="1308"/>
    <n v="414"/>
    <n v="1062"/>
    <n v="1314"/>
    <n v="288"/>
    <n v="192"/>
    <n v="2694"/>
    <n v="1368"/>
    <n v="2082"/>
    <n v="420"/>
    <n v="1392"/>
    <n v="306"/>
    <n v="1944"/>
    <n v="330"/>
    <n v="504"/>
    <n v="90"/>
    <n v="1404"/>
    <n v="1416"/>
    <n v="144"/>
    <n v="288"/>
    <n v="1530"/>
    <n v="2322"/>
    <n v="1050"/>
    <n v="72"/>
    <n v="24"/>
    <n v="312"/>
    <n v="240"/>
    <n v="12"/>
    <n v="24"/>
    <n v="72"/>
    <n v="72"/>
    <n v="108"/>
    <n v="48"/>
    <n v="0"/>
    <n v="0"/>
    <n v="0"/>
  </r>
  <r>
    <s v="L'Oreal"/>
    <x v="3"/>
    <x v="3"/>
    <x v="0"/>
    <x v="1"/>
    <n v="7509552843019"/>
    <x v="12"/>
    <x v="30"/>
    <x v="1"/>
    <n v="228"/>
    <n v="264"/>
    <n v="204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43026"/>
    <x v="12"/>
    <x v="31"/>
    <x v="4"/>
    <n v="828"/>
    <n v="6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43057"/>
    <x v="12"/>
    <x v="32"/>
    <x v="4"/>
    <n v="60"/>
    <n v="120"/>
    <n v="12"/>
    <n v="0"/>
    <n v="24"/>
    <n v="12"/>
    <n v="48"/>
    <n v="0"/>
    <n v="24"/>
    <n v="24"/>
    <n v="24"/>
    <n v="12"/>
    <n v="24"/>
    <n v="48"/>
    <n v="24"/>
    <n v="0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43071"/>
    <x v="12"/>
    <x v="33"/>
    <x v="1"/>
    <n v="0"/>
    <n v="0"/>
    <n v="0"/>
    <n v="0"/>
    <n v="0"/>
    <n v="0"/>
    <n v="0"/>
    <n v="36"/>
    <n v="648"/>
    <n v="48"/>
    <n v="264"/>
    <n v="60"/>
    <n v="96"/>
    <n v="108"/>
    <n v="72"/>
    <n v="12"/>
    <n v="12"/>
    <n v="72"/>
    <n v="0"/>
    <n v="12"/>
    <n v="108"/>
    <n v="0"/>
    <n v="96"/>
    <n v="24"/>
    <n v="36"/>
    <n v="48"/>
    <n v="156"/>
    <n v="48"/>
    <n v="12"/>
    <n v="48"/>
    <n v="84"/>
    <n v="12"/>
    <n v="84"/>
    <n v="0"/>
    <n v="0"/>
    <n v="0"/>
    <n v="0"/>
    <n v="0"/>
    <n v="0"/>
    <n v="0"/>
    <n v="0"/>
    <n v="0"/>
  </r>
  <r>
    <s v="L'Oreal"/>
    <x v="3"/>
    <x v="3"/>
    <x v="0"/>
    <x v="1"/>
    <n v="7509552843101"/>
    <x v="12"/>
    <x v="34"/>
    <x v="1"/>
    <n v="996"/>
    <n v="2298"/>
    <n v="1866"/>
    <n v="1320"/>
    <n v="2418"/>
    <n v="798"/>
    <n v="882"/>
    <n v="174"/>
    <n v="750"/>
    <n v="1128"/>
    <n v="156"/>
    <n v="192"/>
    <n v="1254"/>
    <n v="948"/>
    <n v="2088"/>
    <n v="756"/>
    <n v="324"/>
    <n v="36"/>
    <n v="0"/>
    <n v="612"/>
    <n v="96"/>
    <n v="12"/>
    <n v="12"/>
    <n v="12"/>
    <n v="108"/>
    <n v="0"/>
    <n v="72"/>
    <n v="24"/>
    <n v="264"/>
    <n v="12"/>
    <n v="84"/>
    <n v="12"/>
    <n v="60"/>
    <n v="96"/>
    <n v="132"/>
    <n v="36"/>
    <n v="0"/>
    <n v="12"/>
    <n v="156"/>
    <n v="0"/>
    <n v="0"/>
    <n v="0"/>
  </r>
  <r>
    <s v="L'Oreal"/>
    <x v="3"/>
    <x v="3"/>
    <x v="0"/>
    <x v="1"/>
    <n v="7509552843132"/>
    <x v="3"/>
    <x v="35"/>
    <x v="1"/>
    <n v="0"/>
    <n v="0"/>
    <n v="0"/>
    <n v="0"/>
    <n v="0"/>
    <n v="0"/>
    <n v="0"/>
    <n v="0"/>
    <n v="0"/>
    <n v="0"/>
    <n v="0"/>
    <n v="636"/>
    <n v="1140"/>
    <n v="1008"/>
    <n v="828"/>
    <n v="744"/>
    <n v="768"/>
    <n v="2424"/>
    <n v="360"/>
    <n v="756"/>
    <n v="1728"/>
    <n v="252"/>
    <n v="636"/>
    <n v="1524"/>
    <n v="2280"/>
    <n v="912"/>
    <n v="60"/>
    <n v="840"/>
    <n v="1260"/>
    <n v="1920"/>
    <n v="1356"/>
    <n v="960"/>
    <n v="876"/>
    <n v="2268"/>
    <n v="924"/>
    <n v="36"/>
    <n v="3180"/>
    <n v="1296"/>
    <n v="1560"/>
    <n v="564"/>
    <n v="0"/>
    <n v="0"/>
  </r>
  <r>
    <s v="L'Oreal"/>
    <x v="3"/>
    <x v="3"/>
    <x v="0"/>
    <x v="1"/>
    <n v="7509552843149"/>
    <x v="3"/>
    <x v="36"/>
    <x v="2"/>
    <n v="0"/>
    <n v="0"/>
    <n v="0"/>
    <n v="0"/>
    <n v="0"/>
    <n v="0"/>
    <n v="0"/>
    <n v="0"/>
    <n v="264"/>
    <n v="1008"/>
    <n v="108"/>
    <n v="252"/>
    <n v="618"/>
    <n v="342"/>
    <n v="228"/>
    <n v="330"/>
    <n v="336"/>
    <n v="1197"/>
    <n v="288"/>
    <n v="330"/>
    <n v="903"/>
    <n v="78"/>
    <n v="216"/>
    <n v="570"/>
    <n v="1044"/>
    <n v="432"/>
    <n v="1002"/>
    <n v="132"/>
    <n v="176"/>
    <n v="597"/>
    <n v="232"/>
    <n v="564"/>
    <n v="120"/>
    <n v="519"/>
    <n v="990"/>
    <n v="554"/>
    <n v="924"/>
    <n v="432"/>
    <n v="624"/>
    <n v="348"/>
    <n v="0"/>
    <n v="24"/>
  </r>
  <r>
    <s v="L'Oreal"/>
    <x v="3"/>
    <x v="3"/>
    <x v="0"/>
    <x v="1"/>
    <n v="7509552843729"/>
    <x v="12"/>
    <x v="37"/>
    <x v="5"/>
    <n v="156"/>
    <n v="0"/>
    <n v="0"/>
    <n v="0"/>
    <n v="0"/>
    <n v="84"/>
    <n v="120"/>
    <n v="90"/>
    <n v="42"/>
    <n v="90"/>
    <n v="30"/>
    <n v="240"/>
    <n v="72"/>
    <n v="144"/>
    <n v="24"/>
    <n v="0"/>
    <n v="0"/>
    <n v="42"/>
    <n v="60"/>
    <n v="30"/>
    <n v="0"/>
    <n v="6"/>
    <n v="24"/>
    <n v="12"/>
    <n v="42"/>
    <n v="0"/>
    <n v="0"/>
    <n v="24"/>
    <n v="84"/>
    <n v="24"/>
    <n v="12"/>
    <n v="6"/>
    <n v="0"/>
    <n v="12"/>
    <n v="36"/>
    <n v="6"/>
    <n v="0"/>
    <n v="0"/>
    <n v="0"/>
    <n v="0"/>
    <n v="0"/>
    <n v="0"/>
  </r>
  <r>
    <s v="L'Oreal"/>
    <x v="3"/>
    <x v="3"/>
    <x v="0"/>
    <x v="1"/>
    <n v="7509552845877"/>
    <x v="13"/>
    <x v="38"/>
    <x v="1"/>
    <n v="3264"/>
    <n v="2292"/>
    <n v="2284"/>
    <n v="756"/>
    <n v="1048"/>
    <n v="840"/>
    <n v="456"/>
    <n v="1476"/>
    <n v="1798"/>
    <n v="1920"/>
    <n v="528"/>
    <n v="276"/>
    <n v="612"/>
    <n v="912"/>
    <n v="738"/>
    <n v="340"/>
    <n v="896"/>
    <n v="948"/>
    <n v="156"/>
    <n v="564"/>
    <n v="1308"/>
    <n v="24"/>
    <n v="432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45884"/>
    <x v="13"/>
    <x v="39"/>
    <x v="7"/>
    <n v="3528"/>
    <n v="1272"/>
    <n v="432"/>
    <n v="5724"/>
    <n v="4818"/>
    <n v="3810"/>
    <n v="3792"/>
    <n v="1740"/>
    <n v="2634"/>
    <n v="5862"/>
    <n v="846"/>
    <n v="2954"/>
    <n v="4842"/>
    <n v="4152"/>
    <n v="920"/>
    <n v="1680"/>
    <n v="2928"/>
    <n v="3564"/>
    <n v="6828"/>
    <n v="3726"/>
    <n v="2442"/>
    <n v="234"/>
    <n v="948"/>
    <n v="2100"/>
    <n v="444"/>
    <n v="1992"/>
    <n v="900"/>
    <n v="600"/>
    <n v="1272"/>
    <n v="6366"/>
    <n v="4206"/>
    <n v="216"/>
    <n v="7698"/>
    <n v="4848"/>
    <n v="774"/>
    <n v="2406"/>
    <n v="2886"/>
    <n v="5094"/>
    <n v="2664"/>
    <n v="1068"/>
    <n v="966"/>
    <n v="4278"/>
  </r>
  <r>
    <s v="L'Oreal"/>
    <x v="3"/>
    <x v="3"/>
    <x v="0"/>
    <x v="1"/>
    <n v="7509552845891"/>
    <x v="13"/>
    <x v="40"/>
    <x v="6"/>
    <n v="384"/>
    <n v="432"/>
    <n v="3356"/>
    <n v="2538"/>
    <n v="2046"/>
    <n v="846"/>
    <n v="384"/>
    <n v="192"/>
    <n v="642"/>
    <n v="840"/>
    <n v="804"/>
    <n v="594"/>
    <n v="1104"/>
    <n v="618"/>
    <n v="1380"/>
    <n v="774"/>
    <n v="762"/>
    <n v="624"/>
    <n v="336"/>
    <n v="1014"/>
    <n v="1224"/>
    <n v="192"/>
    <n v="636"/>
    <n v="960"/>
    <n v="3048"/>
    <n v="2160"/>
    <n v="354"/>
    <n v="522"/>
    <n v="1992"/>
    <n v="1488"/>
    <n v="1254"/>
    <n v="246"/>
    <n v="1068"/>
    <n v="2196"/>
    <n v="96"/>
    <n v="90"/>
    <n v="480"/>
    <n v="1770"/>
    <n v="186"/>
    <n v="222"/>
    <n v="702"/>
    <n v="2628"/>
  </r>
  <r>
    <s v="L'Oreal"/>
    <x v="3"/>
    <x v="3"/>
    <x v="0"/>
    <x v="1"/>
    <n v="7509552845907"/>
    <x v="13"/>
    <x v="41"/>
    <x v="1"/>
    <n v="3972"/>
    <n v="2004"/>
    <n v="2068"/>
    <n v="6096"/>
    <n v="4990"/>
    <n v="4230"/>
    <n v="4212"/>
    <n v="2322"/>
    <n v="3616"/>
    <n v="6798"/>
    <n v="1338"/>
    <n v="2286"/>
    <n v="5322"/>
    <n v="4308"/>
    <n v="1194"/>
    <n v="1852"/>
    <n v="3296"/>
    <n v="3864"/>
    <n v="6936"/>
    <n v="4050"/>
    <n v="2766"/>
    <n v="426"/>
    <n v="1296"/>
    <n v="2244"/>
    <n v="708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45914"/>
    <x v="13"/>
    <x v="42"/>
    <x v="7"/>
    <n v="1608"/>
    <n v="1512"/>
    <n v="3800"/>
    <n v="3498"/>
    <n v="2526"/>
    <n v="1302"/>
    <n v="600"/>
    <n v="636"/>
    <n v="1062"/>
    <n v="1764"/>
    <n v="1260"/>
    <n v="1754"/>
    <n v="1788"/>
    <n v="1002"/>
    <n v="1904"/>
    <n v="990"/>
    <n v="1002"/>
    <n v="1080"/>
    <n v="456"/>
    <n v="1446"/>
    <n v="1860"/>
    <n v="168"/>
    <n v="876"/>
    <n v="1380"/>
    <n v="3660"/>
    <n v="3684"/>
    <n v="546"/>
    <n v="786"/>
    <n v="2652"/>
    <n v="2244"/>
    <n v="1638"/>
    <n v="498"/>
    <n v="1584"/>
    <n v="2304"/>
    <n v="564"/>
    <n v="354"/>
    <n v="1020"/>
    <n v="2358"/>
    <n v="774"/>
    <n v="534"/>
    <n v="378"/>
    <n v="3120"/>
  </r>
  <r>
    <s v="L'Oreal"/>
    <x v="3"/>
    <x v="3"/>
    <x v="0"/>
    <x v="1"/>
    <n v="7509552845938"/>
    <x v="13"/>
    <x v="43"/>
    <x v="5"/>
    <n v="1026"/>
    <n v="906"/>
    <n v="390"/>
    <n v="432"/>
    <n v="264"/>
    <n v="144"/>
    <n v="270"/>
    <n v="540"/>
    <n v="162"/>
    <n v="702"/>
    <n v="330"/>
    <n v="678"/>
    <n v="660"/>
    <n v="618"/>
    <n v="162"/>
    <n v="192"/>
    <n v="150"/>
    <n v="390"/>
    <n v="66"/>
    <n v="132"/>
    <n v="330"/>
    <n v="78"/>
    <n v="144"/>
    <n v="180"/>
    <n v="330"/>
    <n v="0"/>
    <n v="0"/>
    <n v="222"/>
    <n v="282"/>
    <n v="402"/>
    <n v="198"/>
    <n v="192"/>
    <n v="96"/>
    <n v="120"/>
    <n v="252"/>
    <n v="222"/>
    <n v="348"/>
    <n v="186"/>
    <n v="144"/>
    <n v="204"/>
    <n v="252"/>
    <n v="168"/>
  </r>
  <r>
    <s v="L'Oreal"/>
    <x v="3"/>
    <x v="3"/>
    <x v="0"/>
    <x v="1"/>
    <n v="7509552847499"/>
    <x v="3"/>
    <x v="44"/>
    <x v="7"/>
    <n v="60"/>
    <n v="5232"/>
    <n v="3377"/>
    <n v="3312"/>
    <n v="3534"/>
    <n v="6672"/>
    <n v="3276"/>
    <n v="504"/>
    <n v="978"/>
    <n v="6084"/>
    <n v="642"/>
    <n v="1254"/>
    <n v="5154"/>
    <n v="1086"/>
    <n v="3774"/>
    <n v="3246"/>
    <n v="912"/>
    <n v="3594"/>
    <n v="2544"/>
    <n v="3066"/>
    <n v="1674"/>
    <n v="288"/>
    <n v="642"/>
    <n v="3564"/>
    <n v="1128"/>
    <n v="1632"/>
    <n v="5538"/>
    <n v="2994"/>
    <n v="1926"/>
    <n v="2148"/>
    <n v="2142"/>
    <n v="210"/>
    <n v="3270"/>
    <n v="4302"/>
    <n v="504"/>
    <n v="1116"/>
    <n v="3930"/>
    <n v="5328"/>
    <n v="3474"/>
    <n v="1008"/>
    <n v="1440"/>
    <n v="4086"/>
  </r>
  <r>
    <s v="L'Oreal"/>
    <x v="3"/>
    <x v="3"/>
    <x v="0"/>
    <x v="1"/>
    <n v="7509552847505"/>
    <x v="6"/>
    <x v="45"/>
    <x v="7"/>
    <n v="0"/>
    <n v="0"/>
    <n v="24"/>
    <n v="0"/>
    <n v="0"/>
    <n v="0"/>
    <n v="12"/>
    <n v="0"/>
    <n v="12"/>
    <n v="24"/>
    <n v="12"/>
    <n v="12"/>
    <n v="12"/>
    <n v="24"/>
    <n v="12"/>
    <n v="12"/>
    <n v="0"/>
    <n v="24"/>
    <n v="12"/>
    <n v="12"/>
    <n v="12"/>
    <n v="0"/>
    <n v="120"/>
    <n v="24"/>
    <n v="0"/>
    <n v="0"/>
    <n v="0"/>
    <n v="24"/>
    <n v="12"/>
    <n v="36"/>
    <n v="0"/>
    <n v="0"/>
    <n v="0"/>
    <n v="48"/>
    <n v="72"/>
    <n v="84"/>
    <n v="96"/>
    <n v="84"/>
    <n v="96"/>
    <n v="72"/>
    <n v="12"/>
    <n v="84"/>
  </r>
  <r>
    <s v="L'Oreal"/>
    <x v="3"/>
    <x v="3"/>
    <x v="0"/>
    <x v="1"/>
    <n v="7509552847512"/>
    <x v="6"/>
    <x v="46"/>
    <x v="7"/>
    <n v="0"/>
    <n v="12"/>
    <n v="258"/>
    <n v="2310"/>
    <n v="480"/>
    <n v="12"/>
    <n v="216"/>
    <n v="96"/>
    <n v="318"/>
    <n v="102"/>
    <n v="282"/>
    <n v="84"/>
    <n v="222"/>
    <n v="294"/>
    <n v="168"/>
    <n v="894"/>
    <n v="270"/>
    <n v="54"/>
    <n v="42"/>
    <n v="210"/>
    <n v="372"/>
    <n v="54"/>
    <n v="450"/>
    <n v="132"/>
    <n v="804"/>
    <n v="660"/>
    <n v="828"/>
    <n v="360"/>
    <n v="318"/>
    <n v="1632"/>
    <n v="36"/>
    <n v="0"/>
    <n v="0"/>
    <n v="84"/>
    <n v="12"/>
    <n v="12"/>
    <n v="60"/>
    <n v="36"/>
    <n v="60"/>
    <n v="24"/>
    <n v="156"/>
    <n v="48"/>
  </r>
  <r>
    <s v="L'Oreal"/>
    <x v="3"/>
    <x v="3"/>
    <x v="0"/>
    <x v="1"/>
    <n v="7509552847529"/>
    <x v="14"/>
    <x v="47"/>
    <x v="7"/>
    <n v="0"/>
    <n v="0"/>
    <n v="1272"/>
    <n v="786"/>
    <n v="1182"/>
    <n v="1932"/>
    <n v="1224"/>
    <n v="234"/>
    <n v="330"/>
    <n v="1302"/>
    <n v="264"/>
    <n v="168"/>
    <n v="2586"/>
    <n v="1344"/>
    <n v="1062"/>
    <n v="300"/>
    <n v="1380"/>
    <n v="198"/>
    <n v="1920"/>
    <n v="354"/>
    <n v="408"/>
    <n v="66"/>
    <n v="1392"/>
    <n v="1356"/>
    <n v="156"/>
    <n v="228"/>
    <n v="1482"/>
    <n v="2262"/>
    <n v="1050"/>
    <n v="36"/>
    <n v="36"/>
    <n v="312"/>
    <n v="96"/>
    <n v="36"/>
    <n v="24"/>
    <n v="12"/>
    <n v="0"/>
    <n v="0"/>
    <n v="0"/>
    <n v="0"/>
    <n v="0"/>
    <n v="0"/>
  </r>
  <r>
    <s v="L'Oreal"/>
    <x v="3"/>
    <x v="3"/>
    <x v="0"/>
    <x v="1"/>
    <n v="7509552847536"/>
    <x v="14"/>
    <x v="48"/>
    <x v="7"/>
    <n v="0"/>
    <n v="0"/>
    <n v="828"/>
    <n v="0"/>
    <n v="0"/>
    <n v="0"/>
    <n v="0"/>
    <n v="0"/>
    <n v="12"/>
    <n v="12"/>
    <n v="24"/>
    <n v="12"/>
    <n v="24"/>
    <n v="24"/>
    <n v="48"/>
    <n v="24"/>
    <n v="24"/>
    <n v="144"/>
    <n v="24"/>
    <n v="12"/>
    <n v="48"/>
    <n v="12"/>
    <n v="0"/>
    <n v="36"/>
    <n v="84"/>
    <n v="96"/>
    <n v="96"/>
    <n v="12"/>
    <n v="24"/>
    <n v="12"/>
    <n v="24"/>
    <n v="24"/>
    <n v="12"/>
    <n v="24"/>
    <n v="24"/>
    <n v="120"/>
    <n v="36"/>
    <n v="0"/>
    <n v="0"/>
    <n v="0"/>
    <n v="0"/>
    <n v="0"/>
  </r>
  <r>
    <s v="L'Oreal"/>
    <x v="3"/>
    <x v="3"/>
    <x v="0"/>
    <x v="1"/>
    <n v="7509552847543"/>
    <x v="2"/>
    <x v="49"/>
    <x v="7"/>
    <n v="0"/>
    <n v="0"/>
    <n v="24"/>
    <n v="0"/>
    <n v="48"/>
    <n v="84"/>
    <n v="36"/>
    <n v="72"/>
    <n v="48"/>
    <n v="60"/>
    <n v="60"/>
    <n v="84"/>
    <n v="96"/>
    <n v="60"/>
    <n v="168"/>
    <n v="48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47550"/>
    <x v="8"/>
    <x v="50"/>
    <x v="7"/>
    <n v="60"/>
    <n v="2910"/>
    <n v="2106"/>
    <n v="2460"/>
    <n v="2718"/>
    <n v="1290"/>
    <n v="1914"/>
    <n v="336"/>
    <n v="798"/>
    <n v="2172"/>
    <n v="534"/>
    <n v="324"/>
    <n v="3090"/>
    <n v="2147"/>
    <n v="2676"/>
    <n v="1008"/>
    <n v="1032"/>
    <n v="276"/>
    <n v="954"/>
    <n v="1758"/>
    <n v="462"/>
    <n v="120"/>
    <n v="192"/>
    <n v="102"/>
    <n v="96"/>
    <n v="204"/>
    <n v="228"/>
    <n v="0"/>
    <n v="144"/>
    <n v="204"/>
    <n v="84"/>
    <n v="0"/>
    <n v="36"/>
    <n v="408"/>
    <n v="2052"/>
    <n v="0"/>
    <n v="0"/>
    <n v="2832"/>
    <n v="-3"/>
    <n v="0"/>
    <n v="0"/>
    <n v="0"/>
  </r>
  <r>
    <s v="L'Oreal"/>
    <x v="3"/>
    <x v="3"/>
    <x v="0"/>
    <x v="1"/>
    <n v="7509552847574"/>
    <x v="8"/>
    <x v="51"/>
    <x v="7"/>
    <n v="0"/>
    <n v="24"/>
    <n v="36"/>
    <n v="0"/>
    <n v="36"/>
    <n v="96"/>
    <n v="36"/>
    <n v="36"/>
    <n v="60"/>
    <n v="72"/>
    <n v="48"/>
    <n v="324"/>
    <n v="36"/>
    <n v="60"/>
    <n v="84"/>
    <n v="36"/>
    <n v="60"/>
    <n v="204"/>
    <n v="36"/>
    <n v="36"/>
    <n v="84"/>
    <n v="24"/>
    <n v="12"/>
    <n v="108"/>
    <n v="108"/>
    <n v="144"/>
    <n v="240"/>
    <n v="12"/>
    <n v="24"/>
    <n v="0"/>
    <n v="0"/>
    <n v="720"/>
    <n v="0"/>
    <n v="0"/>
    <n v="0"/>
    <n v="0"/>
    <n v="0"/>
    <n v="0"/>
    <n v="0"/>
    <n v="0"/>
    <n v="0"/>
    <n v="0"/>
  </r>
  <r>
    <s v="L'Oreal"/>
    <x v="3"/>
    <x v="3"/>
    <x v="0"/>
    <x v="1"/>
    <n v="7509552847581"/>
    <x v="10"/>
    <x v="52"/>
    <x v="7"/>
    <n v="0"/>
    <n v="0"/>
    <n v="888"/>
    <n v="786"/>
    <n v="2496"/>
    <n v="264"/>
    <n v="840"/>
    <n v="252"/>
    <n v="702"/>
    <n v="1098"/>
    <n v="132"/>
    <n v="156"/>
    <n v="1656"/>
    <n v="1188"/>
    <n v="978"/>
    <n v="312"/>
    <n v="348"/>
    <n v="42"/>
    <n v="432"/>
    <n v="396"/>
    <n v="450"/>
    <n v="84"/>
    <n v="36"/>
    <n v="342"/>
    <n v="318"/>
    <n v="906"/>
    <n v="1596"/>
    <n v="576"/>
    <n v="252"/>
    <n v="0"/>
    <n v="0"/>
    <n v="0"/>
    <n v="0"/>
    <n v="372"/>
    <n v="336"/>
    <n v="-12"/>
    <n v="0"/>
    <n v="0"/>
    <n v="0"/>
    <n v="0"/>
    <n v="0"/>
    <n v="0"/>
  </r>
  <r>
    <s v="L'Oreal"/>
    <x v="3"/>
    <x v="3"/>
    <x v="0"/>
    <x v="1"/>
    <n v="7509552847598"/>
    <x v="12"/>
    <x v="53"/>
    <x v="7"/>
    <n v="0"/>
    <n v="2190"/>
    <n v="2934"/>
    <n v="1320"/>
    <n v="2394"/>
    <n v="810"/>
    <n v="846"/>
    <n v="138"/>
    <n v="246"/>
    <n v="1140"/>
    <n v="36"/>
    <n v="300"/>
    <n v="1374"/>
    <n v="936"/>
    <n v="2076"/>
    <n v="720"/>
    <n v="348"/>
    <n v="84"/>
    <n v="12"/>
    <n v="612"/>
    <n v="168"/>
    <n v="24"/>
    <n v="0"/>
    <n v="12"/>
    <n v="24"/>
    <n v="60"/>
    <n v="120"/>
    <n v="36"/>
    <n v="264"/>
    <n v="0"/>
    <n v="24"/>
    <n v="0"/>
    <n v="156"/>
    <n v="384"/>
    <n v="1500"/>
    <n v="-108"/>
    <n v="0"/>
    <n v="0"/>
    <n v="0"/>
    <n v="0"/>
    <n v="0"/>
    <n v="0"/>
  </r>
  <r>
    <s v="L'Oreal"/>
    <x v="3"/>
    <x v="3"/>
    <x v="0"/>
    <x v="1"/>
    <n v="7509552847949"/>
    <x v="13"/>
    <x v="54"/>
    <x v="5"/>
    <n v="1392"/>
    <n v="924"/>
    <n v="246"/>
    <n v="612"/>
    <n v="360"/>
    <n v="276"/>
    <n v="366"/>
    <n v="1386"/>
    <n v="468"/>
    <n v="672"/>
    <n v="366"/>
    <n v="600"/>
    <n v="540"/>
    <n v="510"/>
    <n v="288"/>
    <n v="90"/>
    <n v="150"/>
    <n v="558"/>
    <n v="66"/>
    <n v="204"/>
    <n v="408"/>
    <n v="6"/>
    <n v="84"/>
    <n v="306"/>
    <n v="384"/>
    <n v="324"/>
    <n v="0"/>
    <n v="246"/>
    <n v="222"/>
    <n v="546"/>
    <n v="378"/>
    <n v="144"/>
    <n v="198"/>
    <n v="300"/>
    <n v="396"/>
    <n v="421"/>
    <n v="168"/>
    <n v="0"/>
    <n v="318"/>
    <n v="534"/>
    <n v="480"/>
    <n v="186"/>
  </r>
  <r>
    <s v="L'Oreal"/>
    <x v="3"/>
    <x v="3"/>
    <x v="0"/>
    <x v="1"/>
    <n v="7509552847987"/>
    <x v="4"/>
    <x v="55"/>
    <x v="7"/>
    <n v="0"/>
    <n v="4656"/>
    <n v="2742"/>
    <n v="2783"/>
    <n v="4548"/>
    <n v="4002"/>
    <n v="3240"/>
    <n v="282"/>
    <n v="666"/>
    <n v="6030"/>
    <n v="582"/>
    <n v="1842"/>
    <n v="4938"/>
    <n v="3024"/>
    <n v="4698"/>
    <n v="2910"/>
    <n v="600"/>
    <n v="2058"/>
    <n v="5130"/>
    <n v="2880"/>
    <n v="1086"/>
    <n v="570"/>
    <n v="900"/>
    <n v="2634"/>
    <n v="1278"/>
    <n v="3456"/>
    <n v="4686"/>
    <n v="2460"/>
    <n v="1128"/>
    <n v="3678"/>
    <n v="2832"/>
    <n v="534"/>
    <n v="5370"/>
    <n v="1758"/>
    <n v="1434"/>
    <n v="546"/>
    <n v="2832"/>
    <n v="2148"/>
    <n v="3330"/>
    <n v="1902"/>
    <n v="2058"/>
    <n v="3480"/>
  </r>
  <r>
    <s v="L'Oreal"/>
    <x v="3"/>
    <x v="3"/>
    <x v="0"/>
    <x v="1"/>
    <n v="7509552847994"/>
    <x v="4"/>
    <x v="56"/>
    <x v="7"/>
    <n v="180"/>
    <n v="12"/>
    <n v="240"/>
    <n v="2292"/>
    <n v="768"/>
    <n v="882"/>
    <n v="744"/>
    <n v="528"/>
    <n v="468"/>
    <n v="1248"/>
    <n v="852"/>
    <n v="894"/>
    <n v="936"/>
    <n v="534"/>
    <n v="858"/>
    <n v="888"/>
    <n v="1416"/>
    <n v="606"/>
    <n v="300"/>
    <n v="768"/>
    <n v="894"/>
    <n v="270"/>
    <n v="666"/>
    <n v="1086"/>
    <n v="2088"/>
    <n v="3018"/>
    <n v="1458"/>
    <n v="768"/>
    <n v="1680"/>
    <n v="360"/>
    <n v="1506"/>
    <n v="498"/>
    <n v="1518"/>
    <n v="96"/>
    <n v="1386"/>
    <n v="240"/>
    <n v="1224"/>
    <n v="984"/>
    <n v="1656"/>
    <n v="1116"/>
    <n v="558"/>
    <n v="1746"/>
  </r>
  <r>
    <s v="L'Oreal"/>
    <x v="3"/>
    <x v="3"/>
    <x v="0"/>
    <x v="1"/>
    <n v="7509552848007"/>
    <x v="15"/>
    <x v="57"/>
    <x v="7"/>
    <n v="0"/>
    <n v="0"/>
    <n v="48"/>
    <n v="24"/>
    <n v="84"/>
    <n v="48"/>
    <n v="60"/>
    <n v="36"/>
    <n v="12"/>
    <n v="24"/>
    <n v="12"/>
    <n v="84"/>
    <n v="144"/>
    <n v="60"/>
    <n v="24"/>
    <n v="36"/>
    <n v="48"/>
    <n v="48"/>
    <n v="48"/>
    <n v="48"/>
    <n v="60"/>
    <n v="0"/>
    <n v="36"/>
    <n v="48"/>
    <n v="84"/>
    <n v="84"/>
    <n v="0"/>
    <n v="48"/>
    <n v="48"/>
    <n v="48"/>
    <n v="24"/>
    <n v="24"/>
    <n v="96"/>
    <n v="24"/>
    <n v="0"/>
    <n v="0"/>
    <n v="0"/>
    <n v="0"/>
    <n v="0"/>
    <n v="0"/>
    <n v="0"/>
    <n v="0"/>
  </r>
  <r>
    <s v="L'Oreal"/>
    <x v="3"/>
    <x v="3"/>
    <x v="0"/>
    <x v="1"/>
    <n v="7509552848014"/>
    <x v="15"/>
    <x v="58"/>
    <x v="7"/>
    <n v="0"/>
    <n v="0"/>
    <n v="24"/>
    <n v="0"/>
    <n v="36"/>
    <n v="0"/>
    <n v="0"/>
    <n v="24"/>
    <n v="12"/>
    <n v="96"/>
    <n v="12"/>
    <n v="36"/>
    <n v="84"/>
    <n v="12"/>
    <n v="36"/>
    <n v="12"/>
    <n v="168"/>
    <n v="60"/>
    <n v="12"/>
    <n v="24"/>
    <n v="60"/>
    <n v="0"/>
    <n v="36"/>
    <n v="12"/>
    <n v="60"/>
    <n v="48"/>
    <n v="156"/>
    <n v="24"/>
    <n v="132"/>
    <n v="0"/>
    <n v="60"/>
    <n v="48"/>
    <n v="12"/>
    <n v="12"/>
    <n v="24"/>
    <n v="0"/>
    <n v="0"/>
    <n v="0"/>
    <n v="120"/>
    <n v="156"/>
    <n v="912"/>
    <n v="0"/>
  </r>
  <r>
    <s v="L'Oreal"/>
    <x v="3"/>
    <x v="3"/>
    <x v="0"/>
    <x v="1"/>
    <n v="7509552848021"/>
    <x v="16"/>
    <x v="59"/>
    <x v="7"/>
    <n v="0"/>
    <n v="24"/>
    <n v="60"/>
    <n v="0"/>
    <n v="12"/>
    <n v="72"/>
    <n v="0"/>
    <n v="24"/>
    <n v="24"/>
    <n v="12"/>
    <n v="84"/>
    <n v="72"/>
    <n v="72"/>
    <n v="12"/>
    <n v="72"/>
    <n v="24"/>
    <n v="12"/>
    <n v="60"/>
    <n v="24"/>
    <n v="12"/>
    <n v="0"/>
    <n v="48"/>
    <n v="0"/>
    <n v="0"/>
    <n v="0"/>
    <n v="48"/>
    <n v="180"/>
    <n v="36"/>
    <n v="60"/>
    <n v="96"/>
    <n v="156"/>
    <n v="24"/>
    <n v="0"/>
    <n v="12"/>
    <n v="0"/>
    <n v="0"/>
    <n v="0"/>
    <n v="0"/>
    <n v="0"/>
    <n v="0"/>
    <n v="0"/>
    <n v="0"/>
  </r>
  <r>
    <s v="L'Oreal"/>
    <x v="3"/>
    <x v="3"/>
    <x v="0"/>
    <x v="1"/>
    <n v="7509552848038"/>
    <x v="16"/>
    <x v="60"/>
    <x v="7"/>
    <n v="0"/>
    <n v="84"/>
    <n v="72"/>
    <n v="36"/>
    <n v="132"/>
    <n v="36"/>
    <n v="36"/>
    <n v="72"/>
    <n v="84"/>
    <n v="12"/>
    <n v="108"/>
    <n v="48"/>
    <n v="24"/>
    <n v="72"/>
    <n v="84"/>
    <n v="72"/>
    <n v="84"/>
    <n v="156"/>
    <n v="36"/>
    <n v="12"/>
    <n v="72"/>
    <n v="0"/>
    <n v="24"/>
    <n v="60"/>
    <n v="0"/>
    <n v="108"/>
    <n v="60"/>
    <n v="24"/>
    <n v="48"/>
    <n v="96"/>
    <n v="36"/>
    <n v="72"/>
    <n v="132"/>
    <n v="12"/>
    <n v="60"/>
    <n v="-12"/>
    <n v="0"/>
    <n v="0"/>
    <n v="0"/>
    <n v="0"/>
    <n v="0"/>
    <n v="0"/>
  </r>
  <r>
    <s v="L'Oreal"/>
    <x v="3"/>
    <x v="3"/>
    <x v="0"/>
    <x v="1"/>
    <n v="7509552848045"/>
    <x v="2"/>
    <x v="61"/>
    <x v="7"/>
    <n v="0"/>
    <n v="24"/>
    <n v="24"/>
    <n v="0"/>
    <n v="48"/>
    <n v="48"/>
    <n v="36"/>
    <n v="48"/>
    <n v="24"/>
    <n v="36"/>
    <n v="48"/>
    <n v="36"/>
    <n v="84"/>
    <n v="48"/>
    <n v="8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48052"/>
    <x v="12"/>
    <x v="62"/>
    <x v="7"/>
    <n v="0"/>
    <n v="0"/>
    <n v="1128"/>
    <n v="12"/>
    <n v="0"/>
    <n v="0"/>
    <n v="0"/>
    <n v="12"/>
    <n v="12"/>
    <n v="12"/>
    <n v="12"/>
    <n v="0"/>
    <n v="84"/>
    <n v="24"/>
    <n v="12"/>
    <n v="12"/>
    <n v="12"/>
    <n v="36"/>
    <n v="12"/>
    <n v="0"/>
    <n v="12"/>
    <n v="12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48069"/>
    <x v="10"/>
    <x v="63"/>
    <x v="7"/>
    <n v="0"/>
    <n v="0"/>
    <n v="84"/>
    <n v="12"/>
    <n v="108"/>
    <n v="24"/>
    <n v="12"/>
    <n v="36"/>
    <n v="24"/>
    <n v="48"/>
    <n v="24"/>
    <n v="72"/>
    <n v="12"/>
    <n v="60"/>
    <n v="24"/>
    <n v="48"/>
    <n v="84"/>
    <n v="48"/>
    <n v="12"/>
    <n v="0"/>
    <n v="48"/>
    <n v="12"/>
    <n v="12"/>
    <n v="96"/>
    <n v="72"/>
    <n v="48"/>
    <n v="6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848076"/>
    <x v="3"/>
    <x v="64"/>
    <x v="7"/>
    <n v="0"/>
    <n v="0"/>
    <n v="384"/>
    <n v="264"/>
    <n v="2298"/>
    <n v="2964"/>
    <n v="738"/>
    <n v="318"/>
    <n v="462"/>
    <n v="1356"/>
    <n v="654"/>
    <n v="720"/>
    <n v="924"/>
    <n v="810"/>
    <n v="1242"/>
    <n v="954"/>
    <n v="1104"/>
    <n v="606"/>
    <n v="444"/>
    <n v="954"/>
    <n v="1050"/>
    <n v="210"/>
    <n v="588"/>
    <n v="768"/>
    <n v="1776"/>
    <n v="2148"/>
    <n v="1416"/>
    <n v="540"/>
    <n v="1728"/>
    <n v="504"/>
    <n v="1014"/>
    <n v="336"/>
    <n v="624"/>
    <n v="2862"/>
    <n v="408"/>
    <n v="1350"/>
    <n v="684"/>
    <n v="1008"/>
    <n v="954"/>
    <n v="798"/>
    <n v="144"/>
    <n v="864"/>
  </r>
  <r>
    <s v="L'Oreal"/>
    <x v="3"/>
    <x v="3"/>
    <x v="0"/>
    <x v="1"/>
    <n v="7509552859119"/>
    <x v="6"/>
    <x v="65"/>
    <x v="5"/>
    <n v="0"/>
    <n v="0"/>
    <n v="0"/>
    <n v="0"/>
    <n v="0"/>
    <n v="0"/>
    <n v="0"/>
    <n v="0"/>
    <n v="0"/>
    <n v="0"/>
    <n v="0"/>
    <n v="0"/>
    <n v="6"/>
    <n v="177"/>
    <n v="0"/>
    <n v="0"/>
    <n v="24"/>
    <n v="66"/>
    <n v="18"/>
    <n v="69"/>
    <n v="30"/>
    <n v="9"/>
    <n v="15"/>
    <n v="12"/>
    <n v="54"/>
    <n v="24"/>
    <n v="507"/>
    <n v="138"/>
    <n v="30"/>
    <n v="63"/>
    <n v="3"/>
    <n v="6"/>
    <n v="6"/>
    <n v="15"/>
    <n v="3"/>
    <n v="0"/>
    <n v="0"/>
    <n v="48"/>
    <n v="48"/>
    <n v="75"/>
    <n v="87"/>
    <n v="72"/>
  </r>
  <r>
    <s v="L'Oreal"/>
    <x v="3"/>
    <x v="3"/>
    <x v="0"/>
    <x v="1"/>
    <n v="7509552874952"/>
    <x v="17"/>
    <x v="66"/>
    <x v="7"/>
    <n v="0"/>
    <n v="0"/>
    <n v="0"/>
    <n v="0"/>
    <n v="0"/>
    <n v="0"/>
    <n v="0"/>
    <n v="0"/>
    <n v="0"/>
    <n v="0"/>
    <n v="0"/>
    <n v="0"/>
    <n v="0"/>
    <n v="0"/>
    <n v="0"/>
    <n v="3552"/>
    <n v="1944"/>
    <n v="480"/>
    <n v="1586"/>
    <n v="540"/>
    <n v="1392"/>
    <n v="72"/>
    <n v="204"/>
    <n v="348"/>
    <n v="948"/>
    <n v="2616"/>
    <n v="3906"/>
    <n v="276"/>
    <n v="3102"/>
    <n v="972"/>
    <n v="2508"/>
    <n v="360"/>
    <n v="6732"/>
    <n v="2484"/>
    <n v="438"/>
    <n v="1950"/>
    <n v="1632"/>
    <n v="4284"/>
    <n v="1944"/>
    <n v="1062"/>
    <n v="4584"/>
    <n v="3660"/>
  </r>
  <r>
    <s v="L'Oreal"/>
    <x v="3"/>
    <x v="3"/>
    <x v="0"/>
    <x v="1"/>
    <n v="7509552874983"/>
    <x v="17"/>
    <x v="67"/>
    <x v="6"/>
    <n v="0"/>
    <n v="0"/>
    <n v="0"/>
    <n v="0"/>
    <n v="0"/>
    <n v="0"/>
    <n v="0"/>
    <n v="0"/>
    <n v="0"/>
    <n v="0"/>
    <n v="0"/>
    <n v="0"/>
    <n v="0"/>
    <n v="0"/>
    <n v="0"/>
    <n v="1764"/>
    <n v="708"/>
    <n v="144"/>
    <n v="168"/>
    <n v="420"/>
    <n v="630"/>
    <n v="138"/>
    <n v="120"/>
    <n v="288"/>
    <n v="1224"/>
    <n v="108"/>
    <n v="120"/>
    <n v="84"/>
    <n v="96"/>
    <n v="420"/>
    <n v="1002"/>
    <n v="234"/>
    <n v="36"/>
    <n v="588"/>
    <n v="1398"/>
    <n v="852"/>
    <n v="1098"/>
    <n v="1050"/>
    <n v="528"/>
    <n v="198"/>
    <n v="546"/>
    <n v="456"/>
  </r>
  <r>
    <s v="L'Oreal"/>
    <x v="3"/>
    <x v="3"/>
    <x v="0"/>
    <x v="1"/>
    <n v="7509552875010"/>
    <x v="17"/>
    <x v="68"/>
    <x v="7"/>
    <n v="0"/>
    <n v="0"/>
    <n v="0"/>
    <n v="0"/>
    <n v="0"/>
    <n v="0"/>
    <n v="0"/>
    <n v="0"/>
    <n v="0"/>
    <n v="0"/>
    <n v="0"/>
    <n v="0"/>
    <n v="0"/>
    <n v="0"/>
    <n v="0"/>
    <n v="3540"/>
    <n v="1896"/>
    <n v="480"/>
    <n v="1694"/>
    <n v="372"/>
    <n v="1194"/>
    <n v="198"/>
    <n v="444"/>
    <n v="600"/>
    <n v="1812"/>
    <n v="2544"/>
    <n v="528"/>
    <n v="228"/>
    <n v="300"/>
    <n v="828"/>
    <n v="1278"/>
    <n v="330"/>
    <n v="216"/>
    <n v="636"/>
    <n v="1674"/>
    <n v="984"/>
    <n v="1338"/>
    <n v="1326"/>
    <n v="1200"/>
    <n v="366"/>
    <n v="522"/>
    <n v="456"/>
  </r>
  <r>
    <s v="L'Oreal"/>
    <x v="3"/>
    <x v="3"/>
    <x v="0"/>
    <x v="1"/>
    <n v="7509552875409"/>
    <x v="17"/>
    <x v="69"/>
    <x v="5"/>
    <n v="0"/>
    <n v="0"/>
    <n v="0"/>
    <n v="0"/>
    <n v="0"/>
    <n v="0"/>
    <n v="0"/>
    <n v="0"/>
    <n v="0"/>
    <n v="0"/>
    <n v="0"/>
    <n v="0"/>
    <n v="0"/>
    <n v="0"/>
    <n v="0"/>
    <n v="1746"/>
    <n v="834"/>
    <n v="228"/>
    <n v="54"/>
    <n v="42"/>
    <n v="72"/>
    <n v="30"/>
    <n v="162"/>
    <n v="162"/>
    <n v="660"/>
    <n v="78"/>
    <n v="132"/>
    <n v="210"/>
    <n v="276"/>
    <n v="360"/>
    <n v="144"/>
    <n v="66"/>
    <n v="72"/>
    <n v="30"/>
    <n v="372"/>
    <n v="288"/>
    <n v="204"/>
    <n v="168"/>
    <n v="228"/>
    <n v="318"/>
    <n v="228"/>
    <n v="186"/>
  </r>
  <r>
    <s v="L'Oreal"/>
    <x v="3"/>
    <x v="3"/>
    <x v="0"/>
    <x v="1"/>
    <n v="7509552876413"/>
    <x v="17"/>
    <x v="7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4"/>
    <n v="72"/>
    <n v="1524"/>
    <n v="-48"/>
    <n v="240"/>
    <n v="600"/>
    <n v="324"/>
    <n v="156"/>
    <n v="360"/>
    <n v="372"/>
    <n v="624"/>
    <n v="1008"/>
    <n v="456"/>
    <n v="336"/>
    <n v="348"/>
    <n v="552"/>
    <n v="120"/>
    <n v="132"/>
  </r>
  <r>
    <s v="L'Oreal"/>
    <x v="3"/>
    <x v="3"/>
    <x v="0"/>
    <x v="1"/>
    <n v="7509552876420"/>
    <x v="17"/>
    <x v="7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6"/>
    <n v="72"/>
    <n v="3834"/>
    <n v="-12"/>
    <n v="3126"/>
    <n v="636"/>
    <n v="2436"/>
    <n v="720"/>
    <n v="6780"/>
    <n v="2640"/>
    <n v="378"/>
    <n v="1818"/>
    <n v="1704"/>
    <n v="3660"/>
    <n v="1980"/>
    <n v="1098"/>
    <n v="1500"/>
    <n v="3624"/>
  </r>
  <r>
    <s v="L'Oreal"/>
    <x v="3"/>
    <x v="3"/>
    <x v="0"/>
    <x v="1"/>
    <n v="7509552876642"/>
    <x v="17"/>
    <x v="7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"/>
    <n v="132"/>
    <n v="6"/>
    <n v="0"/>
    <n v="12"/>
    <n v="0"/>
    <n v="0"/>
    <n v="0"/>
    <n v="0"/>
    <n v="0"/>
    <n v="0"/>
    <n v="0"/>
    <n v="0"/>
    <n v="0"/>
    <n v="0"/>
    <n v="0"/>
    <n v="24"/>
    <n v="6"/>
    <n v="0"/>
    <n v="48"/>
    <n v="6882"/>
    <n v="0"/>
    <n v="0"/>
  </r>
  <r>
    <s v="L'Oreal"/>
    <x v="3"/>
    <x v="3"/>
    <x v="0"/>
    <x v="1"/>
    <n v="7509552889543"/>
    <x v="2"/>
    <x v="7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2"/>
    <n v="1212"/>
    <n v="336"/>
    <n v="132"/>
    <n v="0"/>
    <n v="168"/>
    <n v="0"/>
    <n v="744"/>
    <n v="564"/>
    <n v="36"/>
    <n v="324"/>
    <n v="108"/>
    <n v="276"/>
    <n v="264"/>
    <n v="144"/>
    <n v="624"/>
    <n v="336"/>
    <n v="636"/>
    <n v="144"/>
    <n v="156"/>
  </r>
  <r>
    <s v="L'Oreal"/>
    <x v="3"/>
    <x v="3"/>
    <x v="0"/>
    <x v="1"/>
    <n v="7509552889574"/>
    <x v="2"/>
    <x v="7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2"/>
    <n v="888"/>
    <n v="348"/>
    <n v="132"/>
    <n v="108"/>
    <n v="312"/>
    <n v="156"/>
    <n v="468"/>
    <n v="204"/>
    <n v="60"/>
    <n v="180"/>
    <n v="72"/>
    <n v="300"/>
    <n v="324"/>
    <n v="168"/>
    <n v="300"/>
    <n v="252"/>
    <n v="84"/>
    <n v="120"/>
    <n v="108"/>
  </r>
  <r>
    <s v="L'Oreal"/>
    <x v="3"/>
    <x v="3"/>
    <x v="0"/>
    <x v="1"/>
    <n v="7509552889598"/>
    <x v="2"/>
    <x v="7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"/>
    <n v="120"/>
    <n v="0"/>
    <n v="0"/>
    <n v="0"/>
    <n v="132"/>
    <n v="72"/>
    <n v="222"/>
    <n v="96"/>
    <n v="30"/>
    <n v="0"/>
    <n v="90"/>
    <n v="132"/>
    <n v="102"/>
    <n v="108"/>
    <n v="126"/>
    <n v="78"/>
    <n v="120"/>
    <n v="102"/>
    <n v="96"/>
  </r>
  <r>
    <s v="L'Oreal"/>
    <x v="3"/>
    <x v="3"/>
    <x v="0"/>
    <x v="1"/>
    <n v="7509552902082"/>
    <x v="2"/>
    <x v="7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6"/>
    <n v="384"/>
    <n v="174"/>
    <n v="90"/>
    <n v="174"/>
    <n v="138"/>
    <n v="30"/>
    <n v="198"/>
    <n v="48"/>
    <n v="6"/>
    <n v="0"/>
    <n v="48"/>
    <n v="156"/>
    <n v="90"/>
    <n v="78"/>
    <n v="24"/>
    <n v="48"/>
    <n v="84"/>
    <n v="78"/>
    <n v="30"/>
  </r>
  <r>
    <s v="L'Oreal"/>
    <x v="3"/>
    <x v="3"/>
    <x v="0"/>
    <x v="1"/>
    <n v="7509552902112"/>
    <x v="13"/>
    <x v="7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"/>
    <n v="1092"/>
    <n v="540"/>
    <n v="372"/>
    <n v="1610"/>
    <n v="192"/>
    <n v="1068"/>
    <n v="984"/>
    <n v="624"/>
    <n v="408"/>
    <n v="600"/>
    <n v="1044"/>
    <n v="132"/>
    <n v="348"/>
  </r>
  <r>
    <s v="L'Oreal"/>
    <x v="3"/>
    <x v="3"/>
    <x v="0"/>
    <x v="1"/>
    <n v="7509552902341"/>
    <x v="13"/>
    <x v="7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672"/>
    <n v="1290"/>
    <n v="4338"/>
    <n v="216"/>
    <n v="8912"/>
    <n v="4896"/>
    <n v="1146"/>
    <n v="2526"/>
    <n v="3282"/>
    <n v="4698"/>
    <n v="2832"/>
    <n v="1140"/>
    <n v="1050"/>
    <n v="4446"/>
  </r>
  <r>
    <s v="L'Oreal"/>
    <x v="3"/>
    <x v="3"/>
    <x v="0"/>
    <x v="1"/>
    <n v="7509552902396"/>
    <x v="3"/>
    <x v="79"/>
    <x v="1"/>
    <n v="3660"/>
    <n v="6174"/>
    <n v="3641"/>
    <n v="3672"/>
    <n v="3750"/>
    <n v="5658"/>
    <n v="3372"/>
    <n v="1572"/>
    <n v="2356"/>
    <n v="6960"/>
    <n v="906"/>
    <n v="1434"/>
    <n v="4974"/>
    <n v="1338"/>
    <n v="3432"/>
    <n v="3370"/>
    <n v="1364"/>
    <n v="3858"/>
    <n v="2472"/>
    <n v="3054"/>
    <n v="2214"/>
    <n v="384"/>
    <n v="726"/>
    <n v="3828"/>
    <n v="1308"/>
    <n v="1572"/>
    <n v="7320"/>
    <n v="2790"/>
    <n v="1890"/>
    <n v="1740"/>
    <n v="2166"/>
    <n v="438"/>
    <n v="3162"/>
    <n v="0"/>
    <n v="0"/>
    <n v="0"/>
    <n v="0"/>
    <n v="0"/>
    <n v="0"/>
    <n v="18"/>
    <n v="0"/>
    <n v="0"/>
  </r>
  <r>
    <s v="L'Oreal"/>
    <x v="3"/>
    <x v="3"/>
    <x v="0"/>
    <x v="1"/>
    <n v="7509552902402"/>
    <x v="15"/>
    <x v="8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0"/>
    <n v="144"/>
    <n v="24"/>
    <n v="180"/>
    <n v="228"/>
    <n v="12"/>
    <n v="84"/>
    <n v="168"/>
    <n v="72"/>
    <n v="216"/>
    <n v="324"/>
    <n v="168"/>
    <n v="96"/>
    <n v="48"/>
  </r>
  <r>
    <s v="L'Oreal"/>
    <x v="3"/>
    <x v="3"/>
    <x v="0"/>
    <x v="1"/>
    <n v="7509552902532"/>
    <x v="4"/>
    <x v="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180"/>
    <n v="0"/>
    <n v="0"/>
    <n v="1418"/>
    <n v="384"/>
    <n v="996"/>
    <n v="864"/>
    <n v="600"/>
    <n v="204"/>
    <n v="552"/>
    <n v="1080"/>
    <n v="336"/>
    <n v="2580"/>
  </r>
  <r>
    <s v="L'Oreal"/>
    <x v="3"/>
    <x v="3"/>
    <x v="0"/>
    <x v="1"/>
    <n v="7509552902747"/>
    <x v="4"/>
    <x v="82"/>
    <x v="1"/>
    <n v="1998"/>
    <n v="6138"/>
    <n v="4186"/>
    <n v="3071"/>
    <n v="4840"/>
    <n v="4026"/>
    <n v="3348"/>
    <n v="1410"/>
    <n v="952"/>
    <n v="6678"/>
    <n v="810"/>
    <n v="1854"/>
    <n v="4674"/>
    <n v="3144"/>
    <n v="4542"/>
    <n v="2962"/>
    <n v="644"/>
    <n v="1854"/>
    <n v="5118"/>
    <n v="2952"/>
    <n v="1938"/>
    <n v="522"/>
    <n v="1092"/>
    <n v="2658"/>
    <n v="1242"/>
    <n v="2208"/>
    <n v="5460"/>
    <n v="2508"/>
    <n v="1344"/>
    <n v="3726"/>
    <n v="2832"/>
    <n v="594"/>
    <n v="6260"/>
    <n v="1890"/>
    <n v="1254"/>
    <n v="-6"/>
    <n v="0"/>
    <n v="0"/>
    <n v="0"/>
    <n v="0"/>
    <n v="0"/>
    <n v="0"/>
  </r>
  <r>
    <s v="L'Oreal"/>
    <x v="3"/>
    <x v="3"/>
    <x v="0"/>
    <x v="1"/>
    <n v="7509552903348"/>
    <x v="3"/>
    <x v="83"/>
    <x v="5"/>
    <n v="252"/>
    <n v="279"/>
    <n v="216"/>
    <n v="144"/>
    <n v="129"/>
    <n v="72"/>
    <n v="171"/>
    <n v="243"/>
    <n v="78"/>
    <n v="102"/>
    <n v="159"/>
    <n v="276"/>
    <n v="279"/>
    <n v="168"/>
    <n v="63"/>
    <n v="39"/>
    <n v="48"/>
    <n v="204"/>
    <n v="72"/>
    <n v="69"/>
    <n v="81"/>
    <n v="15"/>
    <n v="45"/>
    <n v="150"/>
    <n v="126"/>
    <n v="27"/>
    <n v="36"/>
    <n v="255"/>
    <n v="123"/>
    <n v="72"/>
    <n v="60"/>
    <n v="129"/>
    <n v="3"/>
    <n v="51"/>
    <n v="75"/>
    <n v="54"/>
    <n v="303"/>
    <n v="222"/>
    <n v="0"/>
    <n v="0"/>
    <n v="48"/>
    <n v="129"/>
  </r>
  <r>
    <s v="L'Oreal"/>
    <x v="3"/>
    <x v="3"/>
    <x v="0"/>
    <x v="1"/>
    <n v="7509552903362"/>
    <x v="4"/>
    <x v="84"/>
    <x v="8"/>
    <n v="414"/>
    <n v="69"/>
    <n v="162"/>
    <n v="345"/>
    <n v="270"/>
    <n v="144"/>
    <n v="246"/>
    <n v="312"/>
    <n v="216"/>
    <n v="156"/>
    <n v="219"/>
    <n v="480"/>
    <n v="396"/>
    <n v="198"/>
    <n v="60"/>
    <n v="207"/>
    <n v="108"/>
    <n v="450"/>
    <n v="60"/>
    <n v="150"/>
    <n v="225"/>
    <n v="45"/>
    <n v="54"/>
    <n v="282"/>
    <n v="321"/>
    <n v="9"/>
    <n v="60"/>
    <n v="234"/>
    <n v="195"/>
    <n v="241"/>
    <n v="54"/>
    <n v="93"/>
    <n v="198"/>
    <n v="192"/>
    <n v="489"/>
    <n v="300"/>
    <n v="300"/>
    <n v="201"/>
    <n v="354"/>
    <n v="390"/>
    <n v="297"/>
    <n v="267"/>
  </r>
  <r>
    <s v="L'Oreal"/>
    <x v="3"/>
    <x v="3"/>
    <x v="0"/>
    <x v="1"/>
    <n v="7509552903416"/>
    <x v="4"/>
    <x v="8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88"/>
    <n v="1812"/>
    <n v="3306"/>
    <n v="1506"/>
    <n v="2226"/>
    <n v="3444"/>
  </r>
  <r>
    <s v="L'Oreal"/>
    <x v="3"/>
    <x v="3"/>
    <x v="0"/>
    <x v="1"/>
    <n v="7509552903423"/>
    <x v="3"/>
    <x v="8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12"/>
    <n v="132"/>
    <n v="72"/>
    <n v="4266"/>
    <n v="888"/>
    <n v="1356"/>
    <n v="4074"/>
    <n v="5016"/>
    <n v="3654"/>
    <n v="1326"/>
    <n v="1332"/>
    <n v="4278"/>
  </r>
  <r>
    <s v="L'Oreal"/>
    <x v="3"/>
    <x v="3"/>
    <x v="0"/>
    <x v="1"/>
    <n v="7509552904819"/>
    <x v="18"/>
    <x v="87"/>
    <x v="9"/>
    <n v="1332"/>
    <n v="714"/>
    <n v="369"/>
    <n v="273"/>
    <n v="882"/>
    <n v="267"/>
    <n v="237"/>
    <n v="774"/>
    <n v="537"/>
    <n v="177"/>
    <n v="225"/>
    <n v="381"/>
    <n v="144"/>
    <n v="480"/>
    <n v="687"/>
    <n v="141"/>
    <n v="249"/>
    <n v="1320"/>
    <n v="0"/>
    <n v="0"/>
    <n v="0"/>
    <n v="726"/>
    <n v="2253"/>
    <n v="72"/>
    <n v="522"/>
    <n v="0"/>
    <n v="-12"/>
    <n v="2250"/>
    <n v="198"/>
    <n v="828"/>
    <n v="1011"/>
    <n v="510"/>
    <n v="246"/>
    <n v="864"/>
    <n v="708"/>
    <n v="84"/>
    <n v="1893"/>
    <n v="102"/>
    <n v="2499"/>
    <n v="480"/>
    <n v="408"/>
    <n v="714"/>
  </r>
  <r>
    <s v="L'Oreal"/>
    <x v="3"/>
    <x v="3"/>
    <x v="0"/>
    <x v="1"/>
    <n v="7509552906950"/>
    <x v="15"/>
    <x v="88"/>
    <x v="4"/>
    <n v="132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06974"/>
    <x v="15"/>
    <x v="89"/>
    <x v="4"/>
    <n v="180"/>
    <n v="132"/>
    <n v="12"/>
    <n v="36"/>
    <n v="60"/>
    <n v="12"/>
    <n v="12"/>
    <n v="48"/>
    <n v="12"/>
    <n v="12"/>
    <n v="0"/>
    <n v="24"/>
    <n v="0"/>
    <n v="48"/>
    <n v="24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06998"/>
    <x v="15"/>
    <x v="90"/>
    <x v="5"/>
    <n v="0"/>
    <n v="0"/>
    <n v="0"/>
    <n v="0"/>
    <n v="2"/>
    <n v="0"/>
    <n v="192"/>
    <n v="132"/>
    <n v="120"/>
    <n v="54"/>
    <n v="21"/>
    <n v="99"/>
    <n v="174"/>
    <n v="90"/>
    <n v="84"/>
    <n v="102"/>
    <n v="0"/>
    <n v="183"/>
    <n v="27"/>
    <n v="6"/>
    <n v="81"/>
    <n v="0"/>
    <n v="48"/>
    <n v="87"/>
    <n v="45"/>
    <n v="81"/>
    <n v="0"/>
    <n v="114"/>
    <n v="102"/>
    <n v="12"/>
    <n v="0"/>
    <n v="6"/>
    <n v="24"/>
    <n v="24"/>
    <n v="48"/>
    <n v="54"/>
    <n v="195"/>
    <n v="102"/>
    <n v="0"/>
    <n v="0"/>
    <n v="0"/>
    <n v="459"/>
  </r>
  <r>
    <s v="L'Oreal"/>
    <x v="3"/>
    <x v="3"/>
    <x v="0"/>
    <x v="1"/>
    <n v="7509552907759"/>
    <x v="3"/>
    <x v="9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"/>
    <n v="1728"/>
    <n v="624"/>
    <n v="276"/>
    <n v="768"/>
    <n v="456"/>
    <n v="1536"/>
    <n v="1380"/>
    <n v="672"/>
    <n v="672"/>
    <n v="564"/>
    <n v="1812"/>
    <n v="240"/>
    <n v="2556"/>
  </r>
  <r>
    <s v="L'Oreal"/>
    <x v="3"/>
    <x v="3"/>
    <x v="0"/>
    <x v="1"/>
    <n v="7509552908459"/>
    <x v="6"/>
    <x v="92"/>
    <x v="4"/>
    <n v="72"/>
    <n v="0"/>
    <n v="12"/>
    <n v="12"/>
    <n v="60"/>
    <n v="12"/>
    <n v="12"/>
    <n v="24"/>
    <n v="24"/>
    <n v="12"/>
    <n v="12"/>
    <n v="36"/>
    <n v="24"/>
    <n v="12"/>
    <n v="12"/>
    <n v="0"/>
    <n v="12"/>
    <n v="6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08497"/>
    <x v="6"/>
    <x v="93"/>
    <x v="4"/>
    <n v="402"/>
    <n v="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08527"/>
    <x v="7"/>
    <x v="94"/>
    <x v="4"/>
    <n v="2418"/>
    <n v="2880"/>
    <n v="366"/>
    <n v="84"/>
    <n v="60"/>
    <n v="36"/>
    <n v="24"/>
    <n v="12"/>
    <n v="0"/>
    <n v="0"/>
    <n v="0"/>
    <n v="12"/>
    <n v="12"/>
    <n v="0"/>
    <n v="12"/>
    <n v="0"/>
    <n v="24"/>
    <n v="2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08558"/>
    <x v="7"/>
    <x v="95"/>
    <x v="4"/>
    <n v="234"/>
    <n v="84"/>
    <n v="72"/>
    <n v="24"/>
    <n v="96"/>
    <n v="36"/>
    <n v="48"/>
    <n v="0"/>
    <n v="0"/>
    <n v="60"/>
    <n v="0"/>
    <n v="12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08572"/>
    <x v="7"/>
    <x v="96"/>
    <x v="5"/>
    <n v="141"/>
    <n v="183"/>
    <n v="132"/>
    <n v="168"/>
    <n v="150"/>
    <n v="93"/>
    <n v="132"/>
    <n v="168"/>
    <n v="84"/>
    <n v="66"/>
    <n v="120"/>
    <n v="384"/>
    <n v="66"/>
    <n v="192"/>
    <n v="78"/>
    <n v="0"/>
    <n v="0"/>
    <n v="6"/>
    <n v="21"/>
    <n v="51"/>
    <n v="81"/>
    <n v="12"/>
    <n v="24"/>
    <n v="60"/>
    <n v="120"/>
    <n v="78"/>
    <n v="114"/>
    <n v="138"/>
    <n v="93"/>
    <n v="36"/>
    <n v="24"/>
    <n v="18"/>
    <n v="12"/>
    <n v="54"/>
    <n v="129"/>
    <n v="105"/>
    <n v="57"/>
    <n v="51"/>
    <n v="117"/>
    <n v="99"/>
    <n v="1284"/>
    <n v="24"/>
  </r>
  <r>
    <s v="L'Oreal"/>
    <x v="3"/>
    <x v="3"/>
    <x v="0"/>
    <x v="1"/>
    <n v="7509552910957"/>
    <x v="19"/>
    <x v="97"/>
    <x v="1"/>
    <n v="240"/>
    <n v="0"/>
    <n v="0"/>
    <n v="0"/>
    <n v="0"/>
    <n v="0"/>
    <n v="0"/>
    <n v="0"/>
    <n v="0"/>
    <n v="0"/>
    <n v="624"/>
    <n v="108"/>
    <n v="36"/>
    <n v="24"/>
    <n v="96"/>
    <n v="96"/>
    <n v="0"/>
    <n v="0"/>
    <n v="12"/>
    <n v="108"/>
    <n v="252"/>
    <n v="24"/>
    <n v="84"/>
    <n v="144"/>
    <n v="168"/>
    <n v="12"/>
    <n v="204"/>
    <n v="132"/>
    <n v="12"/>
    <n v="120"/>
    <n v="72"/>
    <n v="24"/>
    <n v="72"/>
    <n v="36"/>
    <n v="132"/>
    <n v="84"/>
    <n v="144"/>
    <n v="216"/>
    <n v="0"/>
    <n v="168"/>
    <n v="96"/>
    <n v="84"/>
  </r>
  <r>
    <s v="L'Oreal"/>
    <x v="3"/>
    <x v="3"/>
    <x v="0"/>
    <x v="1"/>
    <n v="7509552911411"/>
    <x v="16"/>
    <x v="98"/>
    <x v="4"/>
    <n v="48"/>
    <n v="72"/>
    <n v="0"/>
    <n v="12"/>
    <n v="72"/>
    <n v="72"/>
    <n v="36"/>
    <n v="12"/>
    <n v="24"/>
    <n v="0"/>
    <n v="24"/>
    <n v="12"/>
    <n v="12"/>
    <n v="12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11473"/>
    <x v="16"/>
    <x v="99"/>
    <x v="5"/>
    <n v="264"/>
    <n v="540"/>
    <n v="213"/>
    <n v="324"/>
    <n v="180"/>
    <n v="192"/>
    <n v="81"/>
    <n v="324"/>
    <n v="168"/>
    <n v="141"/>
    <n v="291"/>
    <n v="663"/>
    <n v="105"/>
    <n v="0"/>
    <n v="102"/>
    <n v="114"/>
    <n v="162"/>
    <n v="204"/>
    <n v="81"/>
    <n v="108"/>
    <n v="153"/>
    <n v="24"/>
    <n v="87"/>
    <n v="165"/>
    <n v="297"/>
    <n v="55"/>
    <n v="0"/>
    <n v="159"/>
    <n v="108"/>
    <n v="102"/>
    <n v="0"/>
    <n v="9"/>
    <n v="39"/>
    <n v="87"/>
    <n v="33"/>
    <n v="198"/>
    <n v="120"/>
    <n v="132"/>
    <n v="159"/>
    <n v="117"/>
    <n v="123"/>
    <n v="96"/>
  </r>
  <r>
    <s v="L'Oreal"/>
    <x v="3"/>
    <x v="3"/>
    <x v="0"/>
    <x v="1"/>
    <n v="7509552912883"/>
    <x v="2"/>
    <x v="100"/>
    <x v="4"/>
    <n v="180"/>
    <n v="168"/>
    <n v="72"/>
    <n v="96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12937"/>
    <x v="2"/>
    <x v="101"/>
    <x v="4"/>
    <n v="120"/>
    <n v="156"/>
    <n v="0"/>
    <n v="72"/>
    <n v="6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13002"/>
    <x v="8"/>
    <x v="102"/>
    <x v="4"/>
    <n v="60"/>
    <n v="8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13057"/>
    <x v="8"/>
    <x v="103"/>
    <x v="4"/>
    <n v="762"/>
    <n v="1656"/>
    <n v="48"/>
    <n v="36"/>
    <n v="72"/>
    <n v="60"/>
    <n v="24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509552928549"/>
    <x v="20"/>
    <x v="10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8"/>
    <n v="978"/>
    <n v="-21"/>
    <n v="411"/>
    <n v="462"/>
    <n v="318"/>
    <n v="330"/>
    <n v="336"/>
    <n v="411"/>
    <n v="468"/>
    <n v="315"/>
    <n v="384"/>
    <n v="189"/>
    <n v="366"/>
    <n v="306"/>
    <n v="264"/>
  </r>
  <r>
    <s v="L'Oreal"/>
    <x v="3"/>
    <x v="3"/>
    <x v="0"/>
    <x v="1"/>
    <n v="7509552928563"/>
    <x v="20"/>
    <x v="10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6"/>
    <n v="120"/>
    <n v="18"/>
    <n v="18"/>
    <n v="21"/>
    <n v="24"/>
    <n v="12"/>
    <n v="24"/>
    <n v="3"/>
    <n v="6"/>
    <n v="12"/>
    <n v="42"/>
    <n v="0"/>
  </r>
  <r>
    <s v="L'Oreal"/>
    <x v="3"/>
    <x v="3"/>
    <x v="0"/>
    <x v="1"/>
    <n v="7509552928594"/>
    <x v="20"/>
    <x v="106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4"/>
    <n v="948"/>
    <n v="36"/>
    <n v="108"/>
    <n v="1596"/>
    <n v="858"/>
    <n v="2706"/>
    <n v="2352"/>
    <n v="318"/>
    <n v="1908"/>
    <n v="1404"/>
    <n v="1200"/>
    <n v="408"/>
    <n v="186"/>
    <n v="786"/>
    <n v="3012"/>
  </r>
  <r>
    <s v="L'Oreal"/>
    <x v="3"/>
    <x v="3"/>
    <x v="0"/>
    <x v="1"/>
    <n v="7509552928617"/>
    <x v="20"/>
    <x v="10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"/>
    <n v="2316"/>
    <n v="-456"/>
    <n v="840"/>
    <n v="2280"/>
    <n v="1230"/>
    <n v="2970"/>
    <n v="2676"/>
    <n v="666"/>
    <n v="2196"/>
    <n v="1860"/>
    <n v="1836"/>
    <n v="996"/>
    <n v="498"/>
    <n v="666"/>
    <n v="3264"/>
  </r>
  <r>
    <s v="L'Oreal"/>
    <x v="3"/>
    <x v="3"/>
    <x v="0"/>
    <x v="1"/>
    <n v="7509552928624"/>
    <x v="20"/>
    <x v="10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8"/>
    <n v="885"/>
    <n v="78"/>
    <n v="396"/>
    <n v="72"/>
    <n v="87"/>
    <n v="84"/>
    <n v="156"/>
    <n v="293"/>
    <n v="357"/>
    <n v="222"/>
    <n v="0"/>
    <n v="206"/>
    <n v="294"/>
    <n v="201"/>
    <n v="204"/>
  </r>
  <r>
    <s v="L'Oreal"/>
    <x v="3"/>
    <x v="3"/>
    <x v="0"/>
    <x v="1"/>
    <n v="7509552928877"/>
    <x v="20"/>
    <x v="109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"/>
    <n v="36"/>
    <n v="42"/>
    <n v="42"/>
    <n v="36"/>
    <n v="36"/>
    <n v="36"/>
    <n v="36"/>
    <n v="0"/>
    <n v="0"/>
    <n v="24"/>
    <n v="0"/>
  </r>
  <r>
    <s v="L'Oreal"/>
    <x v="3"/>
    <x v="3"/>
    <x v="0"/>
    <x v="1"/>
    <n v="7509552930337"/>
    <x v="20"/>
    <x v="11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6"/>
    <n v="2490"/>
    <n v="6848"/>
    <n v="3756"/>
    <n v="516"/>
    <n v="516"/>
    <n v="5142"/>
    <n v="2286"/>
    <n v="2232"/>
    <n v="2208"/>
    <n v="8130"/>
    <n v="2502"/>
  </r>
  <r>
    <s v="L'Oreal"/>
    <x v="3"/>
    <x v="3"/>
    <x v="0"/>
    <x v="1"/>
    <n v="7509552931143"/>
    <x v="20"/>
    <x v="11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"/>
    <n v="2352"/>
    <n v="-456"/>
    <n v="696"/>
    <n v="1020"/>
    <n v="2178"/>
    <n v="5034"/>
    <n v="3576"/>
    <n v="492"/>
    <n v="348"/>
    <n v="4806"/>
    <n v="2862"/>
    <n v="2148"/>
    <n v="1428"/>
    <n v="8310"/>
    <n v="2238"/>
  </r>
  <r>
    <s v="L'Oreal"/>
    <x v="3"/>
    <x v="3"/>
    <x v="0"/>
    <x v="1"/>
    <n v="7509552937343"/>
    <x v="20"/>
    <x v="11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8"/>
    <n v="576"/>
    <n v="2078"/>
    <n v="264"/>
    <n v="1440"/>
    <n v="1008"/>
    <n v="684"/>
    <n v="384"/>
    <n v="480"/>
    <n v="1476"/>
    <n v="144"/>
    <n v="96"/>
  </r>
  <r>
    <s v="L'Oreal"/>
    <x v="3"/>
    <x v="3"/>
    <x v="0"/>
    <x v="1"/>
    <n v="7509552961478"/>
    <x v="21"/>
    <x v="113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4"/>
  </r>
  <r>
    <s v="L'Oreal"/>
    <x v="3"/>
    <x v="3"/>
    <x v="0"/>
    <x v="1"/>
    <n v="7509552961485"/>
    <x v="21"/>
    <x v="11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72"/>
  </r>
  <r>
    <s v="L'Oreal"/>
    <x v="3"/>
    <x v="3"/>
    <x v="0"/>
    <x v="1"/>
    <n v="7509552961492"/>
    <x v="21"/>
    <x v="11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1"/>
  </r>
  <r>
    <s v="L'Oreal"/>
    <x v="3"/>
    <x v="3"/>
    <x v="0"/>
    <x v="1"/>
    <n v="7509552961515"/>
    <x v="21"/>
    <x v="11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8"/>
  </r>
  <r>
    <s v="L'Oreal"/>
    <x v="3"/>
    <x v="3"/>
    <x v="0"/>
    <x v="1"/>
    <n v="7509552964417"/>
    <x v="21"/>
    <x v="11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36"/>
  </r>
  <r>
    <s v="L'Oreal"/>
    <x v="3"/>
    <x v="3"/>
    <x v="0"/>
    <x v="1"/>
    <n v="7509552964554"/>
    <x v="21"/>
    <x v="11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</r>
  <r>
    <s v="L'Oreal"/>
    <x v="3"/>
    <x v="3"/>
    <x v="0"/>
    <x v="1"/>
    <n v="7509552970524"/>
    <x v="21"/>
    <x v="119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6"/>
  </r>
  <r>
    <s v="L'Oreal"/>
    <x v="3"/>
    <x v="3"/>
    <x v="0"/>
    <x v="1"/>
    <n v="7898587761864"/>
    <x v="4"/>
    <x v="120"/>
    <x v="1"/>
    <n v="0"/>
    <n v="4188"/>
    <n v="1524"/>
    <n v="0"/>
    <n v="0"/>
    <n v="0"/>
    <n v="0"/>
    <n v="3024"/>
    <n v="588"/>
    <n v="1368"/>
    <n v="0"/>
    <n v="156"/>
    <n v="96"/>
    <n v="84"/>
    <n v="1032"/>
    <n v="180"/>
    <n v="168"/>
    <n v="240"/>
    <n v="24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898587761925"/>
    <x v="4"/>
    <x v="414"/>
    <x v="1"/>
    <n v="120"/>
    <n v="0"/>
    <n v="60"/>
    <n v="0"/>
    <n v="132"/>
    <n v="0"/>
    <n v="0"/>
    <n v="3540"/>
    <n v="480"/>
    <n v="0"/>
    <n v="36"/>
    <n v="60"/>
    <n v="48"/>
    <n v="0"/>
    <n v="1140"/>
    <n v="0"/>
    <n v="0"/>
    <n v="0"/>
    <n v="12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898587762380"/>
    <x v="22"/>
    <x v="121"/>
    <x v="1"/>
    <n v="456"/>
    <n v="420"/>
    <n v="180"/>
    <n v="348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898587762403"/>
    <x v="22"/>
    <x v="122"/>
    <x v="4"/>
    <n v="312"/>
    <n v="300"/>
    <n v="12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898587762892"/>
    <x v="18"/>
    <x v="123"/>
    <x v="9"/>
    <n v="0"/>
    <n v="426"/>
    <n v="93"/>
    <n v="153"/>
    <n v="471"/>
    <n v="246"/>
    <n v="84"/>
    <n v="447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898587772518"/>
    <x v="15"/>
    <x v="124"/>
    <x v="1"/>
    <n v="108"/>
    <n v="300"/>
    <n v="228"/>
    <n v="0"/>
    <n v="60"/>
    <n v="24"/>
    <n v="84"/>
    <n v="156"/>
    <n v="624"/>
    <n v="12"/>
    <n v="24"/>
    <n v="84"/>
    <n v="192"/>
    <n v="60"/>
    <n v="36"/>
    <n v="24"/>
    <n v="120"/>
    <n v="24"/>
    <n v="60"/>
    <n v="24"/>
    <n v="20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898587774925"/>
    <x v="6"/>
    <x v="125"/>
    <x v="1"/>
    <n v="168"/>
    <n v="60"/>
    <n v="108"/>
    <n v="24"/>
    <n v="48"/>
    <n v="36"/>
    <n v="36"/>
    <n v="108"/>
    <n v="768"/>
    <n v="0"/>
    <n v="48"/>
    <n v="72"/>
    <n v="108"/>
    <n v="24"/>
    <n v="120"/>
    <n v="84"/>
    <n v="12"/>
    <n v="72"/>
    <n v="0"/>
    <n v="36"/>
    <n v="156"/>
    <n v="24"/>
    <n v="12"/>
    <n v="72"/>
    <n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898587775021"/>
    <x v="11"/>
    <x v="126"/>
    <x v="1"/>
    <n v="1044"/>
    <n v="1938"/>
    <n v="1264"/>
    <n v="72"/>
    <n v="220"/>
    <n v="0"/>
    <n v="0"/>
    <n v="24"/>
    <n v="0"/>
    <n v="0"/>
    <n v="0"/>
    <n v="0"/>
    <n v="0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898587775120"/>
    <x v="11"/>
    <x v="127"/>
    <x v="1"/>
    <n v="192"/>
    <n v="2832"/>
    <n v="2560"/>
    <n v="0"/>
    <n v="184"/>
    <n v="36"/>
    <n v="60"/>
    <n v="216"/>
    <n v="36"/>
    <n v="12"/>
    <n v="12"/>
    <n v="24"/>
    <n v="48"/>
    <n v="60"/>
    <n v="420"/>
    <n v="24"/>
    <n v="84"/>
    <n v="22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899706154185"/>
    <x v="23"/>
    <x v="128"/>
    <x v="10"/>
    <n v="21"/>
    <n v="63"/>
    <n v="48"/>
    <n v="18"/>
    <n v="42"/>
    <n v="51"/>
    <n v="30"/>
    <n v="21"/>
    <n v="12"/>
    <n v="33"/>
    <n v="24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1"/>
    <n v="7899706182812"/>
    <x v="4"/>
    <x v="129"/>
    <x v="11"/>
    <n v="0"/>
    <n v="0"/>
    <n v="0"/>
    <n v="300"/>
    <n v="162"/>
    <n v="354"/>
    <n v="96"/>
    <n v="432"/>
    <n v="18"/>
    <n v="474"/>
    <n v="30"/>
    <n v="24"/>
    <n v="48"/>
    <n v="60"/>
    <n v="48"/>
    <n v="42"/>
    <n v="24"/>
    <n v="294"/>
    <n v="18"/>
    <n v="102"/>
    <n v="90"/>
    <n v="24"/>
    <n v="42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2"/>
    <n v="71249341360"/>
    <x v="24"/>
    <x v="130"/>
    <x v="12"/>
    <n v="30"/>
    <n v="24"/>
    <n v="0"/>
    <n v="0"/>
    <n v="21"/>
    <n v="45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2"/>
    <n v="71249341377"/>
    <x v="24"/>
    <x v="131"/>
    <x v="12"/>
    <n v="12"/>
    <n v="12"/>
    <n v="0"/>
    <n v="1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2"/>
    <n v="71249341384"/>
    <x v="25"/>
    <x v="132"/>
    <x v="12"/>
    <n v="36"/>
    <n v="33"/>
    <n v="6"/>
    <n v="6"/>
    <n v="24"/>
    <n v="60"/>
    <n v="30"/>
    <n v="162"/>
    <n v="18"/>
    <n v="348"/>
    <n v="24"/>
    <n v="12"/>
    <n v="66"/>
    <n v="0"/>
    <n v="42"/>
    <n v="0"/>
    <n v="18"/>
    <n v="6"/>
    <n v="33"/>
    <n v="24"/>
    <n v="6"/>
    <n v="12"/>
    <n v="6"/>
    <n v="0"/>
    <n v="36"/>
    <n v="63"/>
    <n v="9"/>
    <n v="18"/>
    <n v="3"/>
    <n v="0"/>
    <n v="0"/>
    <n v="0"/>
    <n v="57"/>
    <n v="26"/>
    <n v="39"/>
    <n v="3"/>
    <n v="0"/>
    <n v="6"/>
    <n v="12"/>
    <n v="9"/>
    <n v="0"/>
    <n v="12"/>
  </r>
  <r>
    <s v="L'Oreal"/>
    <x v="3"/>
    <x v="3"/>
    <x v="0"/>
    <x v="2"/>
    <n v="71249341391"/>
    <x v="25"/>
    <x v="133"/>
    <x v="12"/>
    <n v="30"/>
    <n v="24"/>
    <n v="6"/>
    <n v="6"/>
    <n v="24"/>
    <n v="36"/>
    <n v="6"/>
    <n v="156"/>
    <n v="18"/>
    <n v="306"/>
    <n v="12"/>
    <n v="0"/>
    <n v="66"/>
    <n v="0"/>
    <n v="36"/>
    <n v="6"/>
    <n v="0"/>
    <n v="21"/>
    <n v="3"/>
    <n v="12"/>
    <n v="6"/>
    <n v="9"/>
    <n v="24"/>
    <n v="0"/>
    <n v="18"/>
    <n v="63"/>
    <n v="0"/>
    <n v="6"/>
    <n v="12"/>
    <n v="12"/>
    <n v="36"/>
    <n v="0"/>
    <n v="33"/>
    <n v="23"/>
    <n v="21"/>
    <n v="45"/>
    <n v="12"/>
    <n v="6"/>
    <n v="0"/>
    <n v="9"/>
    <n v="3"/>
    <n v="9"/>
  </r>
  <r>
    <s v="L'Oreal"/>
    <x v="3"/>
    <x v="3"/>
    <x v="0"/>
    <x v="2"/>
    <n v="71249341421"/>
    <x v="24"/>
    <x v="134"/>
    <x v="12"/>
    <n v="27"/>
    <n v="24"/>
    <n v="6"/>
    <n v="6"/>
    <n v="30"/>
    <n v="48"/>
    <n v="6"/>
    <n v="138"/>
    <n v="6"/>
    <n v="240"/>
    <n v="18"/>
    <n v="12"/>
    <n v="60"/>
    <n v="0"/>
    <n v="18"/>
    <n v="6"/>
    <n v="6"/>
    <n v="18"/>
    <n v="12"/>
    <n v="12"/>
    <n v="15"/>
    <n v="18"/>
    <n v="0"/>
    <n v="0"/>
    <n v="6"/>
    <n v="69"/>
    <n v="9"/>
    <n v="6"/>
    <n v="3"/>
    <n v="9"/>
    <n v="39"/>
    <n v="6"/>
    <n v="9"/>
    <n v="15"/>
    <n v="12"/>
    <n v="39"/>
    <n v="21"/>
    <n v="21"/>
    <n v="18"/>
    <n v="21"/>
    <n v="0"/>
    <n v="6"/>
  </r>
  <r>
    <s v="L'Oreal"/>
    <x v="3"/>
    <x v="3"/>
    <x v="0"/>
    <x v="2"/>
    <n v="71249341445"/>
    <x v="24"/>
    <x v="135"/>
    <x v="12"/>
    <n v="24"/>
    <n v="9"/>
    <n v="12"/>
    <n v="6"/>
    <n v="24"/>
    <n v="24"/>
    <n v="15"/>
    <n v="138"/>
    <n v="6"/>
    <n v="228"/>
    <n v="18"/>
    <n v="6"/>
    <n v="54"/>
    <n v="0"/>
    <n v="18"/>
    <n v="0"/>
    <n v="12"/>
    <n v="0"/>
    <n v="9"/>
    <n v="6"/>
    <n v="6"/>
    <n v="3"/>
    <n v="0"/>
    <n v="0"/>
    <n v="6"/>
    <n v="63"/>
    <n v="0"/>
    <n v="0"/>
    <n v="3"/>
    <n v="3"/>
    <n v="15"/>
    <n v="0"/>
    <n v="3"/>
    <n v="9"/>
    <n v="10"/>
    <n v="0"/>
    <n v="21"/>
    <n v="9"/>
    <n v="0"/>
    <n v="3"/>
    <n v="0"/>
    <n v="0"/>
  </r>
  <r>
    <s v="L'Oreal"/>
    <x v="3"/>
    <x v="3"/>
    <x v="0"/>
    <x v="2"/>
    <n v="71249395349"/>
    <x v="24"/>
    <x v="136"/>
    <x v="1"/>
    <n v="42"/>
    <n v="30"/>
    <n v="6"/>
    <n v="0"/>
    <n v="6"/>
    <n v="66"/>
    <n v="0"/>
    <n v="162"/>
    <n v="12"/>
    <n v="246"/>
    <n v="6"/>
    <n v="6"/>
    <n v="78"/>
    <n v="30"/>
    <n v="36"/>
    <n v="12"/>
    <n v="30"/>
    <n v="30"/>
    <n v="24"/>
    <n v="24"/>
    <n v="30"/>
    <n v="6"/>
    <n v="6"/>
    <n v="0"/>
    <n v="18"/>
    <n v="78"/>
    <n v="6"/>
    <n v="12"/>
    <n v="12"/>
    <n v="18"/>
    <n v="30"/>
    <n v="0"/>
    <n v="18"/>
    <n v="6"/>
    <n v="24"/>
    <n v="12"/>
    <n v="48"/>
    <n v="12"/>
    <n v="54"/>
    <n v="30"/>
    <n v="12"/>
    <n v="18"/>
  </r>
  <r>
    <s v="L'Oreal"/>
    <x v="3"/>
    <x v="3"/>
    <x v="0"/>
    <x v="2"/>
    <n v="71249395363"/>
    <x v="24"/>
    <x v="137"/>
    <x v="1"/>
    <n v="30"/>
    <n v="18"/>
    <n v="0"/>
    <n v="0"/>
    <n v="18"/>
    <n v="66"/>
    <n v="0"/>
    <n v="144"/>
    <n v="6"/>
    <n v="234"/>
    <n v="6"/>
    <n v="18"/>
    <n v="42"/>
    <n v="6"/>
    <n v="24"/>
    <n v="0"/>
    <n v="6"/>
    <n v="6"/>
    <n v="0"/>
    <n v="12"/>
    <n v="0"/>
    <n v="6"/>
    <n v="6"/>
    <n v="6"/>
    <n v="6"/>
    <n v="66"/>
    <n v="6"/>
    <n v="6"/>
    <n v="0"/>
    <n v="24"/>
    <n v="24"/>
    <n v="0"/>
    <n v="6"/>
    <n v="0"/>
    <n v="0"/>
    <n v="0"/>
    <n v="0"/>
    <n v="24"/>
    <n v="30"/>
    <n v="24"/>
    <n v="12"/>
    <n v="12"/>
  </r>
  <r>
    <s v="L'Oreal"/>
    <x v="3"/>
    <x v="3"/>
    <x v="0"/>
    <x v="2"/>
    <n v="71249406915"/>
    <x v="24"/>
    <x v="13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4"/>
    <n v="12"/>
    <n v="30"/>
    <n v="18"/>
    <n v="0"/>
    <n v="108"/>
    <n v="27"/>
  </r>
  <r>
    <s v="L'Oreal"/>
    <x v="3"/>
    <x v="3"/>
    <x v="0"/>
    <x v="2"/>
    <n v="71249406922"/>
    <x v="24"/>
    <x v="13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4"/>
    <n v="1"/>
    <n v="30"/>
    <n v="6"/>
    <n v="12"/>
    <n v="96"/>
    <n v="24"/>
  </r>
  <r>
    <s v="L'Oreal"/>
    <x v="3"/>
    <x v="3"/>
    <x v="0"/>
    <x v="2"/>
    <n v="71249645253"/>
    <x v="24"/>
    <x v="14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4"/>
    <n v="1"/>
    <n v="30"/>
    <n v="30"/>
    <n v="0"/>
    <n v="0"/>
    <n v="0"/>
  </r>
  <r>
    <s v="L'Oreal"/>
    <x v="3"/>
    <x v="3"/>
    <x v="0"/>
    <x v="2"/>
    <n v="71249645260"/>
    <x v="24"/>
    <x v="14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4"/>
    <n v="1"/>
    <n v="30"/>
    <n v="30"/>
    <n v="0"/>
    <n v="0"/>
    <n v="0"/>
  </r>
  <r>
    <s v="L'Oreal"/>
    <x v="3"/>
    <x v="3"/>
    <x v="0"/>
    <x v="2"/>
    <n v="71249672952"/>
    <x v="24"/>
    <x v="14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6"/>
    <n v="0"/>
    <n v="0"/>
    <n v="0"/>
    <n v="0"/>
  </r>
  <r>
    <s v="L'Oreal"/>
    <x v="3"/>
    <x v="3"/>
    <x v="0"/>
    <x v="3"/>
    <n v="603084082063"/>
    <x v="26"/>
    <x v="143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420"/>
    <n v="0"/>
    <n v="57"/>
    <n v="195"/>
    <n v="0"/>
    <n v="0"/>
    <n v="12"/>
    <n v="0"/>
    <n v="0"/>
    <n v="0"/>
    <n v="12"/>
    <n v="0"/>
    <n v="12"/>
    <n v="30"/>
    <n v="180"/>
    <n v="0"/>
    <n v="0"/>
    <n v="0"/>
    <n v="24"/>
    <n v="60"/>
    <n v="0"/>
    <n v="12"/>
    <n v="660"/>
    <n v="0"/>
    <n v="12"/>
  </r>
  <r>
    <s v="L'Oreal"/>
    <x v="3"/>
    <x v="3"/>
    <x v="0"/>
    <x v="3"/>
    <n v="3600542440622"/>
    <x v="27"/>
    <x v="144"/>
    <x v="14"/>
    <n v="0"/>
    <n v="0"/>
    <n v="0"/>
    <n v="0"/>
    <n v="0"/>
    <n v="180"/>
    <n v="72"/>
    <n v="24"/>
    <n v="0"/>
    <n v="0"/>
    <n v="24"/>
    <n v="0"/>
    <n v="0"/>
    <n v="0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3600542441162"/>
    <x v="27"/>
    <x v="145"/>
    <x v="14"/>
    <n v="0"/>
    <n v="0"/>
    <n v="0"/>
    <n v="0"/>
    <n v="0"/>
    <n v="180"/>
    <n v="72"/>
    <n v="24"/>
    <n v="0"/>
    <n v="0"/>
    <n v="24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3600542442497"/>
    <x v="27"/>
    <x v="146"/>
    <x v="14"/>
    <n v="0"/>
    <n v="0"/>
    <n v="0"/>
    <n v="0"/>
    <n v="0"/>
    <n v="180"/>
    <n v="72"/>
    <n v="24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3600542449298"/>
    <x v="27"/>
    <x v="147"/>
    <x v="14"/>
    <n v="0"/>
    <n v="0"/>
    <n v="0"/>
    <n v="0"/>
    <n v="0"/>
    <n v="180"/>
    <n v="72"/>
    <n v="24"/>
    <n v="0"/>
    <n v="0"/>
    <n v="0"/>
    <n v="0"/>
    <n v="0"/>
    <n v="0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792287"/>
    <x v="27"/>
    <x v="148"/>
    <x v="5"/>
    <n v="0"/>
    <n v="0"/>
    <n v="0"/>
    <n v="0"/>
    <n v="0"/>
    <n v="0"/>
    <n v="0"/>
    <n v="0"/>
    <n v="0"/>
    <n v="0"/>
    <n v="0"/>
    <n v="0"/>
    <n v="0"/>
    <n v="252"/>
    <n v="0"/>
    <n v="12"/>
    <n v="12"/>
    <n v="24"/>
    <n v="12"/>
    <n v="0"/>
    <n v="0"/>
    <n v="12"/>
    <n v="12"/>
    <n v="12"/>
    <n v="0"/>
    <n v="0"/>
    <n v="24"/>
    <n v="0"/>
    <n v="0"/>
    <n v="0"/>
    <n v="48"/>
    <n v="0"/>
    <n v="0"/>
    <n v="0"/>
    <n v="24"/>
    <n v="0"/>
    <n v="36"/>
    <n v="0"/>
    <n v="0"/>
    <n v="0"/>
    <n v="0"/>
    <n v="0"/>
  </r>
  <r>
    <s v="L'Oreal"/>
    <x v="3"/>
    <x v="3"/>
    <x v="0"/>
    <x v="3"/>
    <n v="7509552792294"/>
    <x v="27"/>
    <x v="149"/>
    <x v="5"/>
    <n v="0"/>
    <n v="0"/>
    <n v="0"/>
    <n v="0"/>
    <n v="0"/>
    <n v="0"/>
    <n v="0"/>
    <n v="0"/>
    <n v="0"/>
    <n v="0"/>
    <n v="0"/>
    <n v="0"/>
    <n v="0"/>
    <n v="252"/>
    <n v="0"/>
    <n v="12"/>
    <n v="12"/>
    <n v="12"/>
    <n v="12"/>
    <n v="0"/>
    <n v="12"/>
    <n v="0"/>
    <n v="0"/>
    <n v="12"/>
    <n v="0"/>
    <n v="12"/>
    <n v="24"/>
    <n v="0"/>
    <n v="0"/>
    <n v="0"/>
    <n v="24"/>
    <n v="0"/>
    <n v="0"/>
    <n v="0"/>
    <n v="24"/>
    <n v="0"/>
    <n v="24"/>
    <n v="0"/>
    <n v="12"/>
    <n v="0"/>
    <n v="0"/>
    <n v="0"/>
  </r>
  <r>
    <s v="L'Oreal"/>
    <x v="3"/>
    <x v="3"/>
    <x v="0"/>
    <x v="3"/>
    <n v="7509552792317"/>
    <x v="27"/>
    <x v="150"/>
    <x v="5"/>
    <n v="0"/>
    <n v="0"/>
    <n v="0"/>
    <n v="0"/>
    <n v="0"/>
    <n v="0"/>
    <n v="0"/>
    <n v="0"/>
    <n v="0"/>
    <n v="0"/>
    <n v="0"/>
    <n v="0"/>
    <n v="0"/>
    <n v="288"/>
    <n v="0"/>
    <n v="24"/>
    <n v="0"/>
    <n v="0"/>
    <n v="0"/>
    <n v="0"/>
    <n v="12"/>
    <n v="0"/>
    <n v="0"/>
    <n v="12"/>
    <n v="0"/>
    <n v="12"/>
    <n v="0"/>
    <n v="0"/>
    <n v="0"/>
    <n v="0"/>
    <n v="36"/>
    <n v="0"/>
    <n v="0"/>
    <n v="12"/>
    <n v="12"/>
    <n v="0"/>
    <n v="0"/>
    <n v="0"/>
    <n v="0"/>
    <n v="0"/>
    <n v="0"/>
    <n v="552"/>
  </r>
  <r>
    <s v="L'Oreal"/>
    <x v="3"/>
    <x v="3"/>
    <x v="0"/>
    <x v="3"/>
    <n v="7509552795608"/>
    <x v="28"/>
    <x v="151"/>
    <x v="5"/>
    <n v="0"/>
    <n v="0"/>
    <n v="0"/>
    <n v="0"/>
    <n v="420"/>
    <n v="378"/>
    <n v="207"/>
    <n v="21"/>
    <n v="3"/>
    <n v="12"/>
    <n v="24"/>
    <n v="0"/>
    <n v="6"/>
    <n v="54"/>
    <n v="153"/>
    <n v="6"/>
    <n v="12"/>
    <n v="0"/>
    <n v="0"/>
    <n v="24"/>
    <n v="15"/>
    <n v="21"/>
    <n v="0"/>
    <n v="33"/>
    <n v="39"/>
    <n v="0"/>
    <n v="0"/>
    <n v="9"/>
    <n v="15"/>
    <n v="15"/>
    <n v="21"/>
    <n v="0"/>
    <n v="3"/>
    <n v="42"/>
    <n v="153"/>
    <n v="57"/>
    <n v="51"/>
    <n v="33"/>
    <n v="42"/>
    <n v="21"/>
    <n v="114"/>
    <n v="30"/>
  </r>
  <r>
    <s v="L'Oreal"/>
    <x v="3"/>
    <x v="3"/>
    <x v="0"/>
    <x v="3"/>
    <n v="7509552795646"/>
    <x v="28"/>
    <x v="152"/>
    <x v="15"/>
    <n v="0"/>
    <n v="0"/>
    <n v="0"/>
    <n v="0"/>
    <n v="300"/>
    <n v="384"/>
    <n v="54"/>
    <n v="15"/>
    <n v="6"/>
    <n v="12"/>
    <n v="15"/>
    <n v="0"/>
    <n v="12"/>
    <n v="6"/>
    <n v="12"/>
    <n v="0"/>
    <n v="0"/>
    <n v="0"/>
    <n v="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796216"/>
    <x v="27"/>
    <x v="153"/>
    <x v="8"/>
    <n v="0"/>
    <n v="0"/>
    <n v="0"/>
    <n v="0"/>
    <n v="0"/>
    <n v="0"/>
    <n v="0"/>
    <n v="0"/>
    <n v="0"/>
    <n v="0"/>
    <n v="0"/>
    <n v="0"/>
    <n v="0"/>
    <n v="300"/>
    <n v="36"/>
    <n v="54"/>
    <n v="216"/>
    <n v="60"/>
    <n v="36"/>
    <n v="48"/>
    <n v="78"/>
    <n v="6"/>
    <n v="12"/>
    <n v="60"/>
    <n v="0"/>
    <n v="36"/>
    <n v="24"/>
    <n v="0"/>
    <n v="66"/>
    <n v="78"/>
    <n v="72"/>
    <n v="0"/>
    <n v="48"/>
    <n v="48"/>
    <n v="12"/>
    <n v="12"/>
    <n v="48"/>
    <n v="84"/>
    <n v="48"/>
    <n v="54"/>
    <n v="48"/>
    <n v="78"/>
  </r>
  <r>
    <s v="L'Oreal"/>
    <x v="3"/>
    <x v="3"/>
    <x v="0"/>
    <x v="3"/>
    <n v="7509552798456"/>
    <x v="28"/>
    <x v="154"/>
    <x v="8"/>
    <n v="0"/>
    <n v="0"/>
    <n v="0"/>
    <n v="0"/>
    <n v="1080"/>
    <n v="408"/>
    <n v="444"/>
    <n v="72"/>
    <n v="48"/>
    <n v="180"/>
    <n v="48"/>
    <n v="24"/>
    <n v="204"/>
    <n v="72"/>
    <n v="24"/>
    <n v="96"/>
    <n v="96"/>
    <n v="84"/>
    <n v="24"/>
    <n v="96"/>
    <n v="60"/>
    <n v="60"/>
    <n v="24"/>
    <n v="144"/>
    <n v="96"/>
    <n v="24"/>
    <n v="84"/>
    <n v="132"/>
    <n v="120"/>
    <n v="132"/>
    <n v="132"/>
    <n v="24"/>
    <n v="144"/>
    <n v="72"/>
    <n v="0"/>
    <n v="24"/>
    <n v="336"/>
    <n v="-12"/>
    <n v="192"/>
    <n v="84"/>
    <n v="0"/>
    <n v="168"/>
  </r>
  <r>
    <s v="L'Oreal"/>
    <x v="3"/>
    <x v="3"/>
    <x v="0"/>
    <x v="3"/>
    <n v="7509552805260"/>
    <x v="29"/>
    <x v="155"/>
    <x v="1"/>
    <n v="1560"/>
    <n v="276"/>
    <n v="504"/>
    <n v="1212"/>
    <n v="276"/>
    <n v="384"/>
    <n v="644"/>
    <n v="962"/>
    <n v="36"/>
    <n v="120"/>
    <n v="120"/>
    <n v="408"/>
    <n v="696"/>
    <n v="1044"/>
    <n v="300"/>
    <n v="156"/>
    <n v="516"/>
    <n v="216"/>
    <n v="60"/>
    <n v="300"/>
    <n v="360"/>
    <n v="204"/>
    <n v="12"/>
    <n v="0"/>
    <n v="0"/>
    <n v="0"/>
    <n v="442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05307"/>
    <x v="29"/>
    <x v="156"/>
    <x v="1"/>
    <n v="4190"/>
    <n v="1794"/>
    <n v="672"/>
    <n v="1992"/>
    <n v="972"/>
    <n v="1734"/>
    <n v="2366"/>
    <n v="1892"/>
    <n v="528"/>
    <n v="1398"/>
    <n v="444"/>
    <n v="1854"/>
    <n v="2094"/>
    <n v="2550"/>
    <n v="864"/>
    <n v="1296"/>
    <n v="2034"/>
    <n v="762"/>
    <n v="2010"/>
    <n v="966"/>
    <n v="1386"/>
    <n v="0"/>
    <n v="0"/>
    <n v="0"/>
    <n v="0"/>
    <n v="0"/>
    <n v="442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05345"/>
    <x v="30"/>
    <x v="157"/>
    <x v="1"/>
    <n v="1212"/>
    <n v="408"/>
    <n v="444"/>
    <n v="1152"/>
    <n v="288"/>
    <n v="480"/>
    <n v="584"/>
    <n v="986"/>
    <n v="36"/>
    <n v="120"/>
    <n v="60"/>
    <n v="300"/>
    <n v="564"/>
    <n v="552"/>
    <n v="336"/>
    <n v="156"/>
    <n v="384"/>
    <n v="252"/>
    <n v="24"/>
    <n v="288"/>
    <n v="180"/>
    <n v="0"/>
    <n v="0"/>
    <n v="0"/>
    <n v="0"/>
    <n v="0"/>
    <n v="728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05383"/>
    <x v="30"/>
    <x v="158"/>
    <x v="1"/>
    <n v="3066"/>
    <n v="3744"/>
    <n v="1200"/>
    <n v="1662"/>
    <n v="228"/>
    <n v="1590"/>
    <n v="2306"/>
    <n v="1640"/>
    <n v="522"/>
    <n v="1236"/>
    <n v="324"/>
    <n v="1686"/>
    <n v="2154"/>
    <n v="2286"/>
    <n v="1194"/>
    <n v="1296"/>
    <n v="3102"/>
    <n v="648"/>
    <n v="1638"/>
    <n v="0"/>
    <n v="0"/>
    <n v="0"/>
    <n v="0"/>
    <n v="0"/>
    <n v="0"/>
    <n v="0"/>
    <n v="728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16242"/>
    <x v="31"/>
    <x v="159"/>
    <x v="8"/>
    <n v="2244"/>
    <n v="3150"/>
    <n v="480"/>
    <n v="954"/>
    <n v="216"/>
    <n v="1206"/>
    <n v="1314"/>
    <n v="618"/>
    <n v="450"/>
    <n v="1152"/>
    <n v="156"/>
    <n v="1452"/>
    <n v="660"/>
    <n v="60"/>
    <n v="1554"/>
    <n v="312"/>
    <n v="48"/>
    <n v="1140"/>
    <n v="12"/>
    <n v="60"/>
    <n v="36"/>
    <n v="12"/>
    <n v="12"/>
    <n v="48"/>
    <n v="96"/>
    <n v="24"/>
    <n v="84"/>
    <n v="0"/>
    <n v="48"/>
    <n v="24"/>
    <n v="1200"/>
    <n v="246"/>
    <n v="654"/>
    <n v="1380"/>
    <n v="156"/>
    <n v="240"/>
    <n v="192"/>
    <n v="336"/>
    <n v="1842"/>
    <n v="1026"/>
    <n v="1104"/>
    <n v="3174"/>
  </r>
  <r>
    <s v="L'Oreal"/>
    <x v="3"/>
    <x v="3"/>
    <x v="0"/>
    <x v="3"/>
    <n v="7509552816266"/>
    <x v="31"/>
    <x v="160"/>
    <x v="16"/>
    <n v="1232"/>
    <n v="0"/>
    <n v="0"/>
    <n v="708"/>
    <n v="600"/>
    <n v="276"/>
    <n v="36"/>
    <n v="0"/>
    <n v="24"/>
    <n v="0"/>
    <n v="0"/>
    <n v="12"/>
    <n v="1320"/>
    <n v="336"/>
    <n v="540"/>
    <n v="0"/>
    <n v="0"/>
    <n v="0"/>
    <n v="0"/>
    <n v="72"/>
    <n v="48"/>
    <n v="0"/>
    <n v="0"/>
    <n v="0"/>
    <n v="216"/>
    <n v="12"/>
    <n v="180"/>
    <n v="0"/>
    <n v="360"/>
    <n v="0"/>
    <n v="0"/>
    <n v="0"/>
    <n v="0"/>
    <n v="0"/>
    <n v="0"/>
    <n v="60"/>
    <n v="12"/>
    <n v="0"/>
    <n v="24"/>
    <n v="0"/>
    <n v="120"/>
    <n v="0"/>
  </r>
  <r>
    <s v="L'Oreal"/>
    <x v="3"/>
    <x v="3"/>
    <x v="0"/>
    <x v="3"/>
    <n v="7509552816273"/>
    <x v="31"/>
    <x v="161"/>
    <x v="8"/>
    <n v="192"/>
    <n v="48"/>
    <n v="180"/>
    <n v="156"/>
    <n v="108"/>
    <n v="120"/>
    <n v="60"/>
    <n v="48"/>
    <n v="24"/>
    <n v="36"/>
    <n v="48"/>
    <n v="96"/>
    <n v="348"/>
    <n v="48"/>
    <n v="108"/>
    <n v="36"/>
    <n v="228"/>
    <n v="84"/>
    <n v="36"/>
    <n v="36"/>
    <n v="132"/>
    <n v="24"/>
    <n v="48"/>
    <n v="84"/>
    <n v="12"/>
    <n v="48"/>
    <n v="24"/>
    <n v="36"/>
    <n v="456"/>
    <n v="72"/>
    <n v="144"/>
    <n v="0"/>
    <n v="60"/>
    <n v="36"/>
    <n v="24"/>
    <n v="-12"/>
    <n v="252"/>
    <n v="60"/>
    <n v="204"/>
    <n v="12"/>
    <n v="240"/>
    <n v="48"/>
  </r>
  <r>
    <s v="L'Oreal"/>
    <x v="3"/>
    <x v="3"/>
    <x v="0"/>
    <x v="3"/>
    <n v="7509552816297"/>
    <x v="31"/>
    <x v="162"/>
    <x v="5"/>
    <n v="102"/>
    <n v="111"/>
    <n v="45"/>
    <n v="0"/>
    <n v="75"/>
    <n v="117"/>
    <n v="15"/>
    <n v="48"/>
    <n v="6"/>
    <n v="36"/>
    <n v="78"/>
    <n v="69"/>
    <n v="84"/>
    <n v="0"/>
    <n v="84"/>
    <n v="60"/>
    <n v="63"/>
    <n v="60"/>
    <n v="30"/>
    <n v="75"/>
    <n v="0"/>
    <n v="0"/>
    <n v="30"/>
    <n v="0"/>
    <n v="0"/>
    <n v="57"/>
    <n v="48"/>
    <n v="6"/>
    <n v="12"/>
    <n v="24"/>
    <n v="33"/>
    <n v="3"/>
    <n v="24"/>
    <n v="87"/>
    <n v="12"/>
    <n v="51"/>
    <n v="81"/>
    <n v="6"/>
    <n v="39"/>
    <n v="33"/>
    <n v="48"/>
    <n v="30"/>
  </r>
  <r>
    <s v="L'Oreal"/>
    <x v="3"/>
    <x v="3"/>
    <x v="0"/>
    <x v="3"/>
    <n v="7509552823837"/>
    <x v="31"/>
    <x v="163"/>
    <x v="1"/>
    <n v="0"/>
    <n v="0"/>
    <n v="0"/>
    <n v="0"/>
    <n v="0"/>
    <n v="0"/>
    <n v="0"/>
    <n v="0"/>
    <n v="0"/>
    <n v="0"/>
    <n v="0"/>
    <n v="0"/>
    <n v="12"/>
    <n v="324"/>
    <n v="1530"/>
    <n v="696"/>
    <n v="324"/>
    <n v="114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23851"/>
    <x v="32"/>
    <x v="164"/>
    <x v="1"/>
    <n v="0"/>
    <n v="0"/>
    <n v="0"/>
    <n v="0"/>
    <n v="0"/>
    <n v="0"/>
    <n v="0"/>
    <n v="0"/>
    <n v="0"/>
    <n v="0"/>
    <n v="0"/>
    <n v="0"/>
    <n v="0"/>
    <n v="348"/>
    <n v="240"/>
    <n v="36"/>
    <n v="0"/>
    <n v="0"/>
    <n v="144"/>
    <n v="240"/>
    <n v="168"/>
    <n v="24"/>
    <n v="108"/>
    <n v="168"/>
    <n v="240"/>
    <n v="6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23868"/>
    <x v="30"/>
    <x v="16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"/>
    <n v="336"/>
    <n v="0"/>
    <n v="264"/>
    <n v="204"/>
    <n v="96"/>
    <n v="348"/>
    <n v="612"/>
    <n v="168"/>
    <n v="480"/>
    <n v="84"/>
    <n v="360"/>
    <n v="216"/>
  </r>
  <r>
    <s v="L'Oreal"/>
    <x v="3"/>
    <x v="3"/>
    <x v="0"/>
    <x v="3"/>
    <n v="7509552823899"/>
    <x v="33"/>
    <x v="166"/>
    <x v="1"/>
    <n v="0"/>
    <n v="0"/>
    <n v="0"/>
    <n v="0"/>
    <n v="0"/>
    <n v="0"/>
    <n v="0"/>
    <n v="0"/>
    <n v="0"/>
    <n v="0"/>
    <n v="0"/>
    <n v="0"/>
    <n v="0"/>
    <n v="0"/>
    <n v="0"/>
    <n v="0"/>
    <n v="420"/>
    <n v="528"/>
    <n v="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23905"/>
    <x v="33"/>
    <x v="167"/>
    <x v="1"/>
    <n v="0"/>
    <n v="0"/>
    <n v="0"/>
    <n v="0"/>
    <n v="0"/>
    <n v="0"/>
    <n v="0"/>
    <n v="0"/>
    <n v="0"/>
    <n v="0"/>
    <n v="0"/>
    <n v="60"/>
    <n v="324"/>
    <n v="336"/>
    <n v="36"/>
    <n v="48"/>
    <n v="456"/>
    <n v="36"/>
    <n v="36"/>
    <n v="156"/>
    <n v="360"/>
    <n v="0"/>
    <n v="132"/>
    <n v="180"/>
    <n v="156"/>
    <n v="312"/>
    <n v="180"/>
    <n v="60"/>
    <n v="36"/>
    <n v="180"/>
    <n v="12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23912"/>
    <x v="30"/>
    <x v="16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0"/>
    <n v="48"/>
    <n v="168"/>
    <n v="168"/>
    <n v="96"/>
    <n v="192"/>
    <n v="2190"/>
    <n v="372"/>
    <n v="348"/>
    <n v="372"/>
    <n v="240"/>
    <n v="228"/>
    <n v="144"/>
    <n v="2196"/>
    <n v="474"/>
    <n v="732"/>
    <n v="570"/>
    <n v="1506"/>
    <n v="684"/>
    <n v="216"/>
    <n v="252"/>
  </r>
  <r>
    <s v="L'Oreal"/>
    <x v="3"/>
    <x v="3"/>
    <x v="0"/>
    <x v="3"/>
    <n v="7509552827002"/>
    <x v="31"/>
    <x v="169"/>
    <x v="1"/>
    <n v="1188"/>
    <n v="408"/>
    <n v="396"/>
    <n v="1224"/>
    <n v="288"/>
    <n v="372"/>
    <n v="156"/>
    <n v="288"/>
    <n v="72"/>
    <n v="120"/>
    <n v="72"/>
    <n v="276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27019"/>
    <x v="31"/>
    <x v="170"/>
    <x v="1"/>
    <n v="4424"/>
    <n v="3426"/>
    <n v="1056"/>
    <n v="1998"/>
    <n v="528"/>
    <n v="1626"/>
    <n v="1470"/>
    <n v="798"/>
    <n v="486"/>
    <n v="1248"/>
    <n v="216"/>
    <n v="1656"/>
    <n v="4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28030"/>
    <x v="27"/>
    <x v="171"/>
    <x v="8"/>
    <n v="126"/>
    <n v="180"/>
    <n v="84"/>
    <n v="42"/>
    <n v="48"/>
    <n v="168"/>
    <n v="36"/>
    <n v="162"/>
    <n v="114"/>
    <n v="60"/>
    <n v="94"/>
    <n v="114"/>
    <n v="228"/>
    <n v="72"/>
    <n v="390"/>
    <n v="132"/>
    <n v="222"/>
    <n v="78"/>
    <n v="108"/>
    <n v="48"/>
    <n v="144"/>
    <n v="6"/>
    <n v="120"/>
    <n v="84"/>
    <n v="60"/>
    <n v="144"/>
    <n v="12"/>
    <n v="0"/>
    <n v="24"/>
    <n v="84"/>
    <n v="66"/>
    <n v="0"/>
    <n v="54"/>
    <n v="48"/>
    <n v="90"/>
    <n v="30"/>
    <n v="60"/>
    <n v="102"/>
    <n v="114"/>
    <n v="24"/>
    <n v="90"/>
    <n v="66"/>
  </r>
  <r>
    <s v="L'Oreal"/>
    <x v="3"/>
    <x v="3"/>
    <x v="0"/>
    <x v="3"/>
    <n v="7509552828078"/>
    <x v="27"/>
    <x v="172"/>
    <x v="8"/>
    <n v="120"/>
    <n v="126"/>
    <n v="60"/>
    <n v="48"/>
    <n v="48"/>
    <n v="114"/>
    <n v="60"/>
    <n v="60"/>
    <n v="42"/>
    <n v="18"/>
    <n v="96"/>
    <n v="144"/>
    <n v="114"/>
    <n v="150"/>
    <n v="144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28962"/>
    <x v="27"/>
    <x v="173"/>
    <x v="8"/>
    <n v="174"/>
    <n v="156"/>
    <n v="156"/>
    <n v="78"/>
    <n v="60"/>
    <n v="138"/>
    <n v="48"/>
    <n v="138"/>
    <n v="96"/>
    <n v="84"/>
    <n v="126"/>
    <n v="228"/>
    <n v="264"/>
    <n v="102"/>
    <n v="126"/>
    <n v="78"/>
    <n v="24"/>
    <n v="108"/>
    <n v="72"/>
    <n v="120"/>
    <n v="72"/>
    <n v="0"/>
    <n v="24"/>
    <n v="84"/>
    <n v="48"/>
    <n v="144"/>
    <n v="60"/>
    <n v="84"/>
    <n v="48"/>
    <n v="102"/>
    <n v="60"/>
    <n v="24"/>
    <n v="78"/>
    <n v="0"/>
    <n v="96"/>
    <n v="108"/>
    <n v="132"/>
    <n v="96"/>
    <n v="126"/>
    <n v="96"/>
    <n v="192"/>
    <n v="78"/>
  </r>
  <r>
    <s v="L'Oreal"/>
    <x v="3"/>
    <x v="3"/>
    <x v="0"/>
    <x v="3"/>
    <n v="7509552830507"/>
    <x v="34"/>
    <x v="174"/>
    <x v="8"/>
    <n v="1878"/>
    <n v="870"/>
    <n v="2220"/>
    <n v="942"/>
    <n v="828"/>
    <n v="1176"/>
    <n v="2034"/>
    <n v="942"/>
    <n v="474"/>
    <n v="1128"/>
    <n v="498"/>
    <n v="1692"/>
    <n v="1374"/>
    <n v="1956"/>
    <n v="732"/>
    <n v="120"/>
    <n v="72"/>
    <n v="168"/>
    <n v="24"/>
    <n v="96"/>
    <n v="60"/>
    <n v="72"/>
    <n v="492"/>
    <n v="24"/>
    <n v="2736"/>
    <n v="264"/>
    <n v="1608"/>
    <n v="2712"/>
    <n v="24"/>
    <n v="96"/>
    <n v="1104"/>
    <n v="24"/>
    <n v="36"/>
    <n v="216"/>
    <n v="168"/>
    <n v="360"/>
    <n v="120"/>
    <n v="60"/>
    <n v="132"/>
    <n v="84"/>
    <n v="5400"/>
    <n v="2544"/>
  </r>
  <r>
    <s v="L'Oreal"/>
    <x v="3"/>
    <x v="3"/>
    <x v="0"/>
    <x v="3"/>
    <n v="7509552830583"/>
    <x v="34"/>
    <x v="175"/>
    <x v="16"/>
    <n v="1016"/>
    <n v="2416"/>
    <n v="0"/>
    <n v="708"/>
    <n v="600"/>
    <n v="276"/>
    <n v="36"/>
    <n v="252"/>
    <n v="36"/>
    <n v="0"/>
    <n v="0"/>
    <n v="0"/>
    <n v="1320"/>
    <n v="336"/>
    <n v="852"/>
    <n v="0"/>
    <n v="0"/>
    <n v="0"/>
    <n v="24"/>
    <n v="12"/>
    <n v="12"/>
    <n v="0"/>
    <n v="0"/>
    <n v="0"/>
    <n v="204"/>
    <n v="0"/>
    <n v="180"/>
    <n v="0"/>
    <n v="0"/>
    <n v="120"/>
    <n v="48"/>
    <n v="60"/>
    <n v="132"/>
    <n v="24"/>
    <n v="990"/>
    <n v="120"/>
    <n v="336"/>
    <n v="1266"/>
    <n v="12"/>
    <n v="0"/>
    <n v="600"/>
    <n v="180"/>
  </r>
  <r>
    <s v="L'Oreal"/>
    <x v="3"/>
    <x v="3"/>
    <x v="0"/>
    <x v="3"/>
    <n v="7509552830620"/>
    <x v="34"/>
    <x v="176"/>
    <x v="8"/>
    <n v="360"/>
    <n v="96"/>
    <n v="168"/>
    <n v="432"/>
    <n v="120"/>
    <n v="132"/>
    <n v="36"/>
    <n v="120"/>
    <n v="48"/>
    <n v="36"/>
    <n v="12"/>
    <n v="108"/>
    <n v="252"/>
    <n v="24"/>
    <n v="120"/>
    <n v="84"/>
    <n v="156"/>
    <n v="228"/>
    <n v="36"/>
    <n v="48"/>
    <n v="156"/>
    <n v="12"/>
    <n v="24"/>
    <n v="204"/>
    <n v="84"/>
    <n v="36"/>
    <n v="48"/>
    <n v="120"/>
    <n v="48"/>
    <n v="228"/>
    <n v="108"/>
    <n v="204"/>
    <n v="204"/>
    <n v="240"/>
    <n v="1170"/>
    <n v="348"/>
    <n v="504"/>
    <n v="1314"/>
    <n v="168"/>
    <n v="132"/>
    <n v="456"/>
    <n v="72"/>
  </r>
  <r>
    <s v="L'Oreal"/>
    <x v="3"/>
    <x v="3"/>
    <x v="0"/>
    <x v="3"/>
    <n v="7509552830965"/>
    <x v="34"/>
    <x v="177"/>
    <x v="1"/>
    <n v="96"/>
    <n v="684"/>
    <n v="960"/>
    <n v="1476"/>
    <n v="192"/>
    <n v="348"/>
    <n v="132"/>
    <n v="360"/>
    <n v="84"/>
    <n v="108"/>
    <n v="276"/>
    <n v="240"/>
    <n v="900"/>
    <n v="912"/>
    <n v="264"/>
    <n v="144"/>
    <n v="480"/>
    <n v="0"/>
    <n v="132"/>
    <n v="408"/>
    <n v="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31016"/>
    <x v="34"/>
    <x v="178"/>
    <x v="1"/>
    <n v="3854"/>
    <n v="3574"/>
    <n v="2520"/>
    <n v="1890"/>
    <n v="1236"/>
    <n v="1392"/>
    <n v="2130"/>
    <n v="1134"/>
    <n v="534"/>
    <n v="1188"/>
    <n v="582"/>
    <n v="2280"/>
    <n v="1794"/>
    <n v="2448"/>
    <n v="756"/>
    <n v="0"/>
    <n v="0"/>
    <n v="0"/>
    <n v="300"/>
    <n v="396"/>
    <n v="480"/>
    <n v="204"/>
    <n v="72"/>
    <n v="324"/>
    <n v="12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41794"/>
    <x v="27"/>
    <x v="179"/>
    <x v="8"/>
    <n v="114"/>
    <n v="102"/>
    <n v="84"/>
    <n v="54"/>
    <n v="54"/>
    <n v="144"/>
    <n v="18"/>
    <n v="102"/>
    <n v="66"/>
    <n v="24"/>
    <n v="48"/>
    <n v="120"/>
    <n v="144"/>
    <n v="54"/>
    <n v="60"/>
    <n v="228"/>
    <n v="246"/>
    <n v="78"/>
    <n v="72"/>
    <n v="60"/>
    <n v="114"/>
    <n v="18"/>
    <n v="24"/>
    <n v="48"/>
    <n v="12"/>
    <n v="54"/>
    <n v="36"/>
    <n v="36"/>
    <n v="36"/>
    <n v="102"/>
    <n v="108"/>
    <n v="0"/>
    <n v="66"/>
    <n v="54"/>
    <n v="84"/>
    <n v="54"/>
    <n v="186"/>
    <n v="30"/>
    <n v="78"/>
    <n v="102"/>
    <n v="126"/>
    <n v="84"/>
  </r>
  <r>
    <s v="L'Oreal"/>
    <x v="3"/>
    <x v="3"/>
    <x v="0"/>
    <x v="3"/>
    <n v="7509552844153"/>
    <x v="27"/>
    <x v="180"/>
    <x v="5"/>
    <n v="156"/>
    <n v="48"/>
    <n v="36"/>
    <n v="24"/>
    <n v="12"/>
    <n v="12"/>
    <n v="0"/>
    <n v="60"/>
    <n v="0"/>
    <n v="12"/>
    <n v="12"/>
    <n v="24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44160"/>
    <x v="27"/>
    <x v="181"/>
    <x v="5"/>
    <n v="36"/>
    <n v="12"/>
    <n v="48"/>
    <n v="0"/>
    <n v="24"/>
    <n v="24"/>
    <n v="24"/>
    <n v="12"/>
    <n v="0"/>
    <n v="24"/>
    <n v="72"/>
    <n v="12"/>
    <n v="12"/>
    <n v="0"/>
    <n v="24"/>
    <n v="6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44177"/>
    <x v="27"/>
    <x v="182"/>
    <x v="5"/>
    <n v="48"/>
    <n v="120"/>
    <n v="24"/>
    <n v="36"/>
    <n v="36"/>
    <n v="48"/>
    <n v="24"/>
    <n v="60"/>
    <n v="12"/>
    <n v="0"/>
    <n v="36"/>
    <n v="72"/>
    <n v="0"/>
    <n v="12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44184"/>
    <x v="27"/>
    <x v="183"/>
    <x v="5"/>
    <n v="48"/>
    <n v="72"/>
    <n v="36"/>
    <n v="0"/>
    <n v="24"/>
    <n v="24"/>
    <n v="12"/>
    <n v="12"/>
    <n v="0"/>
    <n v="12"/>
    <n v="12"/>
    <n v="72"/>
    <n v="0"/>
    <n v="12"/>
    <n v="12"/>
    <n v="6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44191"/>
    <x v="27"/>
    <x v="184"/>
    <x v="5"/>
    <n v="96"/>
    <n v="96"/>
    <n v="12"/>
    <n v="60"/>
    <n v="12"/>
    <n v="36"/>
    <n v="24"/>
    <n v="84"/>
    <n v="12"/>
    <n v="0"/>
    <n v="0"/>
    <n v="48"/>
    <n v="12"/>
    <n v="36"/>
    <n v="24"/>
    <n v="72"/>
    <n v="36"/>
    <n v="24"/>
    <n v="24"/>
    <n v="12"/>
    <n v="24"/>
    <n v="0"/>
    <n v="0"/>
    <n v="12"/>
    <n v="0"/>
    <n v="0"/>
    <n v="0"/>
    <n v="0"/>
    <n v="0"/>
    <n v="24"/>
    <n v="48"/>
    <n v="0"/>
    <n v="0"/>
    <n v="24"/>
    <n v="12"/>
    <n v="36"/>
    <n v="24"/>
    <n v="0"/>
    <n v="12"/>
    <n v="0"/>
    <n v="0"/>
    <n v="12"/>
  </r>
  <r>
    <s v="L'Oreal"/>
    <x v="3"/>
    <x v="3"/>
    <x v="0"/>
    <x v="3"/>
    <n v="7509552844207"/>
    <x v="27"/>
    <x v="185"/>
    <x v="5"/>
    <n v="72"/>
    <n v="84"/>
    <n v="12"/>
    <n v="48"/>
    <n v="0"/>
    <n v="12"/>
    <n v="0"/>
    <n v="48"/>
    <n v="0"/>
    <n v="12"/>
    <n v="12"/>
    <n v="84"/>
    <n v="12"/>
    <n v="24"/>
    <n v="24"/>
    <n v="96"/>
    <n v="24"/>
    <n v="0"/>
    <n v="0"/>
    <n v="12"/>
    <n v="0"/>
    <n v="0"/>
    <n v="0"/>
    <n v="0"/>
    <n v="0"/>
    <n v="0"/>
    <n v="0"/>
    <n v="0"/>
    <n v="0"/>
    <n v="0"/>
    <n v="36"/>
    <n v="0"/>
    <n v="0"/>
    <n v="0"/>
    <n v="12"/>
    <n v="36"/>
    <n v="36"/>
    <n v="0"/>
    <n v="0"/>
    <n v="0"/>
    <n v="0"/>
    <n v="12"/>
  </r>
  <r>
    <s v="L'Oreal"/>
    <x v="3"/>
    <x v="3"/>
    <x v="0"/>
    <x v="3"/>
    <n v="7509552844214"/>
    <x v="27"/>
    <x v="186"/>
    <x v="5"/>
    <n v="72"/>
    <n v="96"/>
    <n v="36"/>
    <n v="12"/>
    <n v="0"/>
    <n v="48"/>
    <n v="36"/>
    <n v="12"/>
    <n v="12"/>
    <n v="0"/>
    <n v="12"/>
    <n v="72"/>
    <n v="0"/>
    <n v="12"/>
    <n v="24"/>
    <n v="24"/>
    <n v="144"/>
    <n v="24"/>
    <n v="42"/>
    <n v="120"/>
    <n v="36"/>
    <n v="0"/>
    <n v="0"/>
    <n v="0"/>
    <n v="0"/>
    <n v="0"/>
    <n v="0"/>
    <n v="0"/>
    <n v="0"/>
    <n v="0"/>
    <n v="0"/>
    <n v="0"/>
    <n v="0"/>
    <n v="12"/>
    <n v="0"/>
    <n v="12"/>
    <n v="24"/>
    <n v="0"/>
    <n v="0"/>
    <n v="0"/>
    <n v="0"/>
    <n v="0"/>
  </r>
  <r>
    <s v="L'Oreal"/>
    <x v="3"/>
    <x v="3"/>
    <x v="0"/>
    <x v="3"/>
    <n v="7509552844221"/>
    <x v="27"/>
    <x v="187"/>
    <x v="5"/>
    <n v="36"/>
    <n v="108"/>
    <n v="36"/>
    <n v="36"/>
    <n v="11"/>
    <n v="24"/>
    <n v="12"/>
    <n v="12"/>
    <n v="0"/>
    <n v="0"/>
    <n v="12"/>
    <n v="72"/>
    <n v="0"/>
    <n v="0"/>
    <n v="36"/>
    <n v="36"/>
    <n v="144"/>
    <n v="48"/>
    <n v="30"/>
    <n v="120"/>
    <n v="36"/>
    <n v="12"/>
    <n v="0"/>
    <n v="12"/>
    <n v="0"/>
    <n v="60"/>
    <n v="-60"/>
    <n v="0"/>
    <n v="12"/>
    <n v="0"/>
    <n v="36"/>
    <n v="0"/>
    <n v="0"/>
    <n v="12"/>
    <n v="0"/>
    <n v="0"/>
    <n v="24"/>
    <n v="0"/>
    <n v="12"/>
    <n v="0"/>
    <n v="0"/>
    <n v="0"/>
  </r>
  <r>
    <s v="L'Oreal"/>
    <x v="3"/>
    <x v="3"/>
    <x v="0"/>
    <x v="3"/>
    <n v="7509552849509"/>
    <x v="27"/>
    <x v="188"/>
    <x v="5"/>
    <n v="36"/>
    <n v="60"/>
    <n v="36"/>
    <n v="24"/>
    <n v="12"/>
    <n v="24"/>
    <n v="0"/>
    <n v="48"/>
    <n v="0"/>
    <n v="12"/>
    <n v="0"/>
    <n v="108"/>
    <n v="12"/>
    <n v="72"/>
    <n v="36"/>
    <n v="36"/>
    <n v="36"/>
    <n v="24"/>
    <n v="24"/>
    <n v="0"/>
    <n v="0"/>
    <n v="0"/>
    <n v="0"/>
    <n v="12"/>
    <n v="0"/>
    <n v="12"/>
    <n v="0"/>
    <n v="12"/>
    <n v="0"/>
    <n v="24"/>
    <n v="48"/>
    <n v="0"/>
    <n v="0"/>
    <n v="12"/>
    <n v="0"/>
    <n v="0"/>
    <n v="0"/>
    <n v="0"/>
    <n v="0"/>
    <n v="0"/>
    <n v="0"/>
    <n v="0"/>
  </r>
  <r>
    <s v="L'Oreal"/>
    <x v="3"/>
    <x v="3"/>
    <x v="0"/>
    <x v="3"/>
    <n v="7509552849516"/>
    <x v="27"/>
    <x v="189"/>
    <x v="5"/>
    <n v="24"/>
    <n v="24"/>
    <n v="24"/>
    <n v="48"/>
    <n v="0"/>
    <n v="24"/>
    <n v="12"/>
    <n v="48"/>
    <n v="0"/>
    <n v="0"/>
    <n v="12"/>
    <n v="36"/>
    <n v="0"/>
    <n v="24"/>
    <n v="12"/>
    <n v="60"/>
    <n v="24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12"/>
    <n v="0"/>
    <n v="0"/>
    <n v="0"/>
  </r>
  <r>
    <s v="L'Oreal"/>
    <x v="3"/>
    <x v="3"/>
    <x v="0"/>
    <x v="3"/>
    <n v="7509552849523"/>
    <x v="27"/>
    <x v="190"/>
    <x v="8"/>
    <n v="48"/>
    <n v="96"/>
    <n v="60"/>
    <n v="36"/>
    <n v="36"/>
    <n v="78"/>
    <n v="42"/>
    <n v="72"/>
    <n v="66"/>
    <n v="36"/>
    <n v="66"/>
    <n v="168"/>
    <n v="132"/>
    <n v="54"/>
    <n v="12"/>
    <n v="162"/>
    <n v="240"/>
    <n v="54"/>
    <n v="72"/>
    <n v="138"/>
    <n v="48"/>
    <n v="0"/>
    <n v="12"/>
    <n v="48"/>
    <n v="6"/>
    <n v="24"/>
    <n v="72"/>
    <n v="0"/>
    <n v="12"/>
    <n v="24"/>
    <n v="78"/>
    <n v="0"/>
    <n v="42"/>
    <n v="66"/>
    <n v="42"/>
    <n v="0"/>
    <n v="0"/>
    <n v="0"/>
    <n v="0"/>
    <n v="0"/>
    <n v="0"/>
    <n v="0"/>
  </r>
  <r>
    <s v="L'Oreal"/>
    <x v="3"/>
    <x v="3"/>
    <x v="0"/>
    <x v="3"/>
    <n v="7509552849554"/>
    <x v="33"/>
    <x v="191"/>
    <x v="5"/>
    <n v="36"/>
    <n v="24"/>
    <n v="81"/>
    <n v="15"/>
    <n v="24"/>
    <n v="36"/>
    <n v="18"/>
    <n v="42"/>
    <n v="12"/>
    <n v="6"/>
    <n v="3"/>
    <n v="12"/>
    <n v="9"/>
    <n v="135"/>
    <n v="33"/>
    <n v="54"/>
    <n v="48"/>
    <n v="6"/>
    <n v="12"/>
    <n v="3"/>
    <n v="45"/>
    <n v="6"/>
    <n v="3"/>
    <n v="9"/>
    <n v="0"/>
    <n v="0"/>
    <n v="9"/>
    <n v="12"/>
    <n v="6"/>
    <n v="51"/>
    <n v="60"/>
    <n v="6"/>
    <n v="27"/>
    <n v="9"/>
    <n v="0"/>
    <n v="3"/>
    <n v="24"/>
    <n v="0"/>
    <n v="0"/>
    <n v="3"/>
    <n v="0"/>
    <n v="0"/>
  </r>
  <r>
    <s v="L'Oreal"/>
    <x v="3"/>
    <x v="3"/>
    <x v="0"/>
    <x v="3"/>
    <n v="7509552849561"/>
    <x v="33"/>
    <x v="192"/>
    <x v="5"/>
    <n v="105"/>
    <n v="93"/>
    <n v="153"/>
    <n v="57"/>
    <n v="45"/>
    <n v="42"/>
    <n v="30"/>
    <n v="24"/>
    <n v="69"/>
    <n v="33"/>
    <n v="51"/>
    <n v="30"/>
    <n v="48"/>
    <n v="51"/>
    <n v="12"/>
    <n v="81"/>
    <n v="93"/>
    <n v="12"/>
    <n v="0"/>
    <n v="30"/>
    <n v="51"/>
    <n v="24"/>
    <n v="30"/>
    <n v="27"/>
    <n v="66"/>
    <n v="0"/>
    <n v="0"/>
    <n v="12"/>
    <n v="18"/>
    <n v="93"/>
    <n v="24"/>
    <n v="0"/>
    <n v="51"/>
    <n v="42"/>
    <n v="0"/>
    <n v="9"/>
    <n v="75"/>
    <n v="51"/>
    <n v="27"/>
    <n v="9"/>
    <n v="78"/>
    <n v="6"/>
  </r>
  <r>
    <s v="L'Oreal"/>
    <x v="3"/>
    <x v="3"/>
    <x v="0"/>
    <x v="3"/>
    <n v="7509552849653"/>
    <x v="33"/>
    <x v="193"/>
    <x v="16"/>
    <n v="960"/>
    <n v="2240"/>
    <n v="0"/>
    <n v="708"/>
    <n v="600"/>
    <n v="324"/>
    <n v="156"/>
    <n v="144"/>
    <n v="276"/>
    <n v="0"/>
    <n v="0"/>
    <n v="12"/>
    <n v="1320"/>
    <n v="216"/>
    <n v="864"/>
    <n v="0"/>
    <n v="0"/>
    <n v="0"/>
    <n v="12"/>
    <n v="36"/>
    <n v="0"/>
    <n v="0"/>
    <n v="0"/>
    <n v="0"/>
    <n v="0"/>
    <n v="24"/>
    <n v="12"/>
    <n v="0"/>
    <n v="0"/>
    <n v="96"/>
    <n v="0"/>
    <n v="60"/>
    <n v="120"/>
    <n v="12"/>
    <n v="0"/>
    <n v="48"/>
    <n v="24"/>
    <n v="0"/>
    <n v="60"/>
    <n v="0"/>
    <n v="60"/>
    <n v="24"/>
  </r>
  <r>
    <s v="L'Oreal"/>
    <x v="3"/>
    <x v="3"/>
    <x v="0"/>
    <x v="3"/>
    <n v="7509552849660"/>
    <x v="33"/>
    <x v="194"/>
    <x v="8"/>
    <n v="1716"/>
    <n v="2208"/>
    <n v="798"/>
    <n v="786"/>
    <n v="156"/>
    <n v="630"/>
    <n v="1734"/>
    <n v="360"/>
    <n v="516"/>
    <n v="1110"/>
    <n v="216"/>
    <n v="1296"/>
    <n v="1380"/>
    <n v="954"/>
    <n v="1164"/>
    <n v="1158"/>
    <n v="1878"/>
    <n v="564"/>
    <n v="444"/>
    <n v="48"/>
    <n v="60"/>
    <n v="12"/>
    <n v="2454"/>
    <n v="2528"/>
    <n v="132"/>
    <n v="0"/>
    <n v="96"/>
    <n v="12"/>
    <n v="108"/>
    <n v="156"/>
    <n v="180"/>
    <n v="36"/>
    <n v="36"/>
    <n v="336"/>
    <n v="156"/>
    <n v="336"/>
    <n v="960"/>
    <n v="204"/>
    <n v="2088"/>
    <n v="1284"/>
    <n v="2160"/>
    <n v="2838"/>
  </r>
  <r>
    <s v="L'Oreal"/>
    <x v="3"/>
    <x v="3"/>
    <x v="0"/>
    <x v="3"/>
    <n v="7509552849691"/>
    <x v="33"/>
    <x v="195"/>
    <x v="1"/>
    <n v="1668"/>
    <n v="288"/>
    <n v="522"/>
    <n v="1164"/>
    <n v="252"/>
    <n v="192"/>
    <n v="620"/>
    <n v="8618"/>
    <n v="246"/>
    <n v="60"/>
    <n v="0"/>
    <n v="0"/>
    <n v="24"/>
    <n v="0"/>
    <n v="0"/>
    <n v="0"/>
    <n v="0"/>
    <n v="0"/>
    <n v="0"/>
    <n v="0"/>
    <n v="0"/>
    <n v="0"/>
    <n v="0"/>
    <n v="0"/>
    <n v="0"/>
    <n v="0"/>
    <n v="728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49707"/>
    <x v="33"/>
    <x v="196"/>
    <x v="1"/>
    <n v="3420"/>
    <n v="4748"/>
    <n v="1266"/>
    <n v="1770"/>
    <n v="552"/>
    <n v="906"/>
    <n v="2318"/>
    <n v="1166"/>
    <n v="516"/>
    <n v="1122"/>
    <n v="240"/>
    <n v="1572"/>
    <n v="1584"/>
    <n v="1350"/>
    <n v="1236"/>
    <n v="1290"/>
    <n v="1734"/>
    <n v="0"/>
    <n v="0"/>
    <n v="0"/>
    <n v="0"/>
    <n v="0"/>
    <n v="0"/>
    <n v="0"/>
    <n v="0"/>
    <n v="0"/>
    <n v="728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849714"/>
    <x v="33"/>
    <x v="197"/>
    <x v="5"/>
    <n v="72"/>
    <n v="72"/>
    <n v="12"/>
    <n v="12"/>
    <n v="0"/>
    <n v="48"/>
    <n v="12"/>
    <n v="72"/>
    <n v="36"/>
    <n v="12"/>
    <n v="0"/>
    <n v="24"/>
    <n v="60"/>
    <n v="108"/>
    <n v="0"/>
    <n v="48"/>
    <n v="96"/>
    <n v="0"/>
    <n v="36"/>
    <n v="12"/>
    <n v="60"/>
    <n v="12"/>
    <n v="60"/>
    <n v="36"/>
    <n v="84"/>
    <n v="24"/>
    <n v="24"/>
    <n v="0"/>
    <n v="0"/>
    <n v="0"/>
    <n v="48"/>
    <n v="0"/>
    <n v="60"/>
    <n v="72"/>
    <n v="0"/>
    <n v="12"/>
    <n v="108"/>
    <n v="0"/>
    <n v="0"/>
    <n v="0"/>
    <n v="12"/>
    <n v="36"/>
  </r>
  <r>
    <s v="L'Oreal"/>
    <x v="3"/>
    <x v="3"/>
    <x v="0"/>
    <x v="3"/>
    <n v="7509552849721"/>
    <x v="33"/>
    <x v="198"/>
    <x v="8"/>
    <n v="216"/>
    <n v="36"/>
    <n v="96"/>
    <n v="180"/>
    <n v="60"/>
    <n v="84"/>
    <n v="60"/>
    <n v="36"/>
    <n v="0"/>
    <n v="72"/>
    <n v="0"/>
    <n v="84"/>
    <n v="12"/>
    <n v="72"/>
    <n v="48"/>
    <n v="96"/>
    <n v="120"/>
    <n v="24"/>
    <n v="36"/>
    <n v="36"/>
    <n v="180"/>
    <n v="0"/>
    <n v="2442"/>
    <n v="2552"/>
    <n v="288"/>
    <n v="0"/>
    <n v="0"/>
    <n v="72"/>
    <n v="108"/>
    <n v="144"/>
    <n v="132"/>
    <n v="300"/>
    <n v="36"/>
    <n v="264"/>
    <n v="36"/>
    <n v="252"/>
    <n v="204"/>
    <n v="84"/>
    <n v="108"/>
    <n v="612"/>
    <n v="600"/>
    <n v="48"/>
  </r>
  <r>
    <s v="L'Oreal"/>
    <x v="3"/>
    <x v="3"/>
    <x v="0"/>
    <x v="3"/>
    <n v="7509552876499"/>
    <x v="35"/>
    <x v="199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648"/>
    <n v="72"/>
    <n v="540"/>
    <n v="456"/>
    <n v="24"/>
    <n v="60"/>
    <n v="180"/>
    <n v="300"/>
    <n v="96"/>
    <n v="312"/>
    <n v="72"/>
    <n v="156"/>
    <n v="168"/>
    <n v="204"/>
    <n v="120"/>
    <n v="228"/>
    <n v="204"/>
    <n v="264"/>
    <n v="348"/>
    <n v="132"/>
    <n v="180"/>
    <n v="264"/>
    <n v="612"/>
    <n v="768"/>
    <n v="36"/>
  </r>
  <r>
    <s v="L'Oreal"/>
    <x v="3"/>
    <x v="3"/>
    <x v="0"/>
    <x v="3"/>
    <n v="7509552876529"/>
    <x v="35"/>
    <x v="200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156"/>
    <n v="0"/>
    <n v="516"/>
    <n v="144"/>
    <n v="144"/>
    <n v="0"/>
    <n v="24"/>
    <n v="96"/>
    <n v="12"/>
    <n v="0"/>
    <n v="12"/>
    <n v="690"/>
    <n v="12"/>
    <n v="0"/>
    <n v="60"/>
    <n v="816"/>
    <n v="1260"/>
    <n v="36"/>
    <n v="72"/>
    <n v="600"/>
    <n v="4134"/>
    <n v="36"/>
    <n v="24"/>
    <n v="1584"/>
    <n v="180"/>
  </r>
  <r>
    <s v="L'Oreal"/>
    <x v="3"/>
    <x v="3"/>
    <x v="0"/>
    <x v="3"/>
    <n v="7509552876604"/>
    <x v="35"/>
    <x v="201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396"/>
    <n v="36"/>
    <n v="0"/>
    <n v="240"/>
    <n v="36"/>
    <n v="0"/>
    <n v="48"/>
    <n v="48"/>
    <n v="24"/>
    <n v="60"/>
    <n v="72"/>
    <n v="36"/>
    <n v="60"/>
    <n v="48"/>
    <n v="24"/>
    <n v="24"/>
    <n v="12"/>
    <n v="12"/>
    <n v="96"/>
    <n v="120"/>
    <n v="12"/>
    <n v="0"/>
    <n v="12"/>
    <n v="84"/>
    <n v="24"/>
  </r>
  <r>
    <s v="L'Oreal"/>
    <x v="3"/>
    <x v="3"/>
    <x v="0"/>
    <x v="3"/>
    <n v="7509552876611"/>
    <x v="27"/>
    <x v="20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"/>
    <n v="60"/>
  </r>
  <r>
    <s v="L'Oreal"/>
    <x v="3"/>
    <x v="3"/>
    <x v="0"/>
    <x v="3"/>
    <n v="7509552876628"/>
    <x v="27"/>
    <x v="20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"/>
    <n v="72"/>
  </r>
  <r>
    <s v="L'Oreal"/>
    <x v="3"/>
    <x v="3"/>
    <x v="0"/>
    <x v="3"/>
    <n v="7509552876635"/>
    <x v="27"/>
    <x v="204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"/>
    <n v="72"/>
  </r>
  <r>
    <s v="L'Oreal"/>
    <x v="3"/>
    <x v="3"/>
    <x v="0"/>
    <x v="3"/>
    <n v="7509552876666"/>
    <x v="35"/>
    <x v="2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648"/>
    <n v="96"/>
    <n v="456"/>
    <n v="408"/>
    <n v="264"/>
    <n v="0"/>
    <n v="168"/>
    <n v="216"/>
    <n v="60"/>
    <n v="180"/>
    <n v="216"/>
    <n v="762"/>
    <n v="132"/>
    <n v="84"/>
    <n v="180"/>
    <n v="984"/>
    <n v="1476"/>
    <n v="276"/>
    <n v="327"/>
    <n v="732"/>
    <n v="4266"/>
    <n v="336"/>
    <n v="660"/>
    <n v="4308"/>
    <n v="540"/>
  </r>
  <r>
    <s v="L'Oreal"/>
    <x v="3"/>
    <x v="3"/>
    <x v="0"/>
    <x v="3"/>
    <n v="7509552901696"/>
    <x v="36"/>
    <x v="206"/>
    <x v="8"/>
    <n v="276"/>
    <n v="144"/>
    <n v="108"/>
    <n v="228"/>
    <n v="168"/>
    <n v="72"/>
    <n v="156"/>
    <n v="144"/>
    <n v="108"/>
    <n v="60"/>
    <n v="36"/>
    <n v="48"/>
    <n v="144"/>
    <n v="72"/>
    <n v="72"/>
    <n v="120"/>
    <n v="60"/>
    <n v="84"/>
    <n v="36"/>
    <n v="0"/>
    <n v="0"/>
    <n v="0"/>
    <n v="108"/>
    <n v="132"/>
    <n v="120"/>
    <n v="36"/>
    <n v="24"/>
    <n v="60"/>
    <n v="60"/>
    <n v="180"/>
    <n v="144"/>
    <n v="120"/>
    <n v="84"/>
    <n v="204"/>
    <n v="264"/>
    <n v="216"/>
    <n v="108"/>
    <n v="0"/>
    <n v="0"/>
    <n v="0"/>
    <n v="0"/>
    <n v="0"/>
  </r>
  <r>
    <s v="L'Oreal"/>
    <x v="3"/>
    <x v="3"/>
    <x v="0"/>
    <x v="3"/>
    <n v="7509552905663"/>
    <x v="32"/>
    <x v="207"/>
    <x v="9"/>
    <n v="240"/>
    <n v="84"/>
    <n v="255"/>
    <n v="192"/>
    <n v="399"/>
    <n v="222"/>
    <n v="108"/>
    <n v="162"/>
    <n v="195"/>
    <n v="48"/>
    <n v="111"/>
    <n v="132"/>
    <n v="288"/>
    <n v="180"/>
    <n v="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906448"/>
    <x v="29"/>
    <x v="208"/>
    <x v="8"/>
    <n v="2250"/>
    <n v="1482"/>
    <n v="180"/>
    <n v="1176"/>
    <n v="612"/>
    <n v="1542"/>
    <n v="1914"/>
    <n v="990"/>
    <n v="540"/>
    <n v="1458"/>
    <n v="408"/>
    <n v="1578"/>
    <n v="1818"/>
    <n v="1986"/>
    <n v="648"/>
    <n v="1236"/>
    <n v="1722"/>
    <n v="726"/>
    <n v="2046"/>
    <n v="858"/>
    <n v="1194"/>
    <n v="12"/>
    <n v="84"/>
    <n v="156"/>
    <n v="192"/>
    <n v="48"/>
    <n v="84"/>
    <n v="876"/>
    <n v="144"/>
    <n v="288"/>
    <n v="1176"/>
    <n v="336"/>
    <n v="60"/>
    <n v="216"/>
    <n v="2508"/>
    <n v="264"/>
    <n v="432"/>
    <n v="48"/>
    <n v="300"/>
    <n v="804"/>
    <n v="720"/>
    <n v="84"/>
  </r>
  <r>
    <s v="L'Oreal"/>
    <x v="3"/>
    <x v="3"/>
    <x v="0"/>
    <x v="3"/>
    <n v="7509552906455"/>
    <x v="29"/>
    <x v="209"/>
    <x v="16"/>
    <n v="1208"/>
    <n v="0"/>
    <n v="0"/>
    <n v="708"/>
    <n v="600"/>
    <n v="168"/>
    <n v="36"/>
    <n v="120"/>
    <n v="24"/>
    <n v="48"/>
    <n v="-48"/>
    <n v="0"/>
    <n v="1320"/>
    <n v="324"/>
    <n v="864"/>
    <n v="0"/>
    <n v="0"/>
    <n v="12"/>
    <n v="0"/>
    <n v="84"/>
    <n v="12"/>
    <n v="0"/>
    <n v="0"/>
    <n v="0"/>
    <n v="48"/>
    <n v="12"/>
    <n v="180"/>
    <n v="0"/>
    <n v="0"/>
    <n v="12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906479"/>
    <x v="29"/>
    <x v="210"/>
    <x v="8"/>
    <n v="348"/>
    <n v="192"/>
    <n v="96"/>
    <n v="516"/>
    <n v="108"/>
    <n v="204"/>
    <n v="36"/>
    <n v="108"/>
    <n v="108"/>
    <n v="168"/>
    <n v="12"/>
    <n v="120"/>
    <n v="288"/>
    <n v="84"/>
    <n v="156"/>
    <n v="96"/>
    <n v="180"/>
    <n v="192"/>
    <n v="36"/>
    <n v="72"/>
    <n v="0"/>
    <n v="192"/>
    <n v="72"/>
    <n v="192"/>
    <n v="84"/>
    <n v="108"/>
    <n v="96"/>
    <n v="96"/>
    <n v="180"/>
    <n v="384"/>
    <n v="12"/>
    <n v="0"/>
    <n v="180"/>
    <n v="300"/>
    <n v="384"/>
    <n v="216"/>
    <n v="420"/>
    <n v="36"/>
    <n v="348"/>
    <n v="144"/>
    <n v="348"/>
    <n v="216"/>
  </r>
  <r>
    <s v="L'Oreal"/>
    <x v="3"/>
    <x v="3"/>
    <x v="0"/>
    <x v="3"/>
    <n v="7509552908701"/>
    <x v="30"/>
    <x v="211"/>
    <x v="8"/>
    <n v="2166"/>
    <n v="3504"/>
    <n v="780"/>
    <n v="654"/>
    <n v="264"/>
    <n v="1410"/>
    <n v="1722"/>
    <n v="762"/>
    <n v="462"/>
    <n v="1332"/>
    <n v="288"/>
    <n v="1326"/>
    <n v="1710"/>
    <n v="1674"/>
    <n v="954"/>
    <n v="1248"/>
    <n v="2838"/>
    <n v="720"/>
    <n v="1662"/>
    <n v="84"/>
    <n v="84"/>
    <n v="60"/>
    <n v="12"/>
    <n v="168"/>
    <n v="132"/>
    <n v="0"/>
    <n v="1836"/>
    <n v="4962"/>
    <n v="192"/>
    <n v="0"/>
    <n v="0"/>
    <n v="0"/>
    <n v="0"/>
    <n v="84"/>
    <n v="2316"/>
    <n v="512"/>
    <n v="636"/>
    <n v="450"/>
    <n v="1146"/>
    <n v="600"/>
    <n v="384"/>
    <n v="120"/>
  </r>
  <r>
    <s v="L'Oreal"/>
    <x v="3"/>
    <x v="3"/>
    <x v="0"/>
    <x v="3"/>
    <n v="7509552909678"/>
    <x v="37"/>
    <x v="212"/>
    <x v="8"/>
    <n v="0"/>
    <n v="0"/>
    <n v="0"/>
    <n v="0"/>
    <n v="1080"/>
    <n v="564"/>
    <n v="468"/>
    <n v="168"/>
    <n v="60"/>
    <n v="192"/>
    <n v="72"/>
    <n v="48"/>
    <n v="192"/>
    <n v="132"/>
    <n v="120"/>
    <n v="204"/>
    <n v="12"/>
    <n v="192"/>
    <n v="72"/>
    <n v="60"/>
    <n v="0"/>
    <n v="60"/>
    <n v="36"/>
    <n v="72"/>
    <n v="84"/>
    <n v="48"/>
    <n v="96"/>
    <n v="24"/>
    <n v="120"/>
    <n v="132"/>
    <n v="84"/>
    <n v="48"/>
    <n v="108"/>
    <n v="168"/>
    <n v="96"/>
    <n v="96"/>
    <n v="108"/>
    <n v="120"/>
    <n v="180"/>
    <n v="36"/>
    <n v="300"/>
    <n v="144"/>
  </r>
  <r>
    <s v="L'Oreal"/>
    <x v="3"/>
    <x v="3"/>
    <x v="0"/>
    <x v="3"/>
    <n v="7509552909913"/>
    <x v="32"/>
    <x v="213"/>
    <x v="9"/>
    <n v="102"/>
    <n v="27"/>
    <n v="93"/>
    <n v="90"/>
    <n v="201"/>
    <n v="120"/>
    <n v="15"/>
    <n v="111"/>
    <n v="114"/>
    <n v="18"/>
    <n v="39"/>
    <n v="21"/>
    <n v="123"/>
    <n v="60"/>
    <n v="102"/>
    <n v="66"/>
    <n v="39"/>
    <n v="135"/>
    <n v="63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914030"/>
    <x v="30"/>
    <x v="214"/>
    <x v="8"/>
    <n v="228"/>
    <n v="120"/>
    <n v="84"/>
    <n v="252"/>
    <n v="84"/>
    <n v="156"/>
    <n v="12"/>
    <n v="36"/>
    <n v="72"/>
    <n v="0"/>
    <n v="0"/>
    <n v="132"/>
    <n v="192"/>
    <n v="24"/>
    <n v="108"/>
    <n v="84"/>
    <n v="120"/>
    <n v="180"/>
    <n v="0"/>
    <n v="60"/>
    <n v="216"/>
    <n v="12"/>
    <n v="0"/>
    <n v="156"/>
    <n v="72"/>
    <n v="60"/>
    <n v="36"/>
    <n v="48"/>
    <n v="144"/>
    <n v="216"/>
    <n v="132"/>
    <n v="192"/>
    <n v="96"/>
    <n v="84"/>
    <n v="84"/>
    <n v="-12"/>
    <n v="0"/>
    <n v="0"/>
    <n v="0"/>
    <n v="0"/>
    <n v="0"/>
    <n v="0"/>
  </r>
  <r>
    <s v="L'Oreal"/>
    <x v="3"/>
    <x v="3"/>
    <x v="0"/>
    <x v="3"/>
    <n v="7509552914108"/>
    <x v="29"/>
    <x v="215"/>
    <x v="8"/>
    <n v="276"/>
    <n v="48"/>
    <n v="36"/>
    <n v="504"/>
    <n v="12"/>
    <n v="216"/>
    <n v="12"/>
    <n v="60"/>
    <n v="0"/>
    <n v="48"/>
    <n v="0"/>
    <n v="156"/>
    <n v="36"/>
    <n v="72"/>
    <n v="12"/>
    <n v="36"/>
    <n v="168"/>
    <n v="192"/>
    <n v="60"/>
    <n v="12"/>
    <n v="228"/>
    <n v="0"/>
    <n v="0"/>
    <n v="132"/>
    <n v="348"/>
    <n v="36"/>
    <n v="24"/>
    <n v="108"/>
    <n v="36"/>
    <n v="264"/>
    <n v="12"/>
    <n v="108"/>
    <n v="0"/>
    <n v="264"/>
    <n v="192"/>
    <n v="312"/>
    <n v="324"/>
    <n v="60"/>
    <n v="240"/>
    <n v="612"/>
    <n v="0"/>
    <n v="0"/>
  </r>
  <r>
    <s v="L'Oreal"/>
    <x v="3"/>
    <x v="3"/>
    <x v="0"/>
    <x v="3"/>
    <n v="7509552914641"/>
    <x v="38"/>
    <x v="216"/>
    <x v="8"/>
    <n v="60"/>
    <n v="48"/>
    <n v="60"/>
    <n v="36"/>
    <n v="60"/>
    <n v="12"/>
    <n v="24"/>
    <n v="12"/>
    <n v="12"/>
    <n v="12"/>
    <n v="12"/>
    <n v="24"/>
    <n v="84"/>
    <n v="36"/>
    <n v="60"/>
    <n v="12"/>
    <n v="84"/>
    <n v="36"/>
    <n v="36"/>
    <n v="36"/>
    <n v="12"/>
    <n v="0"/>
    <n v="0"/>
    <n v="0"/>
    <n v="36"/>
    <n v="12"/>
    <n v="48"/>
    <n v="12"/>
    <n v="24"/>
    <n v="96"/>
    <n v="36"/>
    <n v="12"/>
    <n v="0"/>
    <n v="60"/>
    <n v="24"/>
    <n v="0"/>
    <n v="60"/>
    <n v="60"/>
    <n v="48"/>
    <n v="0"/>
    <n v="0"/>
    <n v="0"/>
  </r>
  <r>
    <s v="L'Oreal"/>
    <x v="3"/>
    <x v="3"/>
    <x v="0"/>
    <x v="3"/>
    <n v="7509552914696"/>
    <x v="38"/>
    <x v="217"/>
    <x v="5"/>
    <n v="141"/>
    <n v="93"/>
    <n v="54"/>
    <n v="51"/>
    <n v="45"/>
    <n v="114"/>
    <n v="111"/>
    <n v="150"/>
    <n v="72"/>
    <n v="78"/>
    <n v="48"/>
    <n v="210"/>
    <n v="141"/>
    <n v="21"/>
    <n v="198"/>
    <n v="72"/>
    <n v="54"/>
    <n v="78"/>
    <n v="114"/>
    <n v="21"/>
    <n v="141"/>
    <n v="21"/>
    <n v="81"/>
    <n v="12"/>
    <n v="0"/>
    <n v="30"/>
    <n v="15"/>
    <n v="21"/>
    <n v="51"/>
    <n v="21"/>
    <n v="108"/>
    <n v="9"/>
    <n v="0"/>
    <n v="66"/>
    <n v="84"/>
    <n v="-6"/>
    <n v="204"/>
    <n v="11"/>
    <n v="33"/>
    <n v="36"/>
    <n v="120"/>
    <n v="90"/>
  </r>
  <r>
    <s v="L'Oreal"/>
    <x v="3"/>
    <x v="3"/>
    <x v="0"/>
    <x v="3"/>
    <n v="7509552915112"/>
    <x v="29"/>
    <x v="218"/>
    <x v="5"/>
    <n v="0"/>
    <n v="0"/>
    <n v="0"/>
    <n v="0"/>
    <n v="0"/>
    <n v="0"/>
    <n v="0"/>
    <n v="0"/>
    <n v="0"/>
    <n v="0"/>
    <n v="0"/>
    <n v="108"/>
    <n v="252"/>
    <n v="120"/>
    <n v="84"/>
    <n v="60"/>
    <n v="120"/>
    <n v="168"/>
    <n v="60"/>
    <n v="60"/>
    <n v="96"/>
    <n v="12"/>
    <n v="48"/>
    <n v="108"/>
    <n v="108"/>
    <n v="60"/>
    <n v="60"/>
    <n v="108"/>
    <n v="144"/>
    <n v="252"/>
    <n v="132"/>
    <n v="156"/>
    <n v="120"/>
    <n v="84"/>
    <n v="168"/>
    <n v="240"/>
    <n v="216"/>
    <n v="84"/>
    <n v="228"/>
    <n v="72"/>
    <n v="420"/>
    <n v="60"/>
  </r>
  <r>
    <s v="L'Oreal"/>
    <x v="3"/>
    <x v="3"/>
    <x v="0"/>
    <x v="3"/>
    <n v="7509552920864"/>
    <x v="31"/>
    <x v="21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4"/>
    <n v="582"/>
    <n v="870"/>
    <n v="1380"/>
    <n v="426"/>
    <n v="444"/>
    <n v="216"/>
    <n v="540"/>
    <n v="2322"/>
    <n v="1050"/>
    <n v="1116"/>
    <n v="3306"/>
  </r>
  <r>
    <s v="L'Oreal"/>
    <x v="3"/>
    <x v="3"/>
    <x v="0"/>
    <x v="3"/>
    <n v="7509552922226"/>
    <x v="33"/>
    <x v="22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1020"/>
    <n v="240"/>
    <n v="2244"/>
    <n v="672"/>
    <n v="1920"/>
    <n v="2886"/>
  </r>
  <r>
    <s v="L'Oreal"/>
    <x v="3"/>
    <x v="3"/>
    <x v="0"/>
    <x v="3"/>
    <n v="7509552922288"/>
    <x v="33"/>
    <x v="22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4"/>
    <n v="60"/>
    <n v="108"/>
    <n v="60"/>
    <n v="108"/>
    <n v="204"/>
    <n v="240"/>
    <n v="168"/>
    <n v="492"/>
    <n v="0"/>
    <n v="156"/>
    <n v="180"/>
  </r>
  <r>
    <s v="L'Oreal"/>
    <x v="3"/>
    <x v="3"/>
    <x v="0"/>
    <x v="3"/>
    <n v="7509552922301"/>
    <x v="39"/>
    <x v="22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"/>
    <n v="216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922325"/>
    <x v="39"/>
    <x v="22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"/>
    <n v="204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3"/>
    <n v="7509552922332"/>
    <x v="40"/>
    <x v="22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2"/>
    <n v="60"/>
    <n v="240"/>
    <n v="0"/>
    <n v="0"/>
    <n v="288"/>
    <n v="192"/>
    <n v="264"/>
    <n v="564"/>
    <n v="24"/>
    <n v="300"/>
    <n v="156"/>
  </r>
  <r>
    <s v="L'Oreal"/>
    <x v="3"/>
    <x v="3"/>
    <x v="0"/>
    <x v="3"/>
    <n v="7509552930535"/>
    <x v="41"/>
    <x v="22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6"/>
    <n v="48"/>
    <n v="384"/>
    <n v="108"/>
    <n v="348"/>
    <n v="216"/>
    <n v="24"/>
    <n v="1992"/>
    <n v="1572"/>
    <n v="3846"/>
    <n v="3204"/>
  </r>
  <r>
    <s v="L'Oreal"/>
    <x v="3"/>
    <x v="3"/>
    <x v="0"/>
    <x v="3"/>
    <n v="7509552930559"/>
    <x v="41"/>
    <x v="226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6"/>
    <n v="60"/>
    <n v="348"/>
    <n v="1998"/>
    <n v="3390"/>
    <n v="24"/>
    <n v="3204"/>
    <n v="276"/>
    <n v="2454"/>
    <n v="0"/>
    <n v="756"/>
  </r>
  <r>
    <s v="L'Oreal"/>
    <x v="3"/>
    <x v="3"/>
    <x v="0"/>
    <x v="3"/>
    <n v="7509552930573"/>
    <x v="41"/>
    <x v="227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6"/>
    <n v="24"/>
    <n v="48"/>
    <n v="0"/>
    <n v="60"/>
    <n v="72"/>
    <n v="12"/>
    <n v="24"/>
    <n v="0"/>
    <n v="36"/>
    <n v="24"/>
  </r>
  <r>
    <s v="L'Oreal"/>
    <x v="3"/>
    <x v="3"/>
    <x v="0"/>
    <x v="3"/>
    <n v="7509552932164"/>
    <x v="41"/>
    <x v="228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"/>
    <n v="60"/>
    <n v="12"/>
    <n v="1830"/>
    <n v="3186"/>
    <n v="0"/>
    <n v="3132"/>
    <n v="36"/>
    <n v="1830"/>
    <n v="2640"/>
    <n v="456"/>
  </r>
  <r>
    <s v="L'Oreal"/>
    <x v="3"/>
    <x v="3"/>
    <x v="0"/>
    <x v="3"/>
    <n v="7509552964035"/>
    <x v="41"/>
    <x v="22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2"/>
    <n v="1056"/>
    <n v="144"/>
    <n v="204"/>
    <n v="108"/>
  </r>
  <r>
    <s v="L'Oreal"/>
    <x v="3"/>
    <x v="3"/>
    <x v="0"/>
    <x v="3"/>
    <n v="7509552964042"/>
    <x v="41"/>
    <x v="23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"/>
    <n v="2844"/>
    <n v="936"/>
    <n v="3270"/>
    <n v="2772"/>
  </r>
  <r>
    <s v="L'Oreal"/>
    <x v="3"/>
    <x v="3"/>
    <x v="0"/>
    <x v="3"/>
    <n v="7899706170611"/>
    <x v="27"/>
    <x v="231"/>
    <x v="17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4"/>
    <n v="7501027218384"/>
    <x v="42"/>
    <x v="232"/>
    <x v="18"/>
    <n v="156"/>
    <n v="84"/>
    <n v="96"/>
    <n v="192"/>
    <n v="48"/>
    <n v="36"/>
    <n v="12"/>
    <n v="36"/>
    <n v="36"/>
    <n v="96"/>
    <n v="144"/>
    <n v="252"/>
    <n v="72"/>
    <n v="24"/>
    <n v="72"/>
    <n v="12"/>
    <n v="96"/>
    <n v="120"/>
    <n v="27"/>
    <n v="72"/>
    <n v="24"/>
    <n v="12"/>
    <n v="12"/>
    <n v="108"/>
    <n v="84"/>
    <n v="108"/>
    <n v="12"/>
    <n v="0"/>
    <n v="0"/>
    <n v="0"/>
    <n v="0"/>
    <n v="0"/>
    <n v="60"/>
    <n v="48"/>
    <n v="108"/>
    <n v="177"/>
    <n v="42"/>
    <n v="96"/>
    <n v="24"/>
    <n v="0"/>
    <n v="0"/>
    <n v="0"/>
  </r>
  <r>
    <s v="L'Oreal"/>
    <x v="3"/>
    <x v="3"/>
    <x v="0"/>
    <x v="4"/>
    <n v="7501027280657"/>
    <x v="42"/>
    <x v="233"/>
    <x v="18"/>
    <n v="108"/>
    <n v="108"/>
    <n v="108"/>
    <n v="180"/>
    <n v="132"/>
    <n v="24"/>
    <n v="36"/>
    <n v="48"/>
    <n v="12"/>
    <n v="48"/>
    <n v="132"/>
    <n v="324"/>
    <n v="84"/>
    <n v="72"/>
    <n v="72"/>
    <n v="24"/>
    <n v="96"/>
    <n v="114"/>
    <n v="54"/>
    <n v="87"/>
    <n v="15"/>
    <n v="30"/>
    <n v="45"/>
    <n v="114"/>
    <n v="156"/>
    <n v="48"/>
    <n v="0"/>
    <n v="129"/>
    <n v="60"/>
    <n v="228"/>
    <n v="36"/>
    <n v="24"/>
    <n v="33"/>
    <n v="90"/>
    <n v="36"/>
    <n v="0"/>
    <n v="0"/>
    <n v="0"/>
    <n v="0"/>
    <n v="204"/>
    <n v="0"/>
    <n v="0"/>
  </r>
  <r>
    <s v="L'Oreal"/>
    <x v="3"/>
    <x v="3"/>
    <x v="0"/>
    <x v="4"/>
    <n v="7509552780987"/>
    <x v="42"/>
    <x v="234"/>
    <x v="18"/>
    <n v="156"/>
    <n v="300"/>
    <n v="180"/>
    <n v="36"/>
    <n v="108"/>
    <n v="24"/>
    <n v="12"/>
    <n v="12"/>
    <n v="36"/>
    <n v="72"/>
    <n v="108"/>
    <n v="132"/>
    <n v="72"/>
    <n v="24"/>
    <n v="84"/>
    <n v="12"/>
    <n v="102"/>
    <n v="102"/>
    <n v="14"/>
    <n v="69"/>
    <n v="36"/>
    <n v="12"/>
    <n v="0"/>
    <n v="48"/>
    <n v="36"/>
    <n v="111"/>
    <n v="15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0"/>
    <x v="5"/>
    <n v="71249119297"/>
    <x v="43"/>
    <x v="235"/>
    <x v="0"/>
    <n v="288"/>
    <n v="321"/>
    <n v="138"/>
    <n v="207"/>
    <n v="0"/>
    <n v="0"/>
    <n v="0"/>
    <n v="0"/>
    <n v="357"/>
    <n v="102"/>
    <n v="549"/>
    <n v="293"/>
    <n v="0"/>
    <n v="144"/>
    <n v="336"/>
    <n v="222"/>
    <n v="159"/>
    <n v="165"/>
    <n v="135"/>
    <n v="153"/>
    <n v="258"/>
    <n v="36"/>
    <n v="156"/>
    <n v="453"/>
    <n v="171"/>
    <n v="201"/>
    <n v="210"/>
    <n v="0"/>
    <n v="0"/>
    <n v="9"/>
    <n v="54"/>
    <n v="234"/>
    <n v="0"/>
    <n v="0"/>
    <n v="456"/>
    <n v="441"/>
    <n v="117"/>
    <n v="198"/>
    <n v="60"/>
    <n v="714"/>
    <n v="84"/>
    <n v="198"/>
  </r>
  <r>
    <s v="L'Oreal"/>
    <x v="3"/>
    <x v="3"/>
    <x v="0"/>
    <x v="5"/>
    <n v="71249119334"/>
    <x v="44"/>
    <x v="236"/>
    <x v="0"/>
    <n v="69"/>
    <n v="0"/>
    <n v="105"/>
    <n v="96"/>
    <n v="0"/>
    <n v="0"/>
    <n v="0"/>
    <n v="0"/>
    <n v="0"/>
    <n v="0"/>
    <n v="393"/>
    <n v="6"/>
    <n v="0"/>
    <n v="144"/>
    <n v="306"/>
    <n v="195"/>
    <n v="81"/>
    <n v="138"/>
    <n v="60"/>
    <n v="93"/>
    <n v="147"/>
    <n v="12"/>
    <n v="90"/>
    <n v="63"/>
    <n v="0"/>
    <n v="0"/>
    <n v="366"/>
    <n v="27"/>
    <n v="78"/>
    <n v="36"/>
    <n v="111"/>
    <n v="72"/>
    <n v="288"/>
    <n v="210"/>
    <n v="225"/>
    <n v="342"/>
    <n v="159"/>
    <n v="93"/>
    <n v="78"/>
    <n v="525"/>
    <n v="42"/>
    <n v="99"/>
  </r>
  <r>
    <s v="L'Oreal"/>
    <x v="3"/>
    <x v="3"/>
    <x v="0"/>
    <x v="5"/>
    <n v="7501027252838"/>
    <x v="45"/>
    <x v="237"/>
    <x v="0"/>
    <n v="96"/>
    <n v="0"/>
    <n v="90"/>
    <n v="48"/>
    <n v="54"/>
    <n v="132"/>
    <n v="42"/>
    <n v="24"/>
    <n v="96"/>
    <n v="0"/>
    <n v="153"/>
    <n v="114"/>
    <n v="36"/>
    <n v="156"/>
    <n v="24"/>
    <n v="0"/>
    <n v="0"/>
    <n v="6"/>
    <n v="66"/>
    <n v="27"/>
    <n v="90"/>
    <n v="0"/>
    <n v="24"/>
    <n v="126"/>
    <n v="54"/>
    <n v="0"/>
    <n v="0"/>
    <n v="0"/>
    <n v="18"/>
    <n v="114"/>
    <n v="12"/>
    <n v="0"/>
    <n v="0"/>
    <n v="12"/>
    <n v="42"/>
    <n v="162"/>
    <n v="0"/>
    <n v="0"/>
    <n v="0"/>
    <n v="216"/>
    <n v="60"/>
    <n v="45"/>
  </r>
  <r>
    <s v="L'Oreal"/>
    <x v="3"/>
    <x v="3"/>
    <x v="0"/>
    <x v="5"/>
    <n v="7501027284945"/>
    <x v="46"/>
    <x v="238"/>
    <x v="0"/>
    <n v="432"/>
    <n v="0"/>
    <n v="420"/>
    <n v="204"/>
    <n v="249"/>
    <n v="192"/>
    <n v="276"/>
    <n v="270"/>
    <n v="471"/>
    <n v="378"/>
    <n v="279"/>
    <n v="417"/>
    <n v="498"/>
    <n v="171"/>
    <n v="525"/>
    <n v="270"/>
    <n v="102"/>
    <n v="210"/>
    <n v="129"/>
    <n v="180"/>
    <n v="315"/>
    <n v="30"/>
    <n v="237"/>
    <n v="387"/>
    <n v="312"/>
    <n v="0"/>
    <n v="0"/>
    <n v="339"/>
    <n v="321"/>
    <n v="54"/>
    <n v="105"/>
    <n v="0"/>
    <n v="0"/>
    <n v="114"/>
    <n v="288"/>
    <n v="30"/>
    <n v="84"/>
    <n v="6"/>
    <n v="51"/>
    <n v="540"/>
    <n v="120"/>
    <n v="222"/>
  </r>
  <r>
    <s v="L'Oreal"/>
    <x v="3"/>
    <x v="3"/>
    <x v="1"/>
    <x v="6"/>
    <n v="7896014184439"/>
    <x v="47"/>
    <x v="239"/>
    <x v="19"/>
    <n v="93"/>
    <n v="33"/>
    <n v="69"/>
    <n v="36"/>
    <n v="87"/>
    <n v="180"/>
    <n v="18"/>
    <n v="39"/>
    <n v="87"/>
    <n v="63"/>
    <n v="99"/>
    <n v="24"/>
    <n v="117"/>
    <n v="3"/>
    <n v="132"/>
    <n v="30"/>
    <n v="87"/>
    <n v="99"/>
    <n v="15"/>
    <n v="72"/>
    <n v="87"/>
    <n v="99"/>
    <n v="27"/>
    <n v="66"/>
    <n v="33"/>
    <n v="132"/>
    <n v="0"/>
    <n v="15"/>
    <n v="3"/>
    <n v="108"/>
    <n v="39"/>
    <n v="54"/>
    <n v="63"/>
    <n v="45"/>
    <n v="102"/>
    <n v="33"/>
    <n v="18"/>
    <n v="33"/>
    <n v="30"/>
    <n v="114"/>
    <n v="33"/>
    <n v="42"/>
  </r>
  <r>
    <s v="L'Oreal"/>
    <x v="3"/>
    <x v="3"/>
    <x v="1"/>
    <x v="6"/>
    <n v="7896014184477"/>
    <x v="47"/>
    <x v="240"/>
    <x v="19"/>
    <n v="51"/>
    <n v="9"/>
    <n v="12"/>
    <n v="57"/>
    <n v="72"/>
    <n v="87"/>
    <n v="9"/>
    <n v="3"/>
    <n v="51"/>
    <n v="69"/>
    <n v="60"/>
    <n v="0"/>
    <n v="66"/>
    <n v="6"/>
    <n v="72"/>
    <n v="0"/>
    <n v="63"/>
    <n v="24"/>
    <n v="0"/>
    <n v="24"/>
    <n v="42"/>
    <n v="27"/>
    <n v="54"/>
    <n v="45"/>
    <n v="15"/>
    <n v="48"/>
    <n v="0"/>
    <n v="6"/>
    <n v="0"/>
    <n v="75"/>
    <n v="9"/>
    <n v="48"/>
    <n v="75"/>
    <n v="15"/>
    <n v="66"/>
    <n v="0"/>
    <n v="72"/>
    <n v="15"/>
    <n v="42"/>
    <n v="36"/>
    <n v="51"/>
    <n v="15"/>
  </r>
  <r>
    <s v="L'Oreal"/>
    <x v="3"/>
    <x v="3"/>
    <x v="1"/>
    <x v="6"/>
    <n v="7896014184484"/>
    <x v="47"/>
    <x v="241"/>
    <x v="19"/>
    <n v="174"/>
    <n v="156"/>
    <n v="126"/>
    <n v="0"/>
    <n v="177"/>
    <n v="420"/>
    <n v="30"/>
    <n v="120"/>
    <n v="216"/>
    <n v="123"/>
    <n v="183"/>
    <n v="75"/>
    <n v="258"/>
    <n v="24"/>
    <n v="141"/>
    <n v="114"/>
    <n v="219"/>
    <n v="204"/>
    <n v="6"/>
    <n v="105"/>
    <n v="162"/>
    <n v="0"/>
    <n v="6"/>
    <n v="267"/>
    <n v="144"/>
    <n v="264"/>
    <n v="9"/>
    <n v="21"/>
    <n v="3"/>
    <n v="333"/>
    <n v="39"/>
    <n v="150"/>
    <n v="231"/>
    <n v="60"/>
    <n v="297"/>
    <n v="96"/>
    <n v="111"/>
    <n v="54"/>
    <n v="60"/>
    <n v="207"/>
    <n v="108"/>
    <n v="90"/>
  </r>
  <r>
    <s v="L'Oreal"/>
    <x v="3"/>
    <x v="3"/>
    <x v="1"/>
    <x v="6"/>
    <n v="7896014184491"/>
    <x v="47"/>
    <x v="242"/>
    <x v="19"/>
    <n v="30"/>
    <n v="69"/>
    <n v="63"/>
    <n v="51"/>
    <n v="153"/>
    <n v="183"/>
    <n v="66"/>
    <n v="39"/>
    <n v="96"/>
    <n v="129"/>
    <n v="126"/>
    <n v="12"/>
    <n v="102"/>
    <n v="15"/>
    <n v="126"/>
    <n v="21"/>
    <n v="138"/>
    <n v="63"/>
    <n v="39"/>
    <n v="102"/>
    <n v="198"/>
    <n v="9"/>
    <n v="81"/>
    <n v="54"/>
    <n v="78"/>
    <n v="135"/>
    <n v="0"/>
    <n v="27"/>
    <n v="9"/>
    <n v="156"/>
    <n v="39"/>
    <n v="69"/>
    <n v="159"/>
    <n v="45"/>
    <n v="153"/>
    <n v="51"/>
    <n v="150"/>
    <n v="66"/>
    <n v="30"/>
    <n v="138"/>
    <n v="81"/>
    <n v="42"/>
  </r>
  <r>
    <s v="L'Oreal"/>
    <x v="3"/>
    <x v="3"/>
    <x v="1"/>
    <x v="6"/>
    <n v="7896014184507"/>
    <x v="47"/>
    <x v="243"/>
    <x v="19"/>
    <n v="120"/>
    <n v="39"/>
    <n v="39"/>
    <n v="45"/>
    <n v="75"/>
    <n v="138"/>
    <n v="18"/>
    <n v="33"/>
    <n v="84"/>
    <n v="60"/>
    <n v="87"/>
    <n v="24"/>
    <n v="114"/>
    <n v="12"/>
    <n v="21"/>
    <n v="39"/>
    <n v="84"/>
    <n v="195"/>
    <n v="6"/>
    <n v="3"/>
    <n v="9"/>
    <n v="9"/>
    <n v="78"/>
    <n v="21"/>
    <n v="27"/>
    <n v="96"/>
    <n v="3"/>
    <n v="6"/>
    <n v="0"/>
    <n v="87"/>
    <n v="36"/>
    <n v="66"/>
    <n v="105"/>
    <n v="9"/>
    <n v="117"/>
    <n v="57"/>
    <n v="21"/>
    <n v="69"/>
    <n v="9"/>
    <n v="105"/>
    <n v="12"/>
    <n v="15"/>
  </r>
  <r>
    <s v="L'Oreal"/>
    <x v="3"/>
    <x v="3"/>
    <x v="1"/>
    <x v="6"/>
    <n v="7896014184514"/>
    <x v="47"/>
    <x v="244"/>
    <x v="19"/>
    <n v="171"/>
    <n v="153"/>
    <n v="150"/>
    <n v="48"/>
    <n v="182"/>
    <n v="429"/>
    <n v="69"/>
    <n v="129"/>
    <n v="132"/>
    <n v="129"/>
    <n v="174"/>
    <n v="42"/>
    <n v="261"/>
    <n v="21"/>
    <n v="183"/>
    <n v="75"/>
    <n v="195"/>
    <n v="342"/>
    <n v="21"/>
    <n v="15"/>
    <n v="225"/>
    <n v="63"/>
    <n v="0"/>
    <n v="200"/>
    <n v="60"/>
    <n v="213"/>
    <n v="3"/>
    <n v="15"/>
    <n v="9"/>
    <n v="300"/>
    <n v="12"/>
    <n v="111"/>
    <n v="201"/>
    <n v="60"/>
    <n v="225"/>
    <n v="66"/>
    <n v="156"/>
    <n v="105"/>
    <n v="42"/>
    <n v="6"/>
    <n v="156"/>
    <n v="132"/>
  </r>
  <r>
    <s v="L'Oreal"/>
    <x v="3"/>
    <x v="3"/>
    <x v="1"/>
    <x v="6"/>
    <n v="7896014184538"/>
    <x v="47"/>
    <x v="245"/>
    <x v="19"/>
    <n v="27"/>
    <n v="45"/>
    <n v="12"/>
    <n v="0"/>
    <n v="43"/>
    <n v="123"/>
    <n v="45"/>
    <n v="30"/>
    <n v="51"/>
    <n v="63"/>
    <n v="12"/>
    <n v="3"/>
    <n v="63"/>
    <n v="21"/>
    <n v="66"/>
    <n v="15"/>
    <n v="60"/>
    <n v="0"/>
    <n v="30"/>
    <n v="51"/>
    <n v="96"/>
    <n v="18"/>
    <n v="39"/>
    <n v="21"/>
    <n v="6"/>
    <n v="105"/>
    <n v="3"/>
    <n v="9"/>
    <n v="6"/>
    <n v="66"/>
    <n v="3"/>
    <n v="33"/>
    <n v="36"/>
    <n v="48"/>
    <n v="96"/>
    <n v="0"/>
    <n v="45"/>
    <n v="33"/>
    <n v="12"/>
    <n v="27"/>
    <n v="102"/>
    <n v="18"/>
  </r>
  <r>
    <s v="L'Oreal"/>
    <x v="3"/>
    <x v="3"/>
    <x v="1"/>
    <x v="6"/>
    <n v="7896014184545"/>
    <x v="47"/>
    <x v="246"/>
    <x v="19"/>
    <n v="33"/>
    <n v="21"/>
    <n v="36"/>
    <n v="48"/>
    <n v="60"/>
    <n v="114"/>
    <n v="12"/>
    <n v="36"/>
    <n v="6"/>
    <n v="63"/>
    <n v="54"/>
    <n v="12"/>
    <n v="123"/>
    <n v="9"/>
    <n v="69"/>
    <n v="3"/>
    <n v="69"/>
    <n v="24"/>
    <n v="6"/>
    <n v="24"/>
    <n v="60"/>
    <n v="30"/>
    <n v="54"/>
    <n v="45"/>
    <n v="12"/>
    <n v="93"/>
    <n v="0"/>
    <n v="3"/>
    <n v="3"/>
    <n v="75"/>
    <n v="12"/>
    <n v="24"/>
    <n v="57"/>
    <n v="30"/>
    <n v="81"/>
    <n v="12"/>
    <n v="45"/>
    <n v="21"/>
    <n v="18"/>
    <n v="36"/>
    <n v="12"/>
    <n v="0"/>
  </r>
  <r>
    <s v="L'Oreal"/>
    <x v="3"/>
    <x v="3"/>
    <x v="1"/>
    <x v="6"/>
    <n v="7896014184552"/>
    <x v="47"/>
    <x v="247"/>
    <x v="19"/>
    <n v="66"/>
    <n v="24"/>
    <n v="45"/>
    <n v="54"/>
    <n v="72"/>
    <n v="135"/>
    <n v="30"/>
    <n v="33"/>
    <n v="63"/>
    <n v="72"/>
    <n v="63"/>
    <n v="12"/>
    <n v="90"/>
    <n v="9"/>
    <n v="87"/>
    <n v="21"/>
    <n v="66"/>
    <n v="195"/>
    <n v="24"/>
    <n v="9"/>
    <n v="27"/>
    <n v="3"/>
    <n v="60"/>
    <n v="9"/>
    <n v="0"/>
    <n v="63"/>
    <n v="0"/>
    <n v="3"/>
    <n v="0"/>
    <n v="51"/>
    <n v="27"/>
    <n v="51"/>
    <n v="84"/>
    <n v="27"/>
    <n v="105"/>
    <n v="21"/>
    <n v="54"/>
    <n v="27"/>
    <n v="30"/>
    <n v="27"/>
    <n v="48"/>
    <n v="18"/>
  </r>
  <r>
    <s v="L'Oreal"/>
    <x v="3"/>
    <x v="3"/>
    <x v="1"/>
    <x v="6"/>
    <n v="7896014184569"/>
    <x v="47"/>
    <x v="248"/>
    <x v="19"/>
    <n v="66"/>
    <n v="15"/>
    <n v="33"/>
    <n v="60"/>
    <n v="63"/>
    <n v="120"/>
    <n v="6"/>
    <n v="66"/>
    <n v="48"/>
    <n v="60"/>
    <n v="54"/>
    <n v="3"/>
    <n v="99"/>
    <n v="9"/>
    <n v="66"/>
    <n v="42"/>
    <n v="93"/>
    <n v="144"/>
    <n v="0"/>
    <n v="3"/>
    <n v="15"/>
    <n v="48"/>
    <n v="48"/>
    <n v="48"/>
    <n v="36"/>
    <n v="138"/>
    <n v="24"/>
    <n v="12"/>
    <n v="3"/>
    <n v="57"/>
    <n v="30"/>
    <n v="51"/>
    <n v="108"/>
    <n v="12"/>
    <n v="78"/>
    <n v="30"/>
    <n v="84"/>
    <n v="36"/>
    <n v="6"/>
    <n v="51"/>
    <n v="51"/>
    <n v="39"/>
  </r>
  <r>
    <s v="L'Oreal"/>
    <x v="3"/>
    <x v="3"/>
    <x v="1"/>
    <x v="6"/>
    <n v="7896014187997"/>
    <x v="47"/>
    <x v="249"/>
    <x v="19"/>
    <n v="162"/>
    <n v="66"/>
    <n v="141"/>
    <n v="24"/>
    <n v="182"/>
    <n v="285"/>
    <n v="60"/>
    <n v="117"/>
    <n v="132"/>
    <n v="123"/>
    <n v="135"/>
    <n v="42"/>
    <n v="165"/>
    <n v="9"/>
    <n v="243"/>
    <n v="3"/>
    <n v="204"/>
    <n v="291"/>
    <n v="36"/>
    <n v="9"/>
    <n v="147"/>
    <n v="81"/>
    <n v="99"/>
    <n v="57"/>
    <n v="63"/>
    <n v="210"/>
    <n v="3"/>
    <n v="9"/>
    <n v="3"/>
    <n v="222"/>
    <n v="87"/>
    <n v="123"/>
    <n v="132"/>
    <n v="105"/>
    <n v="222"/>
    <n v="78"/>
    <n v="102"/>
    <n v="51"/>
    <n v="72"/>
    <n v="207"/>
    <n v="96"/>
    <n v="48"/>
  </r>
  <r>
    <s v="L'Oreal"/>
    <x v="3"/>
    <x v="3"/>
    <x v="1"/>
    <x v="6"/>
    <n v="7896014188000"/>
    <x v="47"/>
    <x v="250"/>
    <x v="19"/>
    <n v="51"/>
    <n v="30"/>
    <n v="63"/>
    <n v="51"/>
    <n v="51"/>
    <n v="153"/>
    <n v="9"/>
    <n v="0"/>
    <n v="54"/>
    <n v="60"/>
    <n v="57"/>
    <n v="15"/>
    <n v="63"/>
    <n v="12"/>
    <n v="36"/>
    <n v="42"/>
    <n v="48"/>
    <n v="9"/>
    <n v="21"/>
    <n v="36"/>
    <n v="66"/>
    <n v="15"/>
    <n v="66"/>
    <n v="36"/>
    <n v="27"/>
    <n v="90"/>
    <n v="3"/>
    <n v="15"/>
    <n v="0"/>
    <n v="72"/>
    <n v="3"/>
    <n v="33"/>
    <n v="54"/>
    <n v="30"/>
    <n v="63"/>
    <n v="3"/>
    <n v="72"/>
    <n v="6"/>
    <n v="3"/>
    <n v="102"/>
    <n v="15"/>
    <n v="36"/>
  </r>
  <r>
    <s v="L'Oreal"/>
    <x v="3"/>
    <x v="3"/>
    <x v="1"/>
    <x v="6"/>
    <n v="7896014188017"/>
    <x v="47"/>
    <x v="251"/>
    <x v="19"/>
    <n v="102"/>
    <n v="120"/>
    <n v="156"/>
    <n v="156"/>
    <n v="114"/>
    <n v="324"/>
    <n v="84"/>
    <n v="105"/>
    <n v="135"/>
    <n v="135"/>
    <n v="243"/>
    <n v="63"/>
    <n v="276"/>
    <n v="36"/>
    <n v="168"/>
    <n v="99"/>
    <n v="228"/>
    <n v="324"/>
    <n v="-6"/>
    <n v="87"/>
    <n v="303"/>
    <n v="9"/>
    <n v="6"/>
    <n v="255"/>
    <n v="126"/>
    <n v="195"/>
    <n v="0"/>
    <n v="27"/>
    <n v="3"/>
    <n v="351"/>
    <n v="39"/>
    <n v="135"/>
    <n v="192"/>
    <n v="102"/>
    <n v="279"/>
    <n v="39"/>
    <n v="177"/>
    <n v="72"/>
    <n v="57"/>
    <n v="156"/>
    <n v="204"/>
    <n v="39"/>
  </r>
  <r>
    <s v="L'Oreal"/>
    <x v="3"/>
    <x v="3"/>
    <x v="1"/>
    <x v="6"/>
    <n v="7896014188031"/>
    <x v="47"/>
    <x v="252"/>
    <x v="19"/>
    <n v="177"/>
    <n v="63"/>
    <n v="138"/>
    <n v="0"/>
    <n v="158"/>
    <n v="357"/>
    <n v="87"/>
    <n v="129"/>
    <n v="81"/>
    <n v="135"/>
    <n v="228"/>
    <n v="78"/>
    <n v="258"/>
    <n v="33"/>
    <n v="126"/>
    <n v="78"/>
    <n v="192"/>
    <n v="360"/>
    <n v="15"/>
    <n v="6"/>
    <n v="126"/>
    <n v="0"/>
    <n v="6"/>
    <n v="225"/>
    <n v="84"/>
    <n v="174"/>
    <n v="6"/>
    <n v="27"/>
    <n v="9"/>
    <n v="225"/>
    <n v="90"/>
    <n v="114"/>
    <n v="198"/>
    <n v="18"/>
    <n v="252"/>
    <n v="84"/>
    <n v="111"/>
    <n v="9"/>
    <n v="36"/>
    <n v="171"/>
    <n v="180"/>
    <n v="30"/>
  </r>
  <r>
    <s v="L'Oreal"/>
    <x v="3"/>
    <x v="3"/>
    <x v="1"/>
    <x v="6"/>
    <n v="7899026496507"/>
    <x v="47"/>
    <x v="253"/>
    <x v="19"/>
    <n v="39"/>
    <n v="24"/>
    <n v="12"/>
    <n v="30"/>
    <n v="63"/>
    <n v="42"/>
    <n v="33"/>
    <n v="39"/>
    <n v="48"/>
    <n v="63"/>
    <n v="27"/>
    <n v="3"/>
    <n v="48"/>
    <n v="3"/>
    <n v="39"/>
    <n v="0"/>
    <n v="36"/>
    <n v="42"/>
    <n v="15"/>
    <n v="18"/>
    <n v="51"/>
    <n v="0"/>
    <n v="42"/>
    <n v="57"/>
    <n v="18"/>
    <n v="0"/>
    <n v="24"/>
    <n v="3"/>
    <n v="0"/>
    <n v="42"/>
    <n v="12"/>
    <n v="45"/>
    <n v="39"/>
    <n v="3"/>
    <n v="51"/>
    <n v="39"/>
    <n v="12"/>
    <n v="45"/>
    <n v="3"/>
    <n v="30"/>
    <n v="0"/>
    <n v="30"/>
  </r>
  <r>
    <s v="L'Oreal"/>
    <x v="3"/>
    <x v="3"/>
    <x v="1"/>
    <x v="6"/>
    <n v="7899026496514"/>
    <x v="47"/>
    <x v="254"/>
    <x v="19"/>
    <n v="0"/>
    <n v="0"/>
    <n v="0"/>
    <n v="57"/>
    <n v="78"/>
    <n v="45"/>
    <n v="6"/>
    <n v="0"/>
    <n v="27"/>
    <n v="24"/>
    <n v="6"/>
    <n v="30"/>
    <n v="30"/>
    <n v="6"/>
    <n v="15"/>
    <n v="0"/>
    <n v="24"/>
    <n v="6"/>
    <n v="12"/>
    <n v="27"/>
    <n v="0"/>
    <n v="0"/>
    <n v="36"/>
    <n v="48"/>
    <n v="12"/>
    <n v="15"/>
    <n v="3"/>
    <n v="3"/>
    <n v="18"/>
    <n v="45"/>
    <n v="18"/>
    <n v="3"/>
    <n v="0"/>
    <n v="0"/>
    <n v="0"/>
    <n v="0"/>
    <n v="0"/>
    <n v="0"/>
    <n v="0"/>
    <n v="69"/>
    <n v="24"/>
    <n v="9"/>
  </r>
  <r>
    <s v="L'Oreal"/>
    <x v="3"/>
    <x v="3"/>
    <x v="1"/>
    <x v="6"/>
    <n v="7899706135887"/>
    <x v="47"/>
    <x v="255"/>
    <x v="19"/>
    <n v="12"/>
    <n v="12"/>
    <n v="6"/>
    <n v="21"/>
    <n v="3"/>
    <n v="0"/>
    <n v="3"/>
    <n v="3"/>
    <n v="0"/>
    <n v="3"/>
    <n v="6"/>
    <n v="0"/>
    <n v="3"/>
    <n v="15"/>
    <n v="36"/>
    <n v="6"/>
    <n v="6"/>
    <n v="9"/>
    <n v="6"/>
    <n v="3"/>
    <n v="18"/>
    <n v="3"/>
    <n v="15"/>
    <n v="3"/>
    <n v="0"/>
    <n v="12"/>
    <n v="3"/>
    <n v="0"/>
    <n v="3"/>
    <n v="3"/>
    <n v="3"/>
    <n v="6"/>
    <n v="9"/>
    <n v="3"/>
    <n v="3"/>
    <n v="0"/>
    <n v="15"/>
    <n v="3"/>
    <n v="0"/>
    <n v="12"/>
    <n v="9"/>
    <n v="9"/>
  </r>
  <r>
    <s v="L'Oreal"/>
    <x v="3"/>
    <x v="3"/>
    <x v="1"/>
    <x v="7"/>
    <n v="7509552828894"/>
    <x v="48"/>
    <x v="256"/>
    <x v="19"/>
    <n v="1860"/>
    <n v="832"/>
    <n v="2040"/>
    <n v="582"/>
    <n v="906"/>
    <n v="2610"/>
    <n v="420"/>
    <n v="1464"/>
    <n v="954"/>
    <n v="1092"/>
    <n v="1440"/>
    <n v="1224"/>
    <n v="1014"/>
    <n v="504"/>
    <n v="2418"/>
    <n v="174"/>
    <n v="1056"/>
    <n v="2292"/>
    <n v="516"/>
    <n v="468"/>
    <n v="1950"/>
    <n v="300"/>
    <n v="924"/>
    <n v="1212"/>
    <n v="1164"/>
    <n v="498"/>
    <n v="0"/>
    <n v="1404"/>
    <n v="804"/>
    <n v="1776"/>
    <n v="366"/>
    <n v="1152"/>
    <n v="846"/>
    <n v="768"/>
    <n v="900"/>
    <n v="1242"/>
    <n v="1056"/>
    <n v="516"/>
    <n v="2316"/>
    <n v="102"/>
    <n v="558"/>
    <n v="564"/>
  </r>
  <r>
    <s v="L'Oreal"/>
    <x v="3"/>
    <x v="3"/>
    <x v="1"/>
    <x v="7"/>
    <n v="7898587770651"/>
    <x v="48"/>
    <x v="257"/>
    <x v="19"/>
    <n v="660"/>
    <n v="378"/>
    <n v="708"/>
    <n v="192"/>
    <n v="366"/>
    <n v="1716"/>
    <n v="132"/>
    <n v="234"/>
    <n v="444"/>
    <n v="366"/>
    <n v="660"/>
    <n v="468"/>
    <n v="330"/>
    <n v="84"/>
    <n v="1062"/>
    <n v="264"/>
    <n v="312"/>
    <n v="996"/>
    <n v="222"/>
    <n v="192"/>
    <n v="624"/>
    <n v="126"/>
    <n v="216"/>
    <n v="606"/>
    <n v="438"/>
    <n v="0"/>
    <n v="0"/>
    <n v="714"/>
    <n v="384"/>
    <n v="996"/>
    <n v="222"/>
    <n v="456"/>
    <n v="264"/>
    <n v="306"/>
    <n v="288"/>
    <n v="1194"/>
    <n v="432"/>
    <n v="156"/>
    <n v="762"/>
    <n v="144"/>
    <n v="414"/>
    <n v="216"/>
  </r>
  <r>
    <s v="L'Oreal"/>
    <x v="3"/>
    <x v="3"/>
    <x v="1"/>
    <x v="7"/>
    <n v="7898587770668"/>
    <x v="48"/>
    <x v="258"/>
    <x v="19"/>
    <n v="1632"/>
    <n v="786"/>
    <n v="1776"/>
    <n v="582"/>
    <n v="996"/>
    <n v="2346"/>
    <n v="396"/>
    <n v="1662"/>
    <n v="516"/>
    <n v="762"/>
    <n v="1404"/>
    <n v="828"/>
    <n v="792"/>
    <n v="456"/>
    <n v="2178"/>
    <n v="372"/>
    <n v="714"/>
    <n v="2484"/>
    <n v="138"/>
    <n v="342"/>
    <n v="1392"/>
    <n v="492"/>
    <n v="810"/>
    <n v="1074"/>
    <n v="996"/>
    <n v="246"/>
    <n v="0"/>
    <n v="396"/>
    <n v="798"/>
    <n v="2082"/>
    <n v="576"/>
    <n v="900"/>
    <n v="864"/>
    <n v="702"/>
    <n v="726"/>
    <n v="606"/>
    <n v="1410"/>
    <n v="696"/>
    <n v="2250"/>
    <n v="222"/>
    <n v="1044"/>
    <n v="498"/>
  </r>
  <r>
    <s v="L'Oreal"/>
    <x v="3"/>
    <x v="3"/>
    <x v="1"/>
    <x v="7"/>
    <n v="7898587770699"/>
    <x v="48"/>
    <x v="259"/>
    <x v="19"/>
    <n v="1176"/>
    <n v="582"/>
    <n v="1644"/>
    <n v="612"/>
    <n v="834"/>
    <n v="2184"/>
    <n v="312"/>
    <n v="1386"/>
    <n v="264"/>
    <n v="738"/>
    <n v="894"/>
    <n v="834"/>
    <n v="966"/>
    <n v="342"/>
    <n v="1350"/>
    <n v="348"/>
    <n v="852"/>
    <n v="1908"/>
    <n v="180"/>
    <n v="402"/>
    <n v="1266"/>
    <n v="198"/>
    <n v="684"/>
    <n v="894"/>
    <n v="960"/>
    <n v="408"/>
    <n v="0"/>
    <n v="1128"/>
    <n v="696"/>
    <n v="1392"/>
    <n v="714"/>
    <n v="696"/>
    <n v="558"/>
    <n v="336"/>
    <n v="732"/>
    <n v="1524"/>
    <n v="744"/>
    <n v="456"/>
    <n v="1470"/>
    <n v="126"/>
    <n v="816"/>
    <n v="408"/>
  </r>
  <r>
    <s v="L'Oreal"/>
    <x v="3"/>
    <x v="3"/>
    <x v="1"/>
    <x v="7"/>
    <n v="7898587770705"/>
    <x v="48"/>
    <x v="260"/>
    <x v="19"/>
    <n v="1104"/>
    <n v="600"/>
    <n v="1482"/>
    <n v="684"/>
    <n v="606"/>
    <n v="2340"/>
    <n v="294"/>
    <n v="1368"/>
    <n v="366"/>
    <n v="648"/>
    <n v="960"/>
    <n v="960"/>
    <n v="828"/>
    <n v="204"/>
    <n v="1494"/>
    <n v="294"/>
    <n v="732"/>
    <n v="2088"/>
    <n v="192"/>
    <n v="402"/>
    <n v="1242"/>
    <n v="306"/>
    <n v="552"/>
    <n v="852"/>
    <n v="516"/>
    <n v="792"/>
    <n v="0"/>
    <n v="912"/>
    <n v="696"/>
    <n v="1380"/>
    <n v="468"/>
    <n v="936"/>
    <n v="660"/>
    <n v="666"/>
    <n v="966"/>
    <n v="852"/>
    <n v="966"/>
    <n v="564"/>
    <n v="1356"/>
    <n v="156"/>
    <n v="858"/>
    <n v="414"/>
  </r>
  <r>
    <s v="L'Oreal"/>
    <x v="3"/>
    <x v="3"/>
    <x v="1"/>
    <x v="7"/>
    <n v="7898587775908"/>
    <x v="48"/>
    <x v="261"/>
    <x v="19"/>
    <n v="1734"/>
    <n v="810"/>
    <n v="1776"/>
    <n v="552"/>
    <n v="1146"/>
    <n v="2448"/>
    <n v="432"/>
    <n v="1806"/>
    <n v="264"/>
    <n v="462"/>
    <n v="1380"/>
    <n v="1116"/>
    <n v="1320"/>
    <n v="672"/>
    <n v="2694"/>
    <n v="102"/>
    <n v="654"/>
    <n v="2526"/>
    <n v="540"/>
    <n v="426"/>
    <n v="1470"/>
    <n v="360"/>
    <n v="1158"/>
    <n v="750"/>
    <n v="1140"/>
    <n v="0"/>
    <n v="0"/>
    <n v="1338"/>
    <n v="852"/>
    <n v="1896"/>
    <n v="198"/>
    <n v="792"/>
    <n v="804"/>
    <n v="720"/>
    <n v="726"/>
    <n v="954"/>
    <n v="1356"/>
    <n v="678"/>
    <n v="2166"/>
    <n v="336"/>
    <n v="1044"/>
    <n v="240"/>
  </r>
  <r>
    <s v="L'Oreal"/>
    <x v="3"/>
    <x v="3"/>
    <x v="1"/>
    <x v="7"/>
    <n v="7898587775922"/>
    <x v="48"/>
    <x v="262"/>
    <x v="19"/>
    <n v="954"/>
    <n v="330"/>
    <n v="810"/>
    <n v="270"/>
    <n v="288"/>
    <n v="1578"/>
    <n v="36"/>
    <n v="846"/>
    <n v="114"/>
    <n v="306"/>
    <n v="444"/>
    <n v="420"/>
    <n v="204"/>
    <n v="90"/>
    <n v="798"/>
    <n v="186"/>
    <n v="354"/>
    <n v="1086"/>
    <n v="210"/>
    <n v="144"/>
    <n v="666"/>
    <n v="60"/>
    <n v="348"/>
    <n v="582"/>
    <n v="378"/>
    <n v="666"/>
    <n v="60"/>
    <n v="252"/>
    <n v="396"/>
    <n v="702"/>
    <n v="282"/>
    <n v="474"/>
    <n v="306"/>
    <n v="138"/>
    <n v="444"/>
    <n v="456"/>
    <n v="666"/>
    <n v="294"/>
    <n v="924"/>
    <n v="66"/>
    <n v="606"/>
    <n v="174"/>
  </r>
  <r>
    <s v="L'Oreal"/>
    <x v="3"/>
    <x v="3"/>
    <x v="1"/>
    <x v="7"/>
    <n v="7898587775939"/>
    <x v="48"/>
    <x v="263"/>
    <x v="19"/>
    <n v="1002"/>
    <n v="420"/>
    <n v="1098"/>
    <n v="390"/>
    <n v="378"/>
    <n v="1740"/>
    <n v="174"/>
    <n v="1032"/>
    <n v="306"/>
    <n v="564"/>
    <n v="642"/>
    <n v="540"/>
    <n v="486"/>
    <n v="36"/>
    <n v="1206"/>
    <n v="246"/>
    <n v="456"/>
    <n v="1554"/>
    <n v="162"/>
    <n v="270"/>
    <n v="840"/>
    <n v="150"/>
    <n v="702"/>
    <n v="636"/>
    <n v="354"/>
    <n v="0"/>
    <n v="0"/>
    <n v="906"/>
    <n v="798"/>
    <n v="1164"/>
    <n v="330"/>
    <n v="822"/>
    <n v="696"/>
    <n v="390"/>
    <n v="450"/>
    <n v="684"/>
    <n v="852"/>
    <n v="492"/>
    <n v="1296"/>
    <n v="54"/>
    <n v="660"/>
    <n v="306"/>
  </r>
  <r>
    <s v="L'Oreal"/>
    <x v="3"/>
    <x v="3"/>
    <x v="1"/>
    <x v="7"/>
    <n v="7898587775946"/>
    <x v="48"/>
    <x v="264"/>
    <x v="19"/>
    <n v="1674"/>
    <n v="774"/>
    <n v="2364"/>
    <n v="762"/>
    <n v="1152"/>
    <n v="2844"/>
    <n v="270"/>
    <n v="2052"/>
    <n v="744"/>
    <n v="1032"/>
    <n v="1476"/>
    <n v="1164"/>
    <n v="1194"/>
    <n v="468"/>
    <n v="2160"/>
    <n v="366"/>
    <n v="1356"/>
    <n v="2508"/>
    <n v="240"/>
    <n v="480"/>
    <n v="1908"/>
    <n v="198"/>
    <n v="1134"/>
    <n v="1260"/>
    <n v="1116"/>
    <n v="294"/>
    <n v="0"/>
    <n v="1884"/>
    <n v="840"/>
    <n v="2562"/>
    <n v="558"/>
    <n v="1080"/>
    <n v="714"/>
    <n v="828"/>
    <n v="822"/>
    <n v="1170"/>
    <n v="1038"/>
    <n v="540"/>
    <n v="2478"/>
    <n v="114"/>
    <n v="1122"/>
    <n v="570"/>
  </r>
  <r>
    <s v="L'Oreal"/>
    <x v="3"/>
    <x v="3"/>
    <x v="1"/>
    <x v="7"/>
    <n v="7899026462533"/>
    <x v="48"/>
    <x v="265"/>
    <x v="19"/>
    <n v="2760"/>
    <n v="1434"/>
    <n v="3966"/>
    <n v="882"/>
    <n v="2484"/>
    <n v="3852"/>
    <n v="678"/>
    <n v="3738"/>
    <n v="1374"/>
    <n v="1578"/>
    <n v="2226"/>
    <n v="2244"/>
    <n v="2172"/>
    <n v="864"/>
    <n v="4908"/>
    <n v="696"/>
    <n v="2130"/>
    <n v="4740"/>
    <n v="726"/>
    <n v="954"/>
    <n v="3012"/>
    <n v="540"/>
    <n v="2064"/>
    <n v="2226"/>
    <n v="2166"/>
    <n v="2400"/>
    <n v="1836"/>
    <n v="318"/>
    <n v="960"/>
    <n v="3684"/>
    <n v="912"/>
    <n v="1746"/>
    <n v="1626"/>
    <n v="1380"/>
    <n v="1188"/>
    <n v="2808"/>
    <n v="1878"/>
    <n v="804"/>
    <n v="4398"/>
    <n v="672"/>
    <n v="1926"/>
    <n v="744"/>
  </r>
  <r>
    <s v="L'Oreal"/>
    <x v="3"/>
    <x v="3"/>
    <x v="1"/>
    <x v="7"/>
    <n v="7899026462540"/>
    <x v="48"/>
    <x v="266"/>
    <x v="19"/>
    <n v="1890"/>
    <n v="882"/>
    <n v="2766"/>
    <n v="756"/>
    <n v="1218"/>
    <n v="2782"/>
    <n v="378"/>
    <n v="2034"/>
    <n v="498"/>
    <n v="762"/>
    <n v="1452"/>
    <n v="1158"/>
    <n v="1914"/>
    <n v="720"/>
    <n v="3252"/>
    <n v="258"/>
    <n v="1098"/>
    <n v="3186"/>
    <n v="222"/>
    <n v="726"/>
    <n v="1728"/>
    <n v="258"/>
    <n v="1368"/>
    <n v="1176"/>
    <n v="1446"/>
    <n v="1650"/>
    <n v="1458"/>
    <n v="750"/>
    <n v="540"/>
    <n v="2520"/>
    <n v="516"/>
    <n v="1062"/>
    <n v="1158"/>
    <n v="786"/>
    <n v="690"/>
    <n v="900"/>
    <n v="1566"/>
    <n v="540"/>
    <n v="2346"/>
    <n v="474"/>
    <n v="1380"/>
    <n v="468"/>
  </r>
  <r>
    <s v="L'Oreal"/>
    <x v="3"/>
    <x v="3"/>
    <x v="1"/>
    <x v="7"/>
    <n v="7899026462557"/>
    <x v="48"/>
    <x v="267"/>
    <x v="19"/>
    <n v="1446"/>
    <n v="894"/>
    <n v="2394"/>
    <n v="972"/>
    <n v="1338"/>
    <n v="2754"/>
    <n v="342"/>
    <n v="1704"/>
    <n v="612"/>
    <n v="1074"/>
    <n v="1512"/>
    <n v="1284"/>
    <n v="1614"/>
    <n v="618"/>
    <n v="2844"/>
    <n v="336"/>
    <n v="1332"/>
    <n v="2694"/>
    <n v="336"/>
    <n v="738"/>
    <n v="1758"/>
    <n v="306"/>
    <n v="1152"/>
    <n v="1476"/>
    <n v="1038"/>
    <n v="1518"/>
    <n v="540"/>
    <n v="804"/>
    <n v="798"/>
    <n v="2790"/>
    <n v="462"/>
    <n v="894"/>
    <n v="882"/>
    <n v="990"/>
    <n v="1032"/>
    <n v="192"/>
    <n v="2976"/>
    <n v="786"/>
    <n v="2112"/>
    <n v="396"/>
    <n v="1248"/>
    <n v="504"/>
  </r>
  <r>
    <s v="L'Oreal"/>
    <x v="3"/>
    <x v="3"/>
    <x v="1"/>
    <x v="7"/>
    <n v="7899026462564"/>
    <x v="48"/>
    <x v="268"/>
    <x v="19"/>
    <n v="1098"/>
    <n v="624"/>
    <n v="156"/>
    <n v="966"/>
    <n v="785"/>
    <n v="1974"/>
    <n v="78"/>
    <n v="876"/>
    <n v="408"/>
    <n v="408"/>
    <n v="984"/>
    <n v="570"/>
    <n v="558"/>
    <n v="264"/>
    <n v="1704"/>
    <n v="318"/>
    <n v="678"/>
    <n v="1662"/>
    <n v="282"/>
    <n v="378"/>
    <n v="1398"/>
    <n v="432"/>
    <n v="690"/>
    <n v="864"/>
    <n v="732"/>
    <n v="954"/>
    <n v="966"/>
    <n v="288"/>
    <n v="324"/>
    <n v="1254"/>
    <n v="228"/>
    <n v="600"/>
    <n v="546"/>
    <n v="534"/>
    <n v="312"/>
    <n v="660"/>
    <n v="1164"/>
    <n v="438"/>
    <n v="1932"/>
    <n v="132"/>
    <n v="846"/>
    <n v="432"/>
  </r>
  <r>
    <s v="L'Oreal"/>
    <x v="3"/>
    <x v="3"/>
    <x v="1"/>
    <x v="7"/>
    <n v="7899026462571"/>
    <x v="48"/>
    <x v="269"/>
    <x v="19"/>
    <n v="1698"/>
    <n v="834"/>
    <n v="2316"/>
    <n v="732"/>
    <n v="840"/>
    <n v="2664"/>
    <n v="348"/>
    <n v="2160"/>
    <n v="732"/>
    <n v="798"/>
    <n v="1566"/>
    <n v="1206"/>
    <n v="1692"/>
    <n v="396"/>
    <n v="2478"/>
    <n v="510"/>
    <n v="1176"/>
    <n v="2484"/>
    <n v="450"/>
    <n v="738"/>
    <n v="1272"/>
    <n v="420"/>
    <n v="1380"/>
    <n v="1170"/>
    <n v="1362"/>
    <n v="1890"/>
    <n v="258"/>
    <n v="0"/>
    <n v="696"/>
    <n v="3396"/>
    <n v="42"/>
    <n v="1236"/>
    <n v="756"/>
    <n v="642"/>
    <n v="996"/>
    <n v="1980"/>
    <n v="1158"/>
    <n v="600"/>
    <n v="2208"/>
    <n v="252"/>
    <n v="1236"/>
    <n v="708"/>
  </r>
  <r>
    <s v="L'Oreal"/>
    <x v="3"/>
    <x v="3"/>
    <x v="1"/>
    <x v="7"/>
    <n v="7899026462588"/>
    <x v="48"/>
    <x v="270"/>
    <x v="19"/>
    <n v="648"/>
    <n v="288"/>
    <n v="774"/>
    <n v="162"/>
    <n v="252"/>
    <n v="1182"/>
    <n v="144"/>
    <n v="534"/>
    <n v="120"/>
    <n v="360"/>
    <n v="444"/>
    <n v="132"/>
    <n v="396"/>
    <n v="138"/>
    <n v="930"/>
    <n v="120"/>
    <n v="234"/>
    <n v="1002"/>
    <n v="240"/>
    <n v="126"/>
    <n v="690"/>
    <n v="30"/>
    <n v="378"/>
    <n v="510"/>
    <n v="534"/>
    <n v="378"/>
    <n v="492"/>
    <n v="414"/>
    <n v="342"/>
    <n v="432"/>
    <n v="108"/>
    <n v="348"/>
    <n v="264"/>
    <n v="282"/>
    <n v="138"/>
    <n v="168"/>
    <n v="516"/>
    <n v="390"/>
    <n v="1578"/>
    <n v="138"/>
    <n v="372"/>
    <n v="180"/>
  </r>
  <r>
    <s v="L'Oreal"/>
    <x v="3"/>
    <x v="3"/>
    <x v="1"/>
    <x v="7"/>
    <n v="7899026462595"/>
    <x v="48"/>
    <x v="269"/>
    <x v="19"/>
    <n v="1218"/>
    <n v="744"/>
    <n v="1314"/>
    <n v="378"/>
    <n v="324"/>
    <n v="1716"/>
    <n v="186"/>
    <n v="1416"/>
    <n v="270"/>
    <n v="474"/>
    <n v="858"/>
    <n v="1044"/>
    <n v="690"/>
    <n v="348"/>
    <n v="1235"/>
    <n v="264"/>
    <n v="618"/>
    <n v="1890"/>
    <n v="432"/>
    <n v="294"/>
    <n v="1212"/>
    <n v="288"/>
    <n v="744"/>
    <n v="804"/>
    <n v="768"/>
    <n v="1062"/>
    <n v="1344"/>
    <n v="372"/>
    <n v="342"/>
    <n v="1254"/>
    <n v="252"/>
    <n v="888"/>
    <n v="642"/>
    <n v="468"/>
    <n v="522"/>
    <n v="1338"/>
    <n v="780"/>
    <n v="396"/>
    <n v="1518"/>
    <n v="342"/>
    <n v="924"/>
    <n v="174"/>
  </r>
  <r>
    <s v="L'Oreal"/>
    <x v="3"/>
    <x v="3"/>
    <x v="1"/>
    <x v="7"/>
    <n v="7899026462601"/>
    <x v="48"/>
    <x v="271"/>
    <x v="19"/>
    <n v="2154"/>
    <n v="1056"/>
    <n v="2880"/>
    <n v="784"/>
    <n v="2214"/>
    <n v="2994"/>
    <n v="456"/>
    <n v="2628"/>
    <n v="984"/>
    <n v="1236"/>
    <n v="1908"/>
    <n v="1302"/>
    <n v="1980"/>
    <n v="540"/>
    <n v="3204"/>
    <n v="630"/>
    <n v="1734"/>
    <n v="3594"/>
    <n v="456"/>
    <n v="1488"/>
    <n v="1254"/>
    <n v="534"/>
    <n v="1638"/>
    <n v="1386"/>
    <n v="1752"/>
    <n v="1206"/>
    <n v="0"/>
    <n v="1626"/>
    <n v="1248"/>
    <n v="3456"/>
    <n v="90"/>
    <n v="1782"/>
    <n v="1512"/>
    <n v="1086"/>
    <n v="1260"/>
    <n v="2526"/>
    <n v="1452"/>
    <n v="702"/>
    <n v="2832"/>
    <n v="468"/>
    <n v="1890"/>
    <n v="324"/>
  </r>
  <r>
    <s v="L'Oreal"/>
    <x v="3"/>
    <x v="3"/>
    <x v="1"/>
    <x v="7"/>
    <n v="7899026462618"/>
    <x v="48"/>
    <x v="272"/>
    <x v="19"/>
    <n v="1242"/>
    <n v="642"/>
    <n v="1020"/>
    <n v="280"/>
    <n v="612"/>
    <n v="1830"/>
    <n v="114"/>
    <n v="1428"/>
    <n v="372"/>
    <n v="324"/>
    <n v="798"/>
    <n v="570"/>
    <n v="504"/>
    <n v="408"/>
    <n v="1422"/>
    <n v="270"/>
    <n v="402"/>
    <n v="1728"/>
    <n v="408"/>
    <n v="276"/>
    <n v="822"/>
    <n v="252"/>
    <n v="714"/>
    <n v="816"/>
    <n v="474"/>
    <n v="0"/>
    <n v="0"/>
    <n v="1098"/>
    <n v="684"/>
    <n v="1464"/>
    <n v="324"/>
    <n v="666"/>
    <n v="744"/>
    <n v="354"/>
    <n v="426"/>
    <n v="624"/>
    <n v="1008"/>
    <n v="450"/>
    <n v="1848"/>
    <n v="162"/>
    <n v="528"/>
    <n v="390"/>
  </r>
  <r>
    <s v="L'Oreal"/>
    <x v="3"/>
    <x v="3"/>
    <x v="1"/>
    <x v="7"/>
    <n v="7899026462625"/>
    <x v="48"/>
    <x v="273"/>
    <x v="19"/>
    <n v="1776"/>
    <n v="1218"/>
    <n v="2514"/>
    <n v="858"/>
    <n v="1902"/>
    <n v="3144"/>
    <n v="402"/>
    <n v="1980"/>
    <n v="888"/>
    <n v="1302"/>
    <n v="1770"/>
    <n v="1314"/>
    <n v="1866"/>
    <n v="558"/>
    <n v="2910"/>
    <n v="600"/>
    <n v="1902"/>
    <n v="3066"/>
    <n v="588"/>
    <n v="846"/>
    <n v="1734"/>
    <n v="756"/>
    <n v="1326"/>
    <n v="1392"/>
    <n v="1818"/>
    <n v="1062"/>
    <n v="0"/>
    <n v="2076"/>
    <n v="996"/>
    <n v="3294"/>
    <n v="114"/>
    <n v="1860"/>
    <n v="1290"/>
    <n v="972"/>
    <n v="1500"/>
    <n v="1464"/>
    <n v="1740"/>
    <n v="672"/>
    <n v="2730"/>
    <n v="270"/>
    <n v="1470"/>
    <n v="516"/>
  </r>
  <r>
    <s v="L'Oreal"/>
    <x v="3"/>
    <x v="3"/>
    <x v="1"/>
    <x v="7"/>
    <n v="7899026462632"/>
    <x v="48"/>
    <x v="274"/>
    <x v="19"/>
    <n v="930"/>
    <n v="330"/>
    <n v="888"/>
    <n v="282"/>
    <n v="516"/>
    <n v="1554"/>
    <n v="42"/>
    <n v="960"/>
    <n v="294"/>
    <n v="210"/>
    <n v="756"/>
    <n v="642"/>
    <n v="330"/>
    <n v="252"/>
    <n v="1020"/>
    <n v="210"/>
    <n v="318"/>
    <n v="1632"/>
    <n v="180"/>
    <n v="108"/>
    <n v="1002"/>
    <n v="90"/>
    <n v="150"/>
    <n v="384"/>
    <n v="246"/>
    <n v="696"/>
    <n v="18"/>
    <n v="450"/>
    <n v="498"/>
    <n v="846"/>
    <n v="294"/>
    <n v="390"/>
    <n v="486"/>
    <n v="102"/>
    <n v="546"/>
    <n v="636"/>
    <n v="804"/>
    <n v="276"/>
    <n v="1002"/>
    <n v="42"/>
    <n v="648"/>
    <n v="240"/>
  </r>
  <r>
    <s v="L'Oreal"/>
    <x v="3"/>
    <x v="3"/>
    <x v="1"/>
    <x v="7"/>
    <n v="7899026462649"/>
    <x v="48"/>
    <x v="275"/>
    <x v="19"/>
    <n v="768"/>
    <n v="414"/>
    <n v="1026"/>
    <n v="354"/>
    <n v="528"/>
    <n v="1752"/>
    <n v="54"/>
    <n v="1134"/>
    <n v="384"/>
    <n v="324"/>
    <n v="804"/>
    <n v="528"/>
    <n v="450"/>
    <n v="396"/>
    <n v="1506"/>
    <n v="156"/>
    <n v="576"/>
    <n v="1998"/>
    <n v="186"/>
    <n v="282"/>
    <n v="1242"/>
    <n v="342"/>
    <n v="528"/>
    <n v="780"/>
    <n v="702"/>
    <n v="576"/>
    <n v="0"/>
    <n v="888"/>
    <n v="384"/>
    <n v="1026"/>
    <n v="372"/>
    <n v="756"/>
    <n v="756"/>
    <n v="516"/>
    <n v="534"/>
    <n v="816"/>
    <n v="660"/>
    <n v="378"/>
    <n v="1716"/>
    <n v="30"/>
    <n v="600"/>
    <n v="312"/>
  </r>
  <r>
    <s v="L'Oreal"/>
    <x v="3"/>
    <x v="3"/>
    <x v="1"/>
    <x v="7"/>
    <n v="7899026462656"/>
    <x v="48"/>
    <x v="276"/>
    <x v="19"/>
    <n v="3096"/>
    <n v="1308"/>
    <n v="3612"/>
    <n v="858"/>
    <n v="1985"/>
    <n v="3456"/>
    <n v="456"/>
    <n v="3708"/>
    <n v="1362"/>
    <n v="1254"/>
    <n v="2214"/>
    <n v="2370"/>
    <n v="2400"/>
    <n v="774"/>
    <n v="4092"/>
    <n v="630"/>
    <n v="2382"/>
    <n v="4698"/>
    <n v="876"/>
    <n v="1020"/>
    <n v="1422"/>
    <n v="174"/>
    <n v="1896"/>
    <n v="2904"/>
    <n v="2238"/>
    <n v="2820"/>
    <n v="324"/>
    <n v="372"/>
    <n v="1620"/>
    <n v="3180"/>
    <n v="1542"/>
    <n v="1890"/>
    <n v="1968"/>
    <n v="1308"/>
    <n v="1734"/>
    <n v="2982"/>
    <n v="1896"/>
    <n v="936"/>
    <n v="3486"/>
    <n v="744"/>
    <n v="2286"/>
    <n v="966"/>
  </r>
  <r>
    <s v="L'Oreal"/>
    <x v="3"/>
    <x v="3"/>
    <x v="1"/>
    <x v="7"/>
    <n v="7899026462670"/>
    <x v="48"/>
    <x v="277"/>
    <x v="19"/>
    <n v="2112"/>
    <n v="1164"/>
    <n v="3318"/>
    <n v="972"/>
    <n v="1752"/>
    <n v="3756"/>
    <n v="522"/>
    <n v="2682"/>
    <n v="1188"/>
    <n v="1440"/>
    <n v="2118"/>
    <n v="1608"/>
    <n v="2250"/>
    <n v="660"/>
    <n v="3504"/>
    <n v="564"/>
    <n v="2172"/>
    <n v="3666"/>
    <n v="600"/>
    <n v="786"/>
    <n v="2580"/>
    <n v="414"/>
    <n v="1578"/>
    <n v="1590"/>
    <n v="1812"/>
    <n v="2112"/>
    <n v="3090"/>
    <n v="390"/>
    <n v="648"/>
    <n v="2322"/>
    <n v="972"/>
    <n v="1398"/>
    <n v="1476"/>
    <n v="1206"/>
    <n v="1506"/>
    <n v="1896"/>
    <n v="1740"/>
    <n v="966"/>
    <n v="3570"/>
    <n v="354"/>
    <n v="1932"/>
    <n v="786"/>
  </r>
  <r>
    <s v="L'Oreal"/>
    <x v="3"/>
    <x v="3"/>
    <x v="1"/>
    <x v="7"/>
    <n v="7899026462687"/>
    <x v="48"/>
    <x v="278"/>
    <x v="19"/>
    <n v="1776"/>
    <n v="1554"/>
    <n v="3672"/>
    <n v="678"/>
    <n v="1901"/>
    <n v="3600"/>
    <n v="648"/>
    <n v="1878"/>
    <n v="1206"/>
    <n v="1446"/>
    <n v="2292"/>
    <n v="1704"/>
    <n v="1860"/>
    <n v="528"/>
    <n v="3654"/>
    <n v="528"/>
    <n v="1776"/>
    <n v="3690"/>
    <n v="342"/>
    <n v="840"/>
    <n v="2262"/>
    <n v="768"/>
    <n v="1710"/>
    <n v="1656"/>
    <n v="1452"/>
    <n v="318"/>
    <n v="0"/>
    <n v="2466"/>
    <n v="1080"/>
    <n v="3252"/>
    <n v="774"/>
    <n v="1368"/>
    <n v="1254"/>
    <n v="1182"/>
    <n v="1356"/>
    <n v="1806"/>
    <n v="1710"/>
    <n v="906"/>
    <n v="3516"/>
    <n v="372"/>
    <n v="1284"/>
    <n v="750"/>
  </r>
  <r>
    <s v="L'Oreal"/>
    <x v="3"/>
    <x v="3"/>
    <x v="1"/>
    <x v="7"/>
    <n v="7899026462694"/>
    <x v="48"/>
    <x v="279"/>
    <x v="19"/>
    <n v="1356"/>
    <n v="360"/>
    <n v="1128"/>
    <n v="366"/>
    <n v="576"/>
    <n v="1902"/>
    <n v="126"/>
    <n v="906"/>
    <n v="366"/>
    <n v="366"/>
    <n v="618"/>
    <n v="570"/>
    <n v="552"/>
    <n v="132"/>
    <n v="1464"/>
    <n v="150"/>
    <n v="360"/>
    <n v="1464"/>
    <n v="162"/>
    <n v="342"/>
    <n v="972"/>
    <n v="126"/>
    <n v="432"/>
    <n v="474"/>
    <n v="462"/>
    <n v="180"/>
    <n v="0"/>
    <n v="792"/>
    <n v="630"/>
    <n v="1068"/>
    <n v="204"/>
    <n v="654"/>
    <n v="432"/>
    <n v="438"/>
    <n v="312"/>
    <n v="456"/>
    <n v="726"/>
    <n v="342"/>
    <n v="1254"/>
    <n v="102"/>
    <n v="582"/>
    <n v="144"/>
  </r>
  <r>
    <s v="L'Oreal"/>
    <x v="3"/>
    <x v="3"/>
    <x v="1"/>
    <x v="7"/>
    <n v="7899026462717"/>
    <x v="48"/>
    <x v="280"/>
    <x v="19"/>
    <n v="828"/>
    <n v="624"/>
    <n v="1470"/>
    <n v="672"/>
    <n v="432"/>
    <n v="1956"/>
    <n v="66"/>
    <n v="1422"/>
    <n v="354"/>
    <n v="624"/>
    <n v="762"/>
    <n v="1086"/>
    <n v="876"/>
    <n v="144"/>
    <n v="1146"/>
    <n v="330"/>
    <n v="642"/>
    <n v="1326"/>
    <n v="318"/>
    <n v="390"/>
    <n v="1062"/>
    <n v="270"/>
    <n v="618"/>
    <n v="402"/>
    <n v="600"/>
    <n v="1008"/>
    <n v="1488"/>
    <n v="318"/>
    <n v="336"/>
    <n v="846"/>
    <n v="138"/>
    <n v="402"/>
    <n v="318"/>
    <n v="498"/>
    <n v="492"/>
    <n v="858"/>
    <n v="684"/>
    <n v="336"/>
    <n v="1404"/>
    <n v="30"/>
    <n v="576"/>
    <n v="198"/>
  </r>
  <r>
    <s v="L'Oreal"/>
    <x v="3"/>
    <x v="3"/>
    <x v="1"/>
    <x v="7"/>
    <n v="7899026462724"/>
    <x v="48"/>
    <x v="281"/>
    <x v="19"/>
    <n v="1392"/>
    <n v="834"/>
    <n v="1818"/>
    <n v="582"/>
    <n v="756"/>
    <n v="2466"/>
    <n v="414"/>
    <n v="1722"/>
    <n v="570"/>
    <n v="576"/>
    <n v="1266"/>
    <n v="1290"/>
    <n v="918"/>
    <n v="360"/>
    <n v="1764"/>
    <n v="366"/>
    <n v="756"/>
    <n v="1668"/>
    <n v="402"/>
    <n v="564"/>
    <n v="1668"/>
    <n v="216"/>
    <n v="882"/>
    <n v="702"/>
    <n v="1254"/>
    <n v="1068"/>
    <n v="1284"/>
    <n v="378"/>
    <n v="372"/>
    <n v="1038"/>
    <n v="426"/>
    <n v="876"/>
    <n v="612"/>
    <n v="570"/>
    <n v="738"/>
    <n v="1476"/>
    <n v="936"/>
    <n v="618"/>
    <n v="1554"/>
    <n v="42"/>
    <n v="618"/>
    <n v="408"/>
  </r>
  <r>
    <s v="L'Oreal"/>
    <x v="3"/>
    <x v="3"/>
    <x v="1"/>
    <x v="8"/>
    <n v="7501027207258"/>
    <x v="49"/>
    <x v="282"/>
    <x v="20"/>
    <n v="111"/>
    <n v="21"/>
    <n v="69"/>
    <n v="90"/>
    <n v="144"/>
    <n v="195"/>
    <n v="27"/>
    <n v="171"/>
    <n v="141"/>
    <n v="129"/>
    <n v="201"/>
    <n v="78"/>
    <n v="108"/>
    <n v="87"/>
    <n v="216"/>
    <n v="60"/>
    <n v="30"/>
    <n v="249"/>
    <n v="18"/>
    <n v="21"/>
    <n v="192"/>
    <n v="66"/>
    <n v="126"/>
    <n v="138"/>
    <n v="63"/>
    <n v="189"/>
    <n v="135"/>
    <n v="6"/>
    <n v="24"/>
    <n v="243"/>
    <n v="21"/>
    <n v="0"/>
    <n v="207"/>
    <n v="81"/>
    <n v="180"/>
    <n v="39"/>
    <n v="192"/>
    <n v="123"/>
    <n v="75"/>
    <n v="117"/>
    <n v="123"/>
    <n v="183"/>
  </r>
  <r>
    <s v="L'Oreal"/>
    <x v="3"/>
    <x v="3"/>
    <x v="1"/>
    <x v="8"/>
    <n v="7501027235367"/>
    <x v="49"/>
    <x v="283"/>
    <x v="20"/>
    <n v="87"/>
    <n v="39"/>
    <n v="42"/>
    <n v="126"/>
    <n v="81"/>
    <n v="42"/>
    <n v="45"/>
    <n v="81"/>
    <n v="27"/>
    <n v="123"/>
    <n v="54"/>
    <n v="18"/>
    <n v="75"/>
    <n v="6"/>
    <n v="69"/>
    <n v="51"/>
    <n v="54"/>
    <n v="129"/>
    <n v="0"/>
    <n v="30"/>
    <n v="114"/>
    <n v="15"/>
    <n v="51"/>
    <n v="51"/>
    <n v="33"/>
    <n v="96"/>
    <n v="0"/>
    <n v="30"/>
    <n v="51"/>
    <n v="111"/>
    <n v="0"/>
    <n v="6"/>
    <n v="0"/>
    <n v="48"/>
    <n v="3"/>
    <n v="27"/>
    <n v="108"/>
    <n v="105"/>
    <n v="27"/>
    <n v="45"/>
    <n v="78"/>
    <n v="93"/>
  </r>
  <r>
    <s v="L'Oreal"/>
    <x v="3"/>
    <x v="3"/>
    <x v="1"/>
    <x v="8"/>
    <n v="7501027275042"/>
    <x v="49"/>
    <x v="284"/>
    <x v="20"/>
    <n v="267"/>
    <n v="288"/>
    <n v="195"/>
    <n v="273"/>
    <n v="309"/>
    <n v="372"/>
    <n v="36"/>
    <n v="246"/>
    <n v="138"/>
    <n v="255"/>
    <n v="471"/>
    <n v="39"/>
    <n v="150"/>
    <n v="156"/>
    <n v="195"/>
    <n v="111"/>
    <n v="258"/>
    <n v="306"/>
    <n v="27"/>
    <n v="114"/>
    <n v="339"/>
    <n v="135"/>
    <n v="228"/>
    <n v="63"/>
    <n v="129"/>
    <n v="228"/>
    <n v="540"/>
    <n v="27"/>
    <n v="18"/>
    <n v="48"/>
    <n v="90"/>
    <n v="141"/>
    <n v="264"/>
    <n v="120"/>
    <n v="270"/>
    <n v="12"/>
    <n v="288"/>
    <n v="249"/>
    <n v="18"/>
    <n v="111"/>
    <n v="171"/>
    <n v="198"/>
  </r>
  <r>
    <s v="L'Oreal"/>
    <x v="3"/>
    <x v="3"/>
    <x v="1"/>
    <x v="8"/>
    <n v="7501027275080"/>
    <x v="49"/>
    <x v="285"/>
    <x v="20"/>
    <n v="396"/>
    <n v="366"/>
    <n v="354"/>
    <n v="381"/>
    <n v="450"/>
    <n v="591"/>
    <n v="102"/>
    <n v="339"/>
    <n v="207"/>
    <n v="345"/>
    <n v="480"/>
    <n v="102"/>
    <n v="294"/>
    <n v="159"/>
    <n v="507"/>
    <n v="147"/>
    <n v="183"/>
    <n v="768"/>
    <n v="51"/>
    <n v="18"/>
    <n v="483"/>
    <n v="210"/>
    <n v="360"/>
    <n v="165"/>
    <n v="255"/>
    <n v="258"/>
    <n v="0"/>
    <n v="39"/>
    <n v="123"/>
    <n v="756"/>
    <n v="90"/>
    <n v="51"/>
    <n v="0"/>
    <n v="159"/>
    <n v="771"/>
    <n v="276"/>
    <n v="273"/>
    <n v="204"/>
    <n v="96"/>
    <n v="267"/>
    <n v="240"/>
    <n v="300"/>
  </r>
  <r>
    <s v="L'Oreal"/>
    <x v="3"/>
    <x v="3"/>
    <x v="1"/>
    <x v="8"/>
    <n v="7501027275097"/>
    <x v="49"/>
    <x v="286"/>
    <x v="20"/>
    <n v="111"/>
    <n v="114"/>
    <n v="60"/>
    <n v="81"/>
    <n v="108"/>
    <n v="165"/>
    <n v="45"/>
    <n v="129"/>
    <n v="63"/>
    <n v="132"/>
    <n v="105"/>
    <n v="21"/>
    <n v="3"/>
    <n v="36"/>
    <n v="63"/>
    <n v="78"/>
    <n v="93"/>
    <n v="120"/>
    <n v="15"/>
    <n v="12"/>
    <n v="213"/>
    <n v="66"/>
    <n v="9"/>
    <n v="36"/>
    <n v="132"/>
    <n v="3"/>
    <n v="138"/>
    <n v="6"/>
    <n v="21"/>
    <n v="180"/>
    <n v="39"/>
    <n v="138"/>
    <n v="132"/>
    <n v="9"/>
    <n v="69"/>
    <n v="147"/>
    <n v="69"/>
    <n v="24"/>
    <n v="36"/>
    <n v="90"/>
    <n v="51"/>
    <n v="114"/>
  </r>
  <r>
    <s v="L'Oreal"/>
    <x v="3"/>
    <x v="3"/>
    <x v="1"/>
    <x v="8"/>
    <n v="7501027275127"/>
    <x v="49"/>
    <x v="287"/>
    <x v="20"/>
    <n v="294"/>
    <n v="462"/>
    <n v="342"/>
    <n v="267"/>
    <n v="570"/>
    <n v="504"/>
    <n v="96"/>
    <n v="492"/>
    <n v="174"/>
    <n v="339"/>
    <n v="471"/>
    <n v="123"/>
    <n v="240"/>
    <n v="261"/>
    <n v="465"/>
    <n v="201"/>
    <n v="45"/>
    <n v="852"/>
    <n v="87"/>
    <n v="48"/>
    <n v="588"/>
    <n v="183"/>
    <n v="231"/>
    <n v="207"/>
    <n v="192"/>
    <n v="291"/>
    <n v="1194"/>
    <n v="33"/>
    <n v="15"/>
    <n v="66"/>
    <n v="108"/>
    <n v="45"/>
    <n v="0"/>
    <n v="105"/>
    <n v="729"/>
    <n v="384"/>
    <n v="354"/>
    <n v="261"/>
    <n v="132"/>
    <n v="345"/>
    <n v="270"/>
    <n v="255"/>
  </r>
  <r>
    <s v="L'Oreal"/>
    <x v="3"/>
    <x v="3"/>
    <x v="1"/>
    <x v="8"/>
    <n v="7501027275134"/>
    <x v="49"/>
    <x v="288"/>
    <x v="20"/>
    <n v="129"/>
    <n v="99"/>
    <n v="69"/>
    <n v="165"/>
    <n v="111"/>
    <n v="153"/>
    <n v="114"/>
    <n v="186"/>
    <n v="66"/>
    <n v="87"/>
    <n v="255"/>
    <n v="33"/>
    <n v="21"/>
    <n v="48"/>
    <n v="213"/>
    <n v="87"/>
    <n v="177"/>
    <n v="18"/>
    <n v="15"/>
    <n v="87"/>
    <n v="138"/>
    <n v="90"/>
    <n v="117"/>
    <n v="51"/>
    <n v="63"/>
    <n v="135"/>
    <n v="0"/>
    <n v="87"/>
    <n v="99"/>
    <n v="168"/>
    <n v="45"/>
    <n v="36"/>
    <n v="150"/>
    <n v="108"/>
    <n v="147"/>
    <n v="12"/>
    <n v="117"/>
    <n v="192"/>
    <n v="48"/>
    <n v="123"/>
    <n v="147"/>
    <n v="84"/>
  </r>
  <r>
    <s v="L'Oreal"/>
    <x v="3"/>
    <x v="3"/>
    <x v="1"/>
    <x v="8"/>
    <n v="7501027275172"/>
    <x v="49"/>
    <x v="289"/>
    <x v="20"/>
    <n v="243"/>
    <n v="219"/>
    <n v="207"/>
    <n v="279"/>
    <n v="333"/>
    <n v="450"/>
    <n v="36"/>
    <n v="300"/>
    <n v="96"/>
    <n v="180"/>
    <n v="264"/>
    <n v="159"/>
    <n v="189"/>
    <n v="129"/>
    <n v="174"/>
    <n v="138"/>
    <n v="234"/>
    <n v="279"/>
    <n v="24"/>
    <n v="144"/>
    <n v="387"/>
    <n v="150"/>
    <n v="147"/>
    <n v="120"/>
    <n v="18"/>
    <n v="258"/>
    <n v="495"/>
    <n v="30"/>
    <n v="18"/>
    <n v="435"/>
    <n v="81"/>
    <n v="192"/>
    <n v="78"/>
    <n v="0"/>
    <n v="447"/>
    <n v="273"/>
    <n v="192"/>
    <n v="147"/>
    <n v="93"/>
    <n v="198"/>
    <n v="111"/>
    <n v="210"/>
  </r>
  <r>
    <s v="L'Oreal"/>
    <x v="3"/>
    <x v="3"/>
    <x v="1"/>
    <x v="8"/>
    <n v="7501027275226"/>
    <x v="49"/>
    <x v="290"/>
    <x v="20"/>
    <n v="201"/>
    <n v="228"/>
    <n v="156"/>
    <n v="195"/>
    <n v="333"/>
    <n v="348"/>
    <n v="66"/>
    <n v="426"/>
    <n v="39"/>
    <n v="183"/>
    <n v="477"/>
    <n v="75"/>
    <n v="96"/>
    <n v="63"/>
    <n v="360"/>
    <n v="69"/>
    <n v="18"/>
    <n v="504"/>
    <n v="24"/>
    <n v="126"/>
    <n v="339"/>
    <n v="201"/>
    <n v="132"/>
    <n v="30"/>
    <n v="120"/>
    <n v="252"/>
    <n v="204"/>
    <n v="24"/>
    <n v="150"/>
    <n v="435"/>
    <n v="69"/>
    <n v="192"/>
    <n v="105"/>
    <n v="87"/>
    <n v="387"/>
    <n v="153"/>
    <n v="204"/>
    <n v="171"/>
    <n v="54"/>
    <n v="162"/>
    <n v="189"/>
    <n v="186"/>
  </r>
  <r>
    <s v="L'Oreal"/>
    <x v="3"/>
    <x v="3"/>
    <x v="1"/>
    <x v="8"/>
    <n v="7501027275295"/>
    <x v="49"/>
    <x v="291"/>
    <x v="20"/>
    <n v="54"/>
    <n v="57"/>
    <n v="54"/>
    <n v="114"/>
    <n v="84"/>
    <n v="111"/>
    <n v="33"/>
    <n v="114"/>
    <n v="12"/>
    <n v="150"/>
    <n v="132"/>
    <n v="9"/>
    <n v="18"/>
    <n v="9"/>
    <n v="90"/>
    <n v="48"/>
    <n v="81"/>
    <n v="84"/>
    <n v="15"/>
    <n v="30"/>
    <n v="186"/>
    <n v="27"/>
    <n v="3"/>
    <n v="9"/>
    <n v="102"/>
    <n v="132"/>
    <n v="0"/>
    <n v="3"/>
    <n v="3"/>
    <n v="186"/>
    <n v="15"/>
    <n v="27"/>
    <n v="57"/>
    <n v="0"/>
    <n v="72"/>
    <n v="9"/>
    <n v="144"/>
    <n v="117"/>
    <n v="12"/>
    <n v="39"/>
    <n v="54"/>
    <n v="39"/>
  </r>
  <r>
    <s v="L'Oreal"/>
    <x v="3"/>
    <x v="3"/>
    <x v="1"/>
    <x v="8"/>
    <n v="7501027275301"/>
    <x v="49"/>
    <x v="292"/>
    <x v="20"/>
    <n v="708"/>
    <n v="549"/>
    <n v="405"/>
    <n v="378"/>
    <n v="651"/>
    <n v="789"/>
    <n v="120"/>
    <n v="708"/>
    <n v="285"/>
    <n v="351"/>
    <n v="750"/>
    <n v="174"/>
    <n v="417"/>
    <n v="294"/>
    <n v="795"/>
    <n v="267"/>
    <n v="45"/>
    <n v="1296"/>
    <n v="81"/>
    <n v="81"/>
    <n v="867"/>
    <n v="276"/>
    <n v="267"/>
    <n v="216"/>
    <n v="321"/>
    <n v="462"/>
    <n v="450"/>
    <n v="120"/>
    <n v="411"/>
    <n v="876"/>
    <n v="15"/>
    <n v="0"/>
    <n v="675"/>
    <n v="24"/>
    <n v="699"/>
    <n v="66"/>
    <n v="789"/>
    <n v="438"/>
    <n v="201"/>
    <n v="447"/>
    <n v="498"/>
    <n v="480"/>
  </r>
  <r>
    <s v="L'Oreal"/>
    <x v="3"/>
    <x v="3"/>
    <x v="1"/>
    <x v="8"/>
    <n v="7506078917491"/>
    <x v="49"/>
    <x v="293"/>
    <x v="20"/>
    <n v="114"/>
    <n v="75"/>
    <n v="96"/>
    <n v="81"/>
    <n v="150"/>
    <n v="105"/>
    <n v="84"/>
    <n v="144"/>
    <n v="63"/>
    <n v="183"/>
    <n v="102"/>
    <n v="30"/>
    <n v="105"/>
    <n v="87"/>
    <n v="126"/>
    <n v="66"/>
    <n v="30"/>
    <n v="273"/>
    <n v="15"/>
    <n v="51"/>
    <n v="177"/>
    <n v="9"/>
    <n v="138"/>
    <n v="12"/>
    <n v="120"/>
    <n v="135"/>
    <n v="327"/>
    <n v="0"/>
    <n v="0"/>
    <n v="39"/>
    <n v="0"/>
    <n v="117"/>
    <n v="162"/>
    <n v="21"/>
    <n v="141"/>
    <n v="162"/>
    <n v="51"/>
    <n v="114"/>
    <n v="21"/>
    <n v="138"/>
    <n v="39"/>
    <n v="78"/>
  </r>
  <r>
    <s v="L'Oreal"/>
    <x v="3"/>
    <x v="3"/>
    <x v="1"/>
    <x v="8"/>
    <n v="7506078921603"/>
    <x v="49"/>
    <x v="294"/>
    <x v="20"/>
    <n v="174"/>
    <n v="165"/>
    <n v="117"/>
    <n v="186"/>
    <n v="249"/>
    <n v="264"/>
    <n v="57"/>
    <n v="225"/>
    <n v="93"/>
    <n v="195"/>
    <n v="333"/>
    <n v="27"/>
    <n v="96"/>
    <n v="81"/>
    <n v="195"/>
    <n v="90"/>
    <n v="192"/>
    <n v="360"/>
    <n v="27"/>
    <n v="0"/>
    <n v="129"/>
    <n v="1"/>
    <n v="6"/>
    <n v="306"/>
    <n v="141"/>
    <n v="0"/>
    <n v="12"/>
    <n v="240"/>
    <n v="159"/>
    <n v="306"/>
    <n v="51"/>
    <n v="75"/>
    <n v="174"/>
    <n v="75"/>
    <n v="315"/>
    <n v="186"/>
    <n v="114"/>
    <n v="126"/>
    <n v="78"/>
    <n v="156"/>
    <n v="255"/>
    <n v="195"/>
  </r>
  <r>
    <s v="L'Oreal"/>
    <x v="3"/>
    <x v="3"/>
    <x v="1"/>
    <x v="8"/>
    <n v="7506078935488"/>
    <x v="49"/>
    <x v="295"/>
    <x v="20"/>
    <n v="207"/>
    <n v="252"/>
    <n v="201"/>
    <n v="180"/>
    <n v="174"/>
    <n v="456"/>
    <n v="51"/>
    <n v="255"/>
    <n v="120"/>
    <n v="240"/>
    <n v="270"/>
    <n v="9"/>
    <n v="213"/>
    <n v="69"/>
    <n v="357"/>
    <n v="129"/>
    <n v="45"/>
    <n v="372"/>
    <n v="42"/>
    <n v="21"/>
    <n v="306"/>
    <n v="207"/>
    <n v="99"/>
    <n v="126"/>
    <n v="135"/>
    <n v="216"/>
    <n v="63"/>
    <n v="30"/>
    <n v="162"/>
    <n v="324"/>
    <n v="63"/>
    <n v="162"/>
    <n v="147"/>
    <n v="63"/>
    <n v="270"/>
    <n v="42"/>
    <n v="230"/>
    <n v="129"/>
    <n v="33"/>
    <n v="174"/>
    <n v="120"/>
    <n v="135"/>
  </r>
  <r>
    <s v="L'Oreal"/>
    <x v="3"/>
    <x v="3"/>
    <x v="1"/>
    <x v="8"/>
    <n v="7506078935501"/>
    <x v="49"/>
    <x v="296"/>
    <x v="20"/>
    <n v="243"/>
    <n v="201"/>
    <n v="177"/>
    <n v="237"/>
    <n v="141"/>
    <n v="291"/>
    <n v="36"/>
    <n v="345"/>
    <n v="33"/>
    <n v="156"/>
    <n v="243"/>
    <n v="21"/>
    <n v="78"/>
    <n v="138"/>
    <n v="204"/>
    <n v="105"/>
    <n v="18"/>
    <n v="372"/>
    <n v="18"/>
    <n v="81"/>
    <n v="261"/>
    <n v="147"/>
    <n v="96"/>
    <n v="144"/>
    <n v="60"/>
    <n v="210"/>
    <n v="135"/>
    <n v="51"/>
    <n v="15"/>
    <n v="288"/>
    <n v="60"/>
    <n v="114"/>
    <n v="156"/>
    <n v="117"/>
    <n v="180"/>
    <n v="21"/>
    <n v="207"/>
    <n v="153"/>
    <n v="39"/>
    <n v="90"/>
    <n v="132"/>
    <n v="138"/>
  </r>
  <r>
    <s v="L'Oreal"/>
    <x v="3"/>
    <x v="3"/>
    <x v="1"/>
    <x v="8"/>
    <n v="7506078935907"/>
    <x v="49"/>
    <x v="297"/>
    <x v="20"/>
    <n v="171"/>
    <n v="198"/>
    <n v="165"/>
    <n v="207"/>
    <n v="117"/>
    <n v="318"/>
    <n v="78"/>
    <n v="234"/>
    <n v="174"/>
    <n v="84"/>
    <n v="273"/>
    <n v="99"/>
    <n v="171"/>
    <n v="81"/>
    <n v="243"/>
    <n v="111"/>
    <n v="12"/>
    <n v="471"/>
    <n v="24"/>
    <n v="126"/>
    <n v="354"/>
    <n v="201"/>
    <n v="105"/>
    <n v="99"/>
    <n v="126"/>
    <n v="210"/>
    <n v="660"/>
    <n v="36"/>
    <n v="6"/>
    <n v="33"/>
    <n v="51"/>
    <n v="123"/>
    <n v="129"/>
    <n v="45"/>
    <n v="210"/>
    <n v="102"/>
    <n v="132"/>
    <n v="129"/>
    <n v="72"/>
    <n v="168"/>
    <n v="126"/>
    <n v="216"/>
  </r>
  <r>
    <s v="L'Oreal"/>
    <x v="3"/>
    <x v="3"/>
    <x v="1"/>
    <x v="8"/>
    <n v="7509552791778"/>
    <x v="49"/>
    <x v="298"/>
    <x v="20"/>
    <n v="0"/>
    <n v="0"/>
    <n v="0"/>
    <n v="0"/>
    <n v="0"/>
    <n v="0"/>
    <n v="0"/>
    <n v="0"/>
    <n v="0"/>
    <n v="132"/>
    <n v="0"/>
    <n v="0"/>
    <n v="0"/>
    <n v="0"/>
    <n v="12"/>
    <n v="0"/>
    <n v="0"/>
    <n v="24"/>
    <n v="0"/>
    <n v="0"/>
    <n v="0"/>
    <n v="0"/>
    <n v="0"/>
    <n v="0"/>
    <n v="0"/>
    <n v="0"/>
    <n v="24"/>
    <n v="0"/>
    <n v="0"/>
    <n v="0"/>
    <n v="12"/>
    <n v="72"/>
    <n v="0"/>
    <n v="0"/>
    <n v="0"/>
    <n v="0"/>
    <n v="0"/>
    <n v="0"/>
    <n v="0"/>
    <n v="0"/>
    <n v="0"/>
    <n v="0"/>
  </r>
  <r>
    <s v="L'Oreal"/>
    <x v="3"/>
    <x v="3"/>
    <x v="1"/>
    <x v="8"/>
    <n v="7509552841831"/>
    <x v="49"/>
    <x v="299"/>
    <x v="19"/>
    <n v="21"/>
    <n v="21"/>
    <n v="30"/>
    <n v="66"/>
    <n v="45"/>
    <n v="9"/>
    <n v="24"/>
    <n v="27"/>
    <n v="54"/>
    <n v="3"/>
    <n v="9"/>
    <n v="0"/>
    <n v="33"/>
    <n v="3"/>
    <n v="42"/>
    <n v="21"/>
    <n v="12"/>
    <n v="4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8"/>
    <n v="7509552844443"/>
    <x v="49"/>
    <x v="300"/>
    <x v="20"/>
    <n v="45"/>
    <n v="21"/>
    <n v="36"/>
    <n v="6"/>
    <n v="36"/>
    <n v="48"/>
    <n v="3"/>
    <n v="24"/>
    <n v="24"/>
    <n v="0"/>
    <n v="72"/>
    <n v="27"/>
    <n v="0"/>
    <n v="0"/>
    <n v="24"/>
    <n v="0"/>
    <n v="51"/>
    <n v="0"/>
    <n v="0"/>
    <n v="12"/>
    <n v="48"/>
    <n v="0"/>
    <n v="3"/>
    <n v="0"/>
    <n v="0"/>
    <n v="0"/>
    <n v="69"/>
    <n v="3"/>
    <n v="3"/>
    <n v="12"/>
    <n v="24"/>
    <n v="63"/>
    <n v="36"/>
    <n v="0"/>
    <n v="30"/>
    <n v="24"/>
    <n v="12"/>
    <n v="24"/>
    <n v="0"/>
    <n v="27"/>
    <n v="15"/>
    <n v="0"/>
  </r>
  <r>
    <s v="L'Oreal"/>
    <x v="3"/>
    <x v="3"/>
    <x v="1"/>
    <x v="8"/>
    <n v="7509552844450"/>
    <x v="49"/>
    <x v="301"/>
    <x v="20"/>
    <n v="81"/>
    <n v="57"/>
    <n v="39"/>
    <n v="9"/>
    <n v="72"/>
    <n v="24"/>
    <n v="3"/>
    <n v="36"/>
    <n v="24"/>
    <n v="27"/>
    <n v="3"/>
    <n v="6"/>
    <n v="48"/>
    <n v="3"/>
    <n v="12"/>
    <n v="48"/>
    <n v="18"/>
    <n v="0"/>
    <n v="12"/>
    <n v="12"/>
    <n v="12"/>
    <n v="12"/>
    <n v="27"/>
    <n v="0"/>
    <n v="18"/>
    <n v="0"/>
    <n v="78"/>
    <n v="6"/>
    <n v="9"/>
    <n v="12"/>
    <n v="15"/>
    <n v="51"/>
    <n v="18"/>
    <n v="0"/>
    <n v="42"/>
    <n v="6"/>
    <n v="42"/>
    <n v="12"/>
    <n v="3"/>
    <n v="15"/>
    <n v="12"/>
    <n v="18"/>
  </r>
  <r>
    <s v="L'Oreal"/>
    <x v="3"/>
    <x v="3"/>
    <x v="1"/>
    <x v="8"/>
    <n v="7509552844467"/>
    <x v="49"/>
    <x v="302"/>
    <x v="20"/>
    <n v="108"/>
    <n v="48"/>
    <n v="12"/>
    <n v="6"/>
    <n v="45"/>
    <n v="60"/>
    <n v="15"/>
    <n v="60"/>
    <n v="3"/>
    <n v="36"/>
    <n v="51"/>
    <n v="12"/>
    <n v="30"/>
    <n v="24"/>
    <n v="30"/>
    <n v="51"/>
    <n v="21"/>
    <n v="0"/>
    <n v="3"/>
    <n v="27"/>
    <n v="39"/>
    <n v="3"/>
    <n v="54"/>
    <n v="6"/>
    <n v="30"/>
    <n v="75"/>
    <n v="57"/>
    <n v="6"/>
    <n v="9"/>
    <n v="12"/>
    <n v="24"/>
    <n v="72"/>
    <n v="12"/>
    <n v="3"/>
    <n v="69"/>
    <n v="3"/>
    <n v="33"/>
    <n v="15"/>
    <n v="0"/>
    <n v="39"/>
    <n v="0"/>
    <n v="30"/>
  </r>
  <r>
    <s v="L'Oreal"/>
    <x v="3"/>
    <x v="3"/>
    <x v="1"/>
    <x v="8"/>
    <n v="7509552844474"/>
    <x v="49"/>
    <x v="303"/>
    <x v="20"/>
    <n v="75"/>
    <n v="27"/>
    <n v="48"/>
    <n v="3"/>
    <n v="21"/>
    <n v="48"/>
    <n v="3"/>
    <n v="84"/>
    <n v="24"/>
    <n v="60"/>
    <n v="3"/>
    <n v="0"/>
    <n v="15"/>
    <n v="57"/>
    <n v="6"/>
    <n v="0"/>
    <n v="15"/>
    <n v="30"/>
    <n v="0"/>
    <n v="0"/>
    <n v="39"/>
    <n v="24"/>
    <n v="15"/>
    <n v="3"/>
    <n v="0"/>
    <n v="12"/>
    <n v="48"/>
    <n v="6"/>
    <n v="0"/>
    <n v="42"/>
    <n v="27"/>
    <n v="63"/>
    <n v="0"/>
    <n v="24"/>
    <n v="0"/>
    <n v="36"/>
    <n v="6"/>
    <n v="24"/>
    <n v="12"/>
    <n v="6"/>
    <n v="0"/>
    <n v="24"/>
  </r>
  <r>
    <s v="L'Oreal"/>
    <x v="3"/>
    <x v="3"/>
    <x v="1"/>
    <x v="8"/>
    <n v="7509552844481"/>
    <x v="49"/>
    <x v="304"/>
    <x v="20"/>
    <n v="42"/>
    <n v="27"/>
    <n v="42"/>
    <n v="9"/>
    <n v="96"/>
    <n v="33"/>
    <n v="6"/>
    <n v="60"/>
    <n v="9"/>
    <n v="48"/>
    <n v="75"/>
    <n v="12"/>
    <n v="21"/>
    <n v="0"/>
    <n v="6"/>
    <n v="36"/>
    <n v="69"/>
    <n v="15"/>
    <n v="0"/>
    <n v="12"/>
    <n v="48"/>
    <n v="36"/>
    <n v="3"/>
    <n v="12"/>
    <n v="36"/>
    <n v="36"/>
    <n v="6"/>
    <n v="0"/>
    <n v="18"/>
    <n v="78"/>
    <n v="6"/>
    <n v="48"/>
    <n v="39"/>
    <n v="15"/>
    <n v="39"/>
    <n v="6"/>
    <n v="66"/>
    <n v="33"/>
    <n v="12"/>
    <n v="21"/>
    <n v="36"/>
    <n v="12"/>
  </r>
  <r>
    <s v="L'Oreal"/>
    <x v="3"/>
    <x v="3"/>
    <x v="1"/>
    <x v="8"/>
    <n v="7509552844498"/>
    <x v="49"/>
    <x v="305"/>
    <x v="20"/>
    <n v="60"/>
    <n v="0"/>
    <n v="0"/>
    <n v="57"/>
    <n v="90"/>
    <n v="105"/>
    <n v="18"/>
    <n v="96"/>
    <n v="27"/>
    <n v="72"/>
    <n v="75"/>
    <n v="12"/>
    <n v="12"/>
    <n v="3"/>
    <n v="66"/>
    <n v="24"/>
    <n v="18"/>
    <n v="54"/>
    <n v="6"/>
    <n v="0"/>
    <n v="36"/>
    <n v="39"/>
    <n v="12"/>
    <n v="9"/>
    <n v="0"/>
    <n v="102"/>
    <n v="126"/>
    <n v="0"/>
    <n v="3"/>
    <n v="6"/>
    <n v="27"/>
    <n v="48"/>
    <n v="12"/>
    <n v="0"/>
    <n v="39"/>
    <n v="18"/>
    <n v="21"/>
    <n v="36"/>
    <n v="6"/>
    <n v="54"/>
    <n v="0"/>
    <n v="6"/>
  </r>
  <r>
    <s v="L'Oreal"/>
    <x v="3"/>
    <x v="3"/>
    <x v="1"/>
    <x v="8"/>
    <n v="7509552844511"/>
    <x v="49"/>
    <x v="306"/>
    <x v="20"/>
    <n v="315"/>
    <n v="0"/>
    <n v="6"/>
    <n v="75"/>
    <n v="123"/>
    <n v="135"/>
    <n v="87"/>
    <n v="78"/>
    <n v="63"/>
    <n v="69"/>
    <n v="138"/>
    <n v="3"/>
    <n v="78"/>
    <n v="51"/>
    <n v="96"/>
    <n v="36"/>
    <n v="105"/>
    <n v="117"/>
    <n v="3"/>
    <n v="0"/>
    <n v="93"/>
    <n v="63"/>
    <n v="66"/>
    <n v="6"/>
    <n v="0"/>
    <n v="0"/>
    <n v="3"/>
    <n v="51"/>
    <n v="57"/>
    <n v="114"/>
    <n v="24"/>
    <n v="75"/>
    <n v="93"/>
    <n v="15"/>
    <n v="87"/>
    <n v="6"/>
    <n v="66"/>
    <n v="30"/>
    <n v="6"/>
    <n v="66"/>
    <n v="12"/>
    <n v="60"/>
  </r>
  <r>
    <s v="L'Oreal"/>
    <x v="3"/>
    <x v="3"/>
    <x v="1"/>
    <x v="8"/>
    <n v="7509552850567"/>
    <x v="49"/>
    <x v="307"/>
    <x v="20"/>
    <n v="396"/>
    <n v="72"/>
    <n v="12"/>
    <n v="6"/>
    <n v="0"/>
    <n v="0"/>
    <n v="0"/>
    <n v="0"/>
    <n v="0"/>
    <n v="24"/>
    <n v="0"/>
    <n v="0"/>
    <n v="0"/>
    <n v="0"/>
    <n v="12"/>
    <n v="0"/>
    <n v="12"/>
    <n v="0"/>
    <n v="24"/>
    <n v="0"/>
    <n v="12"/>
    <n v="12"/>
    <n v="72"/>
    <n v="0"/>
    <n v="36"/>
    <n v="3"/>
    <n v="0"/>
    <n v="0"/>
    <n v="0"/>
    <n v="0"/>
    <n v="0"/>
    <n v="12"/>
    <n v="0"/>
    <n v="0"/>
    <n v="36"/>
    <n v="0"/>
    <n v="0"/>
    <n v="24"/>
    <n v="0"/>
    <n v="0"/>
    <n v="0"/>
    <n v="0"/>
  </r>
  <r>
    <s v="L'Oreal"/>
    <x v="3"/>
    <x v="3"/>
    <x v="1"/>
    <x v="8"/>
    <n v="7509552878196"/>
    <x v="50"/>
    <x v="30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105"/>
    <n v="15"/>
    <n v="6"/>
    <n v="12"/>
    <n v="0"/>
    <n v="0"/>
    <n v="3"/>
    <n v="120"/>
    <n v="3"/>
    <n v="0"/>
    <n v="3"/>
    <n v="0"/>
    <n v="6"/>
    <n v="15"/>
    <n v="12"/>
    <n v="36"/>
    <n v="18"/>
    <n v="48"/>
    <n v="63"/>
    <n v="12"/>
    <n v="12"/>
    <n v="48"/>
    <n v="42"/>
  </r>
  <r>
    <s v="L'Oreal"/>
    <x v="3"/>
    <x v="3"/>
    <x v="1"/>
    <x v="8"/>
    <n v="7509552878202"/>
    <x v="50"/>
    <x v="30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4"/>
    <n v="105"/>
    <n v="51"/>
    <n v="39"/>
    <n v="78"/>
    <n v="18"/>
    <n v="0"/>
    <n v="69"/>
    <n v="99"/>
    <n v="63"/>
    <n v="51"/>
    <n v="93"/>
    <n v="42"/>
    <n v="12"/>
    <n v="0"/>
    <n v="6"/>
    <n v="117"/>
    <n v="12"/>
    <n v="117"/>
    <n v="162"/>
    <n v="42"/>
    <n v="39"/>
    <n v="144"/>
    <n v="48"/>
  </r>
  <r>
    <s v="L'Oreal"/>
    <x v="3"/>
    <x v="3"/>
    <x v="1"/>
    <x v="8"/>
    <n v="7509552878219"/>
    <x v="50"/>
    <x v="31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"/>
    <n v="72"/>
    <n v="15"/>
    <n v="3"/>
    <n v="24"/>
    <n v="0"/>
    <n v="0"/>
    <n v="3"/>
    <n v="120"/>
    <n v="3"/>
    <n v="3"/>
    <n v="0"/>
    <n v="18"/>
    <n v="15"/>
    <n v="24"/>
    <n v="-12"/>
    <n v="72"/>
    <n v="18"/>
    <n v="27"/>
    <n v="57"/>
    <n v="15"/>
    <n v="12"/>
    <n v="12"/>
    <n v="87"/>
  </r>
  <r>
    <s v="L'Oreal"/>
    <x v="3"/>
    <x v="3"/>
    <x v="1"/>
    <x v="8"/>
    <n v="7509552878226"/>
    <x v="50"/>
    <x v="311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15"/>
    <n v="3"/>
    <n v="12"/>
    <n v="3"/>
    <n v="0"/>
    <n v="12"/>
    <n v="48"/>
    <n v="3"/>
    <n v="0"/>
    <n v="0"/>
    <n v="0"/>
    <n v="3"/>
    <n v="0"/>
    <n v="0"/>
    <n v="0"/>
    <n v="0"/>
    <n v="0"/>
    <n v="0"/>
    <n v="0"/>
    <n v="0"/>
    <n v="0"/>
    <n v="0"/>
  </r>
  <r>
    <s v="L'Oreal"/>
    <x v="3"/>
    <x v="3"/>
    <x v="1"/>
    <x v="8"/>
    <n v="7509552878233"/>
    <x v="50"/>
    <x v="31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96"/>
    <n v="15"/>
    <n v="6"/>
    <n v="30"/>
    <n v="3"/>
    <n v="0"/>
    <n v="3"/>
    <n v="0"/>
    <n v="0"/>
    <n v="0"/>
    <n v="54"/>
    <n v="54"/>
    <n v="51"/>
    <n v="50"/>
    <n v="15"/>
    <n v="96"/>
    <n v="57"/>
    <n v="51"/>
    <n v="66"/>
    <n v="24"/>
    <n v="99"/>
    <n v="60"/>
    <n v="81"/>
  </r>
  <r>
    <s v="L'Oreal"/>
    <x v="3"/>
    <x v="3"/>
    <x v="1"/>
    <x v="8"/>
    <n v="7509552878240"/>
    <x v="50"/>
    <x v="31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"/>
    <n v="81"/>
    <n v="15"/>
    <n v="6"/>
    <n v="24"/>
    <n v="0"/>
    <n v="0"/>
    <n v="48"/>
    <n v="123"/>
    <n v="3"/>
    <n v="6"/>
    <n v="3"/>
    <n v="3"/>
    <n v="3"/>
    <n v="3"/>
    <n v="0"/>
    <n v="15"/>
    <n v="0"/>
    <n v="36"/>
    <n v="27"/>
    <n v="12"/>
    <n v="36"/>
    <n v="27"/>
    <n v="24"/>
  </r>
  <r>
    <s v="L'Oreal"/>
    <x v="3"/>
    <x v="3"/>
    <x v="1"/>
    <x v="8"/>
    <n v="7509552878257"/>
    <x v="50"/>
    <x v="31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"/>
    <n v="81"/>
    <n v="15"/>
    <n v="6"/>
    <n v="24"/>
    <n v="3"/>
    <n v="0"/>
    <n v="6"/>
    <n v="180"/>
    <n v="0"/>
    <n v="0"/>
    <n v="12"/>
    <n v="57"/>
    <n v="3"/>
    <n v="0"/>
    <n v="36"/>
    <n v="75"/>
    <n v="12"/>
    <n v="66"/>
    <n v="57"/>
    <n v="21"/>
    <n v="39"/>
    <n v="93"/>
    <n v="63"/>
  </r>
  <r>
    <s v="L'Oreal"/>
    <x v="3"/>
    <x v="3"/>
    <x v="1"/>
    <x v="8"/>
    <n v="7509552878264"/>
    <x v="50"/>
    <x v="31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4"/>
    <n v="72"/>
    <n v="15"/>
    <n v="9"/>
    <n v="30"/>
    <n v="27"/>
    <n v="24"/>
    <n v="75"/>
    <n v="180"/>
    <n v="3"/>
    <n v="9"/>
    <n v="0"/>
    <n v="36"/>
    <n v="75"/>
    <n v="93"/>
    <n v="60"/>
    <n v="69"/>
    <n v="0"/>
    <n v="84"/>
    <n v="114"/>
    <n v="12"/>
    <n v="51"/>
    <n v="117"/>
    <n v="27"/>
  </r>
  <r>
    <s v="L'Oreal"/>
    <x v="3"/>
    <x v="3"/>
    <x v="1"/>
    <x v="8"/>
    <n v="7509552878271"/>
    <x v="50"/>
    <x v="31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15"/>
    <n v="9"/>
    <n v="27"/>
    <n v="30"/>
    <n v="12"/>
    <n v="75"/>
    <n v="126"/>
    <n v="3"/>
    <n v="3"/>
    <n v="0"/>
    <n v="24"/>
    <n v="54"/>
    <n v="54"/>
    <n v="24"/>
    <n v="72"/>
    <n v="12"/>
    <n v="72"/>
    <n v="36"/>
    <n v="3"/>
    <n v="39"/>
    <n v="69"/>
    <n v="48"/>
  </r>
  <r>
    <s v="L'Oreal"/>
    <x v="3"/>
    <x v="3"/>
    <x v="1"/>
    <x v="8"/>
    <n v="7509552909531"/>
    <x v="49"/>
    <x v="317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3"/>
    <n v="6"/>
    <n v="138"/>
    <n v="210"/>
    <n v="177"/>
    <n v="279"/>
    <n v="75"/>
    <n v="270"/>
    <n v="6"/>
    <n v="0"/>
    <n v="0"/>
    <n v="0"/>
    <n v="0"/>
    <n v="0"/>
    <n v="0"/>
  </r>
  <r>
    <s v="L'Oreal"/>
    <x v="3"/>
    <x v="3"/>
    <x v="1"/>
    <x v="8"/>
    <n v="7509552909920"/>
    <x v="49"/>
    <x v="318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29"/>
    <n v="39"/>
    <n v="27"/>
    <n v="21"/>
    <n v="36"/>
    <n v="90"/>
    <n v="66"/>
    <n v="6"/>
    <n v="87"/>
    <n v="51"/>
    <n v="3"/>
    <n v="0"/>
    <n v="0"/>
  </r>
  <r>
    <s v="L'Oreal"/>
    <x v="3"/>
    <x v="3"/>
    <x v="1"/>
    <x v="8"/>
    <n v="7509552910841"/>
    <x v="51"/>
    <x v="319"/>
    <x v="19"/>
    <n v="9"/>
    <n v="0"/>
    <n v="0"/>
    <n v="0"/>
    <n v="0"/>
    <n v="9"/>
    <n v="9"/>
    <n v="0"/>
    <n v="0"/>
    <n v="0"/>
    <n v="0"/>
    <n v="0"/>
    <n v="0"/>
    <n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8"/>
    <n v="7509552910858"/>
    <x v="51"/>
    <x v="320"/>
    <x v="19"/>
    <n v="3"/>
    <n v="3"/>
    <n v="0"/>
    <n v="0"/>
    <n v="24"/>
    <n v="0"/>
    <n v="3"/>
    <n v="12"/>
    <n v="12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8"/>
    <n v="7509552910889"/>
    <x v="51"/>
    <x v="321"/>
    <x v="19"/>
    <n v="6"/>
    <n v="0"/>
    <n v="36"/>
    <n v="0"/>
    <n v="42"/>
    <n v="9"/>
    <n v="0"/>
    <n v="12"/>
    <n v="3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8"/>
    <n v="7509552910902"/>
    <x v="51"/>
    <x v="322"/>
    <x v="19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8"/>
    <n v="7509552910919"/>
    <x v="51"/>
    <x v="323"/>
    <x v="19"/>
    <n v="51"/>
    <n v="18"/>
    <n v="51"/>
    <n v="48"/>
    <n v="0"/>
    <n v="84"/>
    <n v="30"/>
    <n v="63"/>
    <n v="24"/>
    <n v="72"/>
    <n v="60"/>
    <n v="0"/>
    <n v="84"/>
    <n v="15"/>
    <n v="24"/>
    <n v="48"/>
    <n v="51"/>
    <n v="36"/>
    <n v="6"/>
    <n v="24"/>
    <n v="72"/>
    <n v="27"/>
    <n v="3"/>
    <n v="84"/>
    <n v="0"/>
    <n v="0"/>
    <n v="126"/>
    <n v="3"/>
    <n v="96"/>
    <n v="6"/>
    <n v="36"/>
    <n v="48"/>
    <n v="72"/>
    <n v="12"/>
    <n v="84"/>
    <n v="30"/>
    <n v="72"/>
    <n v="36"/>
    <n v="12"/>
    <n v="39"/>
    <n v="72"/>
    <n v="48"/>
  </r>
  <r>
    <s v="L'Oreal"/>
    <x v="3"/>
    <x v="3"/>
    <x v="1"/>
    <x v="8"/>
    <n v="7509552911077"/>
    <x v="49"/>
    <x v="32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2"/>
    <n v="6"/>
    <n v="36"/>
    <n v="109"/>
    <n v="12"/>
    <n v="213"/>
    <n v="282"/>
    <n v="114"/>
    <n v="310"/>
    <n v="48"/>
    <n v="228"/>
    <n v="135"/>
    <n v="60"/>
    <n v="0"/>
    <n v="0"/>
    <n v="0"/>
  </r>
  <r>
    <s v="L'Oreal"/>
    <x v="3"/>
    <x v="3"/>
    <x v="1"/>
    <x v="8"/>
    <n v="7509552911794"/>
    <x v="49"/>
    <x v="325"/>
    <x v="20"/>
    <n v="129"/>
    <n v="69"/>
    <n v="90"/>
    <n v="63"/>
    <n v="174"/>
    <n v="102"/>
    <n v="15"/>
    <n v="129"/>
    <n v="36"/>
    <n v="150"/>
    <n v="102"/>
    <n v="9"/>
    <n v="27"/>
    <n v="39"/>
    <n v="90"/>
    <n v="75"/>
    <n v="81"/>
    <n v="135"/>
    <n v="3"/>
    <n v="3"/>
    <n v="120"/>
    <n v="96"/>
    <n v="48"/>
    <n v="51"/>
    <n v="72"/>
    <n v="129"/>
    <n v="6"/>
    <n v="9"/>
    <n v="69"/>
    <n v="60"/>
    <n v="30"/>
    <n v="144"/>
    <n v="0"/>
    <n v="57"/>
    <n v="129"/>
    <n v="3"/>
    <n v="135"/>
    <n v="30"/>
    <n v="78"/>
    <n v="54"/>
    <n v="84"/>
    <n v="78"/>
  </r>
  <r>
    <s v="L'Oreal"/>
    <x v="3"/>
    <x v="3"/>
    <x v="1"/>
    <x v="8"/>
    <n v="7509552911800"/>
    <x v="49"/>
    <x v="326"/>
    <x v="20"/>
    <n v="1137"/>
    <n v="279"/>
    <n v="465"/>
    <n v="447"/>
    <n v="654"/>
    <n v="714"/>
    <n v="114"/>
    <n v="483"/>
    <n v="444"/>
    <n v="477"/>
    <n v="675"/>
    <n v="120"/>
    <n v="441"/>
    <n v="261"/>
    <n v="717"/>
    <n v="243"/>
    <n v="6"/>
    <n v="1137"/>
    <n v="75"/>
    <n v="114"/>
    <n v="819"/>
    <n v="261"/>
    <n v="294"/>
    <n v="282"/>
    <n v="288"/>
    <n v="552"/>
    <n v="1122"/>
    <n v="15"/>
    <n v="18"/>
    <n v="771"/>
    <n v="132"/>
    <n v="204"/>
    <n v="528"/>
    <n v="309"/>
    <n v="597"/>
    <n v="36"/>
    <n v="744"/>
    <n v="306"/>
    <n v="171"/>
    <n v="411"/>
    <n v="408"/>
    <n v="525"/>
  </r>
  <r>
    <s v="L'Oreal"/>
    <x v="3"/>
    <x v="3"/>
    <x v="1"/>
    <x v="8"/>
    <n v="7509552911817"/>
    <x v="49"/>
    <x v="327"/>
    <x v="20"/>
    <n v="396"/>
    <n v="264"/>
    <n v="219"/>
    <n v="177"/>
    <n v="555"/>
    <n v="639"/>
    <n v="63"/>
    <n v="381"/>
    <n v="147"/>
    <n v="219"/>
    <n v="447"/>
    <n v="201"/>
    <n v="279"/>
    <n v="150"/>
    <n v="537"/>
    <n v="207"/>
    <n v="6"/>
    <n v="825"/>
    <n v="66"/>
    <n v="36"/>
    <n v="561"/>
    <n v="213"/>
    <n v="318"/>
    <n v="213"/>
    <n v="225"/>
    <n v="399"/>
    <n v="1119"/>
    <n v="30"/>
    <n v="27"/>
    <n v="75"/>
    <n v="159"/>
    <n v="186"/>
    <n v="387"/>
    <n v="123"/>
    <n v="354"/>
    <n v="183"/>
    <n v="294"/>
    <n v="309"/>
    <n v="54"/>
    <n v="279"/>
    <n v="315"/>
    <n v="324"/>
  </r>
  <r>
    <s v="L'Oreal"/>
    <x v="3"/>
    <x v="3"/>
    <x v="1"/>
    <x v="8"/>
    <n v="7509552911831"/>
    <x v="49"/>
    <x v="328"/>
    <x v="20"/>
    <n v="93"/>
    <n v="81"/>
    <n v="66"/>
    <n v="72"/>
    <n v="78"/>
    <n v="165"/>
    <n v="6"/>
    <n v="114"/>
    <n v="33"/>
    <n v="66"/>
    <n v="120"/>
    <n v="12"/>
    <n v="75"/>
    <n v="0"/>
    <n v="138"/>
    <n v="51"/>
    <n v="99"/>
    <n v="153"/>
    <n v="9"/>
    <n v="6"/>
    <n v="126"/>
    <n v="69"/>
    <n v="18"/>
    <n v="9"/>
    <n v="15"/>
    <n v="96"/>
    <n v="195"/>
    <n v="0"/>
    <n v="0"/>
    <n v="27"/>
    <n v="36"/>
    <n v="81"/>
    <n v="48"/>
    <n v="66"/>
    <n v="111"/>
    <n v="63"/>
    <n v="99"/>
    <n v="12"/>
    <n v="42"/>
    <n v="60"/>
    <n v="45"/>
    <n v="87"/>
  </r>
  <r>
    <s v="L'Oreal"/>
    <x v="3"/>
    <x v="3"/>
    <x v="1"/>
    <x v="8"/>
    <n v="7509552911848"/>
    <x v="49"/>
    <x v="329"/>
    <x v="20"/>
    <n v="198"/>
    <n v="237"/>
    <n v="171"/>
    <n v="153"/>
    <n v="246"/>
    <n v="306"/>
    <n v="105"/>
    <n v="348"/>
    <n v="138"/>
    <n v="168"/>
    <n v="318"/>
    <n v="60"/>
    <n v="63"/>
    <n v="165"/>
    <n v="333"/>
    <n v="105"/>
    <n v="0"/>
    <n v="186"/>
    <n v="93"/>
    <n v="249"/>
    <n v="279"/>
    <n v="195"/>
    <n v="36"/>
    <n v="78"/>
    <n v="120"/>
    <n v="240"/>
    <n v="627"/>
    <n v="15"/>
    <n v="27"/>
    <n v="57"/>
    <n v="21"/>
    <n v="123"/>
    <n v="234"/>
    <n v="51"/>
    <n v="285"/>
    <n v="54"/>
    <n v="234"/>
    <n v="87"/>
    <n v="111"/>
    <n v="177"/>
    <n v="264"/>
    <n v="168"/>
  </r>
  <r>
    <s v="L'Oreal"/>
    <x v="3"/>
    <x v="3"/>
    <x v="1"/>
    <x v="8"/>
    <n v="7509552948035"/>
    <x v="49"/>
    <x v="318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30"/>
  </r>
  <r>
    <s v="L'Oreal"/>
    <x v="3"/>
    <x v="3"/>
    <x v="1"/>
    <x v="8"/>
    <n v="7509552948158"/>
    <x v="49"/>
    <x v="317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6"/>
    <n v="18"/>
    <n v="24"/>
    <n v="261"/>
    <n v="141"/>
    <n v="150"/>
  </r>
  <r>
    <s v="L'Oreal"/>
    <x v="3"/>
    <x v="3"/>
    <x v="1"/>
    <x v="8"/>
    <n v="7509552948202"/>
    <x v="49"/>
    <x v="33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n v="105"/>
    <n v="192"/>
  </r>
  <r>
    <s v="L'Oreal"/>
    <x v="3"/>
    <x v="3"/>
    <x v="1"/>
    <x v="8"/>
    <n v="7899706126786"/>
    <x v="49"/>
    <x v="331"/>
    <x v="20"/>
    <n v="348"/>
    <n v="225"/>
    <n v="219"/>
    <n v="219"/>
    <n v="387"/>
    <n v="609"/>
    <n v="78"/>
    <n v="408"/>
    <n v="183"/>
    <n v="324"/>
    <n v="492"/>
    <n v="102"/>
    <n v="135"/>
    <n v="261"/>
    <n v="423"/>
    <n v="204"/>
    <n v="249"/>
    <n v="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8"/>
    <n v="7899706127059"/>
    <x v="49"/>
    <x v="332"/>
    <x v="20"/>
    <n v="156"/>
    <n v="78"/>
    <n v="138"/>
    <n v="12"/>
    <n v="153"/>
    <n v="141"/>
    <n v="138"/>
    <n v="120"/>
    <n v="99"/>
    <n v="201"/>
    <n v="138"/>
    <n v="6"/>
    <n v="75"/>
    <n v="0"/>
    <n v="141"/>
    <n v="63"/>
    <n v="132"/>
    <n v="2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8"/>
    <n v="7899706127165"/>
    <x v="49"/>
    <x v="333"/>
    <x v="20"/>
    <n v="24"/>
    <n v="78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8"/>
    <n v="7899706127196"/>
    <x v="49"/>
    <x v="334"/>
    <x v="20"/>
    <n v="114"/>
    <n v="108"/>
    <n v="123"/>
    <n v="168"/>
    <n v="198"/>
    <n v="261"/>
    <n v="117"/>
    <n v="297"/>
    <n v="108"/>
    <n v="111"/>
    <n v="312"/>
    <n v="21"/>
    <n v="75"/>
    <n v="66"/>
    <n v="186"/>
    <n v="87"/>
    <n v="156"/>
    <n v="228"/>
    <n v="21"/>
    <n v="84"/>
    <n v="276"/>
    <n v="207"/>
    <n v="57"/>
    <n v="12"/>
    <n v="18"/>
    <n v="3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8"/>
    <n v="7899706127219"/>
    <x v="49"/>
    <x v="335"/>
    <x v="20"/>
    <n v="30"/>
    <n v="27"/>
    <n v="3"/>
    <n v="6"/>
    <n v="18"/>
    <n v="21"/>
    <n v="27"/>
    <n v="48"/>
    <n v="57"/>
    <n v="12"/>
    <n v="9"/>
    <n v="6"/>
    <n v="33"/>
    <n v="24"/>
    <n v="27"/>
    <n v="15"/>
    <n v="33"/>
    <n v="36"/>
    <n v="30"/>
    <n v="39"/>
    <n v="66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9"/>
    <n v="7509552841862"/>
    <x v="52"/>
    <x v="336"/>
    <x v="21"/>
    <n v="24"/>
    <n v="0"/>
    <n v="12"/>
    <n v="24"/>
    <n v="36"/>
    <n v="48"/>
    <n v="0"/>
    <n v="0"/>
    <n v="0"/>
    <n v="0"/>
    <n v="24"/>
    <n v="0"/>
    <n v="0"/>
    <n v="12"/>
    <n v="0"/>
    <n v="0"/>
    <n v="12"/>
    <n v="0"/>
    <n v="0"/>
    <n v="0"/>
    <n v="12"/>
    <n v="12"/>
    <n v="12"/>
    <n v="18"/>
    <n v="0"/>
    <n v="12"/>
    <n v="12"/>
    <n v="6"/>
    <n v="0"/>
    <n v="0"/>
    <n v="0"/>
    <n v="0"/>
    <n v="0"/>
    <n v="0"/>
    <n v="48"/>
    <n v="0"/>
    <n v="0"/>
    <n v="0"/>
    <n v="0"/>
    <n v="30"/>
    <n v="18"/>
    <n v="6"/>
  </r>
  <r>
    <s v="L'Oreal"/>
    <x v="3"/>
    <x v="3"/>
    <x v="1"/>
    <x v="9"/>
    <n v="7509552841879"/>
    <x v="52"/>
    <x v="337"/>
    <x v="21"/>
    <n v="0"/>
    <n v="0"/>
    <n v="18"/>
    <n v="18"/>
    <n v="36"/>
    <n v="48"/>
    <n v="12"/>
    <n v="48"/>
    <n v="0"/>
    <n v="0"/>
    <n v="0"/>
    <n v="12"/>
    <n v="12"/>
    <n v="0"/>
    <n v="12"/>
    <n v="12"/>
    <n v="12"/>
    <n v="0"/>
    <n v="12"/>
    <n v="0"/>
    <n v="0"/>
    <n v="0"/>
    <n v="24"/>
    <n v="6"/>
    <n v="0"/>
    <n v="0"/>
    <n v="0"/>
    <n v="6"/>
    <n v="6"/>
    <n v="18"/>
    <n v="0"/>
    <n v="0"/>
    <n v="66"/>
    <n v="0"/>
    <n v="0"/>
    <n v="0"/>
    <n v="72"/>
    <n v="0"/>
    <n v="0"/>
    <n v="6"/>
    <n v="18"/>
    <n v="0"/>
  </r>
  <r>
    <s v="L'Oreal"/>
    <x v="3"/>
    <x v="3"/>
    <x v="1"/>
    <x v="9"/>
    <n v="7509552917390"/>
    <x v="52"/>
    <x v="337"/>
    <x v="21"/>
    <n v="24"/>
    <n v="0"/>
    <n v="0"/>
    <n v="12"/>
    <n v="60"/>
    <n v="120"/>
    <n v="0"/>
    <n v="90"/>
    <n v="0"/>
    <n v="72"/>
    <n v="6"/>
    <n v="12"/>
    <n v="18"/>
    <n v="12"/>
    <n v="36"/>
    <n v="12"/>
    <n v="48"/>
    <n v="48"/>
    <n v="12"/>
    <n v="0"/>
    <n v="0"/>
    <n v="0"/>
    <n v="12"/>
    <n v="12"/>
    <n v="42"/>
    <n v="18"/>
    <n v="36"/>
    <n v="6"/>
    <n v="42"/>
    <n v="12"/>
    <n v="12"/>
    <n v="12"/>
    <n v="0"/>
    <n v="0"/>
    <n v="54"/>
    <n v="36"/>
    <n v="108"/>
    <n v="6"/>
    <n v="0"/>
    <n v="96"/>
    <n v="48"/>
    <n v="30"/>
  </r>
  <r>
    <s v="L'Oreal"/>
    <x v="3"/>
    <x v="3"/>
    <x v="1"/>
    <x v="9"/>
    <n v="7509552917406"/>
    <x v="52"/>
    <x v="338"/>
    <x v="21"/>
    <n v="0"/>
    <n v="0"/>
    <n v="18"/>
    <n v="30"/>
    <n v="0"/>
    <n v="192"/>
    <n v="12"/>
    <n v="0"/>
    <n v="12"/>
    <n v="78"/>
    <n v="96"/>
    <n v="24"/>
    <n v="24"/>
    <n v="42"/>
    <n v="108"/>
    <n v="24"/>
    <n v="72"/>
    <n v="60"/>
    <n v="24"/>
    <n v="54"/>
    <n v="144"/>
    <n v="0"/>
    <n v="60"/>
    <n v="60"/>
    <n v="60"/>
    <n v="0"/>
    <n v="24"/>
    <n v="30"/>
    <n v="0"/>
    <n v="0"/>
    <n v="36"/>
    <n v="0"/>
    <n v="60"/>
    <n v="0"/>
    <n v="18"/>
    <n v="0"/>
    <n v="162"/>
    <n v="48"/>
    <n v="30"/>
    <n v="96"/>
    <n v="48"/>
    <n v="48"/>
  </r>
  <r>
    <s v="L'Oreal"/>
    <x v="3"/>
    <x v="3"/>
    <x v="1"/>
    <x v="9"/>
    <n v="7509552917413"/>
    <x v="52"/>
    <x v="339"/>
    <x v="21"/>
    <n v="24"/>
    <n v="0"/>
    <n v="0"/>
    <n v="18"/>
    <n v="60"/>
    <n v="150"/>
    <n v="0"/>
    <n v="84"/>
    <n v="36"/>
    <n v="48"/>
    <n v="0"/>
    <n v="0"/>
    <n v="36"/>
    <n v="30"/>
    <n v="48"/>
    <n v="12"/>
    <n v="36"/>
    <n v="36"/>
    <n v="6"/>
    <n v="60"/>
    <n v="36"/>
    <n v="0"/>
    <n v="72"/>
    <n v="42"/>
    <n v="0"/>
    <n v="0"/>
    <n v="0"/>
    <n v="6"/>
    <n v="18"/>
    <n v="0"/>
    <n v="60"/>
    <n v="0"/>
    <n v="48"/>
    <n v="0"/>
    <n v="72"/>
    <n v="60"/>
    <n v="72"/>
    <n v="6"/>
    <n v="6"/>
    <n v="24"/>
    <n v="96"/>
    <n v="12"/>
  </r>
  <r>
    <s v="L'Oreal"/>
    <x v="3"/>
    <x v="3"/>
    <x v="1"/>
    <x v="9"/>
    <n v="7509552917420"/>
    <x v="52"/>
    <x v="340"/>
    <x v="21"/>
    <n v="6"/>
    <n v="0"/>
    <n v="12"/>
    <n v="6"/>
    <n v="0"/>
    <n v="174"/>
    <n v="12"/>
    <n v="78"/>
    <n v="0"/>
    <n v="108"/>
    <n v="12"/>
    <n v="12"/>
    <n v="36"/>
    <n v="72"/>
    <n v="114"/>
    <n v="12"/>
    <n v="48"/>
    <n v="60"/>
    <n v="0"/>
    <n v="60"/>
    <n v="48"/>
    <n v="0"/>
    <n v="78"/>
    <n v="84"/>
    <n v="108"/>
    <n v="24"/>
    <n v="24"/>
    <n v="6"/>
    <n v="24"/>
    <n v="0"/>
    <n v="66"/>
    <n v="0"/>
    <n v="156"/>
    <n v="54"/>
    <n v="162"/>
    <n v="48"/>
    <n v="156"/>
    <n v="36"/>
    <n v="36"/>
    <n v="60"/>
    <n v="48"/>
    <n v="72"/>
  </r>
  <r>
    <s v="L'Oreal"/>
    <x v="3"/>
    <x v="3"/>
    <x v="1"/>
    <x v="9"/>
    <n v="7509552917437"/>
    <x v="52"/>
    <x v="341"/>
    <x v="21"/>
    <n v="0"/>
    <n v="0"/>
    <n v="0"/>
    <n v="6"/>
    <n v="48"/>
    <n v="90"/>
    <n v="72"/>
    <n v="0"/>
    <n v="12"/>
    <n v="78"/>
    <n v="84"/>
    <n v="24"/>
    <n v="72"/>
    <n v="48"/>
    <n v="66"/>
    <n v="24"/>
    <n v="96"/>
    <n v="60"/>
    <n v="42"/>
    <n v="66"/>
    <n v="132"/>
    <n v="0"/>
    <n v="84"/>
    <n v="60"/>
    <n v="54"/>
    <n v="6"/>
    <n v="0"/>
    <n v="6"/>
    <n v="0"/>
    <n v="0"/>
    <n v="60"/>
    <n v="0"/>
    <n v="60"/>
    <n v="0"/>
    <n v="96"/>
    <n v="0"/>
    <n v="162"/>
    <n v="12"/>
    <n v="6"/>
    <n v="108"/>
    <n v="96"/>
    <n v="66"/>
  </r>
  <r>
    <s v="L'Oreal"/>
    <x v="3"/>
    <x v="3"/>
    <x v="1"/>
    <x v="9"/>
    <n v="7509552917550"/>
    <x v="52"/>
    <x v="342"/>
    <x v="21"/>
    <n v="12"/>
    <n v="0"/>
    <n v="0"/>
    <n v="12"/>
    <n v="12"/>
    <n v="48"/>
    <n v="0"/>
    <n v="0"/>
    <n v="0"/>
    <n v="0"/>
    <n v="0"/>
    <n v="0"/>
    <n v="0"/>
    <n v="0"/>
    <n v="12"/>
    <n v="0"/>
    <n v="24"/>
    <n v="0"/>
    <n v="0"/>
    <n v="12"/>
    <n v="54"/>
    <n v="0"/>
    <n v="12"/>
    <n v="0"/>
    <n v="0"/>
    <n v="0"/>
    <n v="0"/>
    <n v="18"/>
    <n v="0"/>
    <n v="0"/>
    <n v="24"/>
    <n v="0"/>
    <n v="12"/>
    <n v="0"/>
    <n v="6"/>
    <n v="24"/>
    <n v="0"/>
    <n v="0"/>
    <n v="0"/>
    <n v="0"/>
    <n v="0"/>
    <n v="0"/>
  </r>
  <r>
    <s v="L'Oreal"/>
    <x v="3"/>
    <x v="3"/>
    <x v="1"/>
    <x v="10"/>
    <n v="7506078967786"/>
    <x v="53"/>
    <x v="343"/>
    <x v="22"/>
    <n v="42"/>
    <n v="3"/>
    <n v="36"/>
    <n v="6"/>
    <n v="27"/>
    <n v="42"/>
    <n v="12"/>
    <n v="0"/>
    <n v="18"/>
    <n v="15"/>
    <n v="30"/>
    <n v="12"/>
    <n v="24"/>
    <n v="3"/>
    <n v="24"/>
    <n v="12"/>
    <n v="30"/>
    <n v="12"/>
    <n v="0"/>
    <n v="12"/>
    <n v="36"/>
    <n v="6"/>
    <n v="39"/>
    <n v="3"/>
    <n v="6"/>
    <n v="51"/>
    <n v="0"/>
    <n v="0"/>
    <n v="27"/>
    <n v="12"/>
    <n v="0"/>
    <n v="39"/>
    <n v="27"/>
    <n v="36"/>
    <n v="0"/>
    <n v="0"/>
    <n v="30"/>
    <n v="24"/>
    <n v="12"/>
    <n v="3"/>
    <n v="24"/>
    <n v="0"/>
  </r>
  <r>
    <s v="L'Oreal"/>
    <x v="3"/>
    <x v="3"/>
    <x v="1"/>
    <x v="10"/>
    <n v="7506078967793"/>
    <x v="53"/>
    <x v="344"/>
    <x v="22"/>
    <n v="24"/>
    <n v="21"/>
    <n v="6"/>
    <n v="12"/>
    <n v="24"/>
    <n v="15"/>
    <n v="12"/>
    <n v="0"/>
    <n v="27"/>
    <n v="12"/>
    <n v="15"/>
    <n v="0"/>
    <n v="36"/>
    <n v="21"/>
    <n v="41"/>
    <n v="24"/>
    <n v="0"/>
    <n v="12"/>
    <n v="0"/>
    <n v="0"/>
    <n v="12"/>
    <n v="3"/>
    <n v="36"/>
    <n v="3"/>
    <n v="6"/>
    <n v="39"/>
    <n v="0"/>
    <n v="0"/>
    <n v="12"/>
    <n v="24"/>
    <n v="33"/>
    <n v="12"/>
    <n v="27"/>
    <n v="0"/>
    <n v="54"/>
    <n v="15"/>
    <n v="24"/>
    <n v="3"/>
    <n v="0"/>
    <n v="12"/>
    <n v="12"/>
    <n v="24"/>
  </r>
  <r>
    <s v="L'Oreal"/>
    <x v="3"/>
    <x v="3"/>
    <x v="1"/>
    <x v="10"/>
    <n v="7506078967809"/>
    <x v="53"/>
    <x v="345"/>
    <x v="22"/>
    <n v="63"/>
    <n v="27"/>
    <n v="30"/>
    <n v="54"/>
    <n v="15"/>
    <n v="3"/>
    <n v="15"/>
    <n v="24"/>
    <n v="21"/>
    <n v="33"/>
    <n v="33"/>
    <n v="24"/>
    <n v="39"/>
    <n v="21"/>
    <n v="36"/>
    <n v="24"/>
    <n v="36"/>
    <n v="12"/>
    <n v="0"/>
    <n v="18"/>
    <n v="24"/>
    <n v="15"/>
    <n v="0"/>
    <n v="24"/>
    <n v="21"/>
    <n v="39"/>
    <n v="0"/>
    <n v="12"/>
    <n v="15"/>
    <n v="12"/>
    <n v="27"/>
    <n v="12"/>
    <n v="0"/>
    <n v="0"/>
    <n v="3"/>
    <n v="30"/>
    <n v="3"/>
    <n v="30"/>
    <n v="0"/>
    <n v="30"/>
    <n v="12"/>
    <n v="15"/>
  </r>
  <r>
    <s v="L'Oreal"/>
    <x v="3"/>
    <x v="3"/>
    <x v="1"/>
    <x v="10"/>
    <n v="7506078967816"/>
    <x v="53"/>
    <x v="346"/>
    <x v="22"/>
    <n v="99"/>
    <n v="15"/>
    <n v="78"/>
    <n v="45"/>
    <n v="45"/>
    <n v="84"/>
    <n v="3"/>
    <n v="66"/>
    <n v="66"/>
    <n v="60"/>
    <n v="81"/>
    <n v="60"/>
    <n v="54"/>
    <n v="81"/>
    <n v="48"/>
    <n v="48"/>
    <n v="87"/>
    <n v="36"/>
    <n v="27"/>
    <n v="39"/>
    <n v="96"/>
    <n v="15"/>
    <n v="102"/>
    <n v="24"/>
    <n v="48"/>
    <n v="96"/>
    <n v="6"/>
    <n v="24"/>
    <n v="24"/>
    <n v="0"/>
    <n v="57"/>
    <n v="24"/>
    <n v="0"/>
    <n v="0"/>
    <n v="27"/>
    <n v="0"/>
    <n v="99"/>
    <n v="15"/>
    <n v="24"/>
    <n v="48"/>
    <n v="36"/>
    <n v="24"/>
  </r>
  <r>
    <s v="L'Oreal"/>
    <x v="3"/>
    <x v="3"/>
    <x v="1"/>
    <x v="11"/>
    <n v="7501027209184"/>
    <x v="54"/>
    <x v="347"/>
    <x v="19"/>
    <n v="519"/>
    <n v="417"/>
    <n v="285"/>
    <n v="681"/>
    <n v="471"/>
    <n v="543"/>
    <n v="42"/>
    <n v="693"/>
    <n v="555"/>
    <n v="315"/>
    <n v="111"/>
    <n v="366"/>
    <n v="324"/>
    <n v="90"/>
    <n v="534"/>
    <n v="180"/>
    <n v="429"/>
    <n v="567"/>
    <n v="90"/>
    <n v="72"/>
    <n v="309"/>
    <n v="261"/>
    <n v="363"/>
    <n v="114"/>
    <n v="3"/>
    <n v="0"/>
    <n v="33"/>
    <n v="315"/>
    <n v="180"/>
    <n v="696"/>
    <n v="126"/>
    <n v="264"/>
    <n v="396"/>
    <n v="204"/>
    <n v="489"/>
    <n v="96"/>
    <n v="402"/>
    <n v="339"/>
    <n v="471"/>
    <n v="21"/>
    <n v="57"/>
    <n v="186"/>
  </r>
  <r>
    <s v="L'Oreal"/>
    <x v="3"/>
    <x v="3"/>
    <x v="1"/>
    <x v="11"/>
    <n v="7501027209214"/>
    <x v="54"/>
    <x v="348"/>
    <x v="19"/>
    <n v="363"/>
    <n v="240"/>
    <n v="330"/>
    <n v="495"/>
    <n v="273"/>
    <n v="396"/>
    <n v="144"/>
    <n v="549"/>
    <n v="387"/>
    <n v="264"/>
    <n v="81"/>
    <n v="159"/>
    <n v="252"/>
    <n v="147"/>
    <n v="387"/>
    <n v="153"/>
    <n v="249"/>
    <n v="426"/>
    <n v="54"/>
    <n v="132"/>
    <n v="330"/>
    <n v="162"/>
    <n v="219"/>
    <n v="63"/>
    <n v="123"/>
    <n v="0"/>
    <n v="0"/>
    <n v="225"/>
    <n v="168"/>
    <n v="315"/>
    <n v="87"/>
    <n v="312"/>
    <n v="369"/>
    <n v="81"/>
    <n v="357"/>
    <n v="66"/>
    <n v="150"/>
    <n v="183"/>
    <n v="309"/>
    <n v="18"/>
    <n v="141"/>
    <n v="63"/>
  </r>
  <r>
    <s v="L'Oreal"/>
    <x v="3"/>
    <x v="3"/>
    <x v="1"/>
    <x v="11"/>
    <n v="7501027209221"/>
    <x v="54"/>
    <x v="349"/>
    <x v="19"/>
    <n v="438"/>
    <n v="372"/>
    <n v="279"/>
    <n v="693"/>
    <n v="330"/>
    <n v="423"/>
    <n v="45"/>
    <n v="555"/>
    <n v="486"/>
    <n v="210"/>
    <n v="120"/>
    <n v="369"/>
    <n v="312"/>
    <n v="192"/>
    <n v="681"/>
    <n v="216"/>
    <n v="480"/>
    <n v="243"/>
    <n v="90"/>
    <n v="312"/>
    <n v="336"/>
    <n v="285"/>
    <n v="384"/>
    <n v="138"/>
    <n v="219"/>
    <n v="123"/>
    <n v="0"/>
    <n v="360"/>
    <n v="0"/>
    <n v="90"/>
    <n v="354"/>
    <n v="522"/>
    <n v="471"/>
    <n v="285"/>
    <n v="585"/>
    <n v="93"/>
    <n v="426"/>
    <n v="366"/>
    <n v="495"/>
    <n v="45"/>
    <n v="156"/>
    <n v="129"/>
  </r>
  <r>
    <s v="L'Oreal"/>
    <x v="3"/>
    <x v="3"/>
    <x v="1"/>
    <x v="11"/>
    <n v="7501027209542"/>
    <x v="54"/>
    <x v="350"/>
    <x v="19"/>
    <n v="438"/>
    <n v="306"/>
    <n v="303"/>
    <n v="591"/>
    <n v="300"/>
    <n v="321"/>
    <n v="120"/>
    <n v="492"/>
    <n v="165"/>
    <n v="453"/>
    <n v="66"/>
    <n v="354"/>
    <n v="237"/>
    <n v="204"/>
    <n v="453"/>
    <n v="240"/>
    <n v="351"/>
    <n v="450"/>
    <n v="45"/>
    <n v="69"/>
    <n v="330"/>
    <n v="231"/>
    <n v="363"/>
    <n v="93"/>
    <n v="198"/>
    <n v="6"/>
    <n v="6"/>
    <n v="321"/>
    <n v="165"/>
    <n v="477"/>
    <n v="54"/>
    <n v="258"/>
    <n v="414"/>
    <n v="93"/>
    <n v="519"/>
    <n v="72"/>
    <n v="378"/>
    <n v="222"/>
    <n v="501"/>
    <n v="66"/>
    <n v="180"/>
    <n v="93"/>
  </r>
  <r>
    <s v="L'Oreal"/>
    <x v="3"/>
    <x v="3"/>
    <x v="1"/>
    <x v="11"/>
    <n v="7501027209566"/>
    <x v="54"/>
    <x v="351"/>
    <x v="19"/>
    <n v="207"/>
    <n v="108"/>
    <n v="96"/>
    <n v="240"/>
    <n v="51"/>
    <n v="234"/>
    <n v="12"/>
    <n v="183"/>
    <n v="204"/>
    <n v="57"/>
    <n v="18"/>
    <n v="102"/>
    <n v="93"/>
    <n v="30"/>
    <n v="213"/>
    <n v="72"/>
    <n v="141"/>
    <n v="75"/>
    <n v="24"/>
    <n v="123"/>
    <n v="108"/>
    <n v="165"/>
    <n v="90"/>
    <n v="39"/>
    <n v="90"/>
    <n v="150"/>
    <n v="54"/>
    <n v="18"/>
    <n v="45"/>
    <n v="66"/>
    <n v="138"/>
    <n v="120"/>
    <n v="129"/>
    <n v="6"/>
    <n v="195"/>
    <n v="6"/>
    <n v="120"/>
    <n v="177"/>
    <n v="156"/>
    <n v="3"/>
    <n v="93"/>
    <n v="69"/>
  </r>
  <r>
    <s v="L'Oreal"/>
    <x v="3"/>
    <x v="3"/>
    <x v="1"/>
    <x v="11"/>
    <n v="7501027209580"/>
    <x v="54"/>
    <x v="352"/>
    <x v="19"/>
    <n v="303"/>
    <n v="150"/>
    <n v="213"/>
    <n v="402"/>
    <n v="99"/>
    <n v="432"/>
    <n v="69"/>
    <n v="369"/>
    <n v="279"/>
    <n v="162"/>
    <n v="15"/>
    <n v="192"/>
    <n v="219"/>
    <n v="105"/>
    <n v="225"/>
    <n v="138"/>
    <n v="267"/>
    <n v="387"/>
    <n v="45"/>
    <n v="48"/>
    <n v="219"/>
    <n v="108"/>
    <n v="156"/>
    <n v="90"/>
    <n v="147"/>
    <n v="228"/>
    <n v="60"/>
    <n v="234"/>
    <n v="36"/>
    <n v="120"/>
    <n v="51"/>
    <n v="186"/>
    <n v="138"/>
    <n v="0"/>
    <n v="150"/>
    <n v="129"/>
    <n v="231"/>
    <n v="336"/>
    <n v="279"/>
    <n v="39"/>
    <n v="75"/>
    <n v="51"/>
  </r>
  <r>
    <s v="L'Oreal"/>
    <x v="3"/>
    <x v="3"/>
    <x v="1"/>
    <x v="11"/>
    <n v="7501027209627"/>
    <x v="54"/>
    <x v="353"/>
    <x v="19"/>
    <n v="213"/>
    <n v="189"/>
    <n v="165"/>
    <n v="504"/>
    <n v="102"/>
    <n v="399"/>
    <n v="42"/>
    <n v="420"/>
    <n v="279"/>
    <n v="99"/>
    <n v="30"/>
    <n v="78"/>
    <n v="201"/>
    <n v="78"/>
    <n v="303"/>
    <n v="162"/>
    <n v="117"/>
    <n v="393"/>
    <n v="24"/>
    <n v="15"/>
    <n v="270"/>
    <n v="123"/>
    <n v="216"/>
    <n v="81"/>
    <n v="78"/>
    <n v="12"/>
    <n v="0"/>
    <n v="243"/>
    <n v="51"/>
    <n v="234"/>
    <n v="27"/>
    <n v="147"/>
    <n v="162"/>
    <n v="117"/>
    <n v="315"/>
    <n v="18"/>
    <n v="177"/>
    <n v="246"/>
    <n v="126"/>
    <n v="27"/>
    <n v="153"/>
    <n v="90"/>
  </r>
  <r>
    <s v="L'Oreal"/>
    <x v="3"/>
    <x v="3"/>
    <x v="1"/>
    <x v="11"/>
    <n v="7501027209658"/>
    <x v="54"/>
    <x v="354"/>
    <x v="19"/>
    <n v="345"/>
    <n v="297"/>
    <n v="345"/>
    <n v="618"/>
    <n v="276"/>
    <n v="423"/>
    <n v="84"/>
    <n v="636"/>
    <n v="447"/>
    <n v="174"/>
    <n v="45"/>
    <n v="291"/>
    <n v="288"/>
    <n v="150"/>
    <n v="534"/>
    <n v="165"/>
    <n v="402"/>
    <n v="537"/>
    <n v="102"/>
    <n v="21"/>
    <n v="369"/>
    <n v="300"/>
    <n v="207"/>
    <n v="124"/>
    <n v="93"/>
    <n v="0"/>
    <n v="6"/>
    <n v="360"/>
    <n v="114"/>
    <n v="393"/>
    <n v="63"/>
    <n v="243"/>
    <n v="495"/>
    <n v="93"/>
    <n v="378"/>
    <n v="30"/>
    <n v="348"/>
    <n v="189"/>
    <n v="363"/>
    <n v="60"/>
    <n v="150"/>
    <n v="108"/>
  </r>
  <r>
    <s v="L'Oreal"/>
    <x v="3"/>
    <x v="3"/>
    <x v="1"/>
    <x v="11"/>
    <n v="7501027221780"/>
    <x v="54"/>
    <x v="355"/>
    <x v="19"/>
    <n v="294"/>
    <n v="249"/>
    <n v="228"/>
    <n v="441"/>
    <n v="324"/>
    <n v="294"/>
    <n v="144"/>
    <n v="219"/>
    <n v="420"/>
    <n v="273"/>
    <n v="45"/>
    <n v="297"/>
    <n v="219"/>
    <n v="63"/>
    <n v="288"/>
    <n v="219"/>
    <n v="252"/>
    <n v="399"/>
    <n v="39"/>
    <n v="57"/>
    <n v="210"/>
    <n v="174"/>
    <n v="225"/>
    <n v="42"/>
    <n v="99"/>
    <n v="198"/>
    <n v="51"/>
    <n v="117"/>
    <n v="114"/>
    <n v="297"/>
    <n v="144"/>
    <n v="141"/>
    <n v="381"/>
    <n v="33"/>
    <n v="414"/>
    <n v="9"/>
    <n v="282"/>
    <n v="105"/>
    <n v="246"/>
    <n v="27"/>
    <n v="138"/>
    <n v="75"/>
  </r>
  <r>
    <s v="L'Oreal"/>
    <x v="3"/>
    <x v="3"/>
    <x v="1"/>
    <x v="11"/>
    <n v="7501839100129"/>
    <x v="54"/>
    <x v="356"/>
    <x v="19"/>
    <n v="33"/>
    <n v="123"/>
    <n v="117"/>
    <n v="285"/>
    <n v="78"/>
    <n v="195"/>
    <n v="30"/>
    <n v="276"/>
    <n v="309"/>
    <n v="60"/>
    <n v="66"/>
    <n v="123"/>
    <n v="183"/>
    <n v="108"/>
    <n v="228"/>
    <n v="60"/>
    <n v="267"/>
    <n v="84"/>
    <n v="99"/>
    <n v="150"/>
    <n v="135"/>
    <n v="204"/>
    <n v="120"/>
    <n v="48"/>
    <n v="114"/>
    <n v="0"/>
    <n v="12"/>
    <n v="102"/>
    <n v="156"/>
    <n v="228"/>
    <n v="102"/>
    <n v="174"/>
    <n v="165"/>
    <n v="150"/>
    <n v="180"/>
    <n v="27"/>
    <n v="189"/>
    <n v="219"/>
    <n v="228"/>
    <n v="51"/>
    <n v="51"/>
    <n v="84"/>
  </r>
  <r>
    <s v="L'Oreal"/>
    <x v="3"/>
    <x v="3"/>
    <x v="1"/>
    <x v="11"/>
    <n v="7506078959934"/>
    <x v="55"/>
    <x v="357"/>
    <x v="19"/>
    <n v="294"/>
    <n v="246"/>
    <n v="309"/>
    <n v="405"/>
    <n v="225"/>
    <n v="312"/>
    <n v="21"/>
    <n v="612"/>
    <n v="477"/>
    <n v="288"/>
    <n v="27"/>
    <n v="249"/>
    <n v="354"/>
    <n v="165"/>
    <n v="480"/>
    <n v="162"/>
    <n v="336"/>
    <n v="483"/>
    <n v="66"/>
    <n v="69"/>
    <n v="486"/>
    <n v="291"/>
    <n v="321"/>
    <n v="9"/>
    <n v="291"/>
    <n v="0"/>
    <n v="9"/>
    <n v="429"/>
    <n v="96"/>
    <n v="351"/>
    <n v="111"/>
    <n v="324"/>
    <n v="399"/>
    <n v="174"/>
    <n v="495"/>
    <n v="33"/>
    <n v="204"/>
    <n v="219"/>
    <n v="375"/>
    <n v="9"/>
    <n v="195"/>
    <n v="78"/>
  </r>
  <r>
    <s v="L'Oreal"/>
    <x v="3"/>
    <x v="3"/>
    <x v="1"/>
    <x v="11"/>
    <n v="7506078959989"/>
    <x v="55"/>
    <x v="358"/>
    <x v="19"/>
    <n v="153"/>
    <n v="96"/>
    <n v="96"/>
    <n v="228"/>
    <n v="147"/>
    <n v="240"/>
    <n v="93"/>
    <n v="279"/>
    <n v="195"/>
    <n v="117"/>
    <n v="33"/>
    <n v="165"/>
    <n v="147"/>
    <n v="27"/>
    <n v="183"/>
    <n v="78"/>
    <n v="192"/>
    <n v="321"/>
    <n v="39"/>
    <n v="60"/>
    <n v="234"/>
    <n v="78"/>
    <n v="138"/>
    <n v="54"/>
    <n v="81"/>
    <n v="153"/>
    <n v="0"/>
    <n v="15"/>
    <n v="45"/>
    <n v="57"/>
    <n v="177"/>
    <n v="195"/>
    <n v="126"/>
    <n v="36"/>
    <n v="318"/>
    <n v="-3"/>
    <n v="192"/>
    <n v="105"/>
    <n v="0"/>
    <n v="150"/>
    <n v="177"/>
    <n v="54"/>
  </r>
  <r>
    <s v="L'Oreal"/>
    <x v="3"/>
    <x v="3"/>
    <x v="1"/>
    <x v="11"/>
    <n v="7506078959996"/>
    <x v="55"/>
    <x v="359"/>
    <x v="19"/>
    <n v="471"/>
    <n v="402"/>
    <n v="261"/>
    <n v="495"/>
    <n v="294"/>
    <n v="468"/>
    <n v="111"/>
    <n v="597"/>
    <n v="507"/>
    <n v="315"/>
    <n v="54"/>
    <n v="285"/>
    <n v="327"/>
    <n v="183"/>
    <n v="390"/>
    <n v="240"/>
    <n v="465"/>
    <n v="582"/>
    <n v="84"/>
    <n v="63"/>
    <n v="321"/>
    <n v="357"/>
    <n v="444"/>
    <n v="36"/>
    <n v="243"/>
    <n v="0"/>
    <n v="0"/>
    <n v="333"/>
    <n v="63"/>
    <n v="33"/>
    <n v="426"/>
    <n v="219"/>
    <n v="525"/>
    <n v="138"/>
    <n v="552"/>
    <n v="96"/>
    <n v="432"/>
    <n v="162"/>
    <n v="417"/>
    <n v="27"/>
    <n v="243"/>
    <n v="51"/>
  </r>
  <r>
    <s v="L'Oreal"/>
    <x v="3"/>
    <x v="3"/>
    <x v="1"/>
    <x v="11"/>
    <n v="7509552812251"/>
    <x v="55"/>
    <x v="360"/>
    <x v="19"/>
    <n v="0"/>
    <n v="0"/>
    <n v="0"/>
    <n v="0"/>
    <n v="0"/>
    <n v="0"/>
    <n v="0"/>
    <n v="0"/>
    <n v="0"/>
    <n v="0"/>
    <n v="0"/>
    <n v="0"/>
    <n v="3"/>
    <n v="48"/>
    <n v="300"/>
    <n v="96"/>
    <n v="225"/>
    <n v="318"/>
    <n v="6"/>
    <n v="48"/>
    <n v="252"/>
    <n v="60"/>
    <n v="111"/>
    <n v="24"/>
    <n v="-1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12268"/>
    <x v="54"/>
    <x v="361"/>
    <x v="19"/>
    <n v="0"/>
    <n v="0"/>
    <n v="0"/>
    <n v="0"/>
    <n v="0"/>
    <n v="0"/>
    <n v="0"/>
    <n v="0"/>
    <n v="0"/>
    <n v="0"/>
    <n v="0"/>
    <n v="0"/>
    <n v="6"/>
    <n v="18"/>
    <n v="327"/>
    <n v="12"/>
    <n v="249"/>
    <n v="309"/>
    <n v="231"/>
    <n v="156"/>
    <n v="279"/>
    <n v="108"/>
    <n v="24"/>
    <n v="198"/>
    <n v="123"/>
    <n v="212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12275"/>
    <x v="55"/>
    <x v="362"/>
    <x v="19"/>
    <n v="0"/>
    <n v="0"/>
    <n v="0"/>
    <n v="0"/>
    <n v="0"/>
    <n v="0"/>
    <n v="0"/>
    <n v="0"/>
    <n v="0"/>
    <n v="0"/>
    <n v="0"/>
    <n v="0"/>
    <n v="9"/>
    <n v="51"/>
    <n v="426"/>
    <n v="246"/>
    <n v="429"/>
    <n v="366"/>
    <n v="24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12428"/>
    <x v="55"/>
    <x v="363"/>
    <x v="19"/>
    <n v="0"/>
    <n v="0"/>
    <n v="0"/>
    <n v="0"/>
    <n v="0"/>
    <n v="0"/>
    <n v="0"/>
    <n v="0"/>
    <n v="0"/>
    <n v="0"/>
    <n v="0"/>
    <n v="0"/>
    <n v="6"/>
    <n v="60"/>
    <n v="231"/>
    <n v="36"/>
    <n v="162"/>
    <n v="330"/>
    <n v="75"/>
    <n v="105"/>
    <n v="75"/>
    <n v="0"/>
    <n v="0"/>
    <n v="135"/>
    <n v="136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12442"/>
    <x v="55"/>
    <x v="364"/>
    <x v="19"/>
    <n v="0"/>
    <n v="0"/>
    <n v="0"/>
    <n v="0"/>
    <n v="0"/>
    <n v="0"/>
    <n v="0"/>
    <n v="0"/>
    <n v="0"/>
    <n v="0"/>
    <n v="12"/>
    <n v="6"/>
    <n v="266"/>
    <n v="34"/>
    <n v="258"/>
    <n v="165"/>
    <n v="195"/>
    <n v="225"/>
    <n v="18"/>
    <n v="36"/>
    <n v="24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12534"/>
    <x v="55"/>
    <x v="365"/>
    <x v="19"/>
    <n v="0"/>
    <n v="0"/>
    <n v="0"/>
    <n v="0"/>
    <n v="0"/>
    <n v="0"/>
    <n v="0"/>
    <n v="0"/>
    <n v="144"/>
    <n v="12"/>
    <n v="84"/>
    <n v="660"/>
    <n v="429"/>
    <n v="99"/>
    <n v="528"/>
    <n v="162"/>
    <n v="459"/>
    <n v="522"/>
    <n v="48"/>
    <n v="63"/>
    <n v="111"/>
    <n v="0"/>
    <n v="0"/>
    <n v="0"/>
    <n v="0"/>
    <n v="30"/>
    <n v="0"/>
    <n v="0"/>
    <n v="21"/>
    <n v="51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12718"/>
    <x v="55"/>
    <x v="366"/>
    <x v="19"/>
    <n v="0"/>
    <n v="0"/>
    <n v="0"/>
    <n v="0"/>
    <n v="0"/>
    <n v="0"/>
    <n v="0"/>
    <n v="0"/>
    <n v="78"/>
    <n v="6"/>
    <n v="111"/>
    <n v="387"/>
    <n v="270"/>
    <n v="63"/>
    <n v="300"/>
    <n v="150"/>
    <n v="243"/>
    <n v="393"/>
    <n v="48"/>
    <n v="51"/>
    <n v="336"/>
    <n v="138"/>
    <n v="171"/>
    <n v="93"/>
    <n v="156"/>
    <n v="261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16686"/>
    <x v="55"/>
    <x v="367"/>
    <x v="19"/>
    <n v="48"/>
    <n v="75"/>
    <n v="30"/>
    <n v="156"/>
    <n v="54"/>
    <n v="195"/>
    <n v="54"/>
    <n v="177"/>
    <n v="135"/>
    <n v="48"/>
    <n v="42"/>
    <n v="120"/>
    <n v="138"/>
    <n v="27"/>
    <n v="75"/>
    <n v="84"/>
    <n v="180"/>
    <n v="15"/>
    <n v="72"/>
    <n v="51"/>
    <n v="153"/>
    <n v="51"/>
    <n v="78"/>
    <n v="39"/>
    <n v="111"/>
    <n v="192"/>
    <n v="45"/>
    <n v="0"/>
    <n v="6"/>
    <n v="0"/>
    <n v="126"/>
    <n v="162"/>
    <n v="144"/>
    <n v="12"/>
    <n v="156"/>
    <n v="-9"/>
    <n v="156"/>
    <n v="102"/>
    <n v="123"/>
    <n v="9"/>
    <n v="42"/>
    <n v="27"/>
  </r>
  <r>
    <s v="L'Oreal"/>
    <x v="3"/>
    <x v="3"/>
    <x v="1"/>
    <x v="11"/>
    <n v="7509552826579"/>
    <x v="55"/>
    <x v="368"/>
    <x v="19"/>
    <n v="87"/>
    <n v="39"/>
    <n v="42"/>
    <n v="174"/>
    <n v="42"/>
    <n v="66"/>
    <n v="30"/>
    <n v="165"/>
    <n v="117"/>
    <n v="72"/>
    <n v="18"/>
    <n v="0"/>
    <n v="27"/>
    <n v="93"/>
    <n v="123"/>
    <n v="36"/>
    <n v="66"/>
    <n v="63"/>
    <n v="21"/>
    <n v="81"/>
    <n v="93"/>
    <n v="54"/>
    <n v="81"/>
    <n v="42"/>
    <n v="24"/>
    <n v="78"/>
    <n v="0"/>
    <n v="129"/>
    <n v="6"/>
    <n v="42"/>
    <n v="90"/>
    <n v="24"/>
    <n v="108"/>
    <n v="6"/>
    <n v="30"/>
    <n v="0"/>
    <n v="87"/>
    <n v="42"/>
    <n v="111"/>
    <n v="0"/>
    <n v="42"/>
    <n v="39"/>
  </r>
  <r>
    <s v="L'Oreal"/>
    <x v="3"/>
    <x v="3"/>
    <x v="1"/>
    <x v="11"/>
    <n v="7509552826593"/>
    <x v="55"/>
    <x v="369"/>
    <x v="19"/>
    <n v="156"/>
    <n v="108"/>
    <n v="93"/>
    <n v="270"/>
    <n v="144"/>
    <n v="183"/>
    <n v="27"/>
    <n v="249"/>
    <n v="213"/>
    <n v="147"/>
    <n v="45"/>
    <n v="0"/>
    <n v="78"/>
    <n v="111"/>
    <n v="279"/>
    <n v="87"/>
    <n v="201"/>
    <n v="294"/>
    <n v="33"/>
    <n v="15"/>
    <n v="225"/>
    <n v="138"/>
    <n v="141"/>
    <n v="36"/>
    <n v="90"/>
    <n v="141"/>
    <n v="12"/>
    <n v="180"/>
    <n v="27"/>
    <n v="237"/>
    <n v="48"/>
    <n v="216"/>
    <n v="240"/>
    <n v="6"/>
    <n v="315"/>
    <n v="12"/>
    <n v="189"/>
    <n v="117"/>
    <n v="246"/>
    <n v="18"/>
    <n v="6"/>
    <n v="24"/>
  </r>
  <r>
    <s v="L'Oreal"/>
    <x v="3"/>
    <x v="3"/>
    <x v="1"/>
    <x v="11"/>
    <n v="7509552826920"/>
    <x v="55"/>
    <x v="370"/>
    <x v="19"/>
    <n v="72"/>
    <n v="39"/>
    <n v="21"/>
    <n v="87"/>
    <n v="36"/>
    <n v="99"/>
    <n v="63"/>
    <n v="129"/>
    <n v="126"/>
    <n v="72"/>
    <n v="6"/>
    <n v="18"/>
    <n v="30"/>
    <n v="21"/>
    <n v="96"/>
    <n v="63"/>
    <n v="99"/>
    <n v="90"/>
    <n v="66"/>
    <n v="42"/>
    <n v="123"/>
    <n v="27"/>
    <n v="63"/>
    <n v="27"/>
    <n v="36"/>
    <n v="66"/>
    <n v="33"/>
    <n v="18"/>
    <n v="15"/>
    <n v="57"/>
    <n v="45"/>
    <n v="123"/>
    <n v="51"/>
    <n v="42"/>
    <n v="60"/>
    <n v="9"/>
    <n v="63"/>
    <n v="24"/>
    <n v="0"/>
    <n v="0"/>
    <n v="12"/>
    <n v="66"/>
  </r>
  <r>
    <s v="L'Oreal"/>
    <x v="3"/>
    <x v="3"/>
    <x v="1"/>
    <x v="11"/>
    <n v="7509552828856"/>
    <x v="54"/>
    <x v="371"/>
    <x v="19"/>
    <n v="102"/>
    <n v="6"/>
    <n v="51"/>
    <n v="111"/>
    <n v="18"/>
    <n v="15"/>
    <n v="78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28863"/>
    <x v="55"/>
    <x v="372"/>
    <x v="19"/>
    <n v="90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36691"/>
    <x v="55"/>
    <x v="415"/>
    <x v="19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36899"/>
    <x v="55"/>
    <x v="373"/>
    <x v="19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37094"/>
    <x v="55"/>
    <x v="374"/>
    <x v="19"/>
    <n v="57"/>
    <n v="36"/>
    <n v="0"/>
    <n v="30"/>
    <n v="0"/>
    <n v="27"/>
    <n v="36"/>
    <n v="108"/>
    <n v="2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838848"/>
    <x v="54"/>
    <x v="375"/>
    <x v="19"/>
    <n v="123"/>
    <n v="87"/>
    <n v="0"/>
    <n v="314"/>
    <n v="66"/>
    <n v="242"/>
    <n v="18"/>
    <n v="222"/>
    <n v="99"/>
    <n v="66"/>
    <n v="33"/>
    <n v="57"/>
    <n v="99"/>
    <n v="27"/>
    <n v="123"/>
    <n v="60"/>
    <n v="153"/>
    <n v="216"/>
    <n v="18"/>
    <n v="12"/>
    <n v="90"/>
    <n v="60"/>
    <n v="99"/>
    <n v="105"/>
    <n v="45"/>
    <n v="123"/>
    <n v="24"/>
    <n v="0"/>
    <n v="0"/>
    <n v="0"/>
    <n v="0"/>
    <n v="45"/>
    <n v="261"/>
    <n v="93"/>
    <n v="0"/>
    <n v="0"/>
    <n v="165"/>
    <n v="174"/>
    <n v="135"/>
    <n v="3"/>
    <n v="36"/>
    <n v="33"/>
  </r>
  <r>
    <s v="L'Oreal"/>
    <x v="3"/>
    <x v="3"/>
    <x v="1"/>
    <x v="11"/>
    <n v="7509552870572"/>
    <x v="56"/>
    <x v="37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24"/>
    <n v="-12"/>
    <n v="0"/>
    <n v="12"/>
    <n v="12"/>
    <n v="6"/>
    <n v="0"/>
    <n v="0"/>
    <n v="18"/>
    <n v="36"/>
    <n v="0"/>
    <n v="12"/>
    <n v="48"/>
    <n v="3"/>
    <n v="0"/>
    <n v="0"/>
  </r>
  <r>
    <s v="L'Oreal"/>
    <x v="3"/>
    <x v="3"/>
    <x v="1"/>
    <x v="11"/>
    <n v="7509552870596"/>
    <x v="56"/>
    <x v="377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24"/>
    <n v="-12"/>
    <n v="0"/>
    <n v="12"/>
    <n v="0"/>
    <n v="18"/>
    <n v="0"/>
    <n v="12"/>
    <n v="24"/>
    <n v="18"/>
    <n v="18"/>
    <n v="24"/>
    <n v="36"/>
    <n v="3"/>
    <n v="12"/>
    <n v="0"/>
  </r>
  <r>
    <s v="L'Oreal"/>
    <x v="3"/>
    <x v="3"/>
    <x v="1"/>
    <x v="11"/>
    <n v="7509552870602"/>
    <x v="56"/>
    <x v="37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24"/>
    <n v="12"/>
    <n v="0"/>
    <n v="12"/>
    <n v="30"/>
    <n v="0"/>
    <n v="24"/>
    <n v="12"/>
    <n v="12"/>
    <n v="36"/>
    <n v="18"/>
    <n v="12"/>
    <n v="36"/>
    <n v="3"/>
    <n v="0"/>
    <n v="12"/>
  </r>
  <r>
    <s v="L'Oreal"/>
    <x v="3"/>
    <x v="3"/>
    <x v="1"/>
    <x v="11"/>
    <n v="7509552870619"/>
    <x v="56"/>
    <x v="37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60"/>
    <n v="6"/>
    <n v="24"/>
    <n v="0"/>
    <n v="36"/>
    <n v="0"/>
    <n v="24"/>
    <n v="12"/>
    <n v="36"/>
    <n v="0"/>
    <n v="0"/>
    <n v="36"/>
  </r>
  <r>
    <s v="L'Oreal"/>
    <x v="3"/>
    <x v="3"/>
    <x v="1"/>
    <x v="11"/>
    <n v="7509552870633"/>
    <x v="56"/>
    <x v="38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24"/>
    <n v="-12"/>
    <n v="0"/>
    <n v="0"/>
    <n v="24"/>
    <n v="6"/>
    <n v="0"/>
    <n v="0"/>
    <n v="0"/>
    <n v="36"/>
    <n v="12"/>
    <n v="0"/>
    <n v="24"/>
    <n v="3"/>
    <n v="24"/>
    <n v="0"/>
  </r>
  <r>
    <s v="L'Oreal"/>
    <x v="3"/>
    <x v="3"/>
    <x v="1"/>
    <x v="11"/>
    <n v="7509552870640"/>
    <x v="56"/>
    <x v="381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36"/>
    <n v="24"/>
    <n v="0"/>
    <n v="36"/>
    <n v="12"/>
    <n v="18"/>
    <n v="60"/>
    <n v="0"/>
    <n v="24"/>
    <n v="42"/>
    <n v="42"/>
    <n v="36"/>
    <n v="60"/>
    <n v="3"/>
    <n v="0"/>
    <n v="0"/>
  </r>
  <r>
    <s v="L'Oreal"/>
    <x v="3"/>
    <x v="3"/>
    <x v="1"/>
    <x v="11"/>
    <n v="7509552870664"/>
    <x v="56"/>
    <x v="38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24"/>
    <n v="0"/>
    <n v="24"/>
    <n v="12"/>
    <n v="9"/>
    <n v="6"/>
    <n v="15"/>
    <n v="0"/>
    <n v="6"/>
    <n v="42"/>
    <n v="30"/>
    <n v="24"/>
    <n v="36"/>
    <n v="9"/>
    <n v="0"/>
    <n v="0"/>
  </r>
  <r>
    <s v="L'Oreal"/>
    <x v="3"/>
    <x v="3"/>
    <x v="1"/>
    <x v="11"/>
    <n v="7509552870688"/>
    <x v="56"/>
    <x v="38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24"/>
    <n v="24"/>
    <n v="0"/>
    <n v="36"/>
    <n v="24"/>
    <n v="36"/>
    <n v="0"/>
    <n v="0"/>
    <n v="0"/>
    <n v="12"/>
    <n v="36"/>
    <n v="48"/>
    <n v="48"/>
    <n v="9"/>
    <n v="36"/>
    <n v="18"/>
  </r>
  <r>
    <s v="L'Oreal"/>
    <x v="3"/>
    <x v="3"/>
    <x v="1"/>
    <x v="11"/>
    <n v="7509552870695"/>
    <x v="56"/>
    <x v="38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24"/>
    <n v="12"/>
    <n v="0"/>
    <n v="24"/>
    <n v="18"/>
    <n v="18"/>
    <n v="12"/>
    <n v="12"/>
    <n v="36"/>
    <n v="36"/>
    <n v="48"/>
    <n v="0"/>
    <n v="60"/>
    <n v="9"/>
    <n v="0"/>
    <n v="6"/>
  </r>
  <r>
    <s v="L'Oreal"/>
    <x v="3"/>
    <x v="3"/>
    <x v="1"/>
    <x v="11"/>
    <n v="7509552870701"/>
    <x v="56"/>
    <x v="38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"/>
    <n v="12"/>
    <n v="12"/>
    <n v="24"/>
    <n v="18"/>
    <n v="6"/>
    <n v="0"/>
    <n v="12"/>
    <n v="0"/>
    <n v="36"/>
    <n v="24"/>
    <n v="0"/>
    <n v="36"/>
    <n v="3"/>
    <n v="0"/>
    <n v="12"/>
  </r>
  <r>
    <s v="L'Oreal"/>
    <x v="3"/>
    <x v="3"/>
    <x v="1"/>
    <x v="11"/>
    <n v="7509552870718"/>
    <x v="56"/>
    <x v="38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"/>
    <n v="12"/>
    <n v="0"/>
    <n v="24"/>
    <n v="12"/>
    <n v="6"/>
    <n v="12"/>
    <n v="0"/>
    <n v="12"/>
    <n v="12"/>
    <n v="42"/>
    <n v="24"/>
    <n v="24"/>
    <n v="6"/>
    <n v="12"/>
    <n v="0"/>
  </r>
  <r>
    <s v="L'Oreal"/>
    <x v="3"/>
    <x v="3"/>
    <x v="1"/>
    <x v="11"/>
    <n v="7509552870732"/>
    <x v="56"/>
    <x v="387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8"/>
    <n v="24"/>
    <n v="0"/>
    <n v="12"/>
    <n v="30"/>
    <n v="12"/>
    <n v="15"/>
    <n v="6"/>
    <n v="18"/>
    <n v="48"/>
    <n v="30"/>
    <n v="12"/>
    <n v="24"/>
    <n v="9"/>
    <n v="0"/>
    <n v="12"/>
  </r>
  <r>
    <s v="L'Oreal"/>
    <x v="3"/>
    <x v="3"/>
    <x v="1"/>
    <x v="11"/>
    <n v="7509552870756"/>
    <x v="56"/>
    <x v="38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24"/>
    <n v="-12"/>
    <n v="12"/>
    <n v="12"/>
    <n v="18"/>
    <n v="0"/>
    <n v="24"/>
    <n v="0"/>
    <n v="0"/>
    <n v="12"/>
    <n v="30"/>
    <n v="24"/>
    <n v="36"/>
    <n v="3"/>
    <n v="0"/>
    <n v="0"/>
  </r>
  <r>
    <s v="L'Oreal"/>
    <x v="3"/>
    <x v="3"/>
    <x v="1"/>
    <x v="11"/>
    <n v="7509552901092"/>
    <x v="55"/>
    <x v="389"/>
    <x v="19"/>
    <n v="123"/>
    <n v="111"/>
    <n v="69"/>
    <n v="180"/>
    <n v="81"/>
    <n v="144"/>
    <n v="33"/>
    <n v="198"/>
    <n v="135"/>
    <n v="18"/>
    <n v="9"/>
    <n v="66"/>
    <n v="87"/>
    <n v="54"/>
    <n v="147"/>
    <n v="90"/>
    <n v="111"/>
    <n v="126"/>
    <n v="42"/>
    <n v="18"/>
    <n v="150"/>
    <n v="66"/>
    <n v="6"/>
    <n v="0"/>
    <n v="105"/>
    <n v="129"/>
    <n v="0"/>
    <n v="156"/>
    <n v="24"/>
    <n v="141"/>
    <n v="171"/>
    <n v="171"/>
    <n v="198"/>
    <n v="54"/>
    <n v="243"/>
    <n v="24"/>
    <n v="66"/>
    <n v="141"/>
    <n v="150"/>
    <n v="3"/>
    <n v="60"/>
    <n v="75"/>
  </r>
  <r>
    <s v="L'Oreal"/>
    <x v="3"/>
    <x v="3"/>
    <x v="1"/>
    <x v="11"/>
    <n v="7509552910315"/>
    <x v="55"/>
    <x v="390"/>
    <x v="19"/>
    <n v="117"/>
    <n v="75"/>
    <n v="66"/>
    <n v="120"/>
    <n v="63"/>
    <n v="126"/>
    <n v="27"/>
    <n v="168"/>
    <n v="117"/>
    <n v="57"/>
    <n v="12"/>
    <n v="204"/>
    <n v="159"/>
    <n v="18"/>
    <n v="87"/>
    <n v="117"/>
    <n v="138"/>
    <n v="156"/>
    <n v="45"/>
    <n v="18"/>
    <n v="144"/>
    <n v="78"/>
    <n v="102"/>
    <n v="66"/>
    <n v="51"/>
    <n v="111"/>
    <n v="12"/>
    <n v="75"/>
    <n v="15"/>
    <n v="0"/>
    <n v="0"/>
    <n v="0"/>
    <n v="0"/>
    <n v="276"/>
    <n v="45"/>
    <n v="15"/>
    <n v="144"/>
    <n v="102"/>
    <n v="156"/>
    <n v="6"/>
    <n v="21"/>
    <n v="60"/>
  </r>
  <r>
    <s v="L'Oreal"/>
    <x v="3"/>
    <x v="3"/>
    <x v="1"/>
    <x v="11"/>
    <n v="7509552916133"/>
    <x v="54"/>
    <x v="391"/>
    <x v="19"/>
    <n v="66"/>
    <n v="18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916140"/>
    <x v="54"/>
    <x v="392"/>
    <x v="19"/>
    <n v="30"/>
    <n v="3"/>
    <n v="3"/>
    <n v="24"/>
    <n v="18"/>
    <n v="48"/>
    <n v="0"/>
    <n v="96"/>
    <n v="51"/>
    <n v="30"/>
    <n v="0"/>
    <n v="12"/>
    <n v="24"/>
    <n v="6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509552923810"/>
    <x v="55"/>
    <x v="360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"/>
    <n v="-22"/>
    <n v="312"/>
    <n v="54"/>
    <n v="114"/>
    <n v="198"/>
    <n v="114"/>
    <n v="240"/>
    <n v="54"/>
    <n v="114"/>
    <n v="144"/>
    <n v="216"/>
    <n v="18"/>
    <n v="6"/>
    <n v="126"/>
  </r>
  <r>
    <s v="L'Oreal"/>
    <x v="3"/>
    <x v="3"/>
    <x v="1"/>
    <x v="11"/>
    <n v="7509552923827"/>
    <x v="54"/>
    <x v="39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219"/>
    <n v="42"/>
    <n v="276"/>
    <n v="72"/>
    <n v="90"/>
    <n v="174"/>
    <n v="66"/>
    <n v="228"/>
    <n v="120"/>
    <n v="174"/>
    <n v="84"/>
    <n v="216"/>
    <n v="6"/>
    <n v="60"/>
    <n v="60"/>
  </r>
  <r>
    <s v="L'Oreal"/>
    <x v="3"/>
    <x v="3"/>
    <x v="1"/>
    <x v="11"/>
    <n v="7509552923834"/>
    <x v="55"/>
    <x v="36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2"/>
    <n v="50"/>
    <n v="492"/>
    <n v="96"/>
    <n v="120"/>
    <n v="318"/>
    <n v="120"/>
    <n v="330"/>
    <n v="42"/>
    <n v="150"/>
    <n v="198"/>
    <n v="282"/>
    <n v="12"/>
    <n v="96"/>
    <n v="90"/>
  </r>
  <r>
    <s v="L'Oreal"/>
    <x v="3"/>
    <x v="3"/>
    <x v="1"/>
    <x v="11"/>
    <n v="7509552923841"/>
    <x v="54"/>
    <x v="361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"/>
    <n v="122"/>
    <n v="324"/>
    <n v="48"/>
    <n v="150"/>
    <n v="360"/>
    <n v="72"/>
    <n v="360"/>
    <n v="54"/>
    <n v="144"/>
    <n v="156"/>
    <n v="258"/>
    <n v="24"/>
    <n v="132"/>
    <n v="42"/>
  </r>
  <r>
    <s v="L'Oreal"/>
    <x v="3"/>
    <x v="3"/>
    <x v="1"/>
    <x v="11"/>
    <n v="7509552923858"/>
    <x v="55"/>
    <x v="366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"/>
    <n v="170"/>
    <n v="294"/>
    <n v="42"/>
    <n v="174"/>
    <n v="306"/>
    <n v="96"/>
    <n v="324"/>
    <n v="60"/>
    <n v="294"/>
    <n v="84"/>
    <n v="348"/>
    <n v="18"/>
    <n v="108"/>
    <n v="96"/>
  </r>
  <r>
    <s v="L'Oreal"/>
    <x v="3"/>
    <x v="3"/>
    <x v="1"/>
    <x v="11"/>
    <n v="7509552923865"/>
    <x v="54"/>
    <x v="394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"/>
    <n v="254"/>
    <n v="744"/>
    <n v="66"/>
    <n v="96"/>
    <n v="456"/>
    <n v="126"/>
    <n v="450"/>
    <n v="60"/>
    <n v="318"/>
    <n v="282"/>
    <n v="402"/>
    <n v="42"/>
    <n v="168"/>
    <n v="90"/>
  </r>
  <r>
    <s v="L'Oreal"/>
    <x v="3"/>
    <x v="3"/>
    <x v="1"/>
    <x v="11"/>
    <n v="7509552923919"/>
    <x v="55"/>
    <x v="36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8"/>
    <n v="80"/>
    <n v="216"/>
    <n v="42"/>
    <n v="114"/>
    <n v="144"/>
    <n v="96"/>
    <n v="234"/>
    <n v="72"/>
    <n v="144"/>
    <n v="144"/>
    <n v="234"/>
    <n v="36"/>
    <n v="36"/>
    <n v="54"/>
  </r>
  <r>
    <s v="L'Oreal"/>
    <x v="3"/>
    <x v="3"/>
    <x v="1"/>
    <x v="11"/>
    <n v="7896014191666"/>
    <x v="54"/>
    <x v="395"/>
    <x v="19"/>
    <n v="174"/>
    <n v="141"/>
    <n v="120"/>
    <n v="282"/>
    <n v="111"/>
    <n v="243"/>
    <n v="36"/>
    <n v="219"/>
    <n v="162"/>
    <n v="174"/>
    <n v="27"/>
    <n v="63"/>
    <n v="192"/>
    <n v="45"/>
    <n v="186"/>
    <n v="96"/>
    <n v="210"/>
    <n v="261"/>
    <n v="21"/>
    <n v="12"/>
    <n v="75"/>
    <n v="192"/>
    <n v="177"/>
    <n v="0"/>
    <n v="147"/>
    <n v="228"/>
    <n v="15"/>
    <n v="33"/>
    <n v="90"/>
    <n v="165"/>
    <n v="120"/>
    <n v="189"/>
    <n v="246"/>
    <n v="57"/>
    <n v="240"/>
    <n v="12"/>
    <n v="171"/>
    <n v="126"/>
    <n v="105"/>
    <n v="0"/>
    <n v="0"/>
    <n v="162"/>
  </r>
  <r>
    <s v="L'Oreal"/>
    <x v="3"/>
    <x v="3"/>
    <x v="1"/>
    <x v="11"/>
    <n v="7899706115216"/>
    <x v="54"/>
    <x v="396"/>
    <x v="19"/>
    <n v="132"/>
    <n v="159"/>
    <n v="120"/>
    <n v="285"/>
    <n v="60"/>
    <n v="279"/>
    <n v="54"/>
    <n v="309"/>
    <n v="237"/>
    <n v="156"/>
    <n v="39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899706115391"/>
    <x v="54"/>
    <x v="397"/>
    <x v="19"/>
    <n v="369"/>
    <n v="363"/>
    <n v="312"/>
    <n v="708"/>
    <n v="288"/>
    <n v="564"/>
    <n v="48"/>
    <n v="495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899706115407"/>
    <x v="54"/>
    <x v="398"/>
    <x v="19"/>
    <n v="234"/>
    <n v="219"/>
    <n v="171"/>
    <n v="468"/>
    <n v="93"/>
    <n v="375"/>
    <n v="27"/>
    <n v="21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899706115421"/>
    <x v="54"/>
    <x v="399"/>
    <x v="19"/>
    <n v="258"/>
    <n v="240"/>
    <n v="150"/>
    <n v="489"/>
    <n v="45"/>
    <n v="336"/>
    <n v="6"/>
    <n v="408"/>
    <n v="315"/>
    <n v="255"/>
    <n v="18"/>
    <n v="132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899706115445"/>
    <x v="54"/>
    <x v="400"/>
    <x v="19"/>
    <n v="231"/>
    <n v="255"/>
    <n v="114"/>
    <n v="609"/>
    <n v="198"/>
    <n v="264"/>
    <n v="21"/>
    <n v="408"/>
    <n v="345"/>
    <n v="240"/>
    <n v="4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899706115452"/>
    <x v="54"/>
    <x v="401"/>
    <x v="19"/>
    <n v="231"/>
    <n v="186"/>
    <n v="135"/>
    <n v="285"/>
    <n v="174"/>
    <n v="213"/>
    <n v="12"/>
    <n v="264"/>
    <n v="246"/>
    <n v="126"/>
    <n v="33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899706115469"/>
    <x v="54"/>
    <x v="402"/>
    <x v="19"/>
    <n v="198"/>
    <n v="183"/>
    <n v="108"/>
    <n v="261"/>
    <n v="129"/>
    <n v="198"/>
    <n v="63"/>
    <n v="369"/>
    <n v="240"/>
    <n v="141"/>
    <n v="33"/>
    <n v="186"/>
    <n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7899706119931"/>
    <x v="55"/>
    <x v="403"/>
    <x v="19"/>
    <n v="282"/>
    <n v="240"/>
    <n v="234"/>
    <n v="354"/>
    <n v="198"/>
    <n v="282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3"/>
    <x v="3"/>
    <x v="1"/>
    <x v="11"/>
    <n v="8901526566013"/>
    <x v="57"/>
    <x v="404"/>
    <x v="17"/>
    <n v="372"/>
    <n v="588"/>
    <n v="516"/>
    <n v="1194"/>
    <n v="570"/>
    <n v="1290"/>
    <n v="486"/>
    <n v="174"/>
    <n v="912"/>
    <n v="438"/>
    <n v="1572"/>
    <n v="612"/>
    <n v="756"/>
    <n v="150"/>
    <n v="864"/>
    <n v="702"/>
    <n v="810"/>
    <n v="906"/>
    <n v="606"/>
    <n v="294"/>
    <n v="1290"/>
    <n v="276"/>
    <n v="378"/>
    <n v="522"/>
    <n v="576"/>
    <n v="0"/>
    <n v="0"/>
    <n v="348"/>
    <n v="192"/>
    <n v="642"/>
    <n v="96"/>
    <n v="96"/>
    <n v="900"/>
    <n v="528"/>
    <n v="1770"/>
    <n v="0"/>
    <n v="1140"/>
    <n v="330"/>
    <n v="0"/>
    <n v="360"/>
    <n v="510"/>
    <n v="786"/>
  </r>
  <r>
    <s v="L'Oreal"/>
    <x v="3"/>
    <x v="3"/>
    <x v="1"/>
    <x v="11"/>
    <n v="8901526566020"/>
    <x v="57"/>
    <x v="405"/>
    <x v="17"/>
    <n v="426"/>
    <n v="444"/>
    <n v="546"/>
    <n v="552"/>
    <n v="624"/>
    <n v="1518"/>
    <n v="456"/>
    <n v="204"/>
    <n v="576"/>
    <n v="390"/>
    <n v="1254"/>
    <n v="372"/>
    <n v="414"/>
    <n v="384"/>
    <n v="1511"/>
    <n v="-282"/>
    <n v="714"/>
    <n v="252"/>
    <n v="990"/>
    <n v="258"/>
    <n v="894"/>
    <n v="252"/>
    <n v="324"/>
    <n v="564"/>
    <n v="6"/>
    <n v="0"/>
    <n v="828"/>
    <n v="174"/>
    <n v="0"/>
    <n v="0"/>
    <n v="528"/>
    <n v="48"/>
    <n v="0"/>
    <n v="276"/>
    <n v="2016"/>
    <n v="372"/>
    <n v="240"/>
    <n v="0"/>
    <n v="462"/>
    <n v="456"/>
    <n v="1794"/>
    <n v="12"/>
  </r>
  <r>
    <s v="L'Oreal"/>
    <x v="3"/>
    <x v="3"/>
    <x v="1"/>
    <x v="11"/>
    <n v="8901526566037"/>
    <x v="57"/>
    <x v="406"/>
    <x v="17"/>
    <n v="408"/>
    <n v="420"/>
    <n v="570"/>
    <n v="1230"/>
    <n v="714"/>
    <n v="1338"/>
    <n v="282"/>
    <n v="150"/>
    <n v="852"/>
    <n v="618"/>
    <n v="1338"/>
    <n v="612"/>
    <n v="654"/>
    <n v="246"/>
    <n v="1068"/>
    <n v="222"/>
    <n v="696"/>
    <n v="450"/>
    <n v="444"/>
    <n v="282"/>
    <n v="1356"/>
    <n v="330"/>
    <n v="318"/>
    <n v="198"/>
    <n v="516"/>
    <n v="744"/>
    <n v="102"/>
    <n v="396"/>
    <n v="264"/>
    <n v="0"/>
    <n v="1176"/>
    <n v="726"/>
    <n v="1176"/>
    <n v="36"/>
    <n v="1404"/>
    <n v="0"/>
    <n v="1098"/>
    <n v="360"/>
    <n v="0"/>
    <n v="528"/>
    <n v="1266"/>
    <n v="78"/>
  </r>
  <r>
    <s v="L'Oreal"/>
    <x v="3"/>
    <x v="3"/>
    <x v="1"/>
    <x v="11"/>
    <n v="8901526566044"/>
    <x v="57"/>
    <x v="407"/>
    <x v="17"/>
    <n v="462"/>
    <n v="420"/>
    <n v="150"/>
    <n v="228"/>
    <n v="720"/>
    <n v="156"/>
    <n v="762"/>
    <n v="600"/>
    <n v="660"/>
    <n v="690"/>
    <n v="1434"/>
    <n v="576"/>
    <n v="636"/>
    <n v="312"/>
    <n v="966"/>
    <n v="216"/>
    <n v="510"/>
    <n v="246"/>
    <n v="540"/>
    <n v="324"/>
    <n v="1242"/>
    <n v="252"/>
    <n v="282"/>
    <n v="504"/>
    <n v="336"/>
    <n v="168"/>
    <n v="0"/>
    <n v="414"/>
    <n v="6"/>
    <n v="0"/>
    <n v="1914"/>
    <n v="1026"/>
    <n v="0"/>
    <n v="6"/>
    <n v="1062"/>
    <n v="0"/>
    <n v="156"/>
    <n v="0"/>
    <n v="0"/>
    <n v="378"/>
    <n v="1752"/>
    <n v="510"/>
  </r>
  <r>
    <s v="L'Oreal"/>
    <x v="3"/>
    <x v="3"/>
    <x v="1"/>
    <x v="11"/>
    <n v="8901526566051"/>
    <x v="57"/>
    <x v="408"/>
    <x v="14"/>
    <n v="408"/>
    <n v="564"/>
    <n v="42"/>
    <n v="0"/>
    <n v="0"/>
    <n v="1950"/>
    <n v="396"/>
    <n v="210"/>
    <n v="582"/>
    <n v="984"/>
    <n v="1002"/>
    <n v="522"/>
    <n v="426"/>
    <n v="282"/>
    <n v="984"/>
    <n v="156"/>
    <n v="618"/>
    <n v="402"/>
    <n v="324"/>
    <n v="192"/>
    <n v="1038"/>
    <n v="216"/>
    <n v="312"/>
    <n v="408"/>
    <n v="378"/>
    <n v="666"/>
    <n v="0"/>
    <n v="0"/>
    <n v="0"/>
    <n v="0"/>
    <n v="1860"/>
    <n v="666"/>
    <n v="0"/>
    <n v="60"/>
    <n v="1494"/>
    <n v="0"/>
    <n v="1008"/>
    <n v="294"/>
    <n v="0"/>
    <n v="330"/>
    <n v="414"/>
    <n v="774"/>
  </r>
  <r>
    <s v="L'Oreal"/>
    <x v="3"/>
    <x v="3"/>
    <x v="1"/>
    <x v="11"/>
    <n v="8901526566068"/>
    <x v="57"/>
    <x v="409"/>
    <x v="17"/>
    <n v="360"/>
    <n v="246"/>
    <n v="204"/>
    <n v="504"/>
    <n v="636"/>
    <n v="1128"/>
    <n v="150"/>
    <n v="144"/>
    <n v="726"/>
    <n v="234"/>
    <n v="948"/>
    <n v="378"/>
    <n v="246"/>
    <n v="114"/>
    <n v="852"/>
    <n v="186"/>
    <n v="348"/>
    <n v="156"/>
    <n v="300"/>
    <n v="60"/>
    <n v="552"/>
    <n v="126"/>
    <n v="258"/>
    <n v="84"/>
    <n v="192"/>
    <n v="222"/>
    <n v="312"/>
    <n v="414"/>
    <n v="252"/>
    <n v="678"/>
    <n v="1626"/>
    <n v="774"/>
    <n v="342"/>
    <n v="60"/>
    <n v="834"/>
    <n v="0"/>
    <n v="534"/>
    <n v="306"/>
    <n v="426"/>
    <n v="144"/>
    <n v="1608"/>
    <n v="246"/>
  </r>
  <r>
    <s v="L'Oreal"/>
    <x v="3"/>
    <x v="3"/>
    <x v="1"/>
    <x v="11"/>
    <n v="8901526566075"/>
    <x v="57"/>
    <x v="410"/>
    <x v="17"/>
    <n v="462"/>
    <n v="366"/>
    <n v="594"/>
    <n v="1026"/>
    <n v="642"/>
    <n v="564"/>
    <n v="786"/>
    <n v="234"/>
    <n v="750"/>
    <n v="600"/>
    <n v="1044"/>
    <n v="534"/>
    <n v="510"/>
    <n v="270"/>
    <n v="1068"/>
    <n v="186"/>
    <n v="654"/>
    <n v="636"/>
    <n v="396"/>
    <n v="294"/>
    <n v="1260"/>
    <n v="144"/>
    <n v="228"/>
    <n v="150"/>
    <n v="60"/>
    <n v="0"/>
    <n v="0"/>
    <n v="372"/>
    <n v="6"/>
    <n v="0"/>
    <n v="1932"/>
    <n v="618"/>
    <n v="0"/>
    <n v="0"/>
    <n v="1380"/>
    <n v="1134"/>
    <n v="882"/>
    <n v="372"/>
    <n v="96"/>
    <n v="450"/>
    <n v="1632"/>
    <n v="486"/>
  </r>
  <r>
    <s v="L'Oreal"/>
    <x v="3"/>
    <x v="3"/>
    <x v="1"/>
    <x v="11"/>
    <n v="8901526566082"/>
    <x v="57"/>
    <x v="411"/>
    <x v="17"/>
    <n v="528"/>
    <n v="186"/>
    <n v="762"/>
    <n v="246"/>
    <n v="0"/>
    <n v="2004"/>
    <n v="456"/>
    <n v="132"/>
    <n v="990"/>
    <n v="600"/>
    <n v="1434"/>
    <n v="552"/>
    <n v="528"/>
    <n v="258"/>
    <n v="1224"/>
    <n v="258"/>
    <n v="348"/>
    <n v="516"/>
    <n v="426"/>
    <n v="270"/>
    <n v="924"/>
    <n v="204"/>
    <n v="330"/>
    <n v="390"/>
    <n v="324"/>
    <n v="12"/>
    <n v="126"/>
    <n v="546"/>
    <n v="246"/>
    <n v="732"/>
    <n v="1746"/>
    <n v="660"/>
    <n v="342"/>
    <n v="228"/>
    <n v="1026"/>
    <n v="126"/>
    <n v="696"/>
    <n v="282"/>
    <n v="720"/>
    <n v="66"/>
    <n v="1368"/>
    <n v="114"/>
  </r>
  <r>
    <s v="L'Oreal"/>
    <x v="3"/>
    <x v="3"/>
    <x v="1"/>
    <x v="11"/>
    <n v="8901526566099"/>
    <x v="57"/>
    <x v="412"/>
    <x v="17"/>
    <n v="306"/>
    <n v="420"/>
    <n v="510"/>
    <n v="876"/>
    <n v="654"/>
    <n v="24"/>
    <n v="0"/>
    <n v="0"/>
    <n v="894"/>
    <n v="198"/>
    <n v="1584"/>
    <n v="438"/>
    <n v="408"/>
    <n v="126"/>
    <n v="678"/>
    <n v="120"/>
    <n v="378"/>
    <n v="234"/>
    <n v="264"/>
    <n v="186"/>
    <n v="918"/>
    <n v="150"/>
    <n v="138"/>
    <n v="210"/>
    <n v="150"/>
    <n v="222"/>
    <n v="114"/>
    <n v="6"/>
    <n v="0"/>
    <n v="0"/>
    <n v="1644"/>
    <n v="738"/>
    <n v="486"/>
    <n v="132"/>
    <n v="768"/>
    <n v="96"/>
    <n v="390"/>
    <n v="162"/>
    <n v="54"/>
    <n v="228"/>
    <n v="0"/>
    <n v="6"/>
  </r>
  <r>
    <s v="L'Oreal"/>
    <x v="3"/>
    <x v="3"/>
    <x v="1"/>
    <x v="11"/>
    <n v="8901526606061"/>
    <x v="57"/>
    <x v="413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744"/>
    <n v="96"/>
    <n v="126"/>
    <n v="678"/>
    <n v="144"/>
    <n v="168"/>
    <n v="372"/>
    <n v="36"/>
    <n v="204"/>
    <n v="390"/>
    <n v="312"/>
    <n v="114"/>
    <n v="480"/>
    <n v="1050"/>
    <n v="666"/>
    <n v="348"/>
    <n v="192"/>
    <n v="624"/>
    <n v="258"/>
    <n v="330"/>
    <n v="240"/>
    <n v="528"/>
    <n v="42"/>
    <n v="282"/>
    <n v="480"/>
  </r>
  <r>
    <s v="L'Oreal"/>
    <x v="4"/>
    <x v="2"/>
    <x v="0"/>
    <x v="0"/>
    <n v="5601036100044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6"/>
    <n v="0"/>
    <n v="0"/>
    <n v="0"/>
    <n v="0"/>
    <n v="0"/>
  </r>
  <r>
    <s v="L'Oreal"/>
    <x v="4"/>
    <x v="2"/>
    <x v="0"/>
    <x v="1"/>
    <n v="3600523682799"/>
    <x v="1"/>
    <x v="1"/>
    <x v="1"/>
    <n v="12"/>
    <n v="0"/>
    <n v="0"/>
    <n v="12"/>
    <n v="6"/>
    <n v="24"/>
    <n v="34"/>
    <n v="56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3600523682850"/>
    <x v="1"/>
    <x v="2"/>
    <x v="2"/>
    <n v="12"/>
    <n v="0"/>
    <n v="0"/>
    <n v="12"/>
    <n v="6"/>
    <n v="24"/>
    <n v="28"/>
    <n v="4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6078947917"/>
    <x v="4"/>
    <x v="8"/>
    <x v="5"/>
    <n v="0"/>
    <n v="0"/>
    <n v="0"/>
    <n v="0"/>
    <n v="0"/>
    <n v="0"/>
    <n v="0"/>
    <n v="0"/>
    <n v="0"/>
    <n v="0"/>
    <n v="0"/>
    <n v="3"/>
    <n v="0"/>
    <n v="0"/>
    <n v="0"/>
    <n v="0"/>
    <n v="6"/>
    <n v="0"/>
    <n v="3"/>
    <n v="0"/>
    <n v="0"/>
    <n v="0"/>
    <n v="6"/>
    <n v="0"/>
    <n v="12"/>
    <n v="12"/>
    <n v="0"/>
    <n v="0"/>
    <n v="0"/>
    <n v="0"/>
    <n v="0"/>
    <n v="0"/>
    <n v="0"/>
    <n v="6"/>
    <n v="0"/>
    <n v="0"/>
    <n v="0"/>
    <n v="6"/>
    <n v="0"/>
    <n v="0"/>
    <n v="0"/>
    <n v="0"/>
  </r>
  <r>
    <s v="L'Oreal"/>
    <x v="4"/>
    <x v="2"/>
    <x v="0"/>
    <x v="1"/>
    <n v="7509552800371"/>
    <x v="8"/>
    <x v="17"/>
    <x v="1"/>
    <n v="0"/>
    <n v="0"/>
    <n v="6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17348"/>
    <x v="4"/>
    <x v="19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n v="0"/>
    <n v="0"/>
    <n v="54"/>
    <n v="0"/>
    <n v="222"/>
    <n v="6"/>
    <n v="0"/>
    <n v="0"/>
  </r>
  <r>
    <s v="L'Oreal"/>
    <x v="4"/>
    <x v="2"/>
    <x v="0"/>
    <x v="1"/>
    <n v="7509552817393"/>
    <x v="3"/>
    <x v="2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60"/>
    <n v="0"/>
    <n v="0"/>
    <n v="0"/>
    <n v="0"/>
    <n v="54"/>
    <n v="0"/>
    <n v="0"/>
    <n v="6"/>
    <n v="0"/>
    <n v="54"/>
  </r>
  <r>
    <s v="L'Oreal"/>
    <x v="4"/>
    <x v="2"/>
    <x v="0"/>
    <x v="1"/>
    <n v="7509552821789"/>
    <x v="9"/>
    <x v="23"/>
    <x v="1"/>
    <n v="0"/>
    <n v="0"/>
    <n v="0"/>
    <n v="0"/>
    <n v="0"/>
    <n v="0"/>
    <n v="0"/>
    <n v="0"/>
    <n v="0"/>
    <n v="0"/>
    <n v="12"/>
    <n v="48"/>
    <n v="24"/>
    <n v="36"/>
    <n v="0"/>
    <n v="0"/>
    <n v="24"/>
    <n v="0"/>
    <n v="24"/>
    <n v="0"/>
    <n v="36"/>
    <n v="0"/>
    <n v="12"/>
    <n v="0"/>
    <n v="36"/>
    <n v="60"/>
    <n v="0"/>
    <n v="24"/>
    <n v="0"/>
    <n v="0"/>
    <n v="24"/>
    <n v="0"/>
    <n v="0"/>
    <n v="0"/>
    <n v="48"/>
    <n v="0"/>
    <n v="0"/>
    <n v="12"/>
    <n v="0"/>
    <n v="0"/>
    <n v="12"/>
    <n v="0"/>
  </r>
  <r>
    <s v="L'Oreal"/>
    <x v="4"/>
    <x v="2"/>
    <x v="0"/>
    <x v="1"/>
    <n v="7509552836509"/>
    <x v="10"/>
    <x v="24"/>
    <x v="4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36554"/>
    <x v="10"/>
    <x v="25"/>
    <x v="1"/>
    <n v="0"/>
    <n v="12"/>
    <n v="12"/>
    <n v="0"/>
    <n v="12"/>
    <n v="0"/>
    <n v="0"/>
    <n v="0"/>
    <n v="0"/>
    <n v="0"/>
    <n v="0"/>
    <n v="0"/>
    <n v="12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0353"/>
    <x v="11"/>
    <x v="29"/>
    <x v="1"/>
    <n v="0"/>
    <n v="0"/>
    <n v="6"/>
    <n v="0"/>
    <n v="0"/>
    <n v="0"/>
    <n v="0"/>
    <n v="0"/>
    <n v="0"/>
    <n v="0"/>
    <n v="0"/>
    <n v="6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3101"/>
    <x v="12"/>
    <x v="34"/>
    <x v="1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3132"/>
    <x v="3"/>
    <x v="35"/>
    <x v="1"/>
    <n v="0"/>
    <n v="0"/>
    <n v="0"/>
    <n v="0"/>
    <n v="0"/>
    <n v="0"/>
    <n v="0"/>
    <n v="0"/>
    <n v="0"/>
    <n v="0"/>
    <n v="0"/>
    <n v="0"/>
    <n v="0"/>
    <n v="12"/>
    <n v="0"/>
    <n v="0"/>
    <n v="0"/>
    <n v="12"/>
    <n v="0"/>
    <n v="12"/>
    <n v="0"/>
    <n v="-12"/>
    <n v="0"/>
    <n v="0"/>
    <n v="24"/>
    <n v="0"/>
    <n v="0"/>
    <n v="0"/>
    <n v="0"/>
    <n v="12"/>
    <n v="36"/>
    <n v="0"/>
    <n v="0"/>
    <n v="12"/>
    <n v="12"/>
    <n v="0"/>
    <n v="60"/>
    <n v="60"/>
    <n v="0"/>
    <n v="0"/>
    <n v="0"/>
    <n v="0"/>
  </r>
  <r>
    <s v="L'Oreal"/>
    <x v="4"/>
    <x v="2"/>
    <x v="0"/>
    <x v="1"/>
    <n v="7509552843149"/>
    <x v="3"/>
    <x v="36"/>
    <x v="2"/>
    <n v="0"/>
    <n v="0"/>
    <n v="0"/>
    <n v="0"/>
    <n v="0"/>
    <n v="0"/>
    <n v="0"/>
    <n v="0"/>
    <n v="0"/>
    <n v="0"/>
    <n v="0"/>
    <n v="6"/>
    <n v="0"/>
    <n v="9"/>
    <n v="0"/>
    <n v="12"/>
    <n v="0"/>
    <n v="0"/>
    <n v="0"/>
    <n v="0"/>
    <n v="3"/>
    <n v="0"/>
    <n v="0"/>
    <n v="1"/>
    <n v="18"/>
    <n v="0"/>
    <n v="0"/>
    <n v="0"/>
    <n v="2"/>
    <n v="0"/>
    <n v="36"/>
    <n v="3"/>
    <n v="0"/>
    <n v="3"/>
    <n v="0"/>
    <n v="6"/>
    <n v="3"/>
    <n v="12"/>
    <n v="0"/>
    <n v="0"/>
    <n v="0"/>
    <n v="0"/>
  </r>
  <r>
    <s v="L'Oreal"/>
    <x v="4"/>
    <x v="2"/>
    <x v="0"/>
    <x v="1"/>
    <n v="7509552845877"/>
    <x v="13"/>
    <x v="38"/>
    <x v="1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5884"/>
    <x v="13"/>
    <x v="39"/>
    <x v="7"/>
    <n v="0"/>
    <n v="0"/>
    <n v="36"/>
    <n v="0"/>
    <n v="0"/>
    <n v="0"/>
    <n v="12"/>
    <n v="12"/>
    <n v="0"/>
    <n v="0"/>
    <n v="6"/>
    <n v="12"/>
    <n v="6"/>
    <n v="82"/>
    <n v="0"/>
    <n v="0"/>
    <n v="0"/>
    <n v="18"/>
    <n v="12"/>
    <n v="24"/>
    <n v="0"/>
    <n v="-18"/>
    <n v="0"/>
    <n v="0"/>
    <n v="24"/>
    <n v="24"/>
    <n v="0"/>
    <n v="12"/>
    <n v="0"/>
    <n v="12"/>
    <n v="12"/>
    <n v="0"/>
    <n v="36"/>
    <n v="156"/>
    <n v="24"/>
    <n v="0"/>
    <n v="108"/>
    <n v="48"/>
    <n v="0"/>
    <n v="0"/>
    <n v="120"/>
    <n v="0"/>
  </r>
  <r>
    <s v="L'Oreal"/>
    <x v="4"/>
    <x v="2"/>
    <x v="0"/>
    <x v="1"/>
    <n v="7509552845891"/>
    <x v="13"/>
    <x v="40"/>
    <x v="6"/>
    <n v="12"/>
    <n v="0"/>
    <n v="396"/>
    <n v="0"/>
    <n v="0"/>
    <n v="0"/>
    <n v="0"/>
    <n v="0"/>
    <n v="0"/>
    <n v="0"/>
    <n v="0"/>
    <n v="0"/>
    <n v="0"/>
    <n v="24"/>
    <n v="0"/>
    <n v="0"/>
    <n v="0"/>
    <n v="24"/>
    <n v="0"/>
    <n v="0"/>
    <n v="0"/>
    <n v="0"/>
    <n v="0"/>
    <n v="0"/>
    <n v="0"/>
    <n v="12"/>
    <n v="0"/>
    <n v="0"/>
    <n v="0"/>
    <n v="0"/>
    <n v="36"/>
    <n v="0"/>
    <n v="12"/>
    <n v="60"/>
    <n v="0"/>
    <n v="0"/>
    <n v="0"/>
    <n v="12"/>
    <n v="48"/>
    <n v="0"/>
    <n v="0"/>
    <n v="0"/>
  </r>
  <r>
    <s v="L'Oreal"/>
    <x v="4"/>
    <x v="2"/>
    <x v="0"/>
    <x v="1"/>
    <n v="7509552845907"/>
    <x v="13"/>
    <x v="41"/>
    <x v="1"/>
    <n v="0"/>
    <n v="0"/>
    <n v="36"/>
    <n v="0"/>
    <n v="0"/>
    <n v="0"/>
    <n v="12"/>
    <n v="12"/>
    <n v="0"/>
    <n v="0"/>
    <n v="6"/>
    <n v="12"/>
    <n v="6"/>
    <n v="12"/>
    <n v="0"/>
    <n v="0"/>
    <n v="0"/>
    <n v="6"/>
    <n v="0"/>
    <n v="24"/>
    <n v="0"/>
    <n v="-1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5914"/>
    <x v="13"/>
    <x v="42"/>
    <x v="7"/>
    <n v="36"/>
    <n v="0"/>
    <n v="396"/>
    <n v="0"/>
    <n v="0"/>
    <n v="0"/>
    <n v="0"/>
    <n v="0"/>
    <n v="0"/>
    <n v="0"/>
    <n v="0"/>
    <n v="0"/>
    <n v="12"/>
    <n v="82"/>
    <n v="0"/>
    <n v="0"/>
    <n v="0"/>
    <n v="24"/>
    <n v="12"/>
    <n v="0"/>
    <n v="0"/>
    <n v="0"/>
    <n v="0"/>
    <n v="0"/>
    <n v="24"/>
    <n v="0"/>
    <n v="12"/>
    <n v="24"/>
    <n v="0"/>
    <n v="12"/>
    <n v="60"/>
    <n v="0"/>
    <n v="24"/>
    <n v="132"/>
    <n v="24"/>
    <n v="0"/>
    <n v="120"/>
    <n v="36"/>
    <n v="48"/>
    <n v="0"/>
    <n v="108"/>
    <n v="0"/>
  </r>
  <r>
    <s v="L'Oreal"/>
    <x v="4"/>
    <x v="2"/>
    <x v="0"/>
    <x v="1"/>
    <n v="7509552845938"/>
    <x v="13"/>
    <x v="43"/>
    <x v="5"/>
    <n v="36"/>
    <n v="0"/>
    <n v="36"/>
    <n v="0"/>
    <n v="0"/>
    <n v="12"/>
    <n v="18"/>
    <n v="24"/>
    <n v="18"/>
    <n v="0"/>
    <n v="0"/>
    <n v="0"/>
    <n v="0"/>
    <n v="18"/>
    <n v="0"/>
    <n v="12"/>
    <n v="6"/>
    <n v="18"/>
    <n v="0"/>
    <n v="12"/>
    <n v="6"/>
    <n v="-12"/>
    <n v="18"/>
    <n v="0"/>
    <n v="12"/>
    <n v="0"/>
    <n v="0"/>
    <n v="6"/>
    <n v="0"/>
    <n v="0"/>
    <n v="30"/>
    <n v="0"/>
    <n v="6"/>
    <n v="0"/>
    <n v="42"/>
    <n v="6"/>
    <n v="12"/>
    <n v="12"/>
    <n v="0"/>
    <n v="0"/>
    <n v="0"/>
    <n v="0"/>
  </r>
  <r>
    <s v="L'Oreal"/>
    <x v="4"/>
    <x v="2"/>
    <x v="0"/>
    <x v="1"/>
    <n v="7509552847499"/>
    <x v="3"/>
    <x v="44"/>
    <x v="7"/>
    <n v="0"/>
    <n v="0"/>
    <n v="6"/>
    <n v="0"/>
    <n v="12"/>
    <n v="0"/>
    <n v="0"/>
    <n v="12"/>
    <n v="12"/>
    <n v="0"/>
    <n v="0"/>
    <n v="12"/>
    <n v="0"/>
    <n v="48"/>
    <n v="0"/>
    <n v="6"/>
    <n v="0"/>
    <n v="6"/>
    <n v="0"/>
    <n v="12"/>
    <n v="0"/>
    <n v="0"/>
    <n v="0"/>
    <n v="0"/>
    <n v="12"/>
    <n v="12"/>
    <n v="0"/>
    <n v="0"/>
    <n v="0"/>
    <n v="6"/>
    <n v="30"/>
    <n v="12"/>
    <n v="0"/>
    <n v="60"/>
    <n v="0"/>
    <n v="0"/>
    <n v="54"/>
    <n v="0"/>
    <n v="0"/>
    <n v="0"/>
    <n v="0"/>
    <n v="0"/>
  </r>
  <r>
    <s v="L'Oreal"/>
    <x v="4"/>
    <x v="2"/>
    <x v="0"/>
    <x v="1"/>
    <n v="7509552847529"/>
    <x v="14"/>
    <x v="47"/>
    <x v="7"/>
    <n v="0"/>
    <n v="0"/>
    <n v="6"/>
    <n v="0"/>
    <n v="0"/>
    <n v="0"/>
    <n v="0"/>
    <n v="0"/>
    <n v="0"/>
    <n v="0"/>
    <n v="0"/>
    <n v="6"/>
    <n v="0"/>
    <n v="36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7536"/>
    <x v="14"/>
    <x v="48"/>
    <x v="7"/>
    <n v="0"/>
    <n v="0"/>
    <n v="0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7550"/>
    <x v="8"/>
    <x v="50"/>
    <x v="7"/>
    <n v="0"/>
    <n v="0"/>
    <n v="6"/>
    <n v="0"/>
    <n v="0"/>
    <n v="0"/>
    <n v="1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7574"/>
    <x v="8"/>
    <x v="5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7581"/>
    <x v="10"/>
    <x v="52"/>
    <x v="7"/>
    <n v="0"/>
    <n v="0"/>
    <n v="12"/>
    <n v="0"/>
    <n v="12"/>
    <n v="0"/>
    <n v="0"/>
    <n v="0"/>
    <n v="0"/>
    <n v="0"/>
    <n v="0"/>
    <n v="0"/>
    <n v="12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7598"/>
    <x v="12"/>
    <x v="53"/>
    <x v="7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47949"/>
    <x v="13"/>
    <x v="54"/>
    <x v="5"/>
    <n v="0"/>
    <n v="0"/>
    <n v="36"/>
    <n v="0"/>
    <n v="6"/>
    <n v="12"/>
    <n v="24"/>
    <n v="30"/>
    <n v="18"/>
    <n v="0"/>
    <n v="0"/>
    <n v="18"/>
    <n v="12"/>
    <n v="30"/>
    <n v="0"/>
    <n v="12"/>
    <n v="12"/>
    <n v="30"/>
    <n v="30"/>
    <n v="6"/>
    <n v="24"/>
    <n v="-6"/>
    <n v="6"/>
    <n v="0"/>
    <n v="30"/>
    <n v="12"/>
    <n v="0"/>
    <n v="48"/>
    <n v="0"/>
    <n v="30"/>
    <n v="60"/>
    <n v="0"/>
    <n v="24"/>
    <n v="90"/>
    <n v="36"/>
    <n v="36"/>
    <n v="0"/>
    <n v="0"/>
    <n v="0"/>
    <n v="0"/>
    <n v="0"/>
    <n v="0"/>
  </r>
  <r>
    <s v="L'Oreal"/>
    <x v="4"/>
    <x v="2"/>
    <x v="0"/>
    <x v="1"/>
    <n v="7509552847987"/>
    <x v="4"/>
    <x v="55"/>
    <x v="7"/>
    <n v="0"/>
    <n v="0"/>
    <n v="6"/>
    <n v="6"/>
    <n v="24"/>
    <n v="12"/>
    <n v="6"/>
    <n v="30"/>
    <n v="12"/>
    <n v="0"/>
    <n v="6"/>
    <n v="0"/>
    <n v="0"/>
    <n v="48"/>
    <n v="0"/>
    <n v="6"/>
    <n v="0"/>
    <n v="18"/>
    <n v="0"/>
    <n v="0"/>
    <n v="0"/>
    <n v="0"/>
    <n v="0"/>
    <n v="0"/>
    <n v="12"/>
    <n v="0"/>
    <n v="0"/>
    <n v="6"/>
    <n v="0"/>
    <n v="0"/>
    <n v="36"/>
    <n v="0"/>
    <n v="0"/>
    <n v="0"/>
    <n v="6"/>
    <n v="0"/>
    <n v="66"/>
    <n v="18"/>
    <n v="6"/>
    <n v="0"/>
    <n v="0"/>
    <n v="6"/>
  </r>
  <r>
    <s v="L'Oreal"/>
    <x v="4"/>
    <x v="2"/>
    <x v="0"/>
    <x v="1"/>
    <n v="7509552847994"/>
    <x v="4"/>
    <x v="56"/>
    <x v="7"/>
    <n v="0"/>
    <n v="0"/>
    <n v="0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12"/>
    <n v="0"/>
    <n v="0"/>
    <n v="0"/>
    <n v="0"/>
    <n v="0"/>
    <n v="0"/>
    <n v="60"/>
    <n v="0"/>
    <n v="0"/>
    <n v="0"/>
    <n v="0"/>
    <n v="66"/>
    <n v="0"/>
    <n v="222"/>
    <n v="6"/>
    <n v="0"/>
    <n v="0"/>
  </r>
  <r>
    <s v="L'Oreal"/>
    <x v="4"/>
    <x v="2"/>
    <x v="0"/>
    <x v="1"/>
    <n v="7509552848076"/>
    <x v="3"/>
    <x v="64"/>
    <x v="7"/>
    <n v="0"/>
    <n v="0"/>
    <n v="0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12"/>
    <n v="0"/>
    <n v="0"/>
    <n v="0"/>
    <n v="0"/>
    <n v="0"/>
    <n v="0"/>
    <n v="72"/>
    <n v="0"/>
    <n v="0"/>
    <n v="0"/>
    <n v="0"/>
    <n v="54"/>
    <n v="0"/>
    <n v="0"/>
    <n v="6"/>
    <n v="0"/>
    <n v="54"/>
  </r>
  <r>
    <s v="L'Oreal"/>
    <x v="4"/>
    <x v="2"/>
    <x v="0"/>
    <x v="1"/>
    <n v="7509552859119"/>
    <x v="6"/>
    <x v="65"/>
    <x v="5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16"/>
    <n v="0"/>
    <n v="0"/>
    <n v="0"/>
    <n v="6"/>
    <n v="0"/>
    <n v="0"/>
    <n v="0"/>
    <n v="6"/>
    <n v="12"/>
    <n v="6"/>
    <n v="6"/>
    <n v="12"/>
    <n v="0"/>
    <n v="0"/>
    <n v="6"/>
    <n v="0"/>
    <n v="0"/>
    <n v="0"/>
    <n v="0"/>
    <n v="0"/>
    <n v="0"/>
    <n v="0"/>
    <n v="0"/>
  </r>
  <r>
    <s v="L'Oreal"/>
    <x v="4"/>
    <x v="2"/>
    <x v="0"/>
    <x v="1"/>
    <n v="7509552874952"/>
    <x v="17"/>
    <x v="66"/>
    <x v="7"/>
    <n v="0"/>
    <n v="0"/>
    <n v="0"/>
    <n v="0"/>
    <n v="0"/>
    <n v="0"/>
    <n v="0"/>
    <n v="0"/>
    <n v="0"/>
    <n v="0"/>
    <n v="0"/>
    <n v="0"/>
    <n v="0"/>
    <n v="0"/>
    <n v="0"/>
    <n v="24"/>
    <n v="0"/>
    <n v="52"/>
    <n v="0"/>
    <n v="0"/>
    <n v="3"/>
    <n v="0"/>
    <n v="0"/>
    <n v="0"/>
    <n v="12"/>
    <n v="48"/>
    <n v="0"/>
    <n v="0"/>
    <n v="36"/>
    <n v="12"/>
    <n v="24"/>
    <n v="30"/>
    <n v="36"/>
    <n v="0"/>
    <n v="12"/>
    <n v="0"/>
    <n v="132"/>
    <n v="12"/>
    <n v="0"/>
    <n v="12"/>
    <n v="210"/>
    <n v="12"/>
  </r>
  <r>
    <s v="L'Oreal"/>
    <x v="4"/>
    <x v="2"/>
    <x v="0"/>
    <x v="1"/>
    <n v="7509552874983"/>
    <x v="17"/>
    <x v="67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n v="0"/>
    <n v="0"/>
    <n v="12"/>
    <n v="0"/>
    <n v="0"/>
    <n v="0"/>
    <n v="0"/>
    <n v="0"/>
    <n v="0"/>
  </r>
  <r>
    <s v="L'Oreal"/>
    <x v="4"/>
    <x v="2"/>
    <x v="0"/>
    <x v="1"/>
    <n v="7509552875010"/>
    <x v="17"/>
    <x v="68"/>
    <x v="7"/>
    <n v="0"/>
    <n v="0"/>
    <n v="0"/>
    <n v="0"/>
    <n v="0"/>
    <n v="0"/>
    <n v="0"/>
    <n v="0"/>
    <n v="0"/>
    <n v="0"/>
    <n v="0"/>
    <n v="0"/>
    <n v="0"/>
    <n v="0"/>
    <n v="0"/>
    <n v="24"/>
    <n v="0"/>
    <n v="40"/>
    <n v="0"/>
    <n v="0"/>
    <n v="3"/>
    <n v="0"/>
    <n v="0"/>
    <n v="0"/>
    <n v="12"/>
    <n v="12"/>
    <n v="12"/>
    <n v="12"/>
    <n v="24"/>
    <n v="24"/>
    <n v="36"/>
    <n v="12"/>
    <n v="24"/>
    <n v="0"/>
    <n v="24"/>
    <n v="12"/>
    <n v="120"/>
    <n v="24"/>
    <n v="0"/>
    <n v="0"/>
    <n v="96"/>
    <n v="12"/>
  </r>
  <r>
    <s v="L'Oreal"/>
    <x v="4"/>
    <x v="2"/>
    <x v="0"/>
    <x v="1"/>
    <n v="7509552875409"/>
    <x v="17"/>
    <x v="69"/>
    <x v="5"/>
    <n v="0"/>
    <n v="0"/>
    <n v="0"/>
    <n v="0"/>
    <n v="0"/>
    <n v="0"/>
    <n v="0"/>
    <n v="0"/>
    <n v="0"/>
    <n v="0"/>
    <n v="0"/>
    <n v="0"/>
    <n v="0"/>
    <n v="0"/>
    <n v="0"/>
    <n v="24"/>
    <n v="12"/>
    <n v="6"/>
    <n v="12"/>
    <n v="6"/>
    <n v="6"/>
    <n v="-6"/>
    <n v="6"/>
    <n v="0"/>
    <n v="18"/>
    <n v="24"/>
    <n v="0"/>
    <n v="18"/>
    <n v="24"/>
    <n v="24"/>
    <n v="24"/>
    <n v="0"/>
    <n v="42"/>
    <n v="0"/>
    <n v="12"/>
    <n v="12"/>
    <n v="66"/>
    <n v="18"/>
    <n v="138"/>
    <n v="0"/>
    <n v="102"/>
    <n v="24"/>
  </r>
  <r>
    <s v="L'Oreal"/>
    <x v="4"/>
    <x v="2"/>
    <x v="0"/>
    <x v="1"/>
    <n v="7509552876413"/>
    <x v="17"/>
    <x v="7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876420"/>
    <x v="17"/>
    <x v="7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30"/>
    <n v="0"/>
    <n v="0"/>
    <n v="0"/>
    <n v="0"/>
    <n v="108"/>
    <n v="12"/>
    <n v="36"/>
    <n v="12"/>
    <n v="222"/>
    <n v="0"/>
  </r>
  <r>
    <s v="L'Oreal"/>
    <x v="4"/>
    <x v="2"/>
    <x v="0"/>
    <x v="1"/>
    <n v="7509552876642"/>
    <x v="17"/>
    <x v="7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6"/>
    <n v="6"/>
    <n v="0"/>
    <n v="0"/>
    <n v="0"/>
    <n v="0"/>
    <n v="0"/>
    <n v="0"/>
    <n v="0"/>
    <n v="0"/>
    <n v="0"/>
    <n v="6"/>
    <n v="0"/>
    <n v="0"/>
    <n v="0"/>
    <n v="0"/>
    <n v="0"/>
  </r>
  <r>
    <s v="L'Oreal"/>
    <x v="4"/>
    <x v="2"/>
    <x v="0"/>
    <x v="1"/>
    <n v="7509552889543"/>
    <x v="2"/>
    <x v="7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24"/>
    <n v="48"/>
    <n v="0"/>
    <n v="0"/>
    <n v="0"/>
    <n v="0"/>
    <n v="0"/>
    <n v="0"/>
    <n v="0"/>
    <n v="0"/>
    <n v="0"/>
    <n v="12"/>
    <n v="0"/>
    <n v="12"/>
    <n v="0"/>
    <n v="0"/>
    <n v="12"/>
    <n v="0"/>
  </r>
  <r>
    <s v="L'Oreal"/>
    <x v="4"/>
    <x v="2"/>
    <x v="0"/>
    <x v="1"/>
    <n v="7509552889574"/>
    <x v="2"/>
    <x v="7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12"/>
    <n v="48"/>
    <n v="0"/>
    <n v="0"/>
    <n v="0"/>
    <n v="0"/>
    <n v="0"/>
    <n v="0"/>
    <n v="0"/>
    <n v="0"/>
    <n v="0"/>
    <n v="0"/>
    <n v="0"/>
    <n v="12"/>
    <n v="0"/>
    <n v="12"/>
    <n v="12"/>
    <n v="0"/>
  </r>
  <r>
    <s v="L'Oreal"/>
    <x v="4"/>
    <x v="2"/>
    <x v="0"/>
    <x v="1"/>
    <n v="7509552889598"/>
    <x v="2"/>
    <x v="7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6"/>
    <n v="6"/>
    <n v="0"/>
    <n v="12"/>
    <n v="0"/>
    <n v="0"/>
    <n v="6"/>
    <n v="6"/>
    <n v="12"/>
    <n v="0"/>
    <n v="0"/>
    <n v="12"/>
    <n v="24"/>
  </r>
  <r>
    <s v="L'Oreal"/>
    <x v="4"/>
    <x v="2"/>
    <x v="0"/>
    <x v="1"/>
    <n v="7509552902082"/>
    <x v="2"/>
    <x v="7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12"/>
    <n v="6"/>
    <n v="0"/>
    <n v="0"/>
    <n v="0"/>
    <n v="0"/>
    <n v="24"/>
    <n v="6"/>
    <n v="0"/>
    <n v="0"/>
    <n v="42"/>
    <n v="0"/>
    <n v="6"/>
    <n v="6"/>
    <n v="0"/>
    <n v="0"/>
    <n v="0"/>
    <n v="6"/>
  </r>
  <r>
    <s v="L'Oreal"/>
    <x v="4"/>
    <x v="2"/>
    <x v="0"/>
    <x v="1"/>
    <n v="7509552902112"/>
    <x v="13"/>
    <x v="7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12"/>
    <n v="0"/>
    <n v="0"/>
    <n v="0"/>
    <n v="0"/>
    <n v="0"/>
    <n v="0"/>
    <n v="0"/>
    <n v="0"/>
    <n v="0"/>
    <n v="12"/>
  </r>
  <r>
    <s v="L'Oreal"/>
    <x v="4"/>
    <x v="2"/>
    <x v="0"/>
    <x v="1"/>
    <n v="7509552902341"/>
    <x v="13"/>
    <x v="7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n v="72"/>
    <n v="0"/>
    <n v="0"/>
    <n v="0"/>
    <n v="24"/>
    <n v="0"/>
    <n v="0"/>
    <n v="0"/>
    <n v="0"/>
  </r>
  <r>
    <s v="L'Oreal"/>
    <x v="4"/>
    <x v="2"/>
    <x v="0"/>
    <x v="1"/>
    <n v="7509552902396"/>
    <x v="3"/>
    <x v="79"/>
    <x v="1"/>
    <n v="0"/>
    <n v="0"/>
    <n v="6"/>
    <n v="0"/>
    <n v="12"/>
    <n v="0"/>
    <n v="0"/>
    <n v="12"/>
    <n v="12"/>
    <n v="0"/>
    <n v="0"/>
    <n v="12"/>
    <n v="0"/>
    <n v="12"/>
    <n v="0"/>
    <n v="6"/>
    <n v="0"/>
    <n v="6"/>
    <n v="0"/>
    <n v="12"/>
    <n v="0"/>
    <n v="0"/>
    <n v="0"/>
    <n v="0"/>
    <n v="0"/>
    <n v="0"/>
    <n v="0"/>
    <n v="0"/>
    <n v="0"/>
    <n v="6"/>
    <n v="66"/>
    <n v="0"/>
    <n v="0"/>
    <n v="0"/>
    <n v="0"/>
    <n v="0"/>
    <n v="0"/>
    <n v="0"/>
    <n v="0"/>
    <n v="0"/>
    <n v="0"/>
    <n v="0"/>
  </r>
  <r>
    <s v="L'Oreal"/>
    <x v="4"/>
    <x v="2"/>
    <x v="0"/>
    <x v="1"/>
    <n v="7509552902532"/>
    <x v="4"/>
    <x v="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</r>
  <r>
    <s v="L'Oreal"/>
    <x v="4"/>
    <x v="2"/>
    <x v="0"/>
    <x v="1"/>
    <n v="7509552902747"/>
    <x v="4"/>
    <x v="82"/>
    <x v="1"/>
    <n v="0"/>
    <n v="0"/>
    <n v="6"/>
    <n v="6"/>
    <n v="24"/>
    <n v="12"/>
    <n v="6"/>
    <n v="30"/>
    <n v="12"/>
    <n v="0"/>
    <n v="6"/>
    <n v="0"/>
    <n v="0"/>
    <n v="12"/>
    <n v="0"/>
    <n v="6"/>
    <n v="0"/>
    <n v="18"/>
    <n v="0"/>
    <n v="0"/>
    <n v="0"/>
    <n v="0"/>
    <n v="0"/>
    <n v="0"/>
    <n v="0"/>
    <n v="0"/>
    <n v="0"/>
    <n v="6"/>
    <n v="0"/>
    <n v="0"/>
    <n v="36"/>
    <n v="0"/>
    <n v="0"/>
    <n v="0"/>
    <n v="6"/>
    <n v="0"/>
    <n v="0"/>
    <n v="0"/>
    <n v="0"/>
    <n v="0"/>
    <n v="0"/>
    <n v="0"/>
  </r>
  <r>
    <s v="L'Oreal"/>
    <x v="4"/>
    <x v="2"/>
    <x v="0"/>
    <x v="1"/>
    <n v="7509552903348"/>
    <x v="3"/>
    <x v="83"/>
    <x v="5"/>
    <n v="0"/>
    <n v="0"/>
    <n v="0"/>
    <n v="0"/>
    <n v="0"/>
    <n v="0"/>
    <n v="0"/>
    <n v="0"/>
    <n v="0"/>
    <n v="0"/>
    <n v="0"/>
    <n v="0"/>
    <n v="0"/>
    <n v="0"/>
    <n v="3"/>
    <n v="0"/>
    <n v="12"/>
    <n v="0"/>
    <n v="6"/>
    <n v="0"/>
    <n v="6"/>
    <n v="0"/>
    <n v="0"/>
    <n v="0"/>
    <n v="12"/>
    <n v="0"/>
    <n v="0"/>
    <n v="0"/>
    <n v="0"/>
    <n v="0"/>
    <n v="0"/>
    <n v="0"/>
    <n v="0"/>
    <n v="0"/>
    <n v="0"/>
    <n v="0"/>
    <n v="6"/>
    <n v="0"/>
    <n v="0"/>
    <n v="0"/>
    <n v="0"/>
    <n v="6"/>
  </r>
  <r>
    <s v="L'Oreal"/>
    <x v="4"/>
    <x v="2"/>
    <x v="0"/>
    <x v="1"/>
    <n v="7509552903362"/>
    <x v="4"/>
    <x v="84"/>
    <x v="8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3"/>
    <n v="6"/>
    <n v="9"/>
    <n v="-6"/>
    <n v="6"/>
    <n v="0"/>
    <n v="12"/>
    <n v="6"/>
    <n v="0"/>
    <n v="6"/>
    <n v="6"/>
    <n v="0"/>
    <n v="0"/>
    <n v="0"/>
    <n v="0"/>
    <n v="12"/>
    <n v="0"/>
    <n v="0"/>
    <n v="10"/>
    <n v="12"/>
    <n v="0"/>
    <n v="7"/>
    <n v="0"/>
    <n v="12"/>
  </r>
  <r>
    <s v="L'Oreal"/>
    <x v="4"/>
    <x v="2"/>
    <x v="0"/>
    <x v="1"/>
    <n v="7509552903416"/>
    <x v="4"/>
    <x v="8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18"/>
    <n v="6"/>
    <n v="0"/>
    <n v="0"/>
    <n v="6"/>
  </r>
  <r>
    <s v="L'Oreal"/>
    <x v="4"/>
    <x v="2"/>
    <x v="0"/>
    <x v="1"/>
    <n v="7509552903423"/>
    <x v="3"/>
    <x v="8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n v="54"/>
    <n v="0"/>
    <n v="0"/>
    <n v="0"/>
    <n v="0"/>
    <n v="0"/>
  </r>
  <r>
    <s v="L'Oreal"/>
    <x v="4"/>
    <x v="2"/>
    <x v="0"/>
    <x v="1"/>
    <n v="7509552904819"/>
    <x v="18"/>
    <x v="87"/>
    <x v="9"/>
    <n v="0"/>
    <n v="0"/>
    <n v="0"/>
    <n v="0"/>
    <n v="0"/>
    <n v="0"/>
    <n v="0"/>
    <n v="0"/>
    <n v="0"/>
    <n v="0"/>
    <n v="0"/>
    <n v="3"/>
    <n v="0"/>
    <n v="0"/>
    <n v="0"/>
    <n v="0"/>
    <n v="21"/>
    <n v="12"/>
    <n v="0"/>
    <n v="0"/>
    <n v="0"/>
    <n v="0"/>
    <n v="42"/>
    <n v="0"/>
    <n v="12"/>
    <n v="0"/>
    <n v="0"/>
    <n v="102"/>
    <n v="0"/>
    <n v="30"/>
    <n v="123"/>
    <n v="24"/>
    <n v="51"/>
    <n v="0"/>
    <n v="0"/>
    <n v="102"/>
    <n v="0"/>
    <n v="36"/>
    <n v="0"/>
    <n v="51"/>
    <n v="51"/>
    <n v="60"/>
  </r>
  <r>
    <s v="L'Oreal"/>
    <x v="4"/>
    <x v="2"/>
    <x v="0"/>
    <x v="1"/>
    <n v="7509552928549"/>
    <x v="20"/>
    <x v="10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48"/>
    <n v="20"/>
    <n v="20"/>
    <n v="84"/>
    <n v="40"/>
    <n v="78"/>
    <n v="50"/>
    <n v="78"/>
    <n v="40"/>
    <n v="12"/>
    <n v="166"/>
    <n v="-6"/>
    <n v="6"/>
    <n v="108"/>
    <n v="12"/>
  </r>
  <r>
    <s v="L'Oreal"/>
    <x v="4"/>
    <x v="2"/>
    <x v="0"/>
    <x v="1"/>
    <n v="7509552928563"/>
    <x v="20"/>
    <x v="10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35"/>
    <n v="18"/>
    <n v="12"/>
    <n v="0"/>
    <n v="45"/>
    <n v="10"/>
    <n v="0"/>
    <n v="6"/>
    <n v="0"/>
    <n v="0"/>
    <n v="10"/>
    <n v="0"/>
  </r>
  <r>
    <s v="L'Oreal"/>
    <x v="4"/>
    <x v="2"/>
    <x v="0"/>
    <x v="1"/>
    <n v="7509552928594"/>
    <x v="20"/>
    <x v="106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n v="0"/>
    <n v="48"/>
    <n v="0"/>
    <n v="24"/>
    <n v="0"/>
    <n v="0"/>
    <n v="12"/>
    <n v="0"/>
    <n v="12"/>
    <n v="0"/>
    <n v="0"/>
    <n v="0"/>
    <n v="0"/>
  </r>
  <r>
    <s v="L'Oreal"/>
    <x v="4"/>
    <x v="2"/>
    <x v="0"/>
    <x v="1"/>
    <n v="7509552928617"/>
    <x v="20"/>
    <x v="10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48"/>
    <n v="0"/>
    <n v="96"/>
    <n v="48"/>
    <n v="60"/>
    <n v="132"/>
    <n v="12"/>
    <n v="48"/>
    <n v="108"/>
    <n v="96"/>
    <n v="0"/>
    <n v="0"/>
    <n v="120"/>
    <n v="0"/>
  </r>
  <r>
    <s v="L'Oreal"/>
    <x v="4"/>
    <x v="2"/>
    <x v="0"/>
    <x v="1"/>
    <n v="7509552928624"/>
    <x v="20"/>
    <x v="10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42"/>
    <n v="18"/>
    <n v="0"/>
    <n v="0"/>
    <n v="42"/>
    <n v="10"/>
    <n v="12"/>
    <n v="6"/>
    <n v="36"/>
    <n v="12"/>
    <n v="0"/>
    <n v="0"/>
  </r>
  <r>
    <s v="L'Oreal"/>
    <x v="4"/>
    <x v="2"/>
    <x v="0"/>
    <x v="1"/>
    <n v="7509552928877"/>
    <x v="20"/>
    <x v="109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24"/>
    <n v="60"/>
    <n v="0"/>
    <n v="0"/>
    <n v="0"/>
    <n v="0"/>
    <n v="6"/>
    <n v="0"/>
    <n v="0"/>
    <n v="0"/>
    <n v="0"/>
  </r>
  <r>
    <s v="L'Oreal"/>
    <x v="4"/>
    <x v="2"/>
    <x v="0"/>
    <x v="1"/>
    <n v="7509552930337"/>
    <x v="20"/>
    <x v="11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n v="0"/>
    <n v="0"/>
    <n v="0"/>
    <n v="0"/>
    <n v="0"/>
    <n v="0"/>
  </r>
  <r>
    <s v="L'Oreal"/>
    <x v="4"/>
    <x v="2"/>
    <x v="0"/>
    <x v="1"/>
    <n v="7509552931143"/>
    <x v="20"/>
    <x v="11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24"/>
    <n v="0"/>
    <n v="48"/>
    <n v="48"/>
    <n v="36"/>
    <n v="204"/>
    <n v="48"/>
    <n v="48"/>
    <n v="108"/>
    <n v="36"/>
    <n v="0"/>
    <n v="0"/>
    <n v="132"/>
    <n v="0"/>
  </r>
  <r>
    <s v="L'Oreal"/>
    <x v="4"/>
    <x v="2"/>
    <x v="0"/>
    <x v="1"/>
    <n v="7509552961478"/>
    <x v="21"/>
    <x v="113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</r>
  <r>
    <s v="L'Oreal"/>
    <x v="4"/>
    <x v="2"/>
    <x v="0"/>
    <x v="1"/>
    <n v="7509552961485"/>
    <x v="21"/>
    <x v="11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</r>
  <r>
    <s v="L'Oreal"/>
    <x v="4"/>
    <x v="2"/>
    <x v="0"/>
    <x v="1"/>
    <n v="7509552961492"/>
    <x v="21"/>
    <x v="11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</r>
  <r>
    <s v="L'Oreal"/>
    <x v="4"/>
    <x v="2"/>
    <x v="0"/>
    <x v="1"/>
    <n v="7509552961515"/>
    <x v="21"/>
    <x v="11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</r>
  <r>
    <s v="L'Oreal"/>
    <x v="4"/>
    <x v="2"/>
    <x v="0"/>
    <x v="1"/>
    <n v="7899706182812"/>
    <x v="4"/>
    <x v="129"/>
    <x v="11"/>
    <n v="0"/>
    <n v="0"/>
    <n v="0"/>
    <n v="0"/>
    <n v="0"/>
    <n v="0"/>
    <n v="0"/>
    <n v="0"/>
    <n v="0"/>
    <n v="0"/>
    <n v="6"/>
    <n v="0"/>
    <n v="0"/>
    <n v="0"/>
    <n v="0"/>
    <n v="6"/>
    <n v="0"/>
    <n v="6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2"/>
    <n v="71249341384"/>
    <x v="25"/>
    <x v="13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24"/>
    <n v="0"/>
    <n v="0"/>
    <n v="0"/>
    <n v="0"/>
    <n v="30"/>
    <n v="12"/>
    <n v="0"/>
    <n v="0"/>
    <n v="0"/>
    <n v="0"/>
    <n v="12"/>
    <n v="0"/>
    <n v="0"/>
    <n v="0"/>
  </r>
  <r>
    <s v="L'Oreal"/>
    <x v="4"/>
    <x v="2"/>
    <x v="0"/>
    <x v="2"/>
    <n v="71249341391"/>
    <x v="25"/>
    <x v="133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24"/>
    <n v="0"/>
    <n v="0"/>
    <n v="0"/>
    <n v="0"/>
    <n v="30"/>
    <n v="12"/>
    <n v="0"/>
    <n v="0"/>
    <n v="0"/>
    <n v="24"/>
    <n v="0"/>
    <n v="0"/>
    <n v="0"/>
    <n v="0"/>
  </r>
  <r>
    <s v="L'Oreal"/>
    <x v="4"/>
    <x v="2"/>
    <x v="0"/>
    <x v="2"/>
    <n v="71249341421"/>
    <x v="24"/>
    <x v="134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6"/>
    <n v="6"/>
    <n v="0"/>
    <n v="0"/>
    <n v="0"/>
    <n v="0"/>
    <n v="0"/>
    <n v="0"/>
    <n v="0"/>
    <n v="24"/>
    <n v="0"/>
    <n v="0"/>
    <n v="0"/>
    <n v="0"/>
  </r>
  <r>
    <s v="L'Oreal"/>
    <x v="4"/>
    <x v="2"/>
    <x v="0"/>
    <x v="2"/>
    <n v="71249341445"/>
    <x v="24"/>
    <x v="13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6"/>
    <n v="6"/>
    <n v="0"/>
    <n v="0"/>
    <n v="0"/>
    <n v="0"/>
    <n v="0"/>
    <n v="0"/>
    <n v="0"/>
    <n v="0"/>
    <n v="12"/>
    <n v="0"/>
    <n v="0"/>
    <n v="0"/>
  </r>
  <r>
    <s v="L'Oreal"/>
    <x v="4"/>
    <x v="2"/>
    <x v="0"/>
    <x v="2"/>
    <n v="71249395349"/>
    <x v="24"/>
    <x v="13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24"/>
    <n v="0"/>
    <n v="6"/>
    <n v="0"/>
    <n v="0"/>
    <n v="0"/>
    <n v="0"/>
    <n v="0"/>
    <n v="0"/>
    <n v="0"/>
    <n v="0"/>
    <n v="12"/>
    <n v="0"/>
    <n v="0"/>
    <n v="0"/>
  </r>
  <r>
    <s v="L'Oreal"/>
    <x v="4"/>
    <x v="2"/>
    <x v="0"/>
    <x v="2"/>
    <n v="71249395363"/>
    <x v="24"/>
    <x v="13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24"/>
    <n v="0"/>
    <n v="6"/>
    <n v="0"/>
    <n v="0"/>
    <n v="0"/>
    <n v="0"/>
    <n v="0"/>
    <n v="0"/>
    <n v="0"/>
    <n v="0"/>
    <n v="12"/>
    <n v="0"/>
    <n v="0"/>
    <n v="0"/>
  </r>
  <r>
    <s v="L'Oreal"/>
    <x v="4"/>
    <x v="2"/>
    <x v="0"/>
    <x v="2"/>
    <n v="71249406915"/>
    <x v="24"/>
    <x v="13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6"/>
    <n v="15"/>
    <n v="10"/>
    <n v="36"/>
    <n v="0"/>
    <n v="0"/>
    <n v="10"/>
    <n v="15"/>
  </r>
  <r>
    <s v="L'Oreal"/>
    <x v="4"/>
    <x v="2"/>
    <x v="0"/>
    <x v="2"/>
    <n v="71249406922"/>
    <x v="24"/>
    <x v="13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6"/>
    <n v="15"/>
    <n v="10"/>
    <n v="60"/>
    <n v="0"/>
    <n v="0"/>
    <n v="0"/>
    <n v="18"/>
  </r>
  <r>
    <s v="L'Oreal"/>
    <x v="4"/>
    <x v="2"/>
    <x v="0"/>
    <x v="2"/>
    <n v="71249645253"/>
    <x v="24"/>
    <x v="14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12"/>
    <n v="12"/>
    <n v="0"/>
    <n v="24"/>
    <n v="0"/>
    <n v="0"/>
    <n v="0"/>
    <n v="0"/>
  </r>
  <r>
    <s v="L'Oreal"/>
    <x v="4"/>
    <x v="2"/>
    <x v="0"/>
    <x v="2"/>
    <n v="71249645260"/>
    <x v="24"/>
    <x v="14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</r>
  <r>
    <s v="L'Oreal"/>
    <x v="4"/>
    <x v="2"/>
    <x v="0"/>
    <x v="2"/>
    <n v="71249672952"/>
    <x v="24"/>
    <x v="14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"/>
    <n v="0"/>
    <n v="0"/>
    <n v="12"/>
    <n v="0"/>
    <n v="0"/>
    <n v="0"/>
    <n v="0"/>
  </r>
  <r>
    <s v="L'Oreal"/>
    <x v="4"/>
    <x v="2"/>
    <x v="0"/>
    <x v="3"/>
    <n v="603084082063"/>
    <x v="26"/>
    <x v="143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10"/>
    <n v="27"/>
    <n v="0"/>
    <n v="0"/>
    <n v="0"/>
    <n v="0"/>
    <n v="0"/>
    <n v="0"/>
    <n v="3"/>
    <n v="0"/>
    <n v="0"/>
    <n v="0"/>
    <n v="0"/>
    <n v="0"/>
    <n v="0"/>
    <n v="3"/>
    <n v="6"/>
    <n v="0"/>
    <n v="0"/>
    <n v="0"/>
    <n v="0"/>
    <n v="0"/>
    <n v="6"/>
  </r>
  <r>
    <s v="L'Oreal"/>
    <x v="4"/>
    <x v="2"/>
    <x v="0"/>
    <x v="3"/>
    <n v="3600542440622"/>
    <x v="27"/>
    <x v="144"/>
    <x v="14"/>
    <n v="0"/>
    <n v="0"/>
    <n v="0"/>
    <n v="0"/>
    <n v="0"/>
    <n v="0"/>
    <n v="12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3600542441162"/>
    <x v="27"/>
    <x v="145"/>
    <x v="14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3600542442497"/>
    <x v="27"/>
    <x v="146"/>
    <x v="14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3600542449298"/>
    <x v="27"/>
    <x v="147"/>
    <x v="14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792287"/>
    <x v="27"/>
    <x v="148"/>
    <x v="5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12"/>
    <n v="0"/>
    <n v="12"/>
    <n v="0"/>
    <n v="0"/>
    <n v="0"/>
    <n v="0"/>
    <n v="12"/>
    <n v="0"/>
    <n v="0"/>
    <n v="0"/>
    <n v="0"/>
    <n v="0"/>
    <n v="0"/>
    <n v="0"/>
    <n v="12"/>
    <n v="0"/>
    <n v="0"/>
    <n v="0"/>
    <n v="0"/>
    <n v="12"/>
    <n v="0"/>
    <n v="0"/>
    <n v="0"/>
  </r>
  <r>
    <s v="L'Oreal"/>
    <x v="4"/>
    <x v="2"/>
    <x v="0"/>
    <x v="3"/>
    <n v="7509552792294"/>
    <x v="27"/>
    <x v="149"/>
    <x v="5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12"/>
    <n v="0"/>
    <n v="0"/>
    <n v="0"/>
    <n v="0"/>
    <n v="0"/>
    <n v="12"/>
    <n v="0"/>
    <n v="0"/>
    <n v="0"/>
    <n v="0"/>
    <n v="0"/>
    <n v="0"/>
    <n v="0"/>
    <n v="0"/>
    <n v="0"/>
    <n v="0"/>
    <n v="12"/>
    <n v="0"/>
    <n v="0"/>
    <n v="0"/>
    <n v="0"/>
    <n v="0"/>
    <n v="0"/>
  </r>
  <r>
    <s v="L'Oreal"/>
    <x v="4"/>
    <x v="2"/>
    <x v="0"/>
    <x v="3"/>
    <n v="7509552792317"/>
    <x v="27"/>
    <x v="150"/>
    <x v="5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12"/>
    <n v="0"/>
    <n v="0"/>
    <n v="0"/>
    <n v="0"/>
    <n v="0"/>
    <n v="24"/>
    <n v="0"/>
    <n v="0"/>
    <n v="0"/>
    <n v="0"/>
    <n v="0"/>
    <n v="0"/>
    <n v="0"/>
    <n v="0"/>
    <n v="0"/>
    <n v="12"/>
    <n v="0"/>
    <n v="12"/>
    <n v="0"/>
    <n v="0"/>
    <n v="0"/>
    <n v="0"/>
    <n v="0"/>
  </r>
  <r>
    <s v="L'Oreal"/>
    <x v="4"/>
    <x v="2"/>
    <x v="0"/>
    <x v="3"/>
    <n v="7509552795608"/>
    <x v="28"/>
    <x v="151"/>
    <x v="5"/>
    <n v="0"/>
    <n v="0"/>
    <n v="0"/>
    <n v="0"/>
    <n v="0"/>
    <n v="0"/>
    <n v="6"/>
    <n v="6"/>
    <n v="0"/>
    <n v="0"/>
    <n v="0"/>
    <n v="0"/>
    <n v="0"/>
    <n v="6"/>
    <n v="0"/>
    <n v="0"/>
    <n v="0"/>
    <n v="0"/>
    <n v="0"/>
    <n v="5"/>
    <n v="0"/>
    <n v="4"/>
    <n v="0"/>
    <n v="0"/>
    <n v="9"/>
    <n v="0"/>
    <n v="0"/>
    <n v="0"/>
    <n v="0"/>
    <n v="0"/>
    <n v="0"/>
    <n v="3"/>
    <n v="0"/>
    <n v="0"/>
    <n v="0"/>
    <n v="0"/>
    <n v="3"/>
    <n v="6"/>
    <n v="0"/>
    <n v="0"/>
    <n v="0"/>
    <n v="0"/>
  </r>
  <r>
    <s v="L'Oreal"/>
    <x v="4"/>
    <x v="2"/>
    <x v="0"/>
    <x v="3"/>
    <n v="7509552795646"/>
    <x v="28"/>
    <x v="152"/>
    <x v="15"/>
    <n v="0"/>
    <n v="0"/>
    <n v="0"/>
    <n v="0"/>
    <n v="0"/>
    <n v="0"/>
    <n v="12"/>
    <n v="0"/>
    <n v="0"/>
    <n v="0"/>
    <n v="1"/>
    <n v="6"/>
    <n v="6"/>
    <n v="9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796216"/>
    <x v="27"/>
    <x v="153"/>
    <x v="8"/>
    <n v="0"/>
    <n v="0"/>
    <n v="0"/>
    <n v="0"/>
    <n v="0"/>
    <n v="0"/>
    <n v="0"/>
    <n v="0"/>
    <n v="0"/>
    <n v="0"/>
    <n v="0"/>
    <n v="0"/>
    <n v="0"/>
    <n v="12"/>
    <n v="0"/>
    <n v="0"/>
    <n v="6"/>
    <n v="12"/>
    <n v="12"/>
    <n v="0"/>
    <n v="12"/>
    <n v="0"/>
    <n v="6"/>
    <n v="0"/>
    <n v="18"/>
    <n v="0"/>
    <n v="0"/>
    <n v="0"/>
    <n v="0"/>
    <n v="0"/>
    <n v="0"/>
    <n v="0"/>
    <n v="0"/>
    <n v="0"/>
    <n v="0"/>
    <n v="0"/>
    <n v="6"/>
    <n v="0"/>
    <n v="0"/>
    <n v="0"/>
    <n v="0"/>
    <n v="0"/>
  </r>
  <r>
    <s v="L'Oreal"/>
    <x v="4"/>
    <x v="2"/>
    <x v="0"/>
    <x v="3"/>
    <n v="7509552798456"/>
    <x v="28"/>
    <x v="154"/>
    <x v="8"/>
    <n v="0"/>
    <n v="0"/>
    <n v="0"/>
    <n v="0"/>
    <n v="0"/>
    <n v="0"/>
    <n v="0"/>
    <n v="12"/>
    <n v="0"/>
    <n v="0"/>
    <n v="0"/>
    <n v="0"/>
    <n v="0"/>
    <n v="0"/>
    <n v="0"/>
    <n v="0"/>
    <n v="0"/>
    <n v="12"/>
    <n v="0"/>
    <n v="0"/>
    <n v="0"/>
    <n v="0"/>
    <n v="0"/>
    <n v="0"/>
    <n v="12"/>
    <n v="0"/>
    <n v="0"/>
    <n v="0"/>
    <n v="0"/>
    <n v="0"/>
    <n v="0"/>
    <n v="12"/>
    <n v="0"/>
    <n v="0"/>
    <n v="0"/>
    <n v="0"/>
    <n v="0"/>
    <n v="0"/>
    <n v="0"/>
    <n v="0"/>
    <n v="0"/>
    <n v="0"/>
  </r>
  <r>
    <s v="L'Oreal"/>
    <x v="4"/>
    <x v="2"/>
    <x v="0"/>
    <x v="3"/>
    <n v="7509552805307"/>
    <x v="29"/>
    <x v="156"/>
    <x v="1"/>
    <n v="0"/>
    <n v="6"/>
    <n v="0"/>
    <n v="0"/>
    <n v="0"/>
    <n v="0"/>
    <n v="12"/>
    <n v="0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05383"/>
    <x v="30"/>
    <x v="158"/>
    <x v="1"/>
    <n v="0"/>
    <n v="6"/>
    <n v="0"/>
    <n v="0"/>
    <n v="0"/>
    <n v="0"/>
    <n v="0"/>
    <n v="0"/>
    <n v="6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16242"/>
    <x v="31"/>
    <x v="159"/>
    <x v="8"/>
    <n v="0"/>
    <n v="6"/>
    <n v="0"/>
    <n v="0"/>
    <n v="0"/>
    <n v="0"/>
    <n v="0"/>
    <n v="0"/>
    <n v="0"/>
    <n v="0"/>
    <n v="0"/>
    <n v="6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23837"/>
    <x v="31"/>
    <x v="16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27019"/>
    <x v="31"/>
    <x v="170"/>
    <x v="1"/>
    <n v="0"/>
    <n v="6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28030"/>
    <x v="27"/>
    <x v="171"/>
    <x v="8"/>
    <n v="0"/>
    <n v="0"/>
    <n v="0"/>
    <n v="0"/>
    <n v="0"/>
    <n v="18"/>
    <n v="0"/>
    <n v="0"/>
    <n v="12"/>
    <n v="12"/>
    <n v="0"/>
    <n v="0"/>
    <n v="6"/>
    <n v="24"/>
    <n v="0"/>
    <n v="30"/>
    <n v="6"/>
    <n v="0"/>
    <n v="18"/>
    <n v="0"/>
    <n v="12"/>
    <n v="6"/>
    <n v="12"/>
    <n v="0"/>
    <n v="18"/>
    <n v="0"/>
    <n v="0"/>
    <n v="0"/>
    <n v="12"/>
    <n v="6"/>
    <n v="54"/>
    <n v="6"/>
    <n v="6"/>
    <n v="6"/>
    <n v="0"/>
    <n v="6"/>
    <n v="6"/>
    <n v="12"/>
    <n v="0"/>
    <n v="0"/>
    <n v="18"/>
    <n v="6"/>
  </r>
  <r>
    <s v="L'Oreal"/>
    <x v="4"/>
    <x v="2"/>
    <x v="0"/>
    <x v="3"/>
    <n v="7509552828962"/>
    <x v="27"/>
    <x v="173"/>
    <x v="8"/>
    <n v="0"/>
    <n v="0"/>
    <n v="0"/>
    <n v="0"/>
    <n v="0"/>
    <n v="12"/>
    <n v="0"/>
    <n v="0"/>
    <n v="6"/>
    <n v="12"/>
    <n v="0"/>
    <n v="0"/>
    <n v="6"/>
    <n v="30"/>
    <n v="0"/>
    <n v="12"/>
    <n v="0"/>
    <n v="0"/>
    <n v="0"/>
    <n v="0"/>
    <n v="0"/>
    <n v="0"/>
    <n v="0"/>
    <n v="0"/>
    <n v="6"/>
    <n v="0"/>
    <n v="0"/>
    <n v="0"/>
    <n v="6"/>
    <n v="6"/>
    <n v="0"/>
    <n v="36"/>
    <n v="6"/>
    <n v="0"/>
    <n v="48"/>
    <n v="18"/>
    <n v="0"/>
    <n v="12"/>
    <n v="0"/>
    <n v="6"/>
    <n v="12"/>
    <n v="0"/>
  </r>
  <r>
    <s v="L'Oreal"/>
    <x v="4"/>
    <x v="2"/>
    <x v="0"/>
    <x v="3"/>
    <n v="7509552830507"/>
    <x v="34"/>
    <x v="174"/>
    <x v="8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31016"/>
    <x v="34"/>
    <x v="178"/>
    <x v="1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41794"/>
    <x v="27"/>
    <x v="179"/>
    <x v="8"/>
    <n v="36"/>
    <n v="0"/>
    <n v="0"/>
    <n v="0"/>
    <n v="0"/>
    <n v="0"/>
    <n v="12"/>
    <n v="0"/>
    <n v="0"/>
    <n v="0"/>
    <n v="0"/>
    <n v="0"/>
    <n v="6"/>
    <n v="18"/>
    <n v="0"/>
    <n v="6"/>
    <n v="12"/>
    <n v="6"/>
    <n v="12"/>
    <n v="0"/>
    <n v="6"/>
    <n v="0"/>
    <n v="0"/>
    <n v="0"/>
    <n v="18"/>
    <n v="0"/>
    <n v="0"/>
    <n v="0"/>
    <n v="0"/>
    <n v="0"/>
    <n v="48"/>
    <n v="6"/>
    <n v="0"/>
    <n v="6"/>
    <n v="48"/>
    <n v="6"/>
    <n v="6"/>
    <n v="0"/>
    <n v="0"/>
    <n v="0"/>
    <n v="0"/>
    <n v="0"/>
  </r>
  <r>
    <s v="L'Oreal"/>
    <x v="4"/>
    <x v="2"/>
    <x v="0"/>
    <x v="3"/>
    <n v="7509552844177"/>
    <x v="27"/>
    <x v="182"/>
    <x v="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44184"/>
    <x v="27"/>
    <x v="183"/>
    <x v="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44191"/>
    <x v="27"/>
    <x v="184"/>
    <x v="5"/>
    <n v="0"/>
    <n v="0"/>
    <n v="0"/>
    <n v="0"/>
    <n v="0"/>
    <n v="0"/>
    <n v="0"/>
    <n v="0"/>
    <n v="0"/>
    <n v="0"/>
    <n v="0"/>
    <n v="12"/>
    <n v="0"/>
    <n v="12"/>
    <n v="0"/>
    <n v="0"/>
    <n v="0"/>
    <n v="12"/>
    <n v="0"/>
    <n v="0"/>
    <n v="0"/>
    <n v="0"/>
    <n v="0"/>
    <n v="0"/>
    <n v="12"/>
    <n v="0"/>
    <n v="0"/>
    <n v="0"/>
    <n v="0"/>
    <n v="12"/>
    <n v="0"/>
    <n v="12"/>
    <n v="0"/>
    <n v="0"/>
    <n v="0"/>
    <n v="0"/>
    <n v="0"/>
    <n v="12"/>
    <n v="0"/>
    <n v="0"/>
    <n v="0"/>
    <n v="0"/>
  </r>
  <r>
    <s v="L'Oreal"/>
    <x v="4"/>
    <x v="2"/>
    <x v="0"/>
    <x v="3"/>
    <n v="7509552844207"/>
    <x v="27"/>
    <x v="185"/>
    <x v="5"/>
    <n v="0"/>
    <n v="0"/>
    <n v="0"/>
    <n v="0"/>
    <n v="0"/>
    <n v="0"/>
    <n v="0"/>
    <n v="12"/>
    <n v="0"/>
    <n v="0"/>
    <n v="0"/>
    <n v="0"/>
    <n v="0"/>
    <n v="12"/>
    <n v="0"/>
    <n v="0"/>
    <n v="0"/>
    <n v="12"/>
    <n v="0"/>
    <n v="0"/>
    <n v="0"/>
    <n v="0"/>
    <n v="0"/>
    <n v="0"/>
    <n v="0"/>
    <n v="12"/>
    <n v="0"/>
    <n v="0"/>
    <n v="0"/>
    <n v="0"/>
    <n v="12"/>
    <n v="0"/>
    <n v="0"/>
    <n v="0"/>
    <n v="0"/>
    <n v="0"/>
    <n v="0"/>
    <n v="0"/>
    <n v="12"/>
    <n v="0"/>
    <n v="0"/>
    <n v="0"/>
  </r>
  <r>
    <s v="L'Oreal"/>
    <x v="4"/>
    <x v="2"/>
    <x v="0"/>
    <x v="3"/>
    <n v="7509552844214"/>
    <x v="27"/>
    <x v="186"/>
    <x v="5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</r>
  <r>
    <s v="L'Oreal"/>
    <x v="4"/>
    <x v="2"/>
    <x v="0"/>
    <x v="3"/>
    <n v="7509552844221"/>
    <x v="27"/>
    <x v="187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12"/>
    <n v="0"/>
    <n v="0"/>
    <n v="0"/>
    <n v="0"/>
    <n v="0"/>
    <n v="0"/>
    <n v="0"/>
    <n v="0"/>
    <n v="12"/>
    <n v="0"/>
    <n v="0"/>
    <n v="0"/>
    <n v="0"/>
    <n v="0"/>
    <n v="0"/>
    <n v="0"/>
    <n v="0"/>
  </r>
  <r>
    <s v="L'Oreal"/>
    <x v="4"/>
    <x v="2"/>
    <x v="0"/>
    <x v="3"/>
    <n v="7509552849509"/>
    <x v="27"/>
    <x v="188"/>
    <x v="5"/>
    <n v="12"/>
    <n v="0"/>
    <n v="0"/>
    <n v="0"/>
    <n v="24"/>
    <n v="0"/>
    <n v="0"/>
    <n v="0"/>
    <n v="0"/>
    <n v="0"/>
    <n v="0"/>
    <n v="0"/>
    <n v="0"/>
    <n v="12"/>
    <n v="0"/>
    <n v="0"/>
    <n v="0"/>
    <n v="12"/>
    <n v="0"/>
    <n v="0"/>
    <n v="0"/>
    <n v="0"/>
    <n v="0"/>
    <n v="0"/>
    <n v="12"/>
    <n v="0"/>
    <n v="0"/>
    <n v="0"/>
    <n v="0"/>
    <n v="12"/>
    <n v="0"/>
    <n v="0"/>
    <n v="0"/>
    <n v="12"/>
    <n v="0"/>
    <n v="0"/>
    <n v="0"/>
    <n v="0"/>
    <n v="0"/>
    <n v="0"/>
    <n v="0"/>
    <n v="0"/>
  </r>
  <r>
    <s v="L'Oreal"/>
    <x v="4"/>
    <x v="2"/>
    <x v="0"/>
    <x v="3"/>
    <n v="7509552849516"/>
    <x v="27"/>
    <x v="189"/>
    <x v="5"/>
    <n v="36"/>
    <n v="0"/>
    <n v="0"/>
    <n v="0"/>
    <n v="0"/>
    <n v="0"/>
    <n v="12"/>
    <n v="0"/>
    <n v="12"/>
    <n v="0"/>
    <n v="0"/>
    <n v="0"/>
    <n v="0"/>
    <n v="0"/>
    <n v="0"/>
    <n v="0"/>
    <n v="0"/>
    <n v="0"/>
    <n v="0"/>
    <n v="12"/>
    <n v="0"/>
    <n v="0"/>
    <n v="0"/>
    <n v="0"/>
    <n v="12"/>
    <n v="0"/>
    <n v="0"/>
    <n v="0"/>
    <n v="0"/>
    <n v="12"/>
    <n v="0"/>
    <n v="0"/>
    <n v="0"/>
    <n v="0"/>
    <n v="0"/>
    <n v="0"/>
    <n v="12"/>
    <n v="12"/>
    <n v="0"/>
    <n v="0"/>
    <n v="0"/>
    <n v="0"/>
  </r>
  <r>
    <s v="L'Oreal"/>
    <x v="4"/>
    <x v="2"/>
    <x v="0"/>
    <x v="3"/>
    <n v="7509552849523"/>
    <x v="27"/>
    <x v="190"/>
    <x v="8"/>
    <n v="36"/>
    <n v="0"/>
    <n v="0"/>
    <n v="0"/>
    <n v="0"/>
    <n v="0"/>
    <n v="6"/>
    <n v="12"/>
    <n v="0"/>
    <n v="0"/>
    <n v="0"/>
    <n v="0"/>
    <n v="0"/>
    <n v="18"/>
    <n v="0"/>
    <n v="6"/>
    <n v="6"/>
    <n v="18"/>
    <n v="6"/>
    <n v="0"/>
    <n v="0"/>
    <n v="0"/>
    <n v="0"/>
    <n v="0"/>
    <n v="6"/>
    <n v="0"/>
    <n v="0"/>
    <n v="6"/>
    <n v="0"/>
    <n v="6"/>
    <n v="18"/>
    <n v="0"/>
    <n v="6"/>
    <n v="0"/>
    <n v="0"/>
    <n v="0"/>
    <n v="0"/>
    <n v="0"/>
    <n v="0"/>
    <n v="0"/>
    <n v="0"/>
    <n v="0"/>
  </r>
  <r>
    <s v="L'Oreal"/>
    <x v="4"/>
    <x v="2"/>
    <x v="0"/>
    <x v="3"/>
    <n v="7509552849660"/>
    <x v="33"/>
    <x v="194"/>
    <x v="8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n v="0"/>
    <n v="0"/>
    <n v="0"/>
    <n v="0"/>
    <n v="12"/>
    <n v="0"/>
    <n v="0"/>
    <n v="0"/>
    <n v="0"/>
  </r>
  <r>
    <s v="L'Oreal"/>
    <x v="4"/>
    <x v="2"/>
    <x v="0"/>
    <x v="3"/>
    <n v="7509552849707"/>
    <x v="33"/>
    <x v="196"/>
    <x v="1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49721"/>
    <x v="33"/>
    <x v="198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76499"/>
    <x v="35"/>
    <x v="199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108"/>
    <n v="0"/>
    <n v="12"/>
    <n v="12"/>
    <n v="228"/>
    <n v="0"/>
  </r>
  <r>
    <s v="L'Oreal"/>
    <x v="4"/>
    <x v="2"/>
    <x v="0"/>
    <x v="3"/>
    <n v="7509552876529"/>
    <x v="35"/>
    <x v="200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2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876666"/>
    <x v="35"/>
    <x v="20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0"/>
    <n v="12"/>
    <n v="0"/>
    <n v="0"/>
    <n v="0"/>
    <n v="0"/>
    <n v="0"/>
    <n v="36"/>
    <n v="12"/>
    <n v="0"/>
    <n v="0"/>
    <n v="0"/>
    <n v="0"/>
    <n v="108"/>
    <n v="0"/>
    <n v="0"/>
    <n v="12"/>
    <n v="132"/>
    <n v="0"/>
  </r>
  <r>
    <s v="L'Oreal"/>
    <x v="4"/>
    <x v="2"/>
    <x v="0"/>
    <x v="3"/>
    <n v="7509552906448"/>
    <x v="29"/>
    <x v="208"/>
    <x v="8"/>
    <n v="0"/>
    <n v="6"/>
    <n v="0"/>
    <n v="0"/>
    <n v="0"/>
    <n v="0"/>
    <n v="12"/>
    <n v="0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108"/>
    <n v="0"/>
    <n v="0"/>
    <n v="12"/>
    <n v="144"/>
    <n v="0"/>
  </r>
  <r>
    <s v="L'Oreal"/>
    <x v="4"/>
    <x v="2"/>
    <x v="0"/>
    <x v="3"/>
    <n v="7509552908701"/>
    <x v="30"/>
    <x v="211"/>
    <x v="8"/>
    <n v="0"/>
    <n v="6"/>
    <n v="0"/>
    <n v="0"/>
    <n v="0"/>
    <n v="0"/>
    <n v="0"/>
    <n v="0"/>
    <n v="6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909678"/>
    <x v="37"/>
    <x v="212"/>
    <x v="8"/>
    <n v="0"/>
    <n v="0"/>
    <n v="0"/>
    <n v="0"/>
    <n v="0"/>
    <n v="0"/>
    <n v="12"/>
    <n v="0"/>
    <n v="0"/>
    <n v="0"/>
    <n v="0"/>
    <n v="0"/>
    <n v="0"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0"/>
    <x v="3"/>
    <n v="7509552914108"/>
    <x v="29"/>
    <x v="215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n v="0"/>
    <n v="0"/>
    <n v="0"/>
    <n v="0"/>
    <n v="0"/>
  </r>
  <r>
    <s v="L'Oreal"/>
    <x v="4"/>
    <x v="2"/>
    <x v="0"/>
    <x v="5"/>
    <n v="7501027284945"/>
    <x v="46"/>
    <x v="238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7"/>
    <n v="7509552828894"/>
    <x v="48"/>
    <x v="256"/>
    <x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7"/>
    <n v="7898587770668"/>
    <x v="48"/>
    <x v="25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8"/>
    <n v="12"/>
    <n v="6"/>
    <n v="0"/>
    <n v="0"/>
  </r>
  <r>
    <s v="L'Oreal"/>
    <x v="4"/>
    <x v="2"/>
    <x v="1"/>
    <x v="7"/>
    <n v="7898587775908"/>
    <x v="48"/>
    <x v="261"/>
    <x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7"/>
    <n v="7899026462533"/>
    <x v="48"/>
    <x v="26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66"/>
    <n v="420"/>
    <n v="0"/>
    <n v="0"/>
    <n v="0"/>
  </r>
  <r>
    <s v="L'Oreal"/>
    <x v="4"/>
    <x v="2"/>
    <x v="1"/>
    <x v="7"/>
    <n v="7899026462557"/>
    <x v="48"/>
    <x v="267"/>
    <x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8"/>
    <n v="6"/>
    <n v="6"/>
    <n v="24"/>
    <n v="0"/>
  </r>
  <r>
    <s v="L'Oreal"/>
    <x v="4"/>
    <x v="2"/>
    <x v="1"/>
    <x v="7"/>
    <n v="7899026462571"/>
    <x v="48"/>
    <x v="26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8"/>
    <n v="12"/>
    <n v="6"/>
    <n v="24"/>
    <n v="0"/>
  </r>
  <r>
    <s v="L'Oreal"/>
    <x v="4"/>
    <x v="2"/>
    <x v="1"/>
    <x v="7"/>
    <n v="7899026462601"/>
    <x v="48"/>
    <x v="271"/>
    <x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54"/>
    <n v="0"/>
    <n v="6"/>
    <n v="30"/>
    <n v="0"/>
  </r>
  <r>
    <s v="L'Oreal"/>
    <x v="4"/>
    <x v="2"/>
    <x v="1"/>
    <x v="7"/>
    <n v="7899026462625"/>
    <x v="48"/>
    <x v="273"/>
    <x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8"/>
    <n v="6"/>
    <n v="0"/>
    <n v="0"/>
    <n v="6"/>
  </r>
  <r>
    <s v="L'Oreal"/>
    <x v="4"/>
    <x v="2"/>
    <x v="1"/>
    <x v="7"/>
    <n v="7899026462656"/>
    <x v="48"/>
    <x v="276"/>
    <x v="19"/>
    <n v="0"/>
    <n v="0"/>
    <n v="0"/>
    <n v="0"/>
    <n v="0"/>
    <n v="0"/>
    <n v="0"/>
    <n v="12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7"/>
    <n v="7899026462670"/>
    <x v="48"/>
    <x v="277"/>
    <x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8"/>
    <n v="0"/>
    <n v="6"/>
    <n v="24"/>
    <n v="18"/>
  </r>
  <r>
    <s v="L'Oreal"/>
    <x v="4"/>
    <x v="2"/>
    <x v="1"/>
    <x v="7"/>
    <n v="7899026462687"/>
    <x v="48"/>
    <x v="278"/>
    <x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66"/>
    <n v="12"/>
    <n v="6"/>
    <n v="36"/>
    <n v="0"/>
  </r>
  <r>
    <s v="L'Oreal"/>
    <x v="4"/>
    <x v="2"/>
    <x v="1"/>
    <x v="7"/>
    <n v="7899026462694"/>
    <x v="48"/>
    <x v="279"/>
    <x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7"/>
    <n v="7899026462724"/>
    <x v="48"/>
    <x v="281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8"/>
    <n v="0"/>
    <n v="0"/>
    <n v="0"/>
    <n v="6"/>
  </r>
  <r>
    <s v="L'Oreal"/>
    <x v="4"/>
    <x v="2"/>
    <x v="1"/>
    <x v="8"/>
    <n v="7501027275042"/>
    <x v="49"/>
    <x v="284"/>
    <x v="2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8"/>
    <n v="7501027275080"/>
    <x v="49"/>
    <x v="285"/>
    <x v="2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12"/>
    <n v="12"/>
    <n v="0"/>
    <n v="0"/>
  </r>
  <r>
    <s v="L'Oreal"/>
    <x v="4"/>
    <x v="2"/>
    <x v="1"/>
    <x v="8"/>
    <n v="7501027275127"/>
    <x v="49"/>
    <x v="287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12"/>
    <n v="12"/>
    <n v="0"/>
    <n v="0"/>
    <n v="12"/>
    <n v="0"/>
    <n v="0"/>
  </r>
  <r>
    <s v="L'Oreal"/>
    <x v="4"/>
    <x v="2"/>
    <x v="1"/>
    <x v="8"/>
    <n v="7501027275301"/>
    <x v="49"/>
    <x v="292"/>
    <x v="2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8"/>
    <n v="7509552844511"/>
    <x v="49"/>
    <x v="306"/>
    <x v="2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8"/>
    <n v="7509552878196"/>
    <x v="50"/>
    <x v="308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</r>
  <r>
    <s v="L'Oreal"/>
    <x v="4"/>
    <x v="2"/>
    <x v="1"/>
    <x v="8"/>
    <n v="7509552878202"/>
    <x v="50"/>
    <x v="30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12"/>
    <n v="60"/>
    <n v="-48"/>
    <n v="0"/>
    <n v="0"/>
    <n v="0"/>
  </r>
  <r>
    <s v="L'Oreal"/>
    <x v="4"/>
    <x v="2"/>
    <x v="1"/>
    <x v="8"/>
    <n v="7509552878233"/>
    <x v="50"/>
    <x v="312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0"/>
    <n v="12"/>
    <n v="0"/>
    <n v="0"/>
  </r>
  <r>
    <s v="L'Oreal"/>
    <x v="4"/>
    <x v="2"/>
    <x v="1"/>
    <x v="8"/>
    <n v="7509552911800"/>
    <x v="49"/>
    <x v="326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12"/>
    <n v="0"/>
    <n v="12"/>
    <n v="12"/>
    <n v="0"/>
    <n v="0"/>
  </r>
  <r>
    <s v="L'Oreal"/>
    <x v="4"/>
    <x v="2"/>
    <x v="1"/>
    <x v="8"/>
    <n v="7509552911817"/>
    <x v="49"/>
    <x v="327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12"/>
    <n v="0"/>
  </r>
  <r>
    <s v="L'Oreal"/>
    <x v="4"/>
    <x v="2"/>
    <x v="1"/>
    <x v="11"/>
    <n v="7501027209214"/>
    <x v="54"/>
    <x v="348"/>
    <x v="1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11"/>
    <n v="7501027209221"/>
    <x v="54"/>
    <x v="349"/>
    <x v="19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11"/>
    <n v="7501027209542"/>
    <x v="54"/>
    <x v="350"/>
    <x v="19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11"/>
    <n v="7506078959934"/>
    <x v="55"/>
    <x v="357"/>
    <x v="19"/>
    <n v="6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11"/>
    <n v="7509552826593"/>
    <x v="55"/>
    <x v="369"/>
    <x v="19"/>
    <n v="6"/>
    <n v="0"/>
    <n v="6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11"/>
    <n v="7509552901092"/>
    <x v="55"/>
    <x v="389"/>
    <x v="19"/>
    <n v="6"/>
    <n v="0"/>
    <n v="6"/>
    <n v="0"/>
    <n v="0"/>
    <n v="0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11"/>
    <n v="7899706115391"/>
    <x v="54"/>
    <x v="397"/>
    <x v="19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'Oreal"/>
    <x v="4"/>
    <x v="2"/>
    <x v="1"/>
    <x v="11"/>
    <n v="8901526566037"/>
    <x v="57"/>
    <x v="406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0"/>
    <n v="0"/>
    <n v="96"/>
    <n v="0"/>
    <n v="0"/>
  </r>
  <r>
    <s v="L'Oreal"/>
    <x v="4"/>
    <x v="2"/>
    <x v="1"/>
    <x v="11"/>
    <n v="8901526566051"/>
    <x v="57"/>
    <x v="408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0"/>
    <n v="0"/>
    <n v="0"/>
    <n v="0"/>
    <n v="0"/>
  </r>
  <r>
    <s v="L'Oreal"/>
    <x v="4"/>
    <x v="2"/>
    <x v="1"/>
    <x v="11"/>
    <n v="8901526566068"/>
    <x v="57"/>
    <x v="409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0"/>
    <n v="0"/>
    <n v="0"/>
    <n v="0"/>
    <n v="0"/>
  </r>
  <r>
    <s v="L'Oreal"/>
    <x v="4"/>
    <x v="2"/>
    <x v="1"/>
    <x v="11"/>
    <n v="8901526566082"/>
    <x v="57"/>
    <x v="411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0"/>
    <n v="0"/>
    <n v="0"/>
    <n v="0"/>
    <n v="0"/>
  </r>
  <r>
    <s v="L'Oreal"/>
    <x v="4"/>
    <x v="2"/>
    <x v="1"/>
    <x v="11"/>
    <n v="8901526566099"/>
    <x v="57"/>
    <x v="412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0"/>
    <n v="0"/>
    <n v="0"/>
    <n v="0"/>
    <n v="0"/>
  </r>
  <r>
    <s v="L'Oreal"/>
    <x v="4"/>
    <x v="2"/>
    <x v="1"/>
    <x v="11"/>
    <n v="8901526606061"/>
    <x v="57"/>
    <x v="413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s v="TOTAL URUGUAY"/>
    <s v="SH+AC (160+162)"/>
    <s v="L'OREAL"/>
    <x v="0"/>
    <s v="200063386919"/>
    <x v="0"/>
    <s v="ELVIVE DREAM LONG LISS ACO ANTIFRIZZ FCO 200ML"/>
    <s v="Vtas Unds"/>
    <n v="0"/>
    <n v="0"/>
    <n v="0"/>
    <n v="0"/>
    <n v="0"/>
    <n v="0"/>
    <n v="2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200063490002"/>
    <x v="1"/>
    <s v="ELVIVE OLEO EXTRAORDIN.NUT.INTEN.ACO. 400 MLFCO.PL."/>
    <s v="Vtas Unds"/>
    <n v="0"/>
    <n v="0"/>
    <n v="0"/>
    <n v="0"/>
    <n v="0"/>
    <n v="0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</r>
  <r>
    <s v="TOTAL URUGUAY"/>
    <s v="SH+AC (160+162)"/>
    <s v="L'OREAL"/>
    <x v="0"/>
    <s v="200063975580"/>
    <x v="2"/>
    <s v="ELVIVE RT5 FCO.PL.680 ML+ MM ACONDIC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TOTAL URUGUAY"/>
    <s v="SH+AC (160+162)"/>
    <s v="L'OREAL"/>
    <x v="0"/>
    <s v="200063975604"/>
    <x v="2"/>
    <s v="ELVIVE RT5 .200 ML + MM SHAMPOO 68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TOTAL URUGUAY"/>
    <s v="SH+AC (160+162)"/>
    <s v="L'OREAL"/>
    <x v="0"/>
    <s v="200064134875"/>
    <x v="3"/>
    <s v="ELVIVE HYDRA CURLSHAMPOO FP. 400 ML"/>
    <s v="Vtas Unds"/>
    <n v="0"/>
    <n v="0"/>
    <n v="0"/>
    <n v="2"/>
    <n v="0"/>
    <n v="0"/>
    <n v="2"/>
    <n v="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200139921837"/>
    <x v="4"/>
    <s v="ELVIVE SHAMPOO CAIDA RESIST 370 ML BOT"/>
    <s v="Vtas Unds"/>
    <n v="0"/>
    <n v="0"/>
    <n v="0"/>
    <n v="0"/>
    <n v="0"/>
    <n v="0"/>
    <n v="0"/>
    <n v="0"/>
    <n v="0"/>
    <n v="0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200141533433"/>
    <x v="2"/>
    <s v="ELVIVE RT5 SHAMPOO 370 ML+ MM ACOND FCO 200ML.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s v="TOTAL URUGUAY"/>
    <s v="SH+AC (160+162)"/>
    <s v="L'OREAL"/>
    <x v="0"/>
    <s v="200141533435"/>
    <x v="2"/>
    <s v="ELVIVE RT5 ACOND FCO 200ML.+ MM SHAMPOO 37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s v="TOTAL URUGUAY"/>
    <s v="SH+AC (160+162)"/>
    <s v="L'OREAL"/>
    <x v="0"/>
    <s v="3600523540785"/>
    <x v="5"/>
    <s v="ELVIVE RT 5 LOW POO FCO PLAST 40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TOTAL URUGUAY"/>
    <s v="SH+AC (160+162)"/>
    <s v="L'OREAL"/>
    <x v="0"/>
    <s v="3600523682799"/>
    <x v="6"/>
    <s v="ELVIVE VIOLETA MATIZADOR FCO.PL 200ML"/>
    <s v="Vtas Unds"/>
    <n v="831"/>
    <n v="565"/>
    <n v="496"/>
    <n v="559"/>
    <n v="502"/>
    <n v="492"/>
    <n v="334"/>
    <n v="141"/>
    <n v="80"/>
    <n v="55"/>
    <n v="15"/>
    <n v="25"/>
    <n v="15"/>
    <n v="16"/>
    <n v="12"/>
    <n v="3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TOTAL URUGUAY"/>
    <s v="SH+AC (160+162)"/>
    <s v="L'OREAL"/>
    <x v="0"/>
    <s v="3600523682850"/>
    <x v="6"/>
    <s v="ELVIVE VIOLETA ACOND MATIZADOR POMO 150ML"/>
    <s v="Vtas Unds"/>
    <n v="463"/>
    <n v="373"/>
    <n v="257"/>
    <n v="181"/>
    <n v="46"/>
    <n v="26"/>
    <n v="36"/>
    <n v="14"/>
    <n v="8"/>
    <n v="7"/>
    <n v="1"/>
    <n v="3"/>
    <n v="2"/>
    <n v="2"/>
    <n v="3"/>
    <n v="3"/>
    <n v="3"/>
    <n v="1"/>
    <n v="2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TOTAL URUGUAY"/>
    <s v="SH+AC (160+162)"/>
    <s v="L'OREAL"/>
    <x v="0"/>
    <s v="3600524095567"/>
    <x v="4"/>
    <s v="ELVIVE CAIDA RESIST SERUM ANTI-HAIR AMIN FCO 102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63"/>
    <n v="97"/>
    <n v="200"/>
    <n v="120"/>
    <n v="84"/>
    <n v="92"/>
    <n v="38"/>
    <n v="55"/>
    <n v="49"/>
    <n v="61"/>
    <n v="34"/>
    <n v="53"/>
    <n v="42"/>
    <n v="60"/>
    <n v="56"/>
    <n v="42"/>
    <n v="33"/>
    <n v="45"/>
  </r>
  <r>
    <s v="TOTAL URUGUAY"/>
    <s v="SH+AC (160+162)"/>
    <s v="L'OREAL"/>
    <x v="0"/>
    <s v="7506078926912"/>
    <x v="7"/>
    <s v="ELVIVE COLOR VIVEFCO.PL. 400 CC"/>
    <s v="Vtas Unds"/>
    <n v="66"/>
    <n v="42"/>
    <n v="57"/>
    <n v="53"/>
    <n v="24"/>
    <n v="33"/>
    <n v="29"/>
    <n v="26"/>
    <n v="11"/>
    <n v="13"/>
    <n v="7"/>
    <n v="3"/>
    <n v="10"/>
    <n v="5"/>
    <n v="4"/>
    <n v="13"/>
    <n v="5"/>
    <n v="6"/>
    <n v="9"/>
    <n v="8"/>
    <n v="3"/>
    <n v="3"/>
    <n v="0"/>
    <n v="0"/>
    <n v="0"/>
    <n v="1"/>
    <n v="1"/>
    <n v="0"/>
    <n v="0"/>
    <n v="0"/>
    <n v="0"/>
    <n v="0"/>
    <n v="0"/>
    <n v="0"/>
    <n v="0"/>
    <n v="0"/>
    <n v="0"/>
  </r>
  <r>
    <s v="TOTAL URUGUAY"/>
    <s v="SH+AC (160+162)"/>
    <s v="L'OREAL"/>
    <x v="0"/>
    <s v="7506078926929"/>
    <x v="7"/>
    <s v="ELVIVE COLOR VIVEACONDICIO.FCO PLAST 400 ML"/>
    <s v="Vtas Unds"/>
    <n v="128"/>
    <n v="90"/>
    <n v="103"/>
    <n v="108"/>
    <n v="63"/>
    <n v="70"/>
    <n v="76"/>
    <n v="51"/>
    <n v="41"/>
    <n v="38"/>
    <n v="22"/>
    <n v="22"/>
    <n v="17"/>
    <n v="12"/>
    <n v="9"/>
    <n v="14"/>
    <n v="12"/>
    <n v="6"/>
    <n v="6"/>
    <n v="5"/>
    <n v="3"/>
    <n v="8"/>
    <n v="3"/>
    <n v="1"/>
    <n v="1"/>
    <n v="1"/>
    <n v="0"/>
    <n v="1"/>
    <n v="0"/>
    <n v="0"/>
    <n v="0"/>
    <n v="0"/>
    <n v="0"/>
    <n v="1"/>
    <n v="0"/>
    <n v="0"/>
    <n v="0"/>
  </r>
  <r>
    <s v="TOTAL URUGUAY"/>
    <s v="SH+AC (160+162)"/>
    <s v="L'OREAL"/>
    <x v="0"/>
    <s v="7506078947894"/>
    <x v="2"/>
    <s v="ELVIVE REPARACIONTOTAL 5 FCO.PL. 400 CC"/>
    <s v="Vtas Unds"/>
    <n v="117"/>
    <n v="83"/>
    <n v="85"/>
    <n v="103"/>
    <n v="69"/>
    <n v="81"/>
    <n v="98"/>
    <n v="58"/>
    <n v="43"/>
    <n v="36"/>
    <n v="27"/>
    <n v="12"/>
    <n v="29"/>
    <n v="14"/>
    <n v="23"/>
    <n v="13"/>
    <n v="10"/>
    <n v="11"/>
    <n v="17"/>
    <n v="6"/>
    <n v="9"/>
    <n v="18"/>
    <n v="8"/>
    <n v="4"/>
    <n v="4"/>
    <n v="2"/>
    <n v="1"/>
    <n v="0"/>
    <n v="0"/>
    <n v="1"/>
    <n v="1"/>
    <n v="0"/>
    <n v="0"/>
    <n v="0"/>
    <n v="0"/>
    <n v="0"/>
    <n v="0"/>
  </r>
  <r>
    <s v="TOTAL URUGUAY"/>
    <s v="SH+AC (160+162)"/>
    <s v="L'OREAL"/>
    <x v="0"/>
    <s v="7506078947900"/>
    <x v="2"/>
    <s v="ELVIVE REPARACIONTOTAL 5 ACONDICIO. 400 MLFCO.PLAST."/>
    <s v="Vtas Unds"/>
    <n v="79"/>
    <n v="60"/>
    <n v="52"/>
    <n v="67"/>
    <n v="44"/>
    <n v="39"/>
    <n v="62"/>
    <n v="23"/>
    <n v="25"/>
    <n v="18"/>
    <n v="8"/>
    <n v="7"/>
    <n v="12"/>
    <n v="2"/>
    <n v="7"/>
    <n v="4"/>
    <n v="7"/>
    <n v="7"/>
    <n v="5"/>
    <n v="1"/>
    <n v="1"/>
    <n v="4"/>
    <n v="0"/>
    <n v="0"/>
    <n v="0"/>
    <n v="0"/>
    <n v="0"/>
    <n v="1"/>
    <n v="0"/>
    <n v="0"/>
    <n v="0"/>
    <n v="0"/>
    <n v="0"/>
    <n v="0"/>
    <n v="0"/>
    <n v="0"/>
    <n v="0"/>
  </r>
  <r>
    <s v="TOTAL URUGUAY"/>
    <s v="SH+AC (160+162)"/>
    <s v="L'OREAL"/>
    <x v="0"/>
    <s v="7506078947917"/>
    <x v="2"/>
    <s v="ELVIVE REPARACION TOTAL 5 CREMA P/PEINAR . FCO PLAS 300 ML"/>
    <s v="Vtas Unds"/>
    <n v="181"/>
    <n v="117"/>
    <n v="149"/>
    <n v="187"/>
    <n v="163"/>
    <n v="199"/>
    <n v="228"/>
    <n v="331"/>
    <n v="182"/>
    <n v="153"/>
    <n v="89"/>
    <n v="82"/>
    <n v="136"/>
    <n v="71"/>
    <n v="91"/>
    <n v="91"/>
    <n v="106"/>
    <n v="90.875900000000001"/>
    <n v="218.64660000000001"/>
    <n v="213"/>
    <n v="222"/>
    <n v="285"/>
    <n v="119"/>
    <n v="117"/>
    <n v="210"/>
    <n v="151"/>
    <n v="124"/>
    <n v="169"/>
    <n v="178"/>
    <n v="161"/>
    <n v="212"/>
    <n v="197"/>
    <n v="180"/>
    <n v="190"/>
    <n v="154"/>
    <n v="93"/>
    <n v="231"/>
  </r>
  <r>
    <s v="TOTAL URUGUAY"/>
    <s v="SH+AC (160+162)"/>
    <s v="L'OREAL"/>
    <x v="0"/>
    <s v="7506078959033"/>
    <x v="7"/>
    <s v="ELVIVE COLOR VIVEFCO.PL. 200 CC"/>
    <s v="Vtas Unds"/>
    <n v="656"/>
    <n v="537"/>
    <n v="647"/>
    <n v="824"/>
    <n v="628"/>
    <n v="716"/>
    <n v="1013"/>
    <n v="933"/>
    <n v="773"/>
    <n v="1011"/>
    <n v="594"/>
    <n v="509"/>
    <n v="544"/>
    <n v="319.3947"/>
    <n v="536"/>
    <n v="547"/>
    <n v="479"/>
    <n v="496.84719999999999"/>
    <n v="796.26969999999994"/>
    <n v="530"/>
    <n v="638"/>
    <n v="367"/>
    <n v="177"/>
    <n v="204"/>
    <n v="146"/>
    <n v="77"/>
    <n v="60"/>
    <n v="53"/>
    <n v="33"/>
    <n v="38"/>
    <n v="41"/>
    <n v="28"/>
    <n v="23"/>
    <n v="37"/>
    <n v="30"/>
    <n v="11"/>
    <n v="35"/>
  </r>
  <r>
    <s v="TOTAL URUGUAY"/>
    <s v="SH+AC (160+162)"/>
    <s v="L'OREAL"/>
    <x v="0"/>
    <s v="7506078959057"/>
    <x v="2"/>
    <s v="ELVIVE REPARACIONTOTAL 5 CAB.DANADO 200 CCFCO.PLAST."/>
    <s v="Vtas Unds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</r>
  <r>
    <s v="TOTAL URUGUAY"/>
    <s v="SH+AC (160+162)"/>
    <s v="L'OREAL"/>
    <x v="0"/>
    <s v="7509552193831"/>
    <x v="2"/>
    <s v="ELVIVE REPARACION TOTAL 5 FCO.PLAST. 200 CC"/>
    <s v="Vtas Unds"/>
    <n v="471"/>
    <n v="462"/>
    <n v="459"/>
    <n v="574"/>
    <n v="520"/>
    <n v="603"/>
    <n v="883"/>
    <n v="713"/>
    <n v="588.23710000000005"/>
    <n v="859"/>
    <n v="572"/>
    <n v="503"/>
    <n v="724"/>
    <n v="404.3947"/>
    <n v="612"/>
    <n v="494"/>
    <n v="425"/>
    <n v="397.9228"/>
    <n v="773.01840000000004"/>
    <n v="659"/>
    <n v="632"/>
    <n v="672"/>
    <n v="353"/>
    <n v="374"/>
    <n v="624"/>
    <n v="322"/>
    <n v="244"/>
    <n v="204"/>
    <n v="175"/>
    <n v="70"/>
    <n v="100"/>
    <n v="60"/>
    <n v="56"/>
    <n v="54"/>
    <n v="56"/>
    <n v="34"/>
    <n v="45"/>
  </r>
  <r>
    <s v="TOTAL URUGUAY"/>
    <s v="SH+AC (160+162)"/>
    <s v="L'OREAL"/>
    <x v="0"/>
    <s v="7509552193848"/>
    <x v="4"/>
    <s v="ELVIVE CAIDA RESIST FCO.PL. 200 ML"/>
    <s v="Vtas Unds"/>
    <n v="1"/>
    <n v="1"/>
    <n v="1"/>
    <n v="2"/>
    <n v="0"/>
    <n v="0"/>
    <n v="0"/>
    <n v="1"/>
    <n v="1"/>
    <n v="3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791389"/>
    <x v="8"/>
    <s v="ELVIVE SHAMPOO PURIFICANTE ARCILLA EXT 200 ML"/>
    <s v="Vtas Unds"/>
    <n v="0"/>
    <n v="0"/>
    <n v="0"/>
    <n v="0"/>
    <n v="0"/>
    <n v="0"/>
    <n v="0"/>
    <n v="0"/>
    <n v="0"/>
    <n v="0"/>
    <n v="39"/>
    <n v="34"/>
    <n v="67"/>
    <n v="55"/>
    <n v="72"/>
    <n v="88"/>
    <n v="61"/>
    <n v="63"/>
    <n v="116"/>
    <n v="113"/>
    <n v="103"/>
    <n v="106"/>
    <n v="86"/>
    <n v="71"/>
    <n v="98"/>
    <n v="58"/>
    <n v="63"/>
    <n v="75"/>
    <n v="84"/>
    <n v="75"/>
    <n v="90"/>
    <n v="88"/>
    <n v="17"/>
    <n v="8"/>
    <n v="3"/>
    <n v="1"/>
    <n v="0"/>
  </r>
  <r>
    <s v="TOTAL URUGUAY"/>
    <s v="SH+AC (160+162)"/>
    <s v="L'OREAL"/>
    <x v="0"/>
    <s v="7509552791396"/>
    <x v="8"/>
    <s v="ELVIVE ACONDICIONADOR ARCILLA EXTRAORD FCO 200 ML"/>
    <s v="Vtas Unds"/>
    <n v="0"/>
    <n v="0"/>
    <n v="0"/>
    <n v="0"/>
    <n v="0"/>
    <n v="0"/>
    <n v="0"/>
    <n v="0"/>
    <n v="0"/>
    <n v="0"/>
    <n v="31"/>
    <n v="29"/>
    <n v="24"/>
    <n v="35.3947"/>
    <n v="20"/>
    <n v="35"/>
    <n v="35"/>
    <n v="41"/>
    <n v="91"/>
    <n v="86"/>
    <n v="74"/>
    <n v="69"/>
    <n v="45"/>
    <n v="33"/>
    <n v="39"/>
    <n v="13"/>
    <n v="19"/>
    <n v="36"/>
    <n v="32"/>
    <n v="25"/>
    <n v="10"/>
    <n v="8"/>
    <n v="4"/>
    <n v="3"/>
    <n v="10"/>
    <n v="4"/>
    <n v="5"/>
  </r>
  <r>
    <s v="TOTAL URUGUAY"/>
    <s v="SH+AC (160+162)"/>
    <s v="L'OREAL"/>
    <x v="0"/>
    <s v="7509552791457"/>
    <x v="9"/>
    <s v="ELVIVE O.EXTRAORD NUTR UNIV 20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</r>
  <r>
    <s v="TOTAL URUGUAY"/>
    <s v="SH+AC (160+162)"/>
    <s v="L'OREAL"/>
    <x v="0"/>
    <s v="7509552791860"/>
    <x v="1"/>
    <s v="ELVIVE OLEO EXTR.NUT.INTENS COCO CAB.SECO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42"/>
    <n v="98"/>
    <n v="140"/>
    <n v="212"/>
    <n v="215"/>
    <n v="80"/>
    <n v="102"/>
    <n v="47"/>
    <n v="47"/>
    <n v="73"/>
  </r>
  <r>
    <s v="TOTAL URUGUAY"/>
    <s v="SH+AC (160+162)"/>
    <s v="L'OREAL"/>
    <x v="0"/>
    <s v="7509552800135"/>
    <x v="10"/>
    <s v="ELVIVE ARCILLA PURIFICANTE FCO.PLAST 200ML"/>
    <s v="Vtas Unds"/>
    <n v="127"/>
    <n v="88.154700000000005"/>
    <n v="89"/>
    <n v="132"/>
    <n v="74"/>
    <n v="95"/>
    <n v="127"/>
    <n v="142"/>
    <n v="109.4743"/>
    <n v="133"/>
    <n v="47"/>
    <n v="22"/>
    <n v="21"/>
    <n v="18"/>
    <n v="19"/>
    <n v="21"/>
    <n v="5"/>
    <n v="12"/>
    <n v="18"/>
    <n v="12"/>
    <n v="9"/>
    <n v="16"/>
    <n v="8"/>
    <n v="8"/>
    <n v="15"/>
    <n v="9"/>
    <n v="3"/>
    <n v="1"/>
    <n v="1"/>
    <n v="0"/>
    <n v="1"/>
    <n v="0"/>
    <n v="0"/>
    <n v="0"/>
    <n v="0"/>
    <n v="0"/>
    <n v="0"/>
  </r>
  <r>
    <s v="TOTAL URUGUAY"/>
    <s v="SH+AC (160+162)"/>
    <s v="L'OREAL"/>
    <x v="0"/>
    <s v="7509552800371"/>
    <x v="10"/>
    <s v="ELVIVE ARCILLA PURIFICANTE ACOND. FCO.PLAST. 200 ML"/>
    <s v="Vtas Unds"/>
    <n v="101"/>
    <n v="64"/>
    <n v="86"/>
    <n v="91"/>
    <n v="61"/>
    <n v="69"/>
    <n v="102"/>
    <n v="83"/>
    <n v="68"/>
    <n v="85"/>
    <n v="34"/>
    <n v="18"/>
    <n v="38"/>
    <n v="22"/>
    <n v="24"/>
    <n v="16"/>
    <n v="19"/>
    <n v="7"/>
    <n v="12"/>
    <n v="6"/>
    <n v="6"/>
    <n v="3"/>
    <n v="4"/>
    <n v="5"/>
    <n v="1"/>
    <n v="3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815047"/>
    <x v="7"/>
    <s v="ELVIVE COLORVIVE SH MATIZADOR ADU. REG. FCO 200ML 1UN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0"/>
    <n v="25"/>
    <n v="23"/>
    <n v="11"/>
    <n v="10"/>
    <n v="214"/>
    <n v="279"/>
    <n v="65"/>
    <n v="35"/>
    <n v="12"/>
    <n v="5"/>
    <n v="7"/>
    <n v="40"/>
  </r>
  <r>
    <s v="TOTAL URUGUAY"/>
    <s v="SH+AC (160+162)"/>
    <s v="L'OREAL"/>
    <x v="0"/>
    <s v="7509552816334"/>
    <x v="1"/>
    <s v="ELVIVE LOREAL OLEO EXTRAORD C/PEI NUT INTEN FCO PLAST300 ML"/>
    <s v="Vtas Unds"/>
    <n v="80"/>
    <n v="69"/>
    <n v="84"/>
    <n v="114"/>
    <n v="81"/>
    <n v="103"/>
    <n v="191"/>
    <n v="179"/>
    <n v="131"/>
    <n v="117"/>
    <n v="64"/>
    <n v="63"/>
    <n v="111.21769999999999"/>
    <n v="65.3947"/>
    <n v="98"/>
    <n v="75"/>
    <n v="73"/>
    <n v="72.853700000000003"/>
    <n v="155.11869999999999"/>
    <n v="133"/>
    <n v="124"/>
    <n v="133"/>
    <n v="55"/>
    <n v="52"/>
    <n v="71"/>
    <n v="39"/>
    <n v="46"/>
    <n v="43"/>
    <n v="61"/>
    <n v="54"/>
    <n v="110"/>
    <n v="114"/>
    <n v="148"/>
    <n v="120"/>
    <n v="59"/>
    <n v="77"/>
    <n v="130"/>
  </r>
  <r>
    <s v="TOTAL URUGUAY"/>
    <s v="SH+AC (160+162)"/>
    <s v="L'OREAL"/>
    <x v="0"/>
    <s v="7509552817348"/>
    <x v="2"/>
    <s v="ELVIVE REPARACION TOTAL 5 SH.CICA REPAIR FCO.PL.680ML"/>
    <s v="Vtas Unds"/>
    <n v="62"/>
    <n v="29"/>
    <n v="47"/>
    <n v="80"/>
    <n v="22"/>
    <n v="90"/>
    <n v="100"/>
    <n v="115"/>
    <n v="46"/>
    <n v="65"/>
    <n v="44"/>
    <n v="49"/>
    <n v="128"/>
    <n v="62"/>
    <n v="105"/>
    <n v="47"/>
    <n v="81"/>
    <n v="58"/>
    <n v="118.51220000000001"/>
    <n v="54"/>
    <n v="50"/>
    <n v="60"/>
    <n v="39"/>
    <n v="41"/>
    <n v="97"/>
    <n v="47"/>
    <n v="34"/>
    <n v="35"/>
    <n v="146"/>
    <n v="48"/>
    <n v="98"/>
    <n v="52"/>
    <n v="63"/>
    <n v="67"/>
    <n v="65"/>
    <n v="59"/>
    <n v="144"/>
  </r>
  <r>
    <s v="TOTAL URUGUAY"/>
    <s v="SH+AC (160+162)"/>
    <s v="L'OREAL"/>
    <x v="0"/>
    <s v="7509552817393"/>
    <x v="7"/>
    <s v="ELVIVE COLOR VIVE SH. PROTECTOR FCO. PL. 680ML"/>
    <s v="Vtas Unds"/>
    <n v="76"/>
    <n v="56"/>
    <n v="72"/>
    <n v="109"/>
    <n v="50"/>
    <n v="74"/>
    <n v="166"/>
    <n v="107"/>
    <n v="76"/>
    <n v="78"/>
    <n v="44"/>
    <n v="54"/>
    <n v="79"/>
    <n v="36"/>
    <n v="42"/>
    <n v="50"/>
    <n v="65"/>
    <n v="34"/>
    <n v="70.5685"/>
    <n v="53"/>
    <n v="40"/>
    <n v="39"/>
    <n v="40"/>
    <n v="40"/>
    <n v="70"/>
    <n v="50"/>
    <n v="40"/>
    <n v="53"/>
    <n v="100"/>
    <n v="37"/>
    <n v="109"/>
    <n v="67"/>
    <n v="52"/>
    <n v="62"/>
    <n v="42"/>
    <n v="43"/>
    <n v="88"/>
  </r>
  <r>
    <s v="TOTAL URUGUAY"/>
    <s v="SH+AC (160+162)"/>
    <s v="L'OREAL"/>
    <x v="0"/>
    <s v="7509552817416"/>
    <x v="1"/>
    <s v="ELVIVE OLEO EXTRAO. SH.NUTRIC.-BRI-SUAVCAB.SECO F.PL. 680ML"/>
    <s v="Vtas Unds"/>
    <n v="31"/>
    <n v="24"/>
    <n v="41"/>
    <n v="45"/>
    <n v="36"/>
    <n v="44"/>
    <n v="64"/>
    <n v="51"/>
    <n v="34"/>
    <n v="64"/>
    <n v="42"/>
    <n v="38"/>
    <n v="68"/>
    <n v="40"/>
    <n v="50"/>
    <n v="43"/>
    <n v="41"/>
    <n v="26"/>
    <n v="56.573900000000002"/>
    <n v="42"/>
    <n v="36"/>
    <n v="36"/>
    <n v="26"/>
    <n v="29"/>
    <n v="43"/>
    <n v="33"/>
    <n v="30"/>
    <n v="41"/>
    <n v="69"/>
    <n v="25"/>
    <n v="88"/>
    <n v="47"/>
    <n v="52"/>
    <n v="55"/>
    <n v="75"/>
    <n v="75"/>
    <n v="171"/>
  </r>
  <r>
    <s v="TOTAL URUGUAY"/>
    <s v="SH+AC (160+162)"/>
    <s v="L'OREAL"/>
    <x v="0"/>
    <s v="7509552817430"/>
    <x v="10"/>
    <s v="ELVIVE ARCILLA PURIFICANTE SH FCO. PL. 680ML"/>
    <s v="Vtas Unds"/>
    <n v="44"/>
    <n v="19"/>
    <n v="31"/>
    <n v="35"/>
    <n v="18"/>
    <n v="21"/>
    <n v="31"/>
    <n v="23"/>
    <n v="14"/>
    <n v="30"/>
    <n v="13"/>
    <n v="19"/>
    <n v="26"/>
    <n v="9"/>
    <n v="26"/>
    <n v="17"/>
    <n v="20"/>
    <n v="16"/>
    <n v="28"/>
    <n v="15"/>
    <n v="12"/>
    <n v="13"/>
    <n v="22"/>
    <n v="14"/>
    <n v="25"/>
    <n v="7"/>
    <n v="9"/>
    <n v="4"/>
    <n v="9"/>
    <n v="6"/>
    <n v="3"/>
    <n v="0"/>
    <n v="0"/>
    <n v="0"/>
    <n v="0"/>
    <n v="0"/>
    <n v="0"/>
  </r>
  <r>
    <s v="TOTAL URUGUAY"/>
    <s v="SH+AC (160+162)"/>
    <s v="L'OREAL"/>
    <x v="0"/>
    <s v="7509552821789"/>
    <x v="11"/>
    <s v="ELVIVE HID NOCTURNA TRAT FCO 200 GR"/>
    <s v="Vtas Unds"/>
    <n v="0"/>
    <n v="0"/>
    <n v="0"/>
    <n v="0"/>
    <n v="0"/>
    <n v="46"/>
    <n v="489"/>
    <n v="869"/>
    <n v="609"/>
    <n v="616"/>
    <n v="314"/>
    <n v="261"/>
    <n v="374"/>
    <n v="216.19739999999999"/>
    <n v="282"/>
    <n v="210"/>
    <n v="268"/>
    <n v="170.90950000000001"/>
    <n v="331.11869999999999"/>
    <n v="273"/>
    <n v="316"/>
    <n v="431"/>
    <n v="269"/>
    <n v="214"/>
    <n v="410"/>
    <n v="202"/>
    <n v="206"/>
    <n v="291"/>
    <n v="261"/>
    <n v="157"/>
    <n v="301"/>
    <n v="293"/>
    <n v="215"/>
    <n v="293"/>
    <n v="208"/>
    <n v="225"/>
    <n v="414"/>
  </r>
  <r>
    <s v="TOTAL URUGUAY"/>
    <s v="SH+AC (160+162)"/>
    <s v="L'OREAL"/>
    <x v="0"/>
    <s v="7509552836509"/>
    <x v="12"/>
    <s v="ELVIVE DREAM LONG CABELLO LARGO DANADO FCO.PL.400ML"/>
    <s v="Vtas Unds"/>
    <n v="64"/>
    <n v="45"/>
    <n v="52"/>
    <n v="85"/>
    <n v="59"/>
    <n v="71"/>
    <n v="92"/>
    <n v="67"/>
    <n v="56"/>
    <n v="61"/>
    <n v="40"/>
    <n v="28"/>
    <n v="41"/>
    <n v="22"/>
    <n v="31"/>
    <n v="13"/>
    <n v="27"/>
    <n v="20"/>
    <n v="25.5062"/>
    <n v="14"/>
    <n v="27"/>
    <n v="22"/>
    <n v="24"/>
    <n v="5"/>
    <n v="16"/>
    <n v="5"/>
    <n v="5"/>
    <n v="3"/>
    <n v="0"/>
    <n v="1"/>
    <n v="1"/>
    <n v="0"/>
    <n v="0"/>
    <n v="0"/>
    <n v="0"/>
    <n v="0"/>
    <n v="0"/>
  </r>
  <r>
    <s v="TOTAL URUGUAY"/>
    <s v="SH+AC (160+162)"/>
    <s v="L'OREAL"/>
    <x v="0"/>
    <s v="7509552836554"/>
    <x v="12"/>
    <s v="ELVIVE DREAM LONG CABELLO LARGO DANADO ACO. FCO. 200ML"/>
    <s v="Vtas Unds"/>
    <n v="87"/>
    <n v="65"/>
    <n v="63"/>
    <n v="99"/>
    <n v="59"/>
    <n v="59"/>
    <n v="122"/>
    <n v="111"/>
    <n v="63"/>
    <n v="82"/>
    <n v="54"/>
    <n v="44"/>
    <n v="72"/>
    <n v="55.197400000000002"/>
    <n v="85"/>
    <n v="67"/>
    <n v="68"/>
    <n v="79"/>
    <n v="121.2531"/>
    <n v="125"/>
    <n v="141"/>
    <n v="102"/>
    <n v="59"/>
    <n v="73"/>
    <n v="124"/>
    <n v="55"/>
    <n v="69"/>
    <n v="111"/>
    <n v="94"/>
    <n v="74"/>
    <n v="133"/>
    <n v="151"/>
    <n v="31"/>
    <n v="13"/>
    <n v="17"/>
    <n v="1"/>
    <n v="4"/>
  </r>
  <r>
    <s v="TOTAL URUGUAY"/>
    <s v="SH+AC (160+162)"/>
    <s v="L'OREAL"/>
    <x v="0"/>
    <s v="7509552836561"/>
    <x v="12"/>
    <s v="ELVIVE DREAM LONG AC.DESENREDANTE FCO.PL. 400ML"/>
    <s v="Vtas Unds"/>
    <n v="62"/>
    <n v="53"/>
    <n v="63"/>
    <n v="101"/>
    <n v="54"/>
    <n v="76"/>
    <n v="88"/>
    <n v="53"/>
    <n v="47"/>
    <n v="61"/>
    <n v="42"/>
    <n v="22"/>
    <n v="25"/>
    <n v="11"/>
    <n v="13"/>
    <n v="9"/>
    <n v="11"/>
    <n v="7"/>
    <n v="6"/>
    <n v="4"/>
    <n v="2"/>
    <n v="1"/>
    <n v="0"/>
    <n v="2"/>
    <n v="1"/>
    <n v="0"/>
    <n v="0"/>
    <n v="1"/>
    <n v="0"/>
    <n v="0"/>
    <n v="1"/>
    <n v="1"/>
    <n v="0"/>
    <n v="0"/>
    <n v="1"/>
    <n v="0"/>
    <n v="0"/>
  </r>
  <r>
    <s v="TOTAL URUGUAY"/>
    <s v="SH+AC (160+162)"/>
    <s v="L'OREAL"/>
    <x v="0"/>
    <s v="7509552836585"/>
    <x v="12"/>
    <s v="ELVIVE DREAM LONG RECONSTRUCTOR FCO PL 200ML"/>
    <s v="Vtas Unds"/>
    <n v="79"/>
    <n v="53"/>
    <n v="57"/>
    <n v="71"/>
    <n v="56"/>
    <n v="61"/>
    <n v="91"/>
    <n v="95"/>
    <n v="81"/>
    <n v="100"/>
    <n v="52"/>
    <n v="62"/>
    <n v="77"/>
    <n v="58.197400000000002"/>
    <n v="84"/>
    <n v="76"/>
    <n v="82"/>
    <n v="104.90949999999999"/>
    <n v="82"/>
    <n v="32"/>
    <n v="57"/>
    <n v="66"/>
    <n v="40"/>
    <n v="31"/>
    <n v="46"/>
    <n v="22"/>
    <n v="24"/>
    <n v="21"/>
    <n v="25"/>
    <n v="20"/>
    <n v="36"/>
    <n v="12"/>
    <n v="13"/>
    <n v="17"/>
    <n v="11"/>
    <n v="3"/>
    <n v="8"/>
  </r>
  <r>
    <s v="TOTAL URUGUAY"/>
    <s v="SH+AC (160+162)"/>
    <s v="L'OREAL"/>
    <x v="0"/>
    <s v="7509552836677"/>
    <x v="12"/>
    <s v="ELVIVE DREAM LONG CABELLO LARGO DANADO CREM P/PEI F.P.300ML"/>
    <s v="Vtas Unds"/>
    <n v="21"/>
    <n v="16"/>
    <n v="17"/>
    <n v="30"/>
    <n v="15"/>
    <n v="16"/>
    <n v="46"/>
    <n v="69"/>
    <n v="31"/>
    <n v="33"/>
    <n v="26"/>
    <n v="132"/>
    <n v="53"/>
    <n v="20"/>
    <n v="28"/>
    <n v="31"/>
    <n v="29"/>
    <n v="26.8857"/>
    <n v="60.118699999999997"/>
    <n v="29"/>
    <n v="78"/>
    <n v="71"/>
    <n v="34"/>
    <n v="55"/>
    <n v="52"/>
    <n v="33"/>
    <n v="49"/>
    <n v="36"/>
    <n v="33"/>
    <n v="53"/>
    <n v="129"/>
    <n v="73"/>
    <n v="52"/>
    <n v="41"/>
    <n v="19"/>
    <n v="27"/>
    <n v="14"/>
  </r>
  <r>
    <s v="TOTAL URUGUAY"/>
    <s v="SH+AC (160+162)"/>
    <s v="L'OREAL"/>
    <x v="0"/>
    <s v="7509552838879"/>
    <x v="12"/>
    <s v="ELVIVE DREAM LONG SH.CABELLO LARGO DANADO POMO 200ML"/>
    <s v="Vtas Unds"/>
    <n v="14"/>
    <n v="6"/>
    <n v="3"/>
    <n v="2"/>
    <n v="4"/>
    <n v="1"/>
    <n v="0"/>
    <n v="0"/>
    <n v="0"/>
    <n v="0"/>
    <n v="0"/>
    <n v="1"/>
    <n v="0"/>
    <n v="0"/>
    <n v="0"/>
    <n v="0"/>
    <n v="0"/>
    <n v="66.667299999999997"/>
    <n v="9"/>
    <n v="3"/>
    <n v="6"/>
    <n v="0"/>
    <n v="9"/>
    <n v="6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838947"/>
    <x v="12"/>
    <s v="ELVIVE DREAM LONG AC.CABELLO LARGO DANADO POM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7"/>
    <n v="1"/>
    <n v="0"/>
    <n v="0"/>
    <n v="0"/>
    <n v="0"/>
    <n v="3"/>
    <n v="1"/>
    <n v="0"/>
    <n v="0"/>
    <n v="0"/>
    <n v="0"/>
    <n v="0"/>
    <n v="0"/>
    <n v="0"/>
    <n v="0"/>
    <n v="0"/>
  </r>
  <r>
    <s v="TOTAL URUGUAY"/>
    <s v="SH+AC (160+162)"/>
    <s v="L'OREAL"/>
    <x v="0"/>
    <s v="7509552840353"/>
    <x v="13"/>
    <s v="ELVIVE OLEO EXTRAOR. OLEO COCO ACO.NUTR.INT.F.P.200ML"/>
    <s v="Vtas Unds"/>
    <n v="225"/>
    <n v="197"/>
    <n v="208"/>
    <n v="233"/>
    <n v="155"/>
    <n v="196"/>
    <n v="327"/>
    <n v="301.14210000000003"/>
    <n v="240"/>
    <n v="300"/>
    <n v="176"/>
    <n v="189"/>
    <n v="273"/>
    <n v="152.19739999999999"/>
    <n v="326"/>
    <n v="224"/>
    <n v="173"/>
    <n v="159"/>
    <n v="322.68729999999999"/>
    <n v="255"/>
    <n v="302"/>
    <n v="289"/>
    <n v="168"/>
    <n v="171"/>
    <n v="230"/>
    <n v="166"/>
    <n v="164"/>
    <n v="211"/>
    <n v="292"/>
    <n v="287"/>
    <n v="414"/>
    <n v="416"/>
    <n v="272"/>
    <n v="1171"/>
    <n v="274"/>
    <n v="229"/>
    <n v="779"/>
  </r>
  <r>
    <s v="TOTAL URUGUAY"/>
    <s v="SH+AC (160+162)"/>
    <s v="L'OREAL"/>
    <x v="0"/>
    <s v="7509552843019"/>
    <x v="0"/>
    <s v="ELVIVE DREAM LONG LISS ANTIFRIZZ FCO 200ML"/>
    <s v="Vtas Unds"/>
    <n v="147"/>
    <n v="108"/>
    <n v="105"/>
    <n v="127"/>
    <n v="55"/>
    <n v="56"/>
    <n v="154"/>
    <n v="40"/>
    <n v="22"/>
    <n v="11"/>
    <n v="8"/>
    <n v="0"/>
    <n v="11"/>
    <n v="6"/>
    <n v="2"/>
    <n v="2"/>
    <n v="4"/>
    <n v="1"/>
    <n v="4"/>
    <n v="1"/>
    <n v="2"/>
    <n v="1"/>
    <n v="1"/>
    <n v="1"/>
    <n v="0"/>
    <n v="0"/>
    <n v="0"/>
    <n v="0"/>
    <n v="1"/>
    <n v="1"/>
    <n v="0"/>
    <n v="0"/>
    <n v="1"/>
    <n v="7"/>
    <n v="3"/>
    <n v="0"/>
    <n v="0"/>
  </r>
  <r>
    <s v="TOTAL URUGUAY"/>
    <s v="SH+AC (160+162)"/>
    <s v="L'OREAL"/>
    <x v="0"/>
    <s v="7509552843026"/>
    <x v="0"/>
    <s v="ELVIVE DREAM LONG LISS SH ANTIFRIZZ FCO400ML"/>
    <s v="Vtas Unds"/>
    <n v="97"/>
    <n v="71"/>
    <n v="93"/>
    <n v="102"/>
    <n v="63"/>
    <n v="64"/>
    <n v="93"/>
    <n v="62"/>
    <n v="42"/>
    <n v="63"/>
    <n v="30"/>
    <n v="27"/>
    <n v="23"/>
    <n v="11"/>
    <n v="16"/>
    <n v="24"/>
    <n v="13"/>
    <n v="7"/>
    <n v="14"/>
    <n v="9"/>
    <n v="12"/>
    <n v="16"/>
    <n v="13"/>
    <n v="2"/>
    <n v="2"/>
    <n v="4"/>
    <n v="0"/>
    <n v="5"/>
    <n v="2"/>
    <n v="0"/>
    <n v="0"/>
    <n v="0"/>
    <n v="0"/>
    <n v="0"/>
    <n v="0"/>
    <n v="0"/>
    <n v="0"/>
  </r>
  <r>
    <s v="TOTAL URUGUAY"/>
    <s v="SH+AC (160+162)"/>
    <s v="L'OREAL"/>
    <x v="0"/>
    <s v="7509552843040"/>
    <x v="0"/>
    <s v="ELVIVE DREAM LONG LISS ACO ANTIFRIZZ FCO200ML"/>
    <s v="Vtas Unds"/>
    <n v="7"/>
    <n v="4"/>
    <n v="6"/>
    <n v="5"/>
    <n v="6"/>
    <n v="5"/>
    <n v="12"/>
    <n v="2"/>
    <n v="0"/>
    <n v="0"/>
    <n v="1"/>
    <n v="0"/>
    <n v="0"/>
    <n v="0"/>
    <n v="0"/>
    <n v="0"/>
    <n v="1"/>
    <n v="0"/>
    <n v="0"/>
    <n v="0"/>
    <n v="1"/>
    <n v="0"/>
    <n v="0"/>
    <n v="0"/>
    <n v="1"/>
    <n v="0"/>
    <n v="0"/>
    <n v="0"/>
    <n v="1"/>
    <n v="0"/>
    <n v="0"/>
    <n v="1"/>
    <n v="0"/>
    <n v="0"/>
    <n v="0"/>
    <n v="0"/>
    <n v="0"/>
  </r>
  <r>
    <s v="TOTAL URUGUAY"/>
    <s v="SH+AC (160+162)"/>
    <s v="L'OREAL"/>
    <x v="0"/>
    <s v="7509552843057"/>
    <x v="0"/>
    <s v="ELVIVE DREAM LONG LISS ACO ANTIFRIZZ FCO400ML"/>
    <s v="Vtas Unds"/>
    <n v="95"/>
    <n v="49"/>
    <n v="86"/>
    <n v="84"/>
    <n v="59"/>
    <n v="69"/>
    <n v="117"/>
    <n v="57"/>
    <n v="41"/>
    <n v="60"/>
    <n v="35"/>
    <n v="30"/>
    <n v="44"/>
    <n v="19"/>
    <n v="31"/>
    <n v="22"/>
    <n v="22"/>
    <n v="26"/>
    <n v="23"/>
    <n v="16"/>
    <n v="13"/>
    <n v="13"/>
    <n v="20"/>
    <n v="2"/>
    <n v="5"/>
    <n v="1"/>
    <n v="2"/>
    <n v="3"/>
    <n v="0"/>
    <n v="0"/>
    <n v="1"/>
    <n v="0"/>
    <n v="0"/>
    <n v="0"/>
    <n v="0"/>
    <n v="0"/>
    <n v="0"/>
  </r>
  <r>
    <s v="TOTAL URUGUAY"/>
    <s v="SH+AC (160+162)"/>
    <s v="L'OREAL"/>
    <x v="0"/>
    <s v="7509552843071"/>
    <x v="0"/>
    <s v="ELVIVE DREAM LONG LISS FCO 200ML"/>
    <s v="Vtas Unds"/>
    <n v="0"/>
    <n v="0"/>
    <n v="0"/>
    <n v="7"/>
    <n v="43"/>
    <n v="47"/>
    <n v="83"/>
    <n v="88"/>
    <n v="79"/>
    <n v="90"/>
    <n v="82"/>
    <n v="64"/>
    <n v="93"/>
    <n v="45"/>
    <n v="90"/>
    <n v="53"/>
    <n v="46"/>
    <n v="49.930199999999999"/>
    <n v="152.11869999999999"/>
    <n v="138"/>
    <n v="140"/>
    <n v="124"/>
    <n v="63"/>
    <n v="69"/>
    <n v="194"/>
    <n v="106"/>
    <n v="105"/>
    <n v="86"/>
    <n v="50"/>
    <n v="32"/>
    <n v="86"/>
    <n v="80"/>
    <n v="71"/>
    <n v="22"/>
    <n v="5"/>
    <n v="4"/>
    <n v="1"/>
  </r>
  <r>
    <s v="TOTAL URUGUAY"/>
    <s v="SH+AC (160+162)"/>
    <s v="L'OREAL"/>
    <x v="0"/>
    <s v="7509552843101"/>
    <x v="0"/>
    <s v="ELVIVE ACOND DREAM LONG LISS FCO 200ML"/>
    <s v="Vtas Unds"/>
    <n v="113"/>
    <n v="97"/>
    <n v="124"/>
    <n v="147"/>
    <n v="99"/>
    <n v="80"/>
    <n v="155"/>
    <n v="128"/>
    <n v="104"/>
    <n v="124"/>
    <n v="89"/>
    <n v="65"/>
    <n v="104"/>
    <n v="66"/>
    <n v="110"/>
    <n v="75"/>
    <n v="59"/>
    <n v="68.909499999999994"/>
    <n v="178.37180000000001"/>
    <n v="136"/>
    <n v="147"/>
    <n v="117"/>
    <n v="84"/>
    <n v="89"/>
    <n v="153"/>
    <n v="96"/>
    <n v="85"/>
    <n v="132"/>
    <n v="147"/>
    <n v="127"/>
    <n v="177"/>
    <n v="165"/>
    <n v="84"/>
    <n v="53"/>
    <n v="29"/>
    <n v="28"/>
    <n v="18"/>
  </r>
  <r>
    <s v="TOTAL URUGUAY"/>
    <s v="SH+AC (160+162)"/>
    <s v="L'OREAL"/>
    <x v="0"/>
    <s v="7509552843132"/>
    <x v="7"/>
    <s v="ELVIVE SHAMPOO PURPLE FCO 200 ML"/>
    <s v="Vtas Unds"/>
    <n v="0"/>
    <n v="0"/>
    <n v="0"/>
    <n v="0"/>
    <n v="0"/>
    <n v="0"/>
    <n v="500"/>
    <n v="420"/>
    <n v="408"/>
    <n v="594"/>
    <n v="497"/>
    <n v="380"/>
    <n v="558"/>
    <n v="335.19740000000002"/>
    <n v="379"/>
    <n v="626"/>
    <n v="587"/>
    <n v="571.54430000000002"/>
    <n v="1221.4081000000001"/>
    <n v="713"/>
    <n v="574"/>
    <n v="714"/>
    <n v="334"/>
    <n v="302"/>
    <n v="735"/>
    <n v="583"/>
    <n v="502"/>
    <n v="485"/>
    <n v="355"/>
    <n v="364"/>
    <n v="564"/>
    <n v="362"/>
    <n v="534"/>
    <n v="641"/>
    <n v="473"/>
    <n v="418"/>
    <n v="371"/>
  </r>
  <r>
    <s v="TOTAL URUGUAY"/>
    <s v="SH+AC (160+162)"/>
    <s v="L'OREAL"/>
    <x v="0"/>
    <s v="7509552843149"/>
    <x v="7"/>
    <s v="ELVIVE AC. TRAT. COLORVIVE MATIZADOR FCO 150 ML"/>
    <s v="Vtas Unds"/>
    <n v="0"/>
    <n v="0"/>
    <n v="0"/>
    <n v="16"/>
    <n v="169"/>
    <n v="235"/>
    <n v="435"/>
    <n v="315"/>
    <n v="332"/>
    <n v="382"/>
    <n v="253"/>
    <n v="198"/>
    <n v="326"/>
    <n v="209.3947"/>
    <n v="273"/>
    <n v="286"/>
    <n v="316"/>
    <n v="252.96639999999999"/>
    <n v="606.23040000000003"/>
    <n v="336"/>
    <n v="286"/>
    <n v="359"/>
    <n v="233"/>
    <n v="255"/>
    <n v="434"/>
    <n v="326"/>
    <n v="334"/>
    <n v="416"/>
    <n v="314"/>
    <n v="301"/>
    <n v="576"/>
    <n v="389"/>
    <n v="341"/>
    <n v="409"/>
    <n v="346"/>
    <n v="278"/>
    <n v="332"/>
  </r>
  <r>
    <s v="TOTAL URUGUAY"/>
    <s v="SH+AC (160+162)"/>
    <s v="L'OREAL"/>
    <x v="0"/>
    <s v="7509552843729"/>
    <x v="0"/>
    <s v="ELVIVE DREAM LONG LISS ANTIFRIZZ CR./PEINAR FCO 300ML"/>
    <s v="Vtas Unds"/>
    <n v="60"/>
    <n v="47"/>
    <n v="52"/>
    <n v="78"/>
    <n v="64"/>
    <n v="102"/>
    <n v="187"/>
    <n v="205"/>
    <n v="107"/>
    <n v="131"/>
    <n v="102"/>
    <n v="89"/>
    <n v="75"/>
    <n v="32"/>
    <n v="65"/>
    <n v="48"/>
    <n v="45"/>
    <n v="47"/>
    <n v="112"/>
    <n v="75"/>
    <n v="101"/>
    <n v="108"/>
    <n v="50"/>
    <n v="46"/>
    <n v="49"/>
    <n v="33"/>
    <n v="37"/>
    <n v="36"/>
    <n v="66"/>
    <n v="58"/>
    <n v="72"/>
    <n v="81"/>
    <n v="33"/>
    <n v="16"/>
    <n v="4"/>
    <n v="4"/>
    <n v="5"/>
  </r>
  <r>
    <s v="TOTAL URUGUAY"/>
    <s v="SH+AC (160+162)"/>
    <s v="L'OREAL"/>
    <x v="0"/>
    <s v="7509552845877"/>
    <x v="14"/>
    <s v="ELVIVE HIDRA HIALURONICO FCO.PL 200ML"/>
    <s v="Vtas Unds"/>
    <n v="820"/>
    <n v="673"/>
    <n v="811"/>
    <n v="981"/>
    <n v="729"/>
    <n v="758"/>
    <n v="1115"/>
    <n v="890"/>
    <n v="837.23710000000005"/>
    <n v="1108"/>
    <n v="700"/>
    <n v="536"/>
    <n v="817"/>
    <n v="533.98680000000002"/>
    <n v="742"/>
    <n v="703"/>
    <n v="574"/>
    <n v="554.84230000000002"/>
    <n v="1013.6433"/>
    <n v="464"/>
    <n v="388"/>
    <n v="187"/>
    <n v="86"/>
    <n v="48"/>
    <n v="54"/>
    <n v="25"/>
    <n v="20"/>
    <n v="25"/>
    <n v="15"/>
    <n v="11"/>
    <n v="23"/>
    <n v="32"/>
    <n v="14"/>
    <n v="18"/>
    <n v="3"/>
    <n v="6"/>
    <n v="4"/>
  </r>
  <r>
    <s v="TOTAL URUGUAY"/>
    <s v="SH+AC (160+162)"/>
    <s v="L'OREAL"/>
    <x v="0"/>
    <s v="7509552845884"/>
    <x v="14"/>
    <s v="ELVIVE HIDRA HIALURONICO FCO.PL 370ML"/>
    <s v="Vtas Unds"/>
    <n v="780"/>
    <n v="591"/>
    <n v="844"/>
    <n v="1041"/>
    <n v="668"/>
    <n v="784"/>
    <n v="1144"/>
    <n v="740"/>
    <n v="724"/>
    <n v="873"/>
    <n v="536"/>
    <n v="470"/>
    <n v="825"/>
    <n v="459.57889999999998"/>
    <n v="749"/>
    <n v="606"/>
    <n v="643"/>
    <n v="576.8759"/>
    <n v="1087.1608000000001"/>
    <n v="839"/>
    <n v="877"/>
    <n v="1559"/>
    <n v="814"/>
    <n v="710"/>
    <n v="1236"/>
    <n v="826"/>
    <n v="699"/>
    <n v="1442"/>
    <n v="751"/>
    <n v="567"/>
    <n v="990"/>
    <n v="1097"/>
    <n v="1142"/>
    <n v="2021"/>
    <n v="783"/>
    <n v="1122"/>
    <n v="1013"/>
  </r>
  <r>
    <s v="TOTAL URUGUAY"/>
    <s v="SH+AC (160+162)"/>
    <s v="L'OREAL"/>
    <x v="0"/>
    <s v="7509552845891"/>
    <x v="14"/>
    <s v="ELVIVE HIDRA HIALURONICO FCO.PL 680ML"/>
    <s v="Vtas Unds"/>
    <n v="329"/>
    <n v="188"/>
    <n v="242"/>
    <n v="393"/>
    <n v="229"/>
    <n v="377"/>
    <n v="462"/>
    <n v="426"/>
    <n v="313"/>
    <n v="335"/>
    <n v="228"/>
    <n v="178"/>
    <n v="291"/>
    <n v="172"/>
    <n v="390"/>
    <n v="176"/>
    <n v="248"/>
    <n v="164.83969999999999"/>
    <n v="411.58080000000001"/>
    <n v="185"/>
    <n v="215"/>
    <n v="211"/>
    <n v="145"/>
    <n v="194"/>
    <n v="340"/>
    <n v="105"/>
    <n v="116"/>
    <n v="157"/>
    <n v="340"/>
    <n v="98"/>
    <n v="269"/>
    <n v="129"/>
    <n v="128"/>
    <n v="202"/>
    <n v="191"/>
    <n v="132"/>
    <n v="391"/>
  </r>
  <r>
    <s v="TOTAL URUGUAY"/>
    <s v="SH+AC (160+162)"/>
    <s v="L'OREAL"/>
    <x v="0"/>
    <s v="7509552845907"/>
    <x v="14"/>
    <s v="ELVIVE ACON HIDRA HIALURONICO 200ML"/>
    <s v="Vtas Unds"/>
    <n v="796"/>
    <n v="637"/>
    <n v="775"/>
    <n v="1043"/>
    <n v="722"/>
    <n v="730"/>
    <n v="1075"/>
    <n v="912"/>
    <n v="870"/>
    <n v="1034"/>
    <n v="737"/>
    <n v="543"/>
    <n v="876"/>
    <n v="597.57889999999998"/>
    <n v="811"/>
    <n v="743"/>
    <n v="621"/>
    <n v="606.80610000000001"/>
    <n v="1120.4058"/>
    <n v="724"/>
    <n v="653"/>
    <n v="318"/>
    <n v="113"/>
    <n v="61"/>
    <n v="64"/>
    <n v="38"/>
    <n v="30"/>
    <n v="23"/>
    <n v="10"/>
    <n v="10"/>
    <n v="18"/>
    <n v="11"/>
    <n v="6"/>
    <n v="22"/>
    <n v="9"/>
    <n v="10"/>
    <n v="10"/>
  </r>
  <r>
    <s v="TOTAL URUGUAY"/>
    <s v="SH+AC (160+162)"/>
    <s v="L'OREAL"/>
    <x v="0"/>
    <s v="7509552845914"/>
    <x v="14"/>
    <s v="ELVIVE ACON HIDRA HIALURONICO 370ML"/>
    <s v="Vtas Unds"/>
    <n v="940"/>
    <n v="628"/>
    <n v="969"/>
    <n v="1202"/>
    <n v="749"/>
    <n v="961"/>
    <n v="1412"/>
    <n v="938"/>
    <n v="880"/>
    <n v="979"/>
    <n v="553"/>
    <n v="586"/>
    <n v="917"/>
    <n v="516.38160000000005"/>
    <n v="917"/>
    <n v="802"/>
    <n v="901"/>
    <n v="793.6069"/>
    <n v="1235.0289"/>
    <n v="946"/>
    <n v="910"/>
    <n v="1294"/>
    <n v="712"/>
    <n v="771"/>
    <n v="1430"/>
    <n v="905"/>
    <n v="802"/>
    <n v="1579"/>
    <n v="916"/>
    <n v="686"/>
    <n v="1224"/>
    <n v="1155"/>
    <n v="1371"/>
    <n v="2198"/>
    <n v="858"/>
    <n v="1186"/>
    <n v="1383"/>
  </r>
  <r>
    <s v="TOTAL URUGUAY"/>
    <s v="SH+AC (160+162)"/>
    <s v="L'OREAL"/>
    <x v="0"/>
    <s v="7509552845938"/>
    <x v="14"/>
    <s v="ELVIVE CREMA P/PEINAR HIDRA HIALURONICO 300ML"/>
    <s v="Vtas Unds"/>
    <n v="303"/>
    <n v="231"/>
    <n v="349"/>
    <n v="394"/>
    <n v="292"/>
    <n v="385"/>
    <n v="650"/>
    <n v="830"/>
    <n v="389.2371"/>
    <n v="451"/>
    <n v="204"/>
    <n v="178"/>
    <n v="324"/>
    <n v="211.3947"/>
    <n v="284"/>
    <n v="247"/>
    <n v="267"/>
    <n v="208.69810000000001"/>
    <n v="483.26819999999998"/>
    <n v="382"/>
    <n v="317"/>
    <n v="309"/>
    <n v="245"/>
    <n v="161"/>
    <n v="327"/>
    <n v="270"/>
    <n v="231"/>
    <n v="253"/>
    <n v="281"/>
    <n v="205"/>
    <n v="439"/>
    <n v="505"/>
    <n v="460"/>
    <n v="390"/>
    <n v="309"/>
    <n v="241"/>
    <n v="384"/>
  </r>
  <r>
    <s v="TOTAL URUGUAY"/>
    <s v="SH+AC (160+162)"/>
    <s v="L'OREAL"/>
    <x v="0"/>
    <s v="7509552847499"/>
    <x v="7"/>
    <s v="ELVIVE COLOR VIVE FCO.PL 370ML"/>
    <s v="Vtas Unds"/>
    <n v="339"/>
    <n v="290"/>
    <n v="361"/>
    <n v="500"/>
    <n v="402"/>
    <n v="494"/>
    <n v="684"/>
    <n v="468"/>
    <n v="395"/>
    <n v="527"/>
    <n v="273"/>
    <n v="273"/>
    <n v="458"/>
    <n v="248.59209999999999"/>
    <n v="357"/>
    <n v="377"/>
    <n v="312"/>
    <n v="372.79289999999997"/>
    <n v="580.30219999999997"/>
    <n v="460"/>
    <n v="417"/>
    <n v="686"/>
    <n v="386"/>
    <n v="361"/>
    <n v="535"/>
    <n v="369"/>
    <n v="336"/>
    <n v="629"/>
    <n v="376"/>
    <n v="251"/>
    <n v="491"/>
    <n v="504"/>
    <n v="519"/>
    <n v="610"/>
    <n v="391"/>
    <n v="437"/>
    <n v="656"/>
  </r>
  <r>
    <s v="TOTAL URUGUAY"/>
    <s v="SH+AC (160+162)"/>
    <s v="L'OREAL"/>
    <x v="0"/>
    <s v="7509552847505"/>
    <x v="9"/>
    <s v="ELVIVE OLEO EXT NUTR UNIV FCO PLAST 370ML"/>
    <s v="Vtas Unds"/>
    <n v="137"/>
    <n v="106"/>
    <n v="197"/>
    <n v="245"/>
    <n v="180"/>
    <n v="224"/>
    <n v="363"/>
    <n v="214"/>
    <n v="215"/>
    <n v="290"/>
    <n v="176"/>
    <n v="150"/>
    <n v="253"/>
    <n v="133.19739999999999"/>
    <n v="184"/>
    <n v="201"/>
    <n v="240"/>
    <n v="216.90950000000001"/>
    <n v="409.43419999999998"/>
    <n v="259"/>
    <n v="245"/>
    <n v="347"/>
    <n v="233"/>
    <n v="225"/>
    <n v="383"/>
    <n v="261"/>
    <n v="234"/>
    <n v="308"/>
    <n v="224"/>
    <n v="346"/>
    <n v="430"/>
    <n v="292"/>
    <n v="320"/>
    <n v="351"/>
    <n v="258"/>
    <n v="276"/>
    <n v="271"/>
  </r>
  <r>
    <s v="TOTAL URUGUAY"/>
    <s v="SH+AC (160+162)"/>
    <s v="L'OREAL"/>
    <x v="0"/>
    <s v="7509552847512"/>
    <x v="9"/>
    <s v="ELVIVE ACOND OLEO EXT NUTR UNIV FCO PLAST 370ML"/>
    <s v="Vtas Unds"/>
    <n v="83"/>
    <n v="68"/>
    <n v="115"/>
    <n v="169"/>
    <n v="112"/>
    <n v="183"/>
    <n v="219"/>
    <n v="168"/>
    <n v="171"/>
    <n v="206"/>
    <n v="143"/>
    <n v="116"/>
    <n v="186"/>
    <n v="105"/>
    <n v="168"/>
    <n v="156"/>
    <n v="167"/>
    <n v="173.93020000000001"/>
    <n v="357.54300000000001"/>
    <n v="192"/>
    <n v="224"/>
    <n v="335"/>
    <n v="209"/>
    <n v="194"/>
    <n v="347"/>
    <n v="268"/>
    <n v="234"/>
    <n v="494"/>
    <n v="418"/>
    <n v="371"/>
    <n v="549"/>
    <n v="423"/>
    <n v="391"/>
    <n v="437"/>
    <n v="305"/>
    <n v="364"/>
    <n v="444"/>
  </r>
  <r>
    <s v="TOTAL URUGUAY"/>
    <s v="SH+AC (160+162)"/>
    <s v="L'OREAL"/>
    <x v="0"/>
    <s v="7509552847529"/>
    <x v="15"/>
    <s v="ELVIVE OLEO COCO FCO PLAST 370ML"/>
    <s v="Vtas Unds"/>
    <n v="56"/>
    <n v="62"/>
    <n v="60"/>
    <n v="102"/>
    <n v="80"/>
    <n v="116"/>
    <n v="177"/>
    <n v="135"/>
    <n v="139"/>
    <n v="147"/>
    <n v="90"/>
    <n v="83"/>
    <n v="126"/>
    <n v="74"/>
    <n v="133"/>
    <n v="129"/>
    <n v="140"/>
    <n v="105"/>
    <n v="207.0591"/>
    <n v="172"/>
    <n v="151"/>
    <n v="243"/>
    <n v="149"/>
    <n v="148"/>
    <n v="313"/>
    <n v="192"/>
    <n v="170"/>
    <n v="503"/>
    <n v="341"/>
    <n v="241"/>
    <n v="364"/>
    <n v="289"/>
    <n v="258"/>
    <n v="232"/>
    <n v="91"/>
    <n v="90"/>
    <n v="102"/>
  </r>
  <r>
    <s v="TOTAL URUGUAY"/>
    <s v="SH+AC (160+162)"/>
    <s v="L'OREAL"/>
    <x v="0"/>
    <s v="7509552847536"/>
    <x v="15"/>
    <s v="ELVIVE ACOND OLEO COCO FCO PLAST 370ML"/>
    <s v="Vtas Unds"/>
    <n v="40"/>
    <n v="22"/>
    <n v="49"/>
    <n v="72"/>
    <n v="59"/>
    <n v="65"/>
    <n v="123"/>
    <n v="95"/>
    <n v="95"/>
    <n v="96"/>
    <n v="63"/>
    <n v="67"/>
    <n v="122"/>
    <n v="54"/>
    <n v="116"/>
    <n v="141"/>
    <n v="139"/>
    <n v="102.81570000000001"/>
    <n v="187.9247"/>
    <n v="137"/>
    <n v="151"/>
    <n v="206"/>
    <n v="111"/>
    <n v="126"/>
    <n v="266"/>
    <n v="174"/>
    <n v="169"/>
    <n v="385"/>
    <n v="352"/>
    <n v="235"/>
    <n v="303"/>
    <n v="366"/>
    <n v="246"/>
    <n v="274"/>
    <n v="138"/>
    <n v="136"/>
    <n v="148"/>
  </r>
  <r>
    <s v="TOTAL URUGUAY"/>
    <s v="SH+AC (160+162)"/>
    <s v="L'OREAL"/>
    <x v="0"/>
    <s v="7509552847543"/>
    <x v="4"/>
    <s v="ELVIVE CAIDA RESIST FCO.PL 370ML"/>
    <s v="Vtas Unds"/>
    <n v="112"/>
    <n v="78"/>
    <n v="130"/>
    <n v="188"/>
    <n v="160"/>
    <n v="178"/>
    <n v="220"/>
    <n v="142"/>
    <n v="188"/>
    <n v="266"/>
    <n v="131"/>
    <n v="120"/>
    <n v="175"/>
    <n v="113.5921"/>
    <n v="144"/>
    <n v="149"/>
    <n v="126"/>
    <n v="79"/>
    <n v="73"/>
    <n v="46"/>
    <n v="47"/>
    <n v="57"/>
    <n v="25"/>
    <n v="23"/>
    <n v="21"/>
    <n v="16"/>
    <n v="12"/>
    <n v="11"/>
    <n v="11"/>
    <n v="8"/>
    <n v="8"/>
    <n v="6"/>
    <n v="0"/>
    <n v="0"/>
    <n v="0"/>
    <n v="0"/>
    <n v="0"/>
  </r>
  <r>
    <s v="TOTAL URUGUAY"/>
    <s v="SH+AC (160+162)"/>
    <s v="L'OREAL"/>
    <x v="0"/>
    <s v="7509552847550"/>
    <x v="10"/>
    <s v="ELVIVE ARCILLA PURIFICAN FCO.PLAST 370ML"/>
    <s v="Vtas Unds"/>
    <n v="57"/>
    <n v="45"/>
    <n v="77"/>
    <n v="119"/>
    <n v="120"/>
    <n v="92"/>
    <n v="138"/>
    <n v="125"/>
    <n v="105"/>
    <n v="149"/>
    <n v="102"/>
    <n v="76"/>
    <n v="88"/>
    <n v="61"/>
    <n v="94"/>
    <n v="98"/>
    <n v="119"/>
    <n v="95"/>
    <n v="164"/>
    <n v="108"/>
    <n v="104"/>
    <n v="151"/>
    <n v="92"/>
    <n v="85"/>
    <n v="206"/>
    <n v="92"/>
    <n v="61"/>
    <n v="77"/>
    <n v="53"/>
    <n v="24"/>
    <n v="27"/>
    <n v="12"/>
    <n v="2"/>
    <n v="4"/>
    <n v="1"/>
    <n v="0"/>
    <n v="0"/>
  </r>
  <r>
    <s v="TOTAL URUGUAY"/>
    <s v="SH+AC (160+162)"/>
    <s v="L'OREAL"/>
    <x v="0"/>
    <s v="7509552847574"/>
    <x v="10"/>
    <s v="ELVIVE ACOND ARCILLA PURIFICAN FCO.PLAST 370ML"/>
    <s v="Vtas Unds"/>
    <n v="43"/>
    <n v="34"/>
    <n v="41"/>
    <n v="75"/>
    <n v="60"/>
    <n v="67"/>
    <n v="97"/>
    <n v="89"/>
    <n v="73"/>
    <n v="127"/>
    <n v="72"/>
    <n v="59"/>
    <n v="87"/>
    <n v="54"/>
    <n v="100"/>
    <n v="73"/>
    <n v="114"/>
    <n v="85"/>
    <n v="167"/>
    <n v="135"/>
    <n v="103"/>
    <n v="149"/>
    <n v="113"/>
    <n v="92"/>
    <n v="179"/>
    <n v="68"/>
    <n v="82"/>
    <n v="104"/>
    <n v="94"/>
    <n v="51"/>
    <n v="27"/>
    <n v="30"/>
    <n v="9"/>
    <n v="4"/>
    <n v="5"/>
    <n v="2"/>
    <n v="10"/>
  </r>
  <r>
    <s v="TOTAL URUGUAY"/>
    <s v="SH+AC (160+162)"/>
    <s v="L'OREAL"/>
    <x v="0"/>
    <s v="7509552847581"/>
    <x v="12"/>
    <s v="ELVIVE DREAM LONG FCO PLAST 370ML"/>
    <s v="Vtas Unds"/>
    <n v="35"/>
    <n v="21"/>
    <n v="49"/>
    <n v="61"/>
    <n v="64"/>
    <n v="62"/>
    <n v="104"/>
    <n v="96"/>
    <n v="82"/>
    <n v="95"/>
    <n v="71"/>
    <n v="71"/>
    <n v="98"/>
    <n v="60"/>
    <n v="111"/>
    <n v="63"/>
    <n v="91"/>
    <n v="73"/>
    <n v="205.4906"/>
    <n v="148"/>
    <n v="179"/>
    <n v="128"/>
    <n v="69"/>
    <n v="78"/>
    <n v="141"/>
    <n v="85"/>
    <n v="77"/>
    <n v="128"/>
    <n v="162"/>
    <n v="147"/>
    <n v="197"/>
    <n v="159"/>
    <n v="63"/>
    <n v="56"/>
    <n v="27"/>
    <n v="18"/>
    <n v="10"/>
  </r>
  <r>
    <s v="TOTAL URUGUAY"/>
    <s v="SH+AC (160+162)"/>
    <s v="L'OREAL"/>
    <x v="0"/>
    <s v="7509552847598"/>
    <x v="0"/>
    <s v="ELVIVE DREAM LONG LISS FCO 370ML"/>
    <s v="Vtas Unds"/>
    <n v="55"/>
    <n v="49"/>
    <n v="78"/>
    <n v="118"/>
    <n v="83"/>
    <n v="141"/>
    <n v="178"/>
    <n v="141"/>
    <n v="126.2371"/>
    <n v="152"/>
    <n v="88"/>
    <n v="74"/>
    <n v="119"/>
    <n v="59.197400000000002"/>
    <n v="131"/>
    <n v="111"/>
    <n v="101"/>
    <n v="106.917"/>
    <n v="239.7338"/>
    <n v="166"/>
    <n v="182"/>
    <n v="174"/>
    <n v="112"/>
    <n v="125"/>
    <n v="156"/>
    <n v="84"/>
    <n v="80"/>
    <n v="119"/>
    <n v="133"/>
    <n v="93"/>
    <n v="87"/>
    <n v="77"/>
    <n v="38"/>
    <n v="21"/>
    <n v="18"/>
    <n v="7"/>
    <n v="8"/>
  </r>
  <r>
    <s v="TOTAL URUGUAY"/>
    <s v="SH+AC (160+162)"/>
    <s v="L'OREAL"/>
    <x v="0"/>
    <s v="7509552847949"/>
    <x v="14"/>
    <s v="ELVIVE CTT HIDRA HIALURONICO 300ML"/>
    <s v="Vtas Unds"/>
    <n v="346"/>
    <n v="226"/>
    <n v="364"/>
    <n v="536"/>
    <n v="336"/>
    <n v="479"/>
    <n v="579"/>
    <n v="637"/>
    <n v="372.2371"/>
    <n v="405"/>
    <n v="179"/>
    <n v="191"/>
    <n v="331"/>
    <n v="232.19739999999999"/>
    <n v="351"/>
    <n v="295"/>
    <n v="296"/>
    <n v="261.69060000000002"/>
    <n v="563.46209999999996"/>
    <n v="343"/>
    <n v="373"/>
    <n v="714"/>
    <n v="363"/>
    <n v="308"/>
    <n v="659"/>
    <n v="565"/>
    <n v="520"/>
    <n v="469"/>
    <n v="605"/>
    <n v="383"/>
    <n v="611"/>
    <n v="700"/>
    <n v="373"/>
    <n v="237"/>
    <n v="340"/>
    <n v="288"/>
    <n v="489"/>
  </r>
  <r>
    <s v="TOTAL URUGUAY"/>
    <s v="SH+AC (160+162)"/>
    <s v="L'OREAL"/>
    <x v="0"/>
    <s v="7509552847987"/>
    <x v="2"/>
    <s v="ELVIVE REPARACION TOTAL 5 FCO.PLAST. 370ML"/>
    <s v="Vtas Unds"/>
    <n v="193"/>
    <n v="163"/>
    <n v="267"/>
    <n v="337"/>
    <n v="261"/>
    <n v="343"/>
    <n v="513"/>
    <n v="370"/>
    <n v="314"/>
    <n v="398"/>
    <n v="209"/>
    <n v="248"/>
    <n v="394"/>
    <n v="191.19739999999999"/>
    <n v="399"/>
    <n v="302"/>
    <n v="352"/>
    <n v="335.69810000000001"/>
    <n v="588.75919999999996"/>
    <n v="487"/>
    <n v="472"/>
    <n v="784"/>
    <n v="444"/>
    <n v="428"/>
    <n v="688"/>
    <n v="534"/>
    <n v="439"/>
    <n v="984"/>
    <n v="604"/>
    <n v="505"/>
    <n v="829"/>
    <n v="745"/>
    <n v="919"/>
    <n v="976"/>
    <n v="552"/>
    <n v="682"/>
    <n v="711"/>
  </r>
  <r>
    <s v="TOTAL URUGUAY"/>
    <s v="SH+AC (160+162)"/>
    <s v="L'OREAL"/>
    <x v="0"/>
    <s v="7509552847994"/>
    <x v="2"/>
    <s v="ELVIVE ACON REPARACION TOTAL 5 370ML"/>
    <s v="Vtas Unds"/>
    <n v="209"/>
    <n v="154"/>
    <n v="250"/>
    <n v="325"/>
    <n v="262"/>
    <n v="350"/>
    <n v="563"/>
    <n v="368"/>
    <n v="369"/>
    <n v="423"/>
    <n v="214"/>
    <n v="236"/>
    <n v="401"/>
    <n v="236"/>
    <n v="409"/>
    <n v="336"/>
    <n v="355"/>
    <n v="333.76139999999998"/>
    <n v="611.42430000000002"/>
    <n v="483"/>
    <n v="434"/>
    <n v="756"/>
    <n v="370"/>
    <n v="408"/>
    <n v="690"/>
    <n v="503"/>
    <n v="447"/>
    <n v="808"/>
    <n v="621"/>
    <n v="482"/>
    <n v="739"/>
    <n v="688"/>
    <n v="825"/>
    <n v="952"/>
    <n v="557"/>
    <n v="597"/>
    <n v="673"/>
  </r>
  <r>
    <s v="TOTAL URUGUAY"/>
    <s v="SH+AC (160+162)"/>
    <s v="L'OREAL"/>
    <x v="0"/>
    <s v="7509552848007"/>
    <x v="16"/>
    <s v="ELVIVE RT EXTREME FCO.PL 370ML"/>
    <s v="Vtas Unds"/>
    <n v="82"/>
    <n v="81"/>
    <n v="113"/>
    <n v="213"/>
    <n v="186"/>
    <n v="185"/>
    <n v="244"/>
    <n v="211"/>
    <n v="199"/>
    <n v="208"/>
    <n v="128"/>
    <n v="96"/>
    <n v="203"/>
    <n v="136"/>
    <n v="231"/>
    <n v="171"/>
    <n v="209"/>
    <n v="207.755"/>
    <n v="285.3562"/>
    <n v="196"/>
    <n v="213"/>
    <n v="307"/>
    <n v="168"/>
    <n v="192"/>
    <n v="341"/>
    <n v="218"/>
    <n v="234"/>
    <n v="490"/>
    <n v="382"/>
    <n v="192"/>
    <n v="295"/>
    <n v="314"/>
    <n v="214"/>
    <n v="197"/>
    <n v="107"/>
    <n v="87"/>
    <n v="129"/>
  </r>
  <r>
    <s v="TOTAL URUGUAY"/>
    <s v="SH+AC (160+162)"/>
    <s v="L'OREAL"/>
    <x v="0"/>
    <s v="7509552848014"/>
    <x v="16"/>
    <s v="ELVIVE ACOND RT EXTREME FCO.PL 370ML"/>
    <s v="Vtas Unds"/>
    <n v="103"/>
    <n v="78"/>
    <n v="113"/>
    <n v="195"/>
    <n v="164"/>
    <n v="182"/>
    <n v="229"/>
    <n v="190"/>
    <n v="162"/>
    <n v="198"/>
    <n v="110"/>
    <n v="113"/>
    <n v="203"/>
    <n v="124.1974"/>
    <n v="257"/>
    <n v="191"/>
    <n v="234"/>
    <n v="170.7886"/>
    <n v="281.09989999999999"/>
    <n v="192"/>
    <n v="262"/>
    <n v="305"/>
    <n v="203"/>
    <n v="178"/>
    <n v="362"/>
    <n v="249"/>
    <n v="246"/>
    <n v="455"/>
    <n v="389"/>
    <n v="239"/>
    <n v="436"/>
    <n v="398"/>
    <n v="427"/>
    <n v="362"/>
    <n v="298"/>
    <n v="311"/>
    <n v="457"/>
  </r>
  <r>
    <s v="TOTAL URUGUAY"/>
    <s v="SH+AC (160+162)"/>
    <s v="L'OREAL"/>
    <x v="0"/>
    <s v="7509552848021"/>
    <x v="17"/>
    <s v="ELVIVE OLEO EXTRA RIZOS FCO PLAST 370ML"/>
    <s v="Vtas Unds"/>
    <n v="31"/>
    <n v="27"/>
    <n v="31"/>
    <n v="78"/>
    <n v="48"/>
    <n v="52"/>
    <n v="69"/>
    <n v="68"/>
    <n v="61"/>
    <n v="101"/>
    <n v="62"/>
    <n v="63"/>
    <n v="101"/>
    <n v="53"/>
    <n v="91"/>
    <n v="92"/>
    <n v="104"/>
    <n v="63.871600000000001"/>
    <n v="142"/>
    <n v="110"/>
    <n v="152"/>
    <n v="121"/>
    <n v="54"/>
    <n v="78"/>
    <n v="103"/>
    <n v="77"/>
    <n v="76"/>
    <n v="174"/>
    <n v="154"/>
    <n v="143"/>
    <n v="197"/>
    <n v="138"/>
    <n v="120"/>
    <n v="102"/>
    <n v="63"/>
    <n v="65"/>
    <n v="84"/>
  </r>
  <r>
    <s v="TOTAL URUGUAY"/>
    <s v="SH+AC (160+162)"/>
    <s v="L'OREAL"/>
    <x v="0"/>
    <s v="7509552848038"/>
    <x v="17"/>
    <s v="ELVIVE ACOND OLEO EXTRA RIZOS FCO PLAST 370ML"/>
    <s v="Vtas Unds"/>
    <n v="41"/>
    <n v="40"/>
    <n v="36"/>
    <n v="82"/>
    <n v="80"/>
    <n v="66"/>
    <n v="112"/>
    <n v="86"/>
    <n v="81"/>
    <n v="129"/>
    <n v="81"/>
    <n v="77"/>
    <n v="115"/>
    <n v="65"/>
    <n v="102"/>
    <n v="107"/>
    <n v="135"/>
    <n v="78"/>
    <n v="169.23750000000001"/>
    <n v="126"/>
    <n v="141"/>
    <n v="186"/>
    <n v="107"/>
    <n v="127"/>
    <n v="219"/>
    <n v="161"/>
    <n v="131"/>
    <n v="277"/>
    <n v="247"/>
    <n v="227"/>
    <n v="289"/>
    <n v="255"/>
    <n v="181"/>
    <n v="214"/>
    <n v="117"/>
    <n v="109"/>
    <n v="145"/>
  </r>
  <r>
    <s v="TOTAL URUGUAY"/>
    <s v="SH+AC (160+162)"/>
    <s v="L'OREAL"/>
    <x v="0"/>
    <s v="7509552848045"/>
    <x v="4"/>
    <s v="ELVIVE ACOND CAIDA RESIST X3 FCO.PLAST 370ML"/>
    <s v="Vtas Unds"/>
    <n v="77"/>
    <n v="48"/>
    <n v="84"/>
    <n v="132"/>
    <n v="108"/>
    <n v="97"/>
    <n v="129"/>
    <n v="76"/>
    <n v="100"/>
    <n v="132"/>
    <n v="71"/>
    <n v="59"/>
    <n v="98"/>
    <n v="52.592100000000002"/>
    <n v="76"/>
    <n v="62"/>
    <n v="90"/>
    <n v="50"/>
    <n v="58"/>
    <n v="50"/>
    <n v="36"/>
    <n v="56"/>
    <n v="18"/>
    <n v="27"/>
    <n v="39"/>
    <n v="34"/>
    <n v="22"/>
    <n v="24"/>
    <n v="21"/>
    <n v="23"/>
    <n v="3"/>
    <n v="2"/>
    <n v="3"/>
    <n v="2"/>
    <n v="0"/>
    <n v="0"/>
    <n v="6"/>
  </r>
  <r>
    <s v="TOTAL URUGUAY"/>
    <s v="SH+AC (160+162)"/>
    <s v="L'OREAL"/>
    <x v="0"/>
    <s v="7509552848052"/>
    <x v="0"/>
    <s v="ELVIVE ACOND DREAM LONG LISS FCO 370ML"/>
    <s v="Vtas Unds"/>
    <n v="45"/>
    <n v="41"/>
    <n v="55"/>
    <n v="71"/>
    <n v="63"/>
    <n v="91"/>
    <n v="124"/>
    <n v="110"/>
    <n v="91"/>
    <n v="107"/>
    <n v="80"/>
    <n v="67"/>
    <n v="108"/>
    <n v="44.3947"/>
    <n v="104"/>
    <n v="79"/>
    <n v="101"/>
    <n v="83.909499999999994"/>
    <n v="182.53970000000001"/>
    <n v="124"/>
    <n v="131"/>
    <n v="131"/>
    <n v="89"/>
    <n v="95"/>
    <n v="140"/>
    <n v="70"/>
    <n v="40"/>
    <n v="53"/>
    <n v="89"/>
    <n v="45"/>
    <n v="9"/>
    <n v="10"/>
    <n v="3"/>
    <n v="6"/>
    <n v="4"/>
    <n v="0"/>
    <n v="1"/>
  </r>
  <r>
    <s v="TOTAL URUGUAY"/>
    <s v="SH+AC (160+162)"/>
    <s v="L'OREAL"/>
    <x v="0"/>
    <s v="7509552848069"/>
    <x v="12"/>
    <s v="ELVIVE ACOND DREAM LONG FCO PLAST 370ML"/>
    <s v="Vtas Unds"/>
    <n v="43"/>
    <n v="32"/>
    <n v="46"/>
    <n v="61"/>
    <n v="42"/>
    <n v="55"/>
    <n v="109"/>
    <n v="85"/>
    <n v="87"/>
    <n v="104"/>
    <n v="71"/>
    <n v="79"/>
    <n v="87"/>
    <n v="63.197400000000002"/>
    <n v="99"/>
    <n v="98"/>
    <n v="81"/>
    <n v="96.930199999999999"/>
    <n v="209.50620000000001"/>
    <n v="105"/>
    <n v="140"/>
    <n v="120"/>
    <n v="87"/>
    <n v="89"/>
    <n v="151"/>
    <n v="79"/>
    <n v="89"/>
    <n v="127"/>
    <n v="160"/>
    <n v="129"/>
    <n v="63"/>
    <n v="38"/>
    <n v="12"/>
    <n v="8"/>
    <n v="6"/>
    <n v="0"/>
    <n v="0"/>
  </r>
  <r>
    <s v="TOTAL URUGUAY"/>
    <s v="SH+AC (160+162)"/>
    <s v="L'OREAL"/>
    <x v="0"/>
    <s v="7509552848076"/>
    <x v="7"/>
    <s v="ELVIVE ACON COLORVIVE FCO PL 370ML"/>
    <s v="Vtas Unds"/>
    <n v="166"/>
    <n v="156"/>
    <n v="224"/>
    <n v="329"/>
    <n v="270"/>
    <n v="313"/>
    <n v="493"/>
    <n v="360"/>
    <n v="300"/>
    <n v="404"/>
    <n v="197"/>
    <n v="195"/>
    <n v="350"/>
    <n v="192.3947"/>
    <n v="288"/>
    <n v="268"/>
    <n v="274"/>
    <n v="240.88339999999999"/>
    <n v="482.71820000000002"/>
    <n v="345"/>
    <n v="315"/>
    <n v="466"/>
    <n v="246"/>
    <n v="287"/>
    <n v="498"/>
    <n v="304"/>
    <n v="291"/>
    <n v="498"/>
    <n v="415"/>
    <n v="312"/>
    <n v="670"/>
    <n v="619"/>
    <n v="627"/>
    <n v="635"/>
    <n v="343"/>
    <n v="427"/>
    <n v="617"/>
  </r>
  <r>
    <s v="TOTAL URUGUAY"/>
    <s v="SH+AC (160+162)"/>
    <s v="L'OREAL"/>
    <x v="0"/>
    <s v="7509552859119"/>
    <x v="9"/>
    <s v="ELVIVE ÓLEO EXTRAORDINARIO NUT UNIV POTE 300 GR"/>
    <s v="Vtas Unds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10"/>
    <n v="11"/>
    <n v="4"/>
    <n v="19"/>
    <n v="7"/>
    <n v="10"/>
    <n v="14"/>
    <n v="13"/>
    <n v="18"/>
    <n v="16"/>
    <n v="51"/>
    <n v="28"/>
    <n v="37"/>
    <n v="30"/>
    <n v="14"/>
    <n v="4"/>
    <n v="0"/>
    <n v="1"/>
    <n v="0"/>
  </r>
  <r>
    <s v="TOTAL URUGUAY"/>
    <s v="SH+AC (160+162)"/>
    <s v="L'OREAL"/>
    <x v="0"/>
    <s v="7509552861037"/>
    <x v="18"/>
    <s v="ELVIVE EXTRA.OIL SUMM.EDIT.SHAMPOO 400MLFCO.PL.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874952"/>
    <x v="19"/>
    <s v="ELVIVE HIALURONICO PURE SHAMPOO FCO 370 ML"/>
    <s v="Vtas Unds"/>
    <n v="0"/>
    <n v="0"/>
    <n v="0"/>
    <n v="0"/>
    <n v="0"/>
    <n v="0"/>
    <n v="0"/>
    <n v="0"/>
    <n v="0"/>
    <n v="0"/>
    <n v="545"/>
    <n v="1093"/>
    <n v="2051"/>
    <n v="1119.3815999999999"/>
    <n v="1378"/>
    <n v="1025"/>
    <n v="1010"/>
    <n v="919.8587"/>
    <n v="1477.9867999999999"/>
    <n v="1003"/>
    <n v="1076"/>
    <n v="1676"/>
    <n v="880"/>
    <n v="768"/>
    <n v="1405"/>
    <n v="905"/>
    <n v="928"/>
    <n v="1856"/>
    <n v="894"/>
    <n v="769"/>
    <n v="1281"/>
    <n v="1169"/>
    <n v="1323"/>
    <n v="1545"/>
    <n v="889"/>
    <n v="1000"/>
    <n v="968"/>
  </r>
  <r>
    <s v="TOTAL URUGUAY"/>
    <s v="SH+AC (160+162)"/>
    <s v="L'OREAL"/>
    <x v="0"/>
    <s v="7509552874983"/>
    <x v="19"/>
    <s v="ELVIVE HIALU PURE SHAMPOO FCO 680 ML"/>
    <s v="Vtas Unds"/>
    <n v="0"/>
    <n v="0"/>
    <n v="0"/>
    <n v="0"/>
    <n v="0"/>
    <n v="0"/>
    <n v="0"/>
    <n v="0"/>
    <n v="0"/>
    <n v="0"/>
    <n v="257"/>
    <n v="437"/>
    <n v="871"/>
    <n v="626.78949999999998"/>
    <n v="1155"/>
    <n v="492"/>
    <n v="638"/>
    <n v="377.00580000000002"/>
    <n v="792.11869999999999"/>
    <n v="304"/>
    <n v="326"/>
    <n v="616"/>
    <n v="360"/>
    <n v="366"/>
    <n v="870"/>
    <n v="410"/>
    <n v="349"/>
    <n v="537"/>
    <n v="701"/>
    <n v="404"/>
    <n v="579"/>
    <n v="285"/>
    <n v="379"/>
    <n v="619"/>
    <n v="426"/>
    <n v="398"/>
    <n v="735"/>
  </r>
  <r>
    <s v="TOTAL URUGUAY"/>
    <s v="SH+AC (160+162)"/>
    <s v="L'OREAL"/>
    <x v="0"/>
    <s v="7509552875010"/>
    <x v="19"/>
    <s v="ELVIVE HIALURONICO PURE ACO 370 ML"/>
    <s v="Vtas Unds"/>
    <n v="0"/>
    <n v="0"/>
    <n v="0"/>
    <n v="0"/>
    <n v="0"/>
    <n v="0"/>
    <n v="0"/>
    <n v="0"/>
    <n v="0"/>
    <n v="0"/>
    <n v="478"/>
    <n v="879"/>
    <n v="1644"/>
    <n v="950.98680000000002"/>
    <n v="1437"/>
    <n v="859"/>
    <n v="899"/>
    <n v="723.00580000000002"/>
    <n v="1311.5011"/>
    <n v="763"/>
    <n v="785"/>
    <n v="1475"/>
    <n v="750"/>
    <n v="635"/>
    <n v="1365"/>
    <n v="809"/>
    <n v="731"/>
    <n v="1613"/>
    <n v="928"/>
    <n v="625"/>
    <n v="1074"/>
    <n v="882"/>
    <n v="1028"/>
    <n v="1338"/>
    <n v="724"/>
    <n v="775"/>
    <n v="982"/>
  </r>
  <r>
    <s v="TOTAL URUGUAY"/>
    <s v="SH+AC (160+162)"/>
    <s v="L'OREAL"/>
    <x v="0"/>
    <s v="7509552875409"/>
    <x v="19"/>
    <s v="ELVIVE HIALURONICO TRAT PURE POTE 300 GR"/>
    <s v="Vtas Unds"/>
    <n v="0"/>
    <n v="0"/>
    <n v="0"/>
    <n v="0"/>
    <n v="0"/>
    <n v="0"/>
    <n v="0"/>
    <n v="0"/>
    <n v="0"/>
    <n v="0"/>
    <n v="201"/>
    <n v="356"/>
    <n v="569"/>
    <n v="337.19740000000002"/>
    <n v="605"/>
    <n v="347"/>
    <n v="362"/>
    <n v="228.917"/>
    <n v="459.83690000000001"/>
    <n v="298"/>
    <n v="301"/>
    <n v="692"/>
    <n v="328"/>
    <n v="251"/>
    <n v="563"/>
    <n v="430"/>
    <n v="394"/>
    <n v="452"/>
    <n v="446"/>
    <n v="224"/>
    <n v="449"/>
    <n v="495"/>
    <n v="500"/>
    <n v="450"/>
    <n v="354"/>
    <n v="309"/>
    <n v="618"/>
  </r>
  <r>
    <s v="TOTAL URUGUAY"/>
    <s v="SH+AC (160+162)"/>
    <s v="L'OREAL"/>
    <x v="0"/>
    <s v="7509552876413"/>
    <x v="19"/>
    <s v="ELVIVE HIALURONICO PURE SH FCO 20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693"/>
    <n v="594"/>
    <n v="629"/>
    <n v="1046"/>
    <n v="658"/>
    <n v="667"/>
    <n v="593"/>
    <n v="392"/>
    <n v="228"/>
    <n v="377"/>
    <n v="204"/>
    <n v="192"/>
    <n v="401"/>
    <n v="537"/>
    <n v="420"/>
    <n v="735"/>
  </r>
  <r>
    <s v="TOTAL URUGUAY"/>
    <s v="SH+AC (160+162)"/>
    <s v="L'OREAL"/>
    <x v="0"/>
    <s v="7509552876420"/>
    <x v="19"/>
    <s v="ELVIVE HIALURONICO PURE ACO 20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559"/>
    <n v="451"/>
    <n v="439"/>
    <n v="876"/>
    <n v="481"/>
    <n v="471"/>
    <n v="578"/>
    <n v="346"/>
    <n v="199"/>
    <n v="355"/>
    <n v="195"/>
    <n v="167"/>
    <n v="376"/>
    <n v="402"/>
    <n v="289"/>
    <n v="504"/>
  </r>
  <r>
    <s v="TOTAL URUGUAY"/>
    <s v="SH+AC (160+162)"/>
    <s v="L'OREAL"/>
    <x v="0"/>
    <s v="7509552876642"/>
    <x v="19"/>
    <s v="ELVIVE HIALURONICO PURE MICELLAR SH FCO 300 ML"/>
    <s v="Vtas Unds"/>
    <n v="0"/>
    <n v="0"/>
    <n v="0"/>
    <n v="0"/>
    <n v="0"/>
    <n v="0"/>
    <n v="0"/>
    <n v="0"/>
    <n v="0"/>
    <n v="0"/>
    <n v="0"/>
    <n v="0"/>
    <n v="0"/>
    <n v="0"/>
    <n v="0"/>
    <n v="37"/>
    <n v="57"/>
    <n v="42"/>
    <n v="42"/>
    <n v="38"/>
    <n v="31"/>
    <n v="50"/>
    <n v="38"/>
    <n v="26"/>
    <n v="62"/>
    <n v="28"/>
    <n v="20"/>
    <n v="51"/>
    <n v="35"/>
    <n v="46"/>
    <n v="38"/>
    <n v="30"/>
    <n v="45"/>
    <n v="1997"/>
    <n v="61"/>
    <n v="38"/>
    <n v="98"/>
  </r>
  <r>
    <s v="TOTAL URUGUAY"/>
    <s v="SH+AC (160+162)"/>
    <s v="L'OREAL"/>
    <x v="0"/>
    <s v="7509552889543"/>
    <x v="4"/>
    <s v="ELVIVE CAIDA RESIST FCO 37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880.85249999999996"/>
    <n v="614"/>
    <n v="646"/>
    <n v="1182"/>
    <n v="408"/>
    <n v="366"/>
    <n v="530"/>
    <n v="325"/>
    <n v="345"/>
    <n v="865"/>
    <n v="537"/>
    <n v="399"/>
    <n v="554"/>
    <n v="604"/>
    <n v="572"/>
    <n v="730"/>
    <n v="394"/>
    <n v="445"/>
    <n v="533"/>
  </r>
  <r>
    <s v="TOTAL URUGUAY"/>
    <s v="SH+AC (160+162)"/>
    <s v="L'OREAL"/>
    <x v="0"/>
    <s v="7509552889574"/>
    <x v="4"/>
    <s v="ELVIVE AC ANTI-HAIR FALL ACO FCO 37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07"/>
    <n v="469"/>
    <n v="433"/>
    <n v="834"/>
    <n v="325"/>
    <n v="256"/>
    <n v="373"/>
    <n v="290"/>
    <n v="263"/>
    <n v="655"/>
    <n v="421"/>
    <n v="249"/>
    <n v="422"/>
    <n v="447"/>
    <n v="423"/>
    <n v="477"/>
    <n v="241"/>
    <n v="319"/>
    <n v="372"/>
  </r>
  <r>
    <s v="TOTAL URUGUAY"/>
    <s v="SH+AC (160+162)"/>
    <s v="L'OREAL"/>
    <x v="0"/>
    <s v="7509552889598"/>
    <x v="4"/>
    <s v="ELVIVE CAIDA RESIST CREMA TRAT POTE 300 GR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34"/>
    <n v="90"/>
    <n v="93"/>
    <n v="124"/>
    <n v="54"/>
    <n v="93"/>
    <n v="198"/>
    <n v="138"/>
    <n v="99"/>
    <n v="165"/>
    <n v="252"/>
    <n v="103"/>
    <n v="183"/>
    <n v="164"/>
    <n v="162"/>
    <n v="166"/>
    <n v="98"/>
    <n v="100"/>
    <n v="241"/>
  </r>
  <r>
    <s v="TOTAL URUGUAY"/>
    <s v="SH+AC (160+162)"/>
    <s v="L'OREAL"/>
    <x v="0"/>
    <s v="7509552902082"/>
    <x v="4"/>
    <s v="ELVIVE CAIDA RESIST C PEINAR ANTI-HAIR FALL FCO 3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40.94040000000001"/>
    <n v="182"/>
    <n v="161"/>
    <n v="309"/>
    <n v="135"/>
    <n v="86"/>
    <n v="89"/>
    <n v="78"/>
    <n v="46"/>
    <n v="96"/>
    <n v="136"/>
    <n v="113"/>
    <n v="151"/>
    <n v="131"/>
    <n v="109"/>
    <n v="90"/>
    <n v="66"/>
    <n v="59"/>
    <n v="127"/>
  </r>
  <r>
    <s v="TOTAL URUGUAY"/>
    <s v="SH+AC (160+162)"/>
    <s v="L'OREAL"/>
    <x v="0"/>
    <s v="7509552902112"/>
    <x v="14"/>
    <s v="ELVIVE SHAMPOO HIDRA HIALURONICO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"/>
    <n v="63"/>
    <n v="100"/>
    <n v="279"/>
    <n v="252"/>
    <n v="470"/>
    <n v="602"/>
    <n v="505"/>
    <n v="486"/>
    <n v="795"/>
    <n v="579"/>
    <n v="480"/>
    <n v="613"/>
    <n v="553"/>
    <n v="492"/>
    <n v="598"/>
  </r>
  <r>
    <s v="TOTAL URUGUAY"/>
    <s v="SH+AC (160+162)"/>
    <s v="L'OREAL"/>
    <x v="0"/>
    <s v="7509552902341"/>
    <x v="14"/>
    <s v="ELVIVE HIDRA HIALURONICO ACOND FCO.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"/>
    <n v="197"/>
    <n v="285"/>
    <n v="518"/>
    <n v="382"/>
    <n v="529"/>
    <n v="640"/>
    <n v="590"/>
    <n v="505"/>
    <n v="913"/>
    <n v="667"/>
    <n v="593"/>
    <n v="694"/>
    <n v="656"/>
    <n v="548"/>
    <n v="707"/>
  </r>
  <r>
    <s v="TOTAL URUGUAY"/>
    <s v="SH+AC (160+162)"/>
    <s v="L'OREAL"/>
    <x v="0"/>
    <s v="7509552902396"/>
    <x v="7"/>
    <s v="ELVIVE COLOR VIVE FCO.PL. 200 ML"/>
    <s v="Vtas Unds"/>
    <n v="338"/>
    <n v="300.30939999999998"/>
    <n v="351"/>
    <n v="412"/>
    <n v="361"/>
    <n v="406"/>
    <n v="567"/>
    <n v="456"/>
    <n v="361"/>
    <n v="517"/>
    <n v="272"/>
    <n v="236"/>
    <n v="279"/>
    <n v="187"/>
    <n v="350"/>
    <n v="256"/>
    <n v="212"/>
    <n v="239.92699999999999"/>
    <n v="394.23039999999997"/>
    <n v="272"/>
    <n v="322"/>
    <n v="319"/>
    <n v="185"/>
    <n v="230"/>
    <n v="257"/>
    <n v="196"/>
    <n v="239"/>
    <n v="256"/>
    <n v="247"/>
    <n v="196"/>
    <n v="207"/>
    <n v="89"/>
    <n v="78"/>
    <n v="90"/>
    <n v="52"/>
    <n v="46"/>
    <n v="53"/>
  </r>
  <r>
    <s v="TOTAL URUGUAY"/>
    <s v="SH+AC (160+162)"/>
    <s v="L'OREAL"/>
    <x v="0"/>
    <s v="7509552902402"/>
    <x v="16"/>
    <s v="ELVIVE RT EXTREME SH REPARACION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8"/>
    <n v="30"/>
    <n v="27"/>
    <n v="64"/>
    <n v="128"/>
    <n v="71"/>
    <n v="62"/>
    <n v="87"/>
    <n v="40"/>
    <n v="146"/>
  </r>
  <r>
    <s v="TOTAL URUGUAY"/>
    <s v="SH+AC (160+162)"/>
    <s v="L'OREAL"/>
    <x v="0"/>
    <s v="7509552902532"/>
    <x v="2"/>
    <s v="ELVIVE REPARACION TOTAL 5 SH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154"/>
    <n v="193"/>
    <n v="88"/>
    <n v="233"/>
    <n v="411"/>
    <n v="334"/>
    <n v="252"/>
    <n v="307"/>
    <n v="277"/>
    <n v="222"/>
    <n v="335"/>
  </r>
  <r>
    <s v="TOTAL URUGUAY"/>
    <s v="SH+AC (160+162)"/>
    <s v="L'OREAL"/>
    <x v="0"/>
    <s v="7509552902747"/>
    <x v="2"/>
    <s v="ELVIVE REPARACIONTOTAL 5 FCO.PL. 200 CC"/>
    <s v="Vtas Unds"/>
    <n v="553"/>
    <n v="507"/>
    <n v="566"/>
    <n v="642"/>
    <n v="522"/>
    <n v="669"/>
    <n v="905"/>
    <n v="815"/>
    <n v="630"/>
    <n v="877"/>
    <n v="556"/>
    <n v="506"/>
    <n v="690"/>
    <n v="357.19740000000002"/>
    <n v="615"/>
    <n v="501"/>
    <n v="390"/>
    <n v="425.7122"/>
    <n v="757.50890000000004"/>
    <n v="608"/>
    <n v="614"/>
    <n v="753"/>
    <n v="440"/>
    <n v="375"/>
    <n v="639"/>
    <n v="439"/>
    <n v="528"/>
    <n v="823"/>
    <n v="779"/>
    <n v="513"/>
    <n v="348"/>
    <n v="203"/>
    <n v="104"/>
    <n v="83"/>
    <n v="67"/>
    <n v="40"/>
    <n v="76"/>
  </r>
  <r>
    <s v="TOTAL URUGUAY"/>
    <s v="SH+AC (160+162)"/>
    <s v="L'OREAL"/>
    <x v="0"/>
    <s v="7509552903348"/>
    <x v="7"/>
    <s v="ELVIVE COLOR VIVETRATAMI. POTE 300 GR"/>
    <s v="Vtas Unds"/>
    <n v="58"/>
    <n v="50"/>
    <n v="46"/>
    <n v="71"/>
    <n v="42"/>
    <n v="61"/>
    <n v="86"/>
    <n v="120"/>
    <n v="51"/>
    <n v="58"/>
    <n v="40"/>
    <n v="31"/>
    <n v="60"/>
    <n v="29"/>
    <n v="42"/>
    <n v="35"/>
    <n v="64"/>
    <n v="43.005800000000001"/>
    <n v="98.118700000000004"/>
    <n v="51"/>
    <n v="58"/>
    <n v="67"/>
    <n v="39"/>
    <n v="53"/>
    <n v="93"/>
    <n v="71"/>
    <n v="69"/>
    <n v="60"/>
    <n v="96"/>
    <n v="64"/>
    <n v="115"/>
    <n v="96"/>
    <n v="98"/>
    <n v="91"/>
    <n v="88"/>
    <n v="76"/>
    <n v="181"/>
  </r>
  <r>
    <s v="TOTAL URUGUAY"/>
    <s v="SH+AC (160+162)"/>
    <s v="L'OREAL"/>
    <x v="0"/>
    <s v="7509552903362"/>
    <x v="2"/>
    <s v="ELVIVE REPARACIONTOTAL 5 CR.TRATAM. 350 CCPOTE"/>
    <s v="Vtas Unds"/>
    <n v="239"/>
    <n v="190.15469999999999"/>
    <n v="220"/>
    <n v="212"/>
    <n v="181"/>
    <n v="218"/>
    <n v="303"/>
    <n v="357"/>
    <n v="213"/>
    <n v="256"/>
    <n v="151"/>
    <n v="130"/>
    <n v="208"/>
    <n v="112.3947"/>
    <n v="191"/>
    <n v="175"/>
    <n v="150"/>
    <n v="161"/>
    <n v="339.37180000000001"/>
    <n v="211"/>
    <n v="267"/>
    <n v="393"/>
    <n v="202"/>
    <n v="0"/>
    <n v="0"/>
    <n v="0"/>
    <n v="0"/>
    <n v="1"/>
    <n v="0"/>
    <n v="0"/>
    <n v="1"/>
    <n v="1"/>
    <n v="0"/>
    <n v="0"/>
    <n v="0"/>
    <n v="0"/>
    <n v="0"/>
  </r>
  <r>
    <s v="TOTAL URUGUAY"/>
    <s v="SH+AC (160+162)"/>
    <s v="L'OREAL"/>
    <x v="0"/>
    <s v="7509552903362"/>
    <x v="2"/>
    <s v="ELVIVE RT5 KERATI. CR.TRAT. CAB.DANADO ADU POTE 3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n v="345"/>
    <n v="294"/>
    <n v="241"/>
    <n v="298"/>
    <n v="437"/>
    <n v="285"/>
    <n v="381"/>
    <n v="344"/>
    <n v="345"/>
    <n v="382"/>
    <n v="341"/>
    <n v="263"/>
    <n v="535"/>
  </r>
  <r>
    <s v="TOTAL URUGUAY"/>
    <s v="SH+AC (160+162)"/>
    <s v="L'OREAL"/>
    <x v="0"/>
    <s v="7509552903416"/>
    <x v="2"/>
    <s v="ELVIVE REPARACION TOTAL 5 +KERATIN AC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"/>
    <n v="122"/>
    <n v="236"/>
    <n v="263"/>
    <n v="288"/>
    <n v="219"/>
    <n v="347"/>
  </r>
  <r>
    <s v="TOTAL URUGUAY"/>
    <s v="SH+AC (160+162)"/>
    <s v="L'OREAL"/>
    <x v="0"/>
    <s v="7509552903423"/>
    <x v="7"/>
    <s v="ELVIVE COLORVIVE AC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114"/>
    <n v="146"/>
    <n v="116"/>
    <n v="124"/>
    <n v="246"/>
    <n v="238"/>
    <n v="240"/>
    <n v="344"/>
    <n v="292"/>
    <n v="286"/>
    <n v="290"/>
  </r>
  <r>
    <s v="TOTAL URUGUAY"/>
    <s v="SH+AC (160+162)"/>
    <s v="L'OREAL"/>
    <x v="0"/>
    <s v="7509552904819"/>
    <x v="20"/>
    <s v="ELVIVE OLEO EXTRAORDINARIO TRATAM. 100 MLFCO.PL."/>
    <s v="Vtas Unds"/>
    <n v="92"/>
    <n v="146.15469999999999"/>
    <n v="89"/>
    <n v="142"/>
    <n v="144"/>
    <n v="144"/>
    <n v="208"/>
    <n v="285"/>
    <n v="166"/>
    <n v="121"/>
    <n v="119"/>
    <n v="134"/>
    <n v="155"/>
    <n v="102.5921"/>
    <n v="134"/>
    <n v="76"/>
    <n v="62"/>
    <n v="51"/>
    <n v="229"/>
    <n v="57"/>
    <n v="124"/>
    <n v="77"/>
    <n v="130"/>
    <n v="139"/>
    <n v="261"/>
    <n v="151"/>
    <n v="145"/>
    <n v="170"/>
    <n v="162"/>
    <n v="102"/>
    <n v="150"/>
    <n v="175"/>
    <n v="152"/>
    <n v="112"/>
    <n v="340"/>
    <n v="368"/>
    <n v="528"/>
  </r>
  <r>
    <s v="TOTAL URUGUAY"/>
    <s v="SH+AC (160+162)"/>
    <s v="L'OREAL"/>
    <x v="0"/>
    <s v="7509552906202"/>
    <x v="21"/>
    <s v="ELVIVE KERA-LISO BRILLO Y SEDOSIDAD 200 CC FCO PL"/>
    <s v="Vtas Unds"/>
    <n v="2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906226"/>
    <x v="21"/>
    <s v="ELVIVE KERA-LISO BRI/SEDOS.ACOND. 200 ML FCO PL"/>
    <s v="Vtas Unds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906233"/>
    <x v="21"/>
    <s v="ELVIVE KERA-LISO BRILLO/ SEDOS 400 CC FCO PL"/>
    <s v="Vtas Unds"/>
    <n v="0"/>
    <n v="0"/>
    <n v="0"/>
    <n v="2"/>
    <n v="0"/>
    <n v="0"/>
    <n v="1"/>
    <n v="0"/>
    <n v="0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906950"/>
    <x v="16"/>
    <s v="ELVIVE RT EXTREME FCO.PL. 400 CC"/>
    <s v="Vtas Unds"/>
    <n v="89"/>
    <n v="46"/>
    <n v="74"/>
    <n v="96"/>
    <n v="70"/>
    <n v="62"/>
    <n v="96"/>
    <n v="72"/>
    <n v="55"/>
    <n v="41"/>
    <n v="17"/>
    <n v="11"/>
    <n v="11"/>
    <n v="6"/>
    <n v="25"/>
    <n v="11"/>
    <n v="13"/>
    <n v="8"/>
    <n v="8"/>
    <n v="6"/>
    <n v="7"/>
    <n v="5"/>
    <n v="3"/>
    <n v="7"/>
    <n v="5"/>
    <n v="1"/>
    <n v="0"/>
    <n v="0"/>
    <n v="0"/>
    <n v="0"/>
    <n v="0"/>
    <n v="0"/>
    <n v="1"/>
    <n v="0"/>
    <n v="0"/>
    <n v="0"/>
    <n v="0"/>
  </r>
  <r>
    <s v="TOTAL URUGUAY"/>
    <s v="SH+AC (160+162)"/>
    <s v="L'OREAL"/>
    <x v="0"/>
    <s v="7509552906974"/>
    <x v="16"/>
    <s v="ELVIVE RT EXTREMEACOND. FCO.PL. 400 CC"/>
    <s v="Vtas Unds"/>
    <n v="83"/>
    <n v="52"/>
    <n v="53"/>
    <n v="59"/>
    <n v="45"/>
    <n v="73"/>
    <n v="48"/>
    <n v="41"/>
    <n v="26"/>
    <n v="30"/>
    <n v="14"/>
    <n v="8"/>
    <n v="15"/>
    <n v="3"/>
    <n v="6"/>
    <n v="10"/>
    <n v="7"/>
    <n v="9"/>
    <n v="5"/>
    <n v="2"/>
    <n v="1"/>
    <n v="2"/>
    <n v="0"/>
    <n v="0"/>
    <n v="2"/>
    <n v="0"/>
    <n v="0"/>
    <n v="1"/>
    <n v="0"/>
    <n v="0"/>
    <n v="0"/>
    <n v="1"/>
    <n v="0"/>
    <n v="1"/>
    <n v="0"/>
    <n v="1"/>
    <n v="1"/>
  </r>
  <r>
    <s v="TOTAL URUGUAY"/>
    <s v="SH+AC (160+162)"/>
    <s v="L'OREAL"/>
    <x v="0"/>
    <s v="7509552906998"/>
    <x v="16"/>
    <s v="ELVIVE RT EXTREMECR.TRATAM.POTE 300 CC"/>
    <s v="Vtas Unds"/>
    <n v="15"/>
    <n v="143"/>
    <n v="100"/>
    <n v="145"/>
    <n v="115"/>
    <n v="173"/>
    <n v="209"/>
    <n v="277"/>
    <n v="137"/>
    <n v="153"/>
    <n v="109"/>
    <n v="90"/>
    <n v="153"/>
    <n v="72"/>
    <n v="112"/>
    <n v="96"/>
    <n v="112"/>
    <n v="94"/>
    <n v="155"/>
    <n v="152"/>
    <n v="131"/>
    <n v="230"/>
    <n v="110"/>
    <n v="113"/>
    <n v="202"/>
    <n v="126"/>
    <n v="72"/>
    <n v="185"/>
    <n v="122"/>
    <n v="151"/>
    <n v="189"/>
    <n v="182"/>
    <n v="261"/>
    <n v="261"/>
    <n v="122"/>
    <n v="63"/>
    <n v="149"/>
  </r>
  <r>
    <s v="TOTAL URUGUAY"/>
    <s v="SH+AC (160+162)"/>
    <s v="L'OREAL"/>
    <x v="0"/>
    <s v="7509552907384"/>
    <x v="22"/>
    <s v="ELVIVE OLEO EXTRAORD.JALEA DISCIP.TRAT. 100 ML F.P."/>
    <s v="Vtas Unds"/>
    <n v="6"/>
    <n v="3"/>
    <n v="6"/>
    <n v="1"/>
    <n v="4"/>
    <n v="3"/>
    <n v="2"/>
    <n v="1"/>
    <n v="0"/>
    <n v="3"/>
    <n v="3"/>
    <n v="0"/>
    <n v="1"/>
    <n v="1"/>
    <n v="1"/>
    <n v="4"/>
    <n v="6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907759"/>
    <x v="7"/>
    <s v="ELVIVE COLOR VIVE SHAMPOO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50"/>
    <n v="121"/>
    <n v="377"/>
    <n v="357"/>
    <n v="450"/>
    <n v="627"/>
    <n v="530"/>
    <n v="649"/>
    <n v="993"/>
    <n v="726"/>
    <n v="670"/>
    <n v="763"/>
    <n v="610"/>
    <n v="541"/>
    <n v="561"/>
  </r>
  <r>
    <s v="TOTAL URUGUAY"/>
    <s v="SH+AC (160+162)"/>
    <s v="L'OREAL"/>
    <x v="0"/>
    <s v="7509552908459"/>
    <x v="9"/>
    <s v="ELVIVE OLEO EXTRAORDINARIO NUT.UNIVER. 400 CCFCO.PL."/>
    <s v="Vtas Unds"/>
    <n v="128"/>
    <n v="77"/>
    <n v="117"/>
    <n v="95"/>
    <n v="48"/>
    <n v="50"/>
    <n v="57"/>
    <n v="42"/>
    <n v="37"/>
    <n v="26"/>
    <n v="25"/>
    <n v="10"/>
    <n v="13"/>
    <n v="11.3947"/>
    <n v="12"/>
    <n v="12"/>
    <n v="18"/>
    <n v="15"/>
    <n v="33"/>
    <n v="25"/>
    <n v="22"/>
    <n v="23"/>
    <n v="7"/>
    <n v="1"/>
    <n v="1"/>
    <n v="2"/>
    <n v="1"/>
    <n v="1"/>
    <n v="0"/>
    <n v="0"/>
    <n v="1"/>
    <n v="0"/>
    <n v="0"/>
    <n v="0"/>
    <n v="0"/>
    <n v="0"/>
    <n v="0"/>
  </r>
  <r>
    <s v="TOTAL URUGUAY"/>
    <s v="SH+AC (160+162)"/>
    <s v="L'OREAL"/>
    <x v="0"/>
    <s v="7509552908473"/>
    <x v="1"/>
    <s v="ELVIVE OLEO EXTRAORDIN.NUT.INTEN.ACO.FCO.PL 200 ML"/>
    <s v="Vtas Unds"/>
    <n v="11"/>
    <n v="13"/>
    <n v="17"/>
    <n v="19"/>
    <n v="17"/>
    <n v="9"/>
    <n v="32"/>
    <n v="19"/>
    <n v="17"/>
    <n v="31"/>
    <n v="11"/>
    <n v="18"/>
    <n v="23.217700000000001"/>
    <n v="17"/>
    <n v="14"/>
    <n v="17"/>
    <n v="19"/>
    <n v="24"/>
    <n v="55"/>
    <n v="40"/>
    <n v="27"/>
    <n v="30"/>
    <n v="12"/>
    <n v="8"/>
    <n v="20"/>
    <n v="9"/>
    <n v="5"/>
    <n v="6"/>
    <n v="5"/>
    <n v="7"/>
    <n v="3"/>
    <n v="1"/>
    <n v="4"/>
    <n v="2"/>
    <n v="2"/>
    <n v="0"/>
    <n v="0"/>
  </r>
  <r>
    <s v="TOTAL URUGUAY"/>
    <s v="SH+AC (160+162)"/>
    <s v="L'OREAL"/>
    <x v="0"/>
    <s v="7509552908497"/>
    <x v="9"/>
    <s v="ELVIVE OLEO EXTRAORDINARIO NUT.UNIVER. 400 CCFCO PL."/>
    <s v="Vtas Unds"/>
    <n v="101"/>
    <n v="78"/>
    <n v="88"/>
    <n v="89"/>
    <n v="64"/>
    <n v="64"/>
    <n v="83"/>
    <n v="46"/>
    <n v="35"/>
    <n v="40"/>
    <n v="24"/>
    <n v="11"/>
    <n v="24"/>
    <n v="8"/>
    <n v="10"/>
    <n v="16"/>
    <n v="16"/>
    <n v="9"/>
    <n v="12"/>
    <n v="10"/>
    <n v="4"/>
    <n v="20"/>
    <n v="6"/>
    <n v="6"/>
    <n v="8"/>
    <n v="1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908527"/>
    <x v="1"/>
    <s v="ELVIVE OLEO EXTRAORD.NUTRI INT.C.MUY SECO 400CCFCO.P"/>
    <s v="Vtas Unds"/>
    <n v="104"/>
    <n v="70"/>
    <n v="108"/>
    <n v="102"/>
    <n v="61"/>
    <n v="61"/>
    <n v="104"/>
    <n v="55"/>
    <n v="38"/>
    <n v="50"/>
    <n v="46"/>
    <n v="39"/>
    <n v="32"/>
    <n v="19"/>
    <n v="26"/>
    <n v="21"/>
    <n v="22"/>
    <n v="14"/>
    <n v="18"/>
    <n v="15"/>
    <n v="17"/>
    <n v="17"/>
    <n v="8"/>
    <n v="3"/>
    <n v="3"/>
    <n v="4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908558"/>
    <x v="1"/>
    <s v="ELIVE OLEO EXTRAORDIN.NUT.INTEN.ACO. 400 MLFCO.PL."/>
    <s v="Vtas Unds"/>
    <n v="117"/>
    <n v="86"/>
    <n v="135"/>
    <n v="162"/>
    <n v="72"/>
    <n v="89"/>
    <n v="126"/>
    <n v="92"/>
    <n v="85"/>
    <n v="75"/>
    <n v="64"/>
    <n v="50"/>
    <n v="56"/>
    <n v="30"/>
    <n v="29"/>
    <n v="39"/>
    <n v="39"/>
    <n v="33"/>
    <n v="59"/>
    <n v="26"/>
    <n v="26"/>
    <n v="26"/>
    <n v="17"/>
    <n v="5"/>
    <n v="35"/>
    <n v="6"/>
    <n v="4"/>
    <n v="2"/>
    <n v="3"/>
    <n v="0"/>
    <n v="4"/>
    <n v="1"/>
    <n v="3"/>
    <n v="4"/>
    <n v="3"/>
    <n v="0"/>
    <n v="1"/>
  </r>
  <r>
    <s v="TOTAL URUGUAY"/>
    <s v="SH+AC (160+162)"/>
    <s v="L'OREAL"/>
    <x v="0"/>
    <s v="7509552908572"/>
    <x v="1"/>
    <s v="ELIVE OLEO EXTRAORDINARIO NUT.INTEN.TRAT.300MLPOTE"/>
    <s v="Vtas Unds"/>
    <n v="179"/>
    <n v="115"/>
    <n v="155"/>
    <n v="198"/>
    <n v="153"/>
    <n v="198"/>
    <n v="275"/>
    <n v="340.14210000000003"/>
    <n v="195"/>
    <n v="219"/>
    <n v="103"/>
    <n v="98"/>
    <n v="209"/>
    <n v="90.197400000000002"/>
    <n v="159"/>
    <n v="125"/>
    <n v="136"/>
    <n v="69"/>
    <n v="203.25309999999999"/>
    <n v="117"/>
    <n v="157"/>
    <n v="182"/>
    <n v="103"/>
    <n v="94"/>
    <n v="200"/>
    <n v="143"/>
    <n v="134"/>
    <n v="154"/>
    <n v="163"/>
    <n v="78"/>
    <n v="153"/>
    <n v="199"/>
    <n v="203"/>
    <n v="161"/>
    <n v="101"/>
    <n v="81"/>
    <n v="248"/>
  </r>
  <r>
    <s v="TOTAL URUGUAY"/>
    <s v="SH+AC (160+162)"/>
    <s v="L'OREAL"/>
    <x v="0"/>
    <s v="7509552909807"/>
    <x v="23"/>
    <s v="ELVIVE FIBRALOGY CRE.TRATA.POTE PL. 300 GR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s v="TOTAL URUGUAY"/>
    <s v="SH+AC (160+162)"/>
    <s v="L'OREAL"/>
    <x v="0"/>
    <s v="7509552909920"/>
    <x v="23"/>
    <s v="ELVIVE FIBRALOGY FCO.PL. 20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5"/>
    <n v="16"/>
    <n v="10"/>
    <n v="14"/>
    <n v="20"/>
    <n v="15"/>
    <n v="7"/>
    <n v="12"/>
    <n v="10"/>
    <n v="3"/>
    <n v="6"/>
  </r>
  <r>
    <s v="TOTAL URUGUAY"/>
    <s v="SH+AC (160+162)"/>
    <s v="L'OREAL"/>
    <x v="0"/>
    <s v="7509552910957"/>
    <x v="22"/>
    <s v="ELVIVE OLEO EXT. TODO TIPO 200 ML FCO PLAST"/>
    <s v="Vtas Unds"/>
    <n v="73"/>
    <n v="39"/>
    <n v="51"/>
    <n v="36"/>
    <n v="21"/>
    <n v="25"/>
    <n v="97"/>
    <n v="100"/>
    <n v="74"/>
    <n v="114"/>
    <n v="80"/>
    <n v="75"/>
    <n v="65"/>
    <n v="41.197400000000002"/>
    <n v="53"/>
    <n v="59"/>
    <n v="53"/>
    <n v="55"/>
    <n v="106"/>
    <n v="78"/>
    <n v="116"/>
    <n v="165"/>
    <n v="119"/>
    <n v="111"/>
    <n v="177"/>
    <n v="106"/>
    <n v="80"/>
    <n v="248"/>
    <n v="262"/>
    <n v="203"/>
    <n v="368"/>
    <n v="335"/>
    <n v="246"/>
    <n v="262"/>
    <n v="189"/>
    <n v="211"/>
    <n v="278"/>
  </r>
  <r>
    <s v="TOTAL URUGUAY"/>
    <s v="SH+AC (160+162)"/>
    <s v="L'OREAL"/>
    <x v="0"/>
    <s v="7509552911411"/>
    <x v="17"/>
    <s v="ELVIVE OLEO EXTRAORDINARIO RIZOS DEFINIDOS NUTRIC 400ML FCO"/>
    <s v="Vtas Unds"/>
    <n v="54"/>
    <n v="30"/>
    <n v="34"/>
    <n v="49"/>
    <n v="55"/>
    <n v="55"/>
    <n v="66"/>
    <n v="46"/>
    <n v="34"/>
    <n v="31"/>
    <n v="14"/>
    <n v="20"/>
    <n v="20"/>
    <n v="6"/>
    <n v="18"/>
    <n v="14"/>
    <n v="16"/>
    <n v="8"/>
    <n v="3"/>
    <n v="3"/>
    <n v="4"/>
    <n v="5"/>
    <n v="4"/>
    <n v="0"/>
    <n v="5"/>
    <n v="6"/>
    <n v="0"/>
    <n v="1"/>
    <n v="0"/>
    <n v="0"/>
    <n v="1"/>
    <n v="0"/>
    <n v="1"/>
    <n v="0"/>
    <n v="0"/>
    <n v="0"/>
    <n v="0"/>
  </r>
  <r>
    <s v="TOTAL URUGUAY"/>
    <s v="SH+AC (160+162)"/>
    <s v="L'OREAL"/>
    <x v="0"/>
    <s v="7509552911459"/>
    <x v="17"/>
    <s v="ELVIVE OLEO EXTRA.CURLS RULOS ACON. 400 MLFCO.PL."/>
    <s v="Vtas Unds"/>
    <n v="43"/>
    <n v="38"/>
    <n v="33"/>
    <n v="45"/>
    <n v="42"/>
    <n v="39"/>
    <n v="38"/>
    <n v="32"/>
    <n v="29"/>
    <n v="27"/>
    <n v="15"/>
    <n v="10"/>
    <n v="19"/>
    <n v="6"/>
    <n v="7"/>
    <n v="14"/>
    <n v="7"/>
    <n v="2"/>
    <n v="7"/>
    <n v="3"/>
    <n v="2"/>
    <n v="3"/>
    <n v="1"/>
    <n v="1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911473"/>
    <x v="17"/>
    <s v="ELVIVE OLEO EXTRAORDINARIO CURLS RULOS CRE.P/EI. F.P. 300 ML"/>
    <s v="Vtas Unds"/>
    <n v="137"/>
    <n v="106"/>
    <n v="153"/>
    <n v="192"/>
    <n v="137"/>
    <n v="156"/>
    <n v="270"/>
    <n v="288"/>
    <n v="150"/>
    <n v="146"/>
    <n v="107"/>
    <n v="90"/>
    <n v="158.21770000000001"/>
    <n v="74"/>
    <n v="102"/>
    <n v="98"/>
    <n v="116"/>
    <n v="75.919300000000007"/>
    <n v="209.23750000000001"/>
    <n v="150"/>
    <n v="145"/>
    <n v="193"/>
    <n v="105"/>
    <n v="112"/>
    <n v="161"/>
    <n v="109"/>
    <n v="98"/>
    <n v="87"/>
    <n v="122"/>
    <n v="92"/>
    <n v="96"/>
    <n v="112"/>
    <n v="44"/>
    <n v="61"/>
    <n v="59"/>
    <n v="65"/>
    <n v="66"/>
  </r>
  <r>
    <s v="TOTAL URUGUAY"/>
    <s v="SH+AC (160+162)"/>
    <s v="L'OREAL"/>
    <x v="0"/>
    <s v="7509552911480"/>
    <x v="20"/>
    <s v="ELVIVE OLEO EXTRAORDINARIO CR.TRATAM. 300 GRPOTE"/>
    <s v="Vtas Unds"/>
    <n v="9"/>
    <n v="11"/>
    <n v="5"/>
    <n v="12"/>
    <n v="13"/>
    <n v="10"/>
    <n v="15"/>
    <n v="9"/>
    <n v="3"/>
    <n v="9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912883"/>
    <x v="4"/>
    <s v="ELVIVE CAIDA RESIST FCO.PL. 400 CC"/>
    <s v="Vtas Unds"/>
    <n v="80"/>
    <n v="47"/>
    <n v="55"/>
    <n v="55"/>
    <n v="59"/>
    <n v="44"/>
    <n v="35"/>
    <n v="26"/>
    <n v="30"/>
    <n v="25"/>
    <n v="12"/>
    <n v="21"/>
    <n v="14"/>
    <n v="12"/>
    <n v="7"/>
    <n v="15"/>
    <n v="10"/>
    <n v="7"/>
    <n v="3"/>
    <n v="3"/>
    <n v="4"/>
    <n v="3"/>
    <n v="1"/>
    <n v="1"/>
    <n v="1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912913"/>
    <x v="4"/>
    <s v="ELVIVE CAIDA RESIST FCO.PL. 200 CC"/>
    <s v="Vtas Unds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509552912937"/>
    <x v="4"/>
    <s v="ELVIVE CAIDA RESIST ACOND. 400 CCFCO.PL."/>
    <s v="Vtas Unds"/>
    <n v="12"/>
    <n v="6"/>
    <n v="8"/>
    <n v="2"/>
    <n v="2"/>
    <n v="1"/>
    <n v="5"/>
    <n v="5"/>
    <n v="4"/>
    <n v="5"/>
    <n v="3"/>
    <n v="3"/>
    <n v="2"/>
    <n v="5"/>
    <n v="5"/>
    <n v="2"/>
    <n v="0"/>
    <n v="5"/>
    <n v="2"/>
    <n v="4"/>
    <n v="1"/>
    <n v="5"/>
    <n v="2"/>
    <n v="1"/>
    <n v="1"/>
    <n v="1"/>
    <n v="0"/>
    <n v="1"/>
    <n v="2"/>
    <n v="1"/>
    <n v="0"/>
    <n v="0"/>
    <n v="0"/>
    <n v="0"/>
    <n v="0"/>
    <n v="0"/>
    <n v="0"/>
  </r>
  <r>
    <s v="TOTAL URUGUAY"/>
    <s v="SH+AC (160+162)"/>
    <s v="L'OREAL"/>
    <x v="0"/>
    <s v="7509552912999"/>
    <x v="10"/>
    <s v="ELVIVE ARCILLA PURIFICAN FCO.PLAST. 200 ML"/>
    <s v="Vtas Unds"/>
    <n v="0"/>
    <n v="0"/>
    <n v="4"/>
    <n v="2"/>
    <n v="0"/>
    <n v="0"/>
    <n v="1"/>
    <n v="5"/>
    <n v="0"/>
    <n v="0"/>
    <n v="0"/>
    <n v="0"/>
    <n v="0"/>
    <n v="0"/>
    <n v="0"/>
    <n v="0"/>
    <n v="0"/>
    <n v="0"/>
    <n v="3"/>
    <n v="0"/>
    <n v="0"/>
    <n v="0"/>
    <n v="0"/>
    <n v="0"/>
    <n v="0"/>
    <n v="1"/>
    <n v="1"/>
    <n v="1"/>
    <n v="0"/>
    <n v="0"/>
    <n v="1"/>
    <n v="0"/>
    <n v="0"/>
    <n v="0"/>
    <n v="0"/>
    <n v="0"/>
    <n v="0"/>
  </r>
  <r>
    <s v="TOTAL URUGUAY"/>
    <s v="SH+AC (160+162)"/>
    <s v="L'OREAL"/>
    <x v="0"/>
    <s v="7509552913002"/>
    <x v="10"/>
    <s v="ELVIVE ARCILLA PURIFICANTE FCO.PL. 400 ML"/>
    <s v="Vtas Unds"/>
    <n v="116"/>
    <n v="76.154700000000005"/>
    <n v="64"/>
    <n v="93"/>
    <n v="56"/>
    <n v="55"/>
    <n v="76"/>
    <n v="65"/>
    <n v="36"/>
    <n v="47"/>
    <n v="25"/>
    <n v="15"/>
    <n v="20"/>
    <n v="6"/>
    <n v="7"/>
    <n v="12"/>
    <n v="2"/>
    <n v="2"/>
    <n v="5"/>
    <n v="4"/>
    <n v="3"/>
    <n v="11"/>
    <n v="4"/>
    <n v="0"/>
    <n v="1"/>
    <n v="0"/>
    <n v="0"/>
    <n v="2"/>
    <n v="0"/>
    <n v="0"/>
    <n v="0"/>
    <n v="0"/>
    <n v="0"/>
    <n v="0"/>
    <n v="0"/>
    <n v="0"/>
    <n v="0"/>
  </r>
  <r>
    <s v="TOTAL URUGUAY"/>
    <s v="SH+AC (160+162)"/>
    <s v="L'OREAL"/>
    <x v="0"/>
    <s v="7509552913057"/>
    <x v="10"/>
    <s v="ELVIVE ARCILLA PURIFICAN.ACOND 400 CCFCO.PL."/>
    <s v="Vtas Unds"/>
    <n v="103"/>
    <n v="58"/>
    <n v="117"/>
    <n v="101"/>
    <n v="87"/>
    <n v="52"/>
    <n v="82"/>
    <n v="63"/>
    <n v="66"/>
    <n v="71"/>
    <n v="26"/>
    <n v="20"/>
    <n v="43"/>
    <n v="27.197399999999998"/>
    <n v="28"/>
    <n v="19"/>
    <n v="17"/>
    <n v="10"/>
    <n v="16"/>
    <n v="9"/>
    <n v="11"/>
    <n v="4"/>
    <n v="4"/>
    <n v="6"/>
    <n v="3"/>
    <n v="3"/>
    <n v="1"/>
    <n v="4"/>
    <n v="0"/>
    <n v="1"/>
    <n v="0"/>
    <n v="0"/>
    <n v="1"/>
    <n v="0"/>
    <n v="2"/>
    <n v="0"/>
    <n v="0"/>
  </r>
  <r>
    <s v="TOTAL URUGUAY"/>
    <s v="SH+AC (160+162)"/>
    <s v="L'OREAL"/>
    <x v="0"/>
    <s v="7509552915266"/>
    <x v="24"/>
    <s v="ELVIVE REPARACIONTOTAL 5 EDI.VERANO 200 MLFCO.PLAST."/>
    <s v="Vtas Unds"/>
    <n v="0"/>
    <n v="0"/>
    <n v="1"/>
    <n v="0"/>
    <n v="0"/>
    <n v="0"/>
    <n v="0"/>
    <n v="0"/>
    <n v="0"/>
    <n v="0"/>
    <n v="1"/>
    <n v="0"/>
    <n v="0"/>
    <n v="0"/>
    <n v="0"/>
    <n v="2"/>
    <n v="0"/>
    <n v="1"/>
    <n v="7"/>
    <n v="3"/>
    <n v="3"/>
    <n v="2"/>
    <n v="0"/>
    <n v="0"/>
    <n v="1"/>
    <n v="0"/>
    <n v="1"/>
    <n v="0"/>
    <n v="0"/>
    <n v="0"/>
    <n v="0"/>
    <n v="1"/>
    <n v="1"/>
    <n v="0"/>
    <n v="0"/>
    <n v="0"/>
    <n v="0"/>
  </r>
  <r>
    <s v="TOTAL URUGUAY"/>
    <s v="SH+AC (160+162)"/>
    <s v="L'OREAL"/>
    <x v="0"/>
    <s v="7509552928549"/>
    <x v="25"/>
    <s v="ELVIVE GLYCOLIC GLOSS CREMA DE TRATAMIENTO POTE 300GR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26"/>
    <n v="759"/>
    <n v="1226"/>
    <n v="967"/>
    <n v="703"/>
    <n v="980"/>
    <n v="908"/>
    <n v="687"/>
    <n v="956"/>
    <n v="975"/>
    <n v="701"/>
    <n v="1603"/>
    <n v="513"/>
    <n v="490"/>
    <n v="969"/>
  </r>
  <r>
    <s v="TOTAL URUGUAY"/>
    <s v="SH+AC (160+162)"/>
    <s v="L'OREAL"/>
    <x v="0"/>
    <s v="7509552928563"/>
    <x v="25"/>
    <s v="ELVIVE GLYCOLIC GLOSS CR.DE TRAT. BRILLO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79"/>
    <n v="189"/>
    <n v="233"/>
    <n v="214"/>
    <n v="137"/>
    <n v="173"/>
    <n v="118"/>
    <n v="127"/>
    <n v="140"/>
    <n v="82"/>
    <n v="52"/>
    <n v="157"/>
  </r>
  <r>
    <s v="TOTAL URUGUAY"/>
    <s v="SH+AC (160+162)"/>
    <s v="L'OREAL"/>
    <x v="0"/>
    <s v="7509552928594"/>
    <x v="25"/>
    <s v="ELVIVE SHAMPOO GLYCOLIC GLOSS FCO 68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43"/>
    <n v="405"/>
    <n v="994"/>
    <n v="462"/>
    <n v="413"/>
    <n v="643"/>
    <n v="876"/>
    <n v="485"/>
    <n v="634"/>
    <n v="309"/>
    <n v="321"/>
    <n v="588"/>
    <n v="356"/>
    <n v="555"/>
    <n v="986"/>
  </r>
  <r>
    <s v="TOTAL URUGUAY"/>
    <s v="SH+AC (160+162)"/>
    <s v="L'OREAL"/>
    <x v="0"/>
    <s v="7509552928617"/>
    <x v="25"/>
    <s v="ELVIVE GLYCOLIC GLOSS ACONDICIONADOR FCO 37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906"/>
    <n v="1744"/>
    <n v="2986"/>
    <n v="1623"/>
    <n v="1628"/>
    <n v="2442"/>
    <n v="1548"/>
    <n v="1018"/>
    <n v="1731"/>
    <n v="1380"/>
    <n v="1489"/>
    <n v="2528"/>
    <n v="1037"/>
    <n v="1500"/>
    <n v="1573"/>
  </r>
  <r>
    <s v="TOTAL URUGUAY"/>
    <s v="SH+AC (160+162)"/>
    <s v="L'OREAL"/>
    <x v="0"/>
    <s v="7509552928624"/>
    <x v="25"/>
    <s v="ELVIVE GLYCOLIC GLOSS CREMA PARA PEINAR POTE 3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35"/>
    <n v="329"/>
    <n v="606"/>
    <n v="465"/>
    <n v="394"/>
    <n v="385"/>
    <n v="461"/>
    <n v="384"/>
    <n v="470"/>
    <n v="556"/>
    <n v="481"/>
    <n v="459"/>
    <n v="369"/>
    <n v="320"/>
    <n v="443"/>
  </r>
  <r>
    <s v="TOTAL URUGUAY"/>
    <s v="SH+AC (160+162)"/>
    <s v="L'OREAL"/>
    <x v="0"/>
    <s v="7509552928877"/>
    <x v="25"/>
    <s v="ELVIVE GLYCOLIC GLOSS SERUM TRAT INT BRILL REG ADU FCO 1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129"/>
    <n v="240"/>
    <n v="185"/>
    <n v="143"/>
    <n v="171"/>
    <n v="112"/>
    <n v="94"/>
    <n v="147"/>
    <n v="96"/>
    <n v="93"/>
    <n v="234"/>
  </r>
  <r>
    <s v="TOTAL URUGUAY"/>
    <s v="SH+AC (160+162)"/>
    <s v="L'OREAL"/>
    <x v="0"/>
    <s v="7509552930337"/>
    <x v="25"/>
    <s v="ELVIVE GLYCOLIC GLOSS AC BRILLO REG ADU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"/>
    <n v="356"/>
    <n v="698"/>
    <n v="711"/>
    <n v="715"/>
    <n v="1206"/>
    <n v="897"/>
    <n v="735"/>
    <n v="921"/>
    <n v="813"/>
    <n v="628"/>
    <n v="946"/>
  </r>
  <r>
    <s v="TOTAL URUGUAY"/>
    <s v="SH+AC (160+162)"/>
    <s v="L'OREAL"/>
    <x v="0"/>
    <s v="7509552931143"/>
    <x v="25"/>
    <s v="ELVIVE GLYCOLIC GLOSS SHAMPOO FCO 37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865"/>
    <n v="1591"/>
    <n v="2634"/>
    <n v="1613"/>
    <n v="1522"/>
    <n v="2126"/>
    <n v="1031"/>
    <n v="821"/>
    <n v="1251"/>
    <n v="1108"/>
    <n v="1094"/>
    <n v="1576"/>
    <n v="721"/>
    <n v="1019"/>
    <n v="992"/>
  </r>
  <r>
    <s v="TOTAL URUGUAY"/>
    <s v="SH+AC (160+162)"/>
    <s v="L'OREAL"/>
    <x v="0"/>
    <s v="7509552937343"/>
    <x v="25"/>
    <s v="ELVIVE GLYCOLIC GLOSS SH BRILLO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"/>
    <n v="425"/>
    <n v="768"/>
    <n v="787"/>
    <n v="721"/>
    <n v="1074"/>
    <n v="810"/>
    <n v="668"/>
    <n v="1141"/>
    <n v="743"/>
    <n v="527"/>
    <n v="799"/>
  </r>
  <r>
    <s v="TOTAL URUGUAY"/>
    <s v="SH+AC (160+162)"/>
    <s v="L'OREAL"/>
    <x v="0"/>
    <s v="7509552961478"/>
    <x v="26"/>
    <s v="ELVIVE DREAM LISO SH ADU REG FCO 68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9"/>
  </r>
  <r>
    <s v="TOTAL URUGUAY"/>
    <s v="SH+AC (160+162)"/>
    <s v="L'OREAL"/>
    <x v="0"/>
    <s v="7509552961485"/>
    <x v="26"/>
    <s v="ELVIVE DREAM LISO SH REG ADU FCO 37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3"/>
  </r>
  <r>
    <s v="TOTAL URUGUAY"/>
    <s v="SH+AC (160+162)"/>
    <s v="L'OREAL"/>
    <x v="0"/>
    <s v="7509552961492"/>
    <x v="26"/>
    <s v="ELVIVE DREAM LISO CR.DE TRAT. ADU REGULAR POTE 3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8"/>
  </r>
  <r>
    <s v="TOTAL URUGUAY"/>
    <s v="SH+AC (160+162)"/>
    <s v="L'OREAL"/>
    <x v="0"/>
    <s v="7509552961515"/>
    <x v="26"/>
    <s v="ELVIVE DREAM LISO AC ADU REGULAR FCO 37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32"/>
  </r>
  <r>
    <s v="TOTAL URUGUAY"/>
    <s v="SH+AC (160+162)"/>
    <s v="L'OREAL"/>
    <x v="0"/>
    <s v="7509552964417"/>
    <x v="26"/>
    <s v="ELVIVE DREAM LISO AC REGULAR ADU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0"/>
  </r>
  <r>
    <s v="TOTAL URUGUAY"/>
    <s v="SH+AC (160+162)"/>
    <s v="L'OREAL"/>
    <x v="0"/>
    <s v="7509552964554"/>
    <x v="26"/>
    <s v="ELVIVE DREAM LISO SH.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"/>
  </r>
  <r>
    <s v="TOTAL URUGUAY"/>
    <s v="SH+AC (160+162)"/>
    <s v="L'OREAL"/>
    <x v="0"/>
    <s v="7730317033257BP1"/>
    <x v="7"/>
    <s v="ELVIVE ACOND. FCO.PL. 200 CC +MM SHAMPOO 400 ML"/>
    <s v="Vtas Unds"/>
    <n v="171"/>
    <n v="40"/>
    <n v="33"/>
    <n v="28"/>
    <n v="18"/>
    <n v="27"/>
    <n v="14"/>
    <n v="10"/>
    <n v="3"/>
    <n v="5"/>
    <n v="0"/>
    <n v="3"/>
    <n v="0"/>
    <n v="0"/>
    <n v="0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33257BP2"/>
    <x v="7"/>
    <s v="ELVIVE COLOR VIVE FCO.PL. 400 CCC/ACO.200C"/>
    <s v="Vtas Unds"/>
    <n v="171"/>
    <n v="40"/>
    <n v="33"/>
    <n v="28"/>
    <n v="18"/>
    <n v="27"/>
    <n v="14"/>
    <n v="10"/>
    <n v="3"/>
    <n v="5"/>
    <n v="0"/>
    <n v="3"/>
    <n v="0"/>
    <n v="0"/>
    <n v="0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33264BP1"/>
    <x v="2"/>
    <s v="ELVIVE REPARACIONTOTAL 5 F.P.400 CCC/ACONDIC.F.P.200 CC"/>
    <s v="Vtas Unds"/>
    <n v="564"/>
    <n v="135"/>
    <n v="94"/>
    <n v="94"/>
    <n v="103"/>
    <n v="53"/>
    <n v="68"/>
    <n v="23"/>
    <n v="20"/>
    <n v="11"/>
    <n v="0"/>
    <n v="1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0"/>
    <n v="0"/>
    <n v="0"/>
  </r>
  <r>
    <s v="TOTAL URUGUAY"/>
    <s v="SH+AC (160+162)"/>
    <s v="L'OREAL"/>
    <x v="0"/>
    <s v="7730317033264BP2"/>
    <x v="2"/>
    <s v="ELVIVE ACOND.FCO.PL. 200 CC + MM SHAMP.REP.TOT.400CC"/>
    <s v="Vtas Unds"/>
    <n v="564"/>
    <n v="135"/>
    <n v="94"/>
    <n v="94"/>
    <n v="103"/>
    <n v="53"/>
    <n v="68"/>
    <n v="23"/>
    <n v="20"/>
    <n v="11"/>
    <n v="0"/>
    <n v="1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0"/>
    <n v="0"/>
    <n v="0"/>
  </r>
  <r>
    <s v="TOTAL URUGUAY"/>
    <s v="SH+AC (160+162)"/>
    <s v="L'OREAL"/>
    <x v="0"/>
    <s v="7730317033271BP1"/>
    <x v="7"/>
    <s v="ELVIVE COLOR VIVE FCO.PL. 400 CCC/ACO.200C"/>
    <s v="Vtas Unds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33271BP2"/>
    <x v="7"/>
    <s v="ELVIVE COLOR VIVE FCO.PLAST. 200 CCC/SHA.400C"/>
    <s v="Vtas Unds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35701BP1"/>
    <x v="21"/>
    <s v="ELVIVE KERA-LISO BRILLO F.P.400 ML+SHAM.F.P. 400ML"/>
    <s v="Vtas Unds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35701BP2"/>
    <x v="21"/>
    <s v="ELVIVE KERA-LISO BRILLO Y SEDO.400CC F.P.C/ACO 400CC F.P"/>
    <s v="Vtas Unds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37996BP1"/>
    <x v="1"/>
    <s v="ELVIVE OLEO EXTRAORD.NUT.INTENSA F.P. 400 CC+ACOND.F.P.200CC"/>
    <s v="Vtas Unds"/>
    <n v="161"/>
    <n v="37"/>
    <n v="23"/>
    <n v="32"/>
    <n v="28"/>
    <n v="15"/>
    <n v="20"/>
    <n v="15"/>
    <n v="20"/>
    <n v="32"/>
    <n v="19"/>
    <n v="9"/>
    <n v="4"/>
    <n v="4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37996BP2"/>
    <x v="1"/>
    <s v="ELVIVE OLEO EXTR.NUT.INTEN.ACO.200 CCF.P.+SHAMPF.P.400CC"/>
    <s v="Vtas Unds"/>
    <n v="161"/>
    <n v="37"/>
    <n v="23"/>
    <n v="32"/>
    <n v="28"/>
    <n v="15"/>
    <n v="20"/>
    <n v="15"/>
    <n v="20"/>
    <n v="32"/>
    <n v="19"/>
    <n v="9"/>
    <n v="4"/>
    <n v="4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51077BP1"/>
    <x v="10"/>
    <s v="ELVIVE ARCILLA PURIFICANTE 200 ML FRASC PLAST+SH 400ML FP"/>
    <s v="Vtas Unds"/>
    <n v="67"/>
    <n v="22"/>
    <n v="11"/>
    <n v="12"/>
    <n v="7"/>
    <n v="6"/>
    <n v="7"/>
    <n v="13"/>
    <n v="19"/>
    <n v="21"/>
    <n v="10"/>
    <n v="14"/>
    <n v="8"/>
    <n v="5"/>
    <n v="5"/>
    <n v="5"/>
    <n v="7"/>
    <n v="5"/>
    <n v="4"/>
    <n v="2"/>
    <n v="0"/>
    <n v="0"/>
    <n v="0"/>
    <n v="0"/>
    <n v="0"/>
    <n v="0"/>
    <n v="0"/>
    <n v="0"/>
    <n v="0"/>
    <n v="0"/>
    <n v="0"/>
    <n v="1"/>
    <n v="0"/>
    <n v="1"/>
    <n v="0"/>
    <n v="0"/>
    <n v="1"/>
  </r>
  <r>
    <s v="TOTAL URUGUAY"/>
    <s v="SH+AC (160+162)"/>
    <s v="L'OREAL"/>
    <x v="0"/>
    <s v="7730317051077BP2"/>
    <x v="10"/>
    <s v="ELVIVE ARCILLA PURIFICANTE 400 ML FRASC PLAST+ACO 200ML FP"/>
    <s v="Vtas Unds"/>
    <n v="67"/>
    <n v="22"/>
    <n v="11"/>
    <n v="12"/>
    <n v="7"/>
    <n v="6"/>
    <n v="7"/>
    <n v="13"/>
    <n v="19"/>
    <n v="21"/>
    <n v="10"/>
    <n v="14"/>
    <n v="8"/>
    <n v="5"/>
    <n v="5"/>
    <n v="5"/>
    <n v="7"/>
    <n v="5"/>
    <n v="4"/>
    <n v="2"/>
    <n v="0"/>
    <n v="0"/>
    <n v="0"/>
    <n v="0"/>
    <n v="0"/>
    <n v="0"/>
    <n v="0"/>
    <n v="0"/>
    <n v="0"/>
    <n v="0"/>
    <n v="0"/>
    <n v="1"/>
    <n v="0"/>
    <n v="1"/>
    <n v="0"/>
    <n v="0"/>
    <n v="1"/>
  </r>
  <r>
    <s v="TOTAL URUGUAY"/>
    <s v="SH+AC (160+162)"/>
    <s v="L'OREAL"/>
    <x v="0"/>
    <s v="7730317057345BP1"/>
    <x v="12"/>
    <s v="ELVIVE DREAM LONG.CAB/LARGO DAÑADOFP400ML+MM.ACO200 ML PACK"/>
    <s v="Vtas Unds"/>
    <n v="544"/>
    <n v="140"/>
    <n v="112"/>
    <n v="157"/>
    <n v="153"/>
    <n v="186"/>
    <n v="211"/>
    <n v="86"/>
    <n v="86"/>
    <n v="87"/>
    <n v="35"/>
    <n v="32"/>
    <n v="20"/>
    <n v="20"/>
    <n v="45"/>
    <n v="68"/>
    <n v="20"/>
    <n v="25"/>
    <n v="48"/>
    <n v="12"/>
    <n v="10"/>
    <n v="0"/>
    <n v="0"/>
    <n v="0"/>
    <n v="1"/>
    <n v="0"/>
    <n v="1"/>
    <n v="0"/>
    <n v="0"/>
    <n v="0"/>
    <n v="0"/>
    <n v="0"/>
    <n v="0"/>
    <n v="0"/>
    <n v="0"/>
    <n v="0"/>
    <n v="0"/>
  </r>
  <r>
    <s v="TOTAL URUGUAY"/>
    <s v="SH+AC (160+162)"/>
    <s v="L'OREAL"/>
    <x v="0"/>
    <s v="7730317057345BP2"/>
    <x v="12"/>
    <s v="ELVIVE DREAM LONG.CAB/LARGO DAÑADOFP200ML+MM.SH400 ML PACK"/>
    <s v="Vtas Unds"/>
    <n v="544"/>
    <n v="140"/>
    <n v="112"/>
    <n v="157"/>
    <n v="153"/>
    <n v="186"/>
    <n v="211"/>
    <n v="86"/>
    <n v="86"/>
    <n v="87"/>
    <n v="35"/>
    <n v="32"/>
    <n v="20"/>
    <n v="20"/>
    <n v="45"/>
    <n v="68"/>
    <n v="20"/>
    <n v="25"/>
    <n v="48"/>
    <n v="12"/>
    <n v="10"/>
    <n v="0"/>
    <n v="0"/>
    <n v="0"/>
    <n v="1"/>
    <n v="0"/>
    <n v="1"/>
    <n v="0"/>
    <n v="0"/>
    <n v="0"/>
    <n v="0"/>
    <n v="0"/>
    <n v="0"/>
    <n v="0"/>
    <n v="0"/>
    <n v="0"/>
    <n v="0"/>
  </r>
  <r>
    <s v="TOTAL URUGUAY"/>
    <s v="SH+AC (160+162)"/>
    <s v="L'OREAL"/>
    <x v="0"/>
    <s v="7730317058984BP1"/>
    <x v="1"/>
    <s v="ELVIVE OLEO EXT.SH.NUTR.INT FP 680ML+MM ACO.FP200ML"/>
    <s v="Vtas Unds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58984BP2"/>
    <x v="1"/>
    <s v="ELVIVE OLEO EXT.ACO.NUTR.INT FP 200 ML+MM SH.FP680ML"/>
    <s v="Vtas Unds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58991BP1"/>
    <x v="7"/>
    <s v="ELVIVE COLORVIVEACO. FP 200ML+MM SH .FP680ML"/>
    <s v="Vtas Unds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58991BP2"/>
    <x v="7"/>
    <s v="ELVIVE COLORVIVESH. FP 680ML+MM ACO.FP200ML"/>
    <s v="Vtas Unds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0512BP1"/>
    <x v="10"/>
    <s v="ELVIVE ARCILLA PURI. HIDR. FP 680ML+MM ACO.FP200ML"/>
    <s v="Vtas Unds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0512BP2"/>
    <x v="10"/>
    <s v="ELVIVE ARCILLA PURI. HIDR. FP 200 ML+MM SH .FP 680ML"/>
    <s v="Vtas Unds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1885BP1"/>
    <x v="0"/>
    <s v="ELVIVE DREAM LONG LISS ANTIFRIZ FCO200ML+MM SH FCO400ML"/>
    <s v="Vtas Unds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1885BP2"/>
    <x v="0"/>
    <s v="ELVIVE DREAM LONG LISS SH ANTIFRIZZ FCO400ML+MM ACO FCO200ML"/>
    <s v="Vtas Unds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1892BP1"/>
    <x v="0"/>
    <s v="ELVIVE DREAM LONG LISS ANTIFRIZ FP400ML+MM ACOND 400ML+CEPIL"/>
    <s v="Vtas Unds"/>
    <n v="244"/>
    <n v="112"/>
    <n v="68"/>
    <n v="105"/>
    <n v="80"/>
    <n v="56"/>
    <n v="66"/>
    <n v="17"/>
    <n v="15"/>
    <n v="2"/>
    <n v="8"/>
    <n v="5"/>
    <n v="10"/>
    <n v="1"/>
    <n v="2"/>
    <n v="1"/>
    <n v="2"/>
    <n v="2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1892BP2"/>
    <x v="0"/>
    <s v="ELVIVE DREAM LONG LISS ACO ANTIFRI FP400ML+MMSHAMP400ML+CEPI"/>
    <s v="Vtas Unds"/>
    <n v="244"/>
    <n v="112"/>
    <n v="68"/>
    <n v="105"/>
    <n v="80"/>
    <n v="56"/>
    <n v="66"/>
    <n v="17"/>
    <n v="15"/>
    <n v="2"/>
    <n v="8"/>
    <n v="5"/>
    <n v="10"/>
    <n v="1"/>
    <n v="2"/>
    <n v="1"/>
    <n v="2"/>
    <n v="2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1908BP1"/>
    <x v="7"/>
    <s v="ELVIVE COLOR VIVE FCO.PLAST. 400 ML+MM ACONDI 400ML+CEPILLO"/>
    <s v="Vtas Unds"/>
    <n v="164"/>
    <n v="72"/>
    <n v="39"/>
    <n v="39"/>
    <n v="29"/>
    <n v="43"/>
    <n v="37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1908BP2"/>
    <x v="7"/>
    <s v="ELVIVE COLOR VIVEACOND.FCO.PLAST. 400 ML+SHAMPOO 400ML+CEPIL"/>
    <s v="Vtas Unds"/>
    <n v="164"/>
    <n v="72"/>
    <n v="39"/>
    <n v="39"/>
    <n v="29"/>
    <n v="43"/>
    <n v="37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1915BP1"/>
    <x v="2"/>
    <s v="ELVIVE REPARACIONTOTAL 5 FCO.PL 400 CC+MM ACOND 400ML+CEPILL"/>
    <s v="Vtas Unds"/>
    <n v="60"/>
    <n v="25"/>
    <n v="7"/>
    <n v="6"/>
    <n v="2"/>
    <n v="3"/>
    <n v="3"/>
    <n v="2"/>
    <n v="3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1915BP2"/>
    <x v="2"/>
    <s v="ELVIVE REPARACIONTOTAL5 ACOND FP 400 CC+MM SHAMPOO 400ML+CEP"/>
    <s v="Vtas Unds"/>
    <n v="60"/>
    <n v="25"/>
    <n v="7"/>
    <n v="6"/>
    <n v="2"/>
    <n v="3"/>
    <n v="3"/>
    <n v="2"/>
    <n v="3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1922BP1"/>
    <x v="1"/>
    <s v="ELVIVE OLEO EXTRAOR NUT.INTEN.F.P 400 ML+MM ACONDI400ML+CEPI"/>
    <s v="Vtas Unds"/>
    <n v="275"/>
    <n v="102"/>
    <n v="71"/>
    <n v="113"/>
    <n v="63"/>
    <n v="54"/>
    <n v="64"/>
    <n v="16"/>
    <n v="14"/>
    <n v="7"/>
    <n v="6"/>
    <n v="3"/>
    <n v="5"/>
    <n v="3"/>
    <n v="3"/>
    <n v="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1922BP2"/>
    <x v="1"/>
    <s v="ELVIVE OLEO EXTRAO.NUT.INTEN.ACO.F.P.400 ML+MMSHAMPO400ML+CE"/>
    <s v="Vtas Unds"/>
    <n v="275"/>
    <n v="102"/>
    <n v="71"/>
    <n v="113"/>
    <n v="63"/>
    <n v="54"/>
    <n v="64"/>
    <n v="16"/>
    <n v="14"/>
    <n v="7"/>
    <n v="6"/>
    <n v="3"/>
    <n v="5"/>
    <n v="3"/>
    <n v="3"/>
    <n v="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4220BP1"/>
    <x v="7"/>
    <s v="ELVIVE COLOR VIVE FCO.PL 200ML C/G MM ACOND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TOTAL URUGUAY"/>
    <s v="SH+AC (160+162)"/>
    <s v="L'OREAL"/>
    <x v="0"/>
    <s v="7730317064220BP2"/>
    <x v="7"/>
    <s v="ELVIVE ACON COLOR VIVE FCO.PLAST 200ML G/C MM SHAMPO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TOTAL URUGUAY"/>
    <s v="SH+AC (160+162)"/>
    <s v="L'OREAL"/>
    <x v="0"/>
    <s v="7730317064237BP1"/>
    <x v="2"/>
    <s v="ELVIVE REPARACIONTOTAL 5 F.P.400 CCC/ACONDIC.F.P.200 CC"/>
    <s v="Vtas Unds"/>
    <n v="2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3"/>
    <n v="1"/>
    <n v="0"/>
    <n v="1"/>
    <n v="0"/>
    <n v="7"/>
    <n v="3"/>
    <n v="0"/>
    <n v="0"/>
    <n v="0"/>
    <n v="0"/>
    <n v="0"/>
    <n v="0"/>
    <n v="0"/>
    <n v="0"/>
    <n v="0"/>
  </r>
  <r>
    <s v="TOTAL URUGUAY"/>
    <s v="SH+AC (160+162)"/>
    <s v="L'OREAL"/>
    <x v="0"/>
    <s v="7730317064237BP2"/>
    <x v="2"/>
    <s v="ELVIVE REPARACIONTOTAL 5 F.P.200 CCC/SHAMPOO F.P.400 CC"/>
    <s v="Vtas Unds"/>
    <n v="2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3"/>
    <n v="1"/>
    <n v="0"/>
    <n v="1"/>
    <n v="0"/>
    <n v="7"/>
    <n v="3"/>
    <n v="0"/>
    <n v="0"/>
    <n v="0"/>
    <n v="0"/>
    <n v="0"/>
    <n v="0"/>
    <n v="0"/>
    <n v="0"/>
    <n v="0"/>
  </r>
  <r>
    <s v="TOTAL URUGUAY"/>
    <s v="SH+AC (160+162)"/>
    <s v="L'OREAL"/>
    <x v="0"/>
    <s v="7730317064343BP1"/>
    <x v="7"/>
    <s v="ELVIVE COLORV SH 370ML FCO PACK + ACO MM 200ML"/>
    <s v="Vtas Unds"/>
    <n v="1064"/>
    <n v="695.15470000000005"/>
    <n v="797"/>
    <n v="1069"/>
    <n v="1032"/>
    <n v="1040"/>
    <n v="1408"/>
    <n v="905"/>
    <n v="1125"/>
    <n v="895"/>
    <n v="329"/>
    <n v="486"/>
    <n v="586"/>
    <n v="355"/>
    <n v="319"/>
    <n v="323"/>
    <n v="487"/>
    <n v="334"/>
    <n v="721.22760000000005"/>
    <n v="384"/>
    <n v="414"/>
    <n v="725"/>
    <n v="288"/>
    <n v="294"/>
    <n v="746"/>
    <n v="603"/>
    <n v="876"/>
    <n v="867"/>
    <n v="411"/>
    <n v="191"/>
    <n v="193"/>
    <n v="98"/>
    <n v="72"/>
    <n v="109"/>
    <n v="40"/>
    <n v="26"/>
    <n v="35"/>
  </r>
  <r>
    <s v="TOTAL URUGUAY"/>
    <s v="SH+AC (160+162)"/>
    <s v="L'OREAL"/>
    <x v="0"/>
    <s v="7730317064343BP2"/>
    <x v="7"/>
    <s v="ELVIVE COLORV ACOND 200ML + SH MM SH 370ML FCO PACK"/>
    <s v="Vtas Unds"/>
    <n v="1064"/>
    <n v="695.15470000000005"/>
    <n v="797"/>
    <n v="1069"/>
    <n v="1032"/>
    <n v="1040"/>
    <n v="1408"/>
    <n v="905"/>
    <n v="1125"/>
    <n v="895"/>
    <n v="329"/>
    <n v="486"/>
    <n v="586"/>
    <n v="355"/>
    <n v="319"/>
    <n v="323"/>
    <n v="487"/>
    <n v="334"/>
    <n v="721.22760000000005"/>
    <n v="384"/>
    <n v="414"/>
    <n v="725"/>
    <n v="288"/>
    <n v="294"/>
    <n v="746"/>
    <n v="603"/>
    <n v="876"/>
    <n v="867"/>
    <n v="411"/>
    <n v="191"/>
    <n v="193"/>
    <n v="98"/>
    <n v="72"/>
    <n v="109"/>
    <n v="40"/>
    <n v="26"/>
    <n v="35"/>
  </r>
  <r>
    <s v="TOTAL URUGUAY"/>
    <s v="SH+AC (160+162)"/>
    <s v="L'OREAL"/>
    <x v="0"/>
    <s v="7730317064350BP1"/>
    <x v="2"/>
    <s v="ELVIVE SH RT5 370 ML FCO+ ACOND MM 200 ML FCO"/>
    <s v="Vtas Unds"/>
    <n v="3107"/>
    <n v="1259"/>
    <n v="1291"/>
    <n v="1667"/>
    <n v="1712"/>
    <n v="1653"/>
    <n v="2576"/>
    <n v="1506"/>
    <n v="1965"/>
    <n v="2467"/>
    <n v="1243"/>
    <n v="1554"/>
    <n v="1219.2176999999999"/>
    <n v="1010.3946999999999"/>
    <n v="913"/>
    <n v="1228"/>
    <n v="1012"/>
    <n v="798.81740000000002"/>
    <n v="1790.4748999999999"/>
    <n v="869"/>
    <n v="1065"/>
    <n v="2654"/>
    <n v="1463"/>
    <n v="1099"/>
    <n v="1527"/>
    <n v="875"/>
    <n v="1393"/>
    <n v="1491"/>
    <n v="1450"/>
    <n v="964"/>
    <n v="1268"/>
    <n v="831"/>
    <n v="499"/>
    <n v="396"/>
    <n v="143"/>
    <n v="90"/>
    <n v="97"/>
  </r>
  <r>
    <s v="TOTAL URUGUAY"/>
    <s v="SH+AC (160+162)"/>
    <s v="L'OREAL"/>
    <x v="0"/>
    <s v="7730317064350BP2"/>
    <x v="2"/>
    <s v="ELVIVE ACOND 200 ML FCO + SH MM RT5 370 ML FCO"/>
    <s v="Vtas Unds"/>
    <n v="3107"/>
    <n v="1259"/>
    <n v="1291"/>
    <n v="1667"/>
    <n v="1712"/>
    <n v="1653"/>
    <n v="2576"/>
    <n v="1506"/>
    <n v="1965"/>
    <n v="2467"/>
    <n v="1243"/>
    <n v="1554"/>
    <n v="1219.2176999999999"/>
    <n v="1010.3946999999999"/>
    <n v="913"/>
    <n v="1228"/>
    <n v="1012"/>
    <n v="798.81740000000002"/>
    <n v="1790.4748999999999"/>
    <n v="869"/>
    <n v="1065"/>
    <n v="2654"/>
    <n v="1463"/>
    <n v="1099"/>
    <n v="1527"/>
    <n v="875"/>
    <n v="1393"/>
    <n v="1491"/>
    <n v="1450"/>
    <n v="964"/>
    <n v="1268"/>
    <n v="831"/>
    <n v="499"/>
    <n v="396"/>
    <n v="143"/>
    <n v="90"/>
    <n v="97"/>
  </r>
  <r>
    <s v="TOTAL URUGUAY"/>
    <s v="SH+AC (160+162)"/>
    <s v="L'OREAL"/>
    <x v="0"/>
    <s v="7730317064367BP1"/>
    <x v="13"/>
    <s v="ELVIVE OLEO COCO 370 ML FCO + ACOND MM 200 ML FCO"/>
    <s v="Vtas Unds"/>
    <n v="736"/>
    <n v="398"/>
    <n v="394"/>
    <n v="556"/>
    <n v="642"/>
    <n v="717"/>
    <n v="995"/>
    <n v="612"/>
    <n v="681"/>
    <n v="752"/>
    <n v="428"/>
    <n v="536"/>
    <n v="1125"/>
    <n v="502.59210000000002"/>
    <n v="290"/>
    <n v="436"/>
    <n v="539"/>
    <n v="388.68740000000003"/>
    <n v="1068.9136000000001"/>
    <n v="473"/>
    <n v="497"/>
    <n v="1144"/>
    <n v="537"/>
    <n v="1378"/>
    <n v="1283"/>
    <n v="479"/>
    <n v="341"/>
    <n v="427"/>
    <n v="307"/>
    <n v="113"/>
    <n v="135"/>
    <n v="53"/>
    <n v="51"/>
    <n v="38"/>
    <n v="23"/>
    <n v="16"/>
    <n v="7"/>
  </r>
  <r>
    <s v="TOTAL URUGUAY"/>
    <s v="SH+AC (160+162)"/>
    <s v="L'OREAL"/>
    <x v="0"/>
    <s v="7730317064367BP2"/>
    <x v="13"/>
    <s v="ELVIVE OLEO COCO ACOND MM 200 ML FCO + SH MM 370 ML FCO"/>
    <s v="Vtas Unds"/>
    <n v="736"/>
    <n v="398"/>
    <n v="394"/>
    <n v="556"/>
    <n v="642"/>
    <n v="717"/>
    <n v="995"/>
    <n v="612"/>
    <n v="681"/>
    <n v="752"/>
    <n v="428"/>
    <n v="536"/>
    <n v="1125"/>
    <n v="502.59210000000002"/>
    <n v="290"/>
    <n v="436"/>
    <n v="539"/>
    <n v="388.68740000000003"/>
    <n v="1068.9136000000001"/>
    <n v="473"/>
    <n v="497"/>
    <n v="1144"/>
    <n v="537"/>
    <n v="1378"/>
    <n v="1283"/>
    <n v="479"/>
    <n v="341"/>
    <n v="427"/>
    <n v="307"/>
    <n v="113"/>
    <n v="135"/>
    <n v="53"/>
    <n v="51"/>
    <n v="38"/>
    <n v="23"/>
    <n v="16"/>
    <n v="7"/>
  </r>
  <r>
    <s v="TOTAL URUGUAY"/>
    <s v="SH+AC (160+162)"/>
    <s v="L'OREAL"/>
    <x v="0"/>
    <s v="7730317064374BP1"/>
    <x v="12"/>
    <s v="ELVIVE DREAM LONG SH 370 ML FCO +ACOND 200 ML FCO"/>
    <s v="Vtas Unds"/>
    <n v="305"/>
    <n v="225.15469999999999"/>
    <n v="213"/>
    <n v="282"/>
    <n v="287"/>
    <n v="268"/>
    <n v="499"/>
    <n v="384"/>
    <n v="458"/>
    <n v="589"/>
    <n v="244"/>
    <n v="250"/>
    <n v="344"/>
    <n v="252.3947"/>
    <n v="244"/>
    <n v="445"/>
    <n v="466"/>
    <n v="383.61099999999999"/>
    <n v="900.57389999999998"/>
    <n v="388"/>
    <n v="453"/>
    <n v="1317"/>
    <n v="697"/>
    <n v="525"/>
    <n v="691"/>
    <n v="280"/>
    <n v="207"/>
    <n v="254"/>
    <n v="227"/>
    <n v="77"/>
    <n v="48"/>
    <n v="13"/>
    <n v="5"/>
    <n v="0"/>
    <n v="1"/>
    <n v="0"/>
    <n v="0"/>
  </r>
  <r>
    <s v="TOTAL URUGUAY"/>
    <s v="SH+AC (160+162)"/>
    <s v="L'OREAL"/>
    <x v="0"/>
    <s v="7730317064374BP2"/>
    <x v="12"/>
    <s v="ELVIVE DREAM LONG ACOND 200 ML FCO + SH MM 370 ML FCO"/>
    <s v="Vtas Unds"/>
    <n v="305"/>
    <n v="225.15469999999999"/>
    <n v="213"/>
    <n v="282"/>
    <n v="287"/>
    <n v="268"/>
    <n v="499"/>
    <n v="384"/>
    <n v="458"/>
    <n v="589"/>
    <n v="244"/>
    <n v="250"/>
    <n v="344"/>
    <n v="252.3947"/>
    <n v="244"/>
    <n v="445"/>
    <n v="466"/>
    <n v="383.61099999999999"/>
    <n v="900.57389999999998"/>
    <n v="388"/>
    <n v="453"/>
    <n v="1317"/>
    <n v="697"/>
    <n v="525"/>
    <n v="691"/>
    <n v="280"/>
    <n v="207"/>
    <n v="254"/>
    <n v="227"/>
    <n v="77"/>
    <n v="48"/>
    <n v="13"/>
    <n v="5"/>
    <n v="0"/>
    <n v="1"/>
    <n v="0"/>
    <n v="0"/>
  </r>
  <r>
    <s v="TOTAL URUGUAY"/>
    <s v="SH+AC (160+162)"/>
    <s v="L'OREAL"/>
    <x v="0"/>
    <s v="7730317064381BP1"/>
    <x v="10"/>
    <s v="ELVIVE ARCILLA SH 370 ML FCO + ACOND MM 200 ML FCO"/>
    <s v="Vtas Unds"/>
    <n v="631"/>
    <n v="555"/>
    <n v="476"/>
    <n v="511"/>
    <n v="494"/>
    <n v="259"/>
    <n v="135"/>
    <n v="59"/>
    <n v="61"/>
    <n v="90"/>
    <n v="16"/>
    <n v="9"/>
    <n v="21"/>
    <n v="8"/>
    <n v="19"/>
    <n v="20"/>
    <n v="4"/>
    <n v="6"/>
    <n v="6"/>
    <n v="5"/>
    <n v="1"/>
    <n v="1"/>
    <n v="0"/>
    <n v="1"/>
    <n v="1"/>
    <n v="1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4381BP2"/>
    <x v="10"/>
    <s v="ELVIVE ARCILLA ACOND 200 ML FCO + SH MM 370 ML FCO"/>
    <s v="Vtas Unds"/>
    <n v="631"/>
    <n v="555"/>
    <n v="476"/>
    <n v="511"/>
    <n v="494"/>
    <n v="259"/>
    <n v="135"/>
    <n v="59"/>
    <n v="61"/>
    <n v="90"/>
    <n v="16"/>
    <n v="9"/>
    <n v="21"/>
    <n v="8"/>
    <n v="19"/>
    <n v="20"/>
    <n v="4"/>
    <n v="6"/>
    <n v="6"/>
    <n v="5"/>
    <n v="1"/>
    <n v="1"/>
    <n v="0"/>
    <n v="1"/>
    <n v="1"/>
    <n v="1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4398BP1"/>
    <x v="0"/>
    <s v="ELVIVE DRM LG LISS FCO 370 ML + ACOND 200 ML FCO"/>
    <s v="Vtas Unds"/>
    <n v="418"/>
    <n v="307.15469999999999"/>
    <n v="280"/>
    <n v="303"/>
    <n v="326"/>
    <n v="324"/>
    <n v="533"/>
    <n v="411"/>
    <n v="565"/>
    <n v="624"/>
    <n v="350"/>
    <n v="271"/>
    <n v="350"/>
    <n v="407.3947"/>
    <n v="342"/>
    <n v="684"/>
    <n v="521"/>
    <n v="293.81060000000002"/>
    <n v="355"/>
    <n v="146"/>
    <n v="103"/>
    <n v="278"/>
    <n v="29"/>
    <n v="33"/>
    <n v="71"/>
    <n v="20"/>
    <n v="38"/>
    <n v="38"/>
    <n v="28"/>
    <n v="21"/>
    <n v="4"/>
    <n v="10"/>
    <n v="2"/>
    <n v="0"/>
    <n v="1"/>
    <n v="0"/>
    <n v="0"/>
  </r>
  <r>
    <s v="TOTAL URUGUAY"/>
    <s v="SH+AC (160+162)"/>
    <s v="L'OREAL"/>
    <x v="0"/>
    <s v="7730317064398BP2"/>
    <x v="0"/>
    <s v="ELVIVE DRM LG LISS ACOND 200 ML FCO + SH MM FCO 370 ML"/>
    <s v="Vtas Unds"/>
    <n v="418"/>
    <n v="307.15469999999999"/>
    <n v="280"/>
    <n v="303"/>
    <n v="326"/>
    <n v="324"/>
    <n v="533"/>
    <n v="411"/>
    <n v="565"/>
    <n v="624"/>
    <n v="350"/>
    <n v="271"/>
    <n v="350"/>
    <n v="407.3947"/>
    <n v="342"/>
    <n v="684"/>
    <n v="521"/>
    <n v="293.81060000000002"/>
    <n v="355"/>
    <n v="146"/>
    <n v="103"/>
    <n v="278"/>
    <n v="29"/>
    <n v="33"/>
    <n v="71"/>
    <n v="20"/>
    <n v="38"/>
    <n v="38"/>
    <n v="28"/>
    <n v="21"/>
    <n v="4"/>
    <n v="10"/>
    <n v="2"/>
    <n v="0"/>
    <n v="1"/>
    <n v="0"/>
    <n v="0"/>
  </r>
  <r>
    <s v="TOTAL URUGUAY"/>
    <s v="SH+AC (160+162)"/>
    <s v="L'OREAL"/>
    <x v="0"/>
    <s v="7730317064411BP1"/>
    <x v="7"/>
    <s v="ELVIVE COLORVIVE 370 ML FCO +ACOND MM 370 ML FCO +CEP"/>
    <s v="Vtas Unds"/>
    <n v="167"/>
    <n v="79"/>
    <n v="48"/>
    <n v="66"/>
    <n v="111"/>
    <n v="47"/>
    <n v="65"/>
    <n v="91"/>
    <n v="67"/>
    <n v="199"/>
    <n v="438"/>
    <n v="205"/>
    <n v="171"/>
    <n v="119"/>
    <n v="58"/>
    <n v="62"/>
    <n v="26"/>
    <n v="25.898800000000001"/>
    <n v="47"/>
    <n v="14"/>
    <n v="13"/>
    <n v="8"/>
    <n v="2"/>
    <n v="2"/>
    <n v="1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4411BP2"/>
    <x v="7"/>
    <s v="ELVIVE COLORVIVE AC 370 ML FCO + SH MM 370 ML FCO +CEP"/>
    <s v="Vtas Unds"/>
    <n v="167"/>
    <n v="79"/>
    <n v="48"/>
    <n v="66"/>
    <n v="111"/>
    <n v="47"/>
    <n v="65"/>
    <n v="91"/>
    <n v="67"/>
    <n v="199"/>
    <n v="438"/>
    <n v="205"/>
    <n v="171"/>
    <n v="119"/>
    <n v="58"/>
    <n v="62"/>
    <n v="26"/>
    <n v="25.898800000000001"/>
    <n v="47"/>
    <n v="14"/>
    <n v="13"/>
    <n v="8"/>
    <n v="2"/>
    <n v="2"/>
    <n v="1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4428BP1"/>
    <x v="2"/>
    <s v="ELVIVE RT5 370 ML FCO +ACOND MM 370 ML FCO +CEPILLO"/>
    <s v="Vtas Unds"/>
    <n v="956"/>
    <n v="392"/>
    <n v="192"/>
    <n v="178"/>
    <n v="101"/>
    <n v="269"/>
    <n v="682"/>
    <n v="317"/>
    <n v="123"/>
    <n v="501"/>
    <n v="588"/>
    <n v="192"/>
    <n v="140"/>
    <n v="70"/>
    <n v="59"/>
    <n v="30"/>
    <n v="15"/>
    <n v="15"/>
    <n v="11"/>
    <n v="12"/>
    <n v="51"/>
    <n v="362"/>
    <n v="220"/>
    <n v="125"/>
    <n v="146"/>
    <n v="78"/>
    <n v="84"/>
    <n v="82"/>
    <n v="84"/>
    <n v="83"/>
    <n v="74"/>
    <n v="54"/>
    <n v="38"/>
    <n v="50"/>
    <n v="24"/>
    <n v="11"/>
    <n v="17"/>
  </r>
  <r>
    <s v="TOTAL URUGUAY"/>
    <s v="SH+AC (160+162)"/>
    <s v="L'OREAL"/>
    <x v="0"/>
    <s v="7730317064428BP3"/>
    <x v="2"/>
    <s v="ELVIVE RT5 ACOND 370 ML FCO +SH MM 370 ML FCO +CEPILLO"/>
    <s v="Vtas Unds"/>
    <n v="956"/>
    <n v="392"/>
    <n v="192"/>
    <n v="178"/>
    <n v="101"/>
    <n v="269"/>
    <n v="682"/>
    <n v="317"/>
    <n v="123"/>
    <n v="501"/>
    <n v="588"/>
    <n v="192"/>
    <n v="140"/>
    <n v="70"/>
    <n v="59"/>
    <n v="30"/>
    <n v="15"/>
    <n v="15"/>
    <n v="11"/>
    <n v="12"/>
    <n v="51"/>
    <n v="362"/>
    <n v="220"/>
    <n v="125"/>
    <n v="146"/>
    <n v="78"/>
    <n v="84"/>
    <n v="82"/>
    <n v="84"/>
    <n v="83"/>
    <n v="74"/>
    <n v="54"/>
    <n v="38"/>
    <n v="50"/>
    <n v="24"/>
    <n v="11"/>
    <n v="17"/>
  </r>
  <r>
    <s v="TOTAL URUGUAY"/>
    <s v="SH+AC (160+162)"/>
    <s v="L'OREAL"/>
    <x v="0"/>
    <s v="7730317064435BP1"/>
    <x v="22"/>
    <s v="ELVIVE OLEO SH 370 ML FCO +ACOND MM 370 ML FCO +CEPILLO"/>
    <s v="Vtas Unds"/>
    <n v="324"/>
    <n v="220"/>
    <n v="193"/>
    <n v="291"/>
    <n v="260"/>
    <n v="152"/>
    <n v="234"/>
    <n v="231"/>
    <n v="116"/>
    <n v="333"/>
    <n v="446"/>
    <n v="281"/>
    <n v="242"/>
    <n v="145"/>
    <n v="114"/>
    <n v="117"/>
    <n v="84"/>
    <n v="56"/>
    <n v="81.196700000000007"/>
    <n v="52"/>
    <n v="51"/>
    <n v="26"/>
    <n v="26"/>
    <n v="12"/>
    <n v="15"/>
    <n v="6"/>
    <n v="11"/>
    <n v="7"/>
    <n v="0"/>
    <n v="1"/>
    <n v="0"/>
    <n v="0"/>
    <n v="0"/>
    <n v="1"/>
    <n v="1"/>
    <n v="0"/>
    <n v="0"/>
  </r>
  <r>
    <s v="TOTAL URUGUAY"/>
    <s v="SH+AC (160+162)"/>
    <s v="L'OREAL"/>
    <x v="0"/>
    <s v="7730317064435BP3"/>
    <x v="22"/>
    <s v="ELVIVE OLEO ACOND 370 ML FCO + SH MM 370 ML FCO +CEPILLO"/>
    <s v="Vtas Unds"/>
    <n v="324"/>
    <n v="220"/>
    <n v="193"/>
    <n v="291"/>
    <n v="260"/>
    <n v="152"/>
    <n v="234"/>
    <n v="231"/>
    <n v="116"/>
    <n v="333"/>
    <n v="446"/>
    <n v="281"/>
    <n v="242"/>
    <n v="145"/>
    <n v="114"/>
    <n v="117"/>
    <n v="84"/>
    <n v="56"/>
    <n v="81.196700000000007"/>
    <n v="52"/>
    <n v="51"/>
    <n v="26"/>
    <n v="26"/>
    <n v="12"/>
    <n v="15"/>
    <n v="6"/>
    <n v="11"/>
    <n v="7"/>
    <n v="0"/>
    <n v="1"/>
    <n v="0"/>
    <n v="0"/>
    <n v="0"/>
    <n v="1"/>
    <n v="1"/>
    <n v="0"/>
    <n v="0"/>
  </r>
  <r>
    <s v="TOTAL URUGUAY"/>
    <s v="SH+AC (160+162)"/>
    <s v="L'OREAL"/>
    <x v="0"/>
    <s v="7730317064442BP1"/>
    <x v="0"/>
    <s v="ELVIVE D. LONG LISS 370 ML FCO+ACOND 370 ML FCO +CEPI"/>
    <s v="Vtas Unds"/>
    <n v="528"/>
    <n v="289.15469999999999"/>
    <n v="180"/>
    <n v="233"/>
    <n v="177"/>
    <n v="131"/>
    <n v="151"/>
    <n v="161"/>
    <n v="59"/>
    <n v="66"/>
    <n v="39"/>
    <n v="31"/>
    <n v="31"/>
    <n v="15"/>
    <n v="14"/>
    <n v="23"/>
    <n v="11"/>
    <n v="7"/>
    <n v="26"/>
    <n v="16"/>
    <n v="21"/>
    <n v="19"/>
    <n v="4"/>
    <n v="1"/>
    <n v="4"/>
    <n v="0"/>
    <n v="0"/>
    <n v="1"/>
    <n v="0"/>
    <n v="2"/>
    <n v="0"/>
    <n v="0"/>
    <n v="0"/>
    <n v="0"/>
    <n v="0"/>
    <n v="0"/>
    <n v="0"/>
  </r>
  <r>
    <s v="TOTAL URUGUAY"/>
    <s v="SH+AC (160+162)"/>
    <s v="L'OREAL"/>
    <x v="0"/>
    <s v="7730317064442BP3"/>
    <x v="0"/>
    <s v="ELVIVE D. LONG LISS ACOND 370 ML FCO + SH MM 370 ML FCO+CEPI"/>
    <s v="Vtas Unds"/>
    <n v="528"/>
    <n v="289.15469999999999"/>
    <n v="180"/>
    <n v="233"/>
    <n v="177"/>
    <n v="131"/>
    <n v="151"/>
    <n v="161"/>
    <n v="59"/>
    <n v="66"/>
    <n v="39"/>
    <n v="31"/>
    <n v="31"/>
    <n v="15"/>
    <n v="14"/>
    <n v="23"/>
    <n v="11"/>
    <n v="7"/>
    <n v="26"/>
    <n v="16"/>
    <n v="21"/>
    <n v="19"/>
    <n v="4"/>
    <n v="1"/>
    <n v="4"/>
    <n v="0"/>
    <n v="0"/>
    <n v="1"/>
    <n v="0"/>
    <n v="2"/>
    <n v="0"/>
    <n v="0"/>
    <n v="0"/>
    <n v="0"/>
    <n v="0"/>
    <n v="0"/>
    <n v="0"/>
  </r>
  <r>
    <s v="TOTAL URUGUAY"/>
    <s v="SH+AC (160+162)"/>
    <s v="L'OREAL"/>
    <x v="0"/>
    <s v="7730317064817BP1"/>
    <x v="0"/>
    <s v="ELVIVE DREAM LONG LISS FCO PL 400ML+ MM ACOND 200ML"/>
    <s v="Vtas Unds"/>
    <n v="305"/>
    <n v="88.154700000000005"/>
    <n v="77"/>
    <n v="96"/>
    <n v="109"/>
    <n v="104"/>
    <n v="57"/>
    <n v="31"/>
    <n v="21"/>
    <n v="14"/>
    <n v="14"/>
    <n v="10"/>
    <n v="4"/>
    <n v="6"/>
    <n v="16"/>
    <n v="8"/>
    <n v="3"/>
    <n v="2"/>
    <n v="7.1186999999999996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4817BP2"/>
    <x v="0"/>
    <s v="ELVIVE ACOND DREAM LONG LISS FP 200ML +MM SHAMPOO 400ML"/>
    <s v="Vtas Unds"/>
    <n v="305"/>
    <n v="88.154700000000005"/>
    <n v="77"/>
    <n v="96"/>
    <n v="109"/>
    <n v="104"/>
    <n v="57"/>
    <n v="31"/>
    <n v="21"/>
    <n v="14"/>
    <n v="14"/>
    <n v="10"/>
    <n v="4"/>
    <n v="6"/>
    <n v="16"/>
    <n v="8"/>
    <n v="3"/>
    <n v="2"/>
    <n v="7.1186999999999996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5050BP1"/>
    <x v="14"/>
    <s v="ELVIVE HIDRA HIALURONICO FCO.PL.370ML+ MM ACONDIC 200ML"/>
    <s v="Vtas Unds"/>
    <n v="325"/>
    <n v="267"/>
    <n v="1078"/>
    <n v="1653"/>
    <n v="1557"/>
    <n v="1887"/>
    <n v="3446"/>
    <n v="2157"/>
    <n v="2588"/>
    <n v="2589"/>
    <n v="721"/>
    <n v="807"/>
    <n v="1134"/>
    <n v="898"/>
    <n v="639"/>
    <n v="1228"/>
    <n v="1401"/>
    <n v="1041.5044"/>
    <n v="2566.6610999999998"/>
    <n v="649"/>
    <n v="392"/>
    <n v="385"/>
    <n v="85"/>
    <n v="44"/>
    <n v="37"/>
    <n v="19"/>
    <n v="4"/>
    <n v="4"/>
    <n v="5"/>
    <n v="2"/>
    <n v="3"/>
    <n v="4"/>
    <n v="27"/>
    <n v="7"/>
    <n v="2"/>
    <n v="4"/>
    <n v="6"/>
  </r>
  <r>
    <s v="TOTAL URUGUAY"/>
    <s v="SH+AC (160+162)"/>
    <s v="L'OREAL"/>
    <x v="0"/>
    <s v="7730317065050BP2"/>
    <x v="14"/>
    <s v="ELVIVE ACON HIDRA HIALURONICO 200ML + MM SHAMPOO 370ML"/>
    <s v="Vtas Unds"/>
    <n v="325"/>
    <n v="267"/>
    <n v="1078"/>
    <n v="1653"/>
    <n v="1557"/>
    <n v="1887"/>
    <n v="3446"/>
    <n v="2157"/>
    <n v="2588"/>
    <n v="2589"/>
    <n v="721"/>
    <n v="807"/>
    <n v="1134"/>
    <n v="898"/>
    <n v="639"/>
    <n v="1228"/>
    <n v="1401"/>
    <n v="1041.5044"/>
    <n v="2566.6610999999998"/>
    <n v="649"/>
    <n v="392"/>
    <n v="385"/>
    <n v="85"/>
    <n v="44"/>
    <n v="37"/>
    <n v="19"/>
    <n v="4"/>
    <n v="4"/>
    <n v="5"/>
    <n v="2"/>
    <n v="3"/>
    <n v="4"/>
    <n v="27"/>
    <n v="7"/>
    <n v="2"/>
    <n v="4"/>
    <n v="6"/>
  </r>
  <r>
    <s v="TOTAL URUGUAY"/>
    <s v="SH+AC (160+162)"/>
    <s v="L'OREAL"/>
    <x v="0"/>
    <s v="7730317067061BP1"/>
    <x v="6"/>
    <s v="ELVIVE PURPLE SH FCO 200 ML + MM ACOND 150 ML"/>
    <s v="Vtas Unds"/>
    <n v="0"/>
    <n v="0"/>
    <n v="21"/>
    <n v="160"/>
    <n v="134"/>
    <n v="132"/>
    <n v="187"/>
    <n v="65"/>
    <n v="63"/>
    <n v="41"/>
    <n v="20"/>
    <n v="20"/>
    <n v="7"/>
    <n v="23"/>
    <n v="18"/>
    <n v="11"/>
    <n v="8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7061BP2"/>
    <x v="6"/>
    <s v="ELVIVE PURPLE ACOND 150 ML +MM SH FCO 200 ML"/>
    <s v="Vtas Unds"/>
    <n v="0"/>
    <n v="0"/>
    <n v="21"/>
    <n v="160"/>
    <n v="134"/>
    <n v="132"/>
    <n v="187"/>
    <n v="65"/>
    <n v="63"/>
    <n v="41"/>
    <n v="20"/>
    <n v="20"/>
    <n v="7"/>
    <n v="23"/>
    <n v="18"/>
    <n v="11"/>
    <n v="8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7719BP1"/>
    <x v="2"/>
    <s v="ELVIVE RT5 FCO PL 680ML + MM ACOND 400ML"/>
    <s v="Vtas Unds"/>
    <n v="405"/>
    <n v="480"/>
    <n v="194"/>
    <n v="224"/>
    <n v="165"/>
    <n v="117"/>
    <n v="165"/>
    <n v="85"/>
    <n v="25"/>
    <n v="68"/>
    <n v="29"/>
    <n v="18"/>
    <n v="16"/>
    <n v="12"/>
    <n v="3"/>
    <n v="9"/>
    <n v="5"/>
    <n v="5"/>
    <n v="15"/>
    <n v="5"/>
    <n v="0"/>
    <n v="0"/>
    <n v="0"/>
    <n v="2"/>
    <n v="1"/>
    <n v="0"/>
    <n v="0"/>
    <n v="0"/>
    <n v="0"/>
    <n v="0"/>
    <n v="0"/>
    <n v="0"/>
    <n v="0"/>
    <n v="0"/>
    <n v="4"/>
    <n v="9"/>
    <n v="19"/>
  </r>
  <r>
    <s v="TOTAL URUGUAY"/>
    <s v="SH+AC (160+162)"/>
    <s v="L'OREAL"/>
    <x v="0"/>
    <s v="7730317067719BP2"/>
    <x v="2"/>
    <s v="ELVIVE ACOND RT5 FCO PL 400ML + MM SHAMPOO 680ML"/>
    <s v="Vtas Unds"/>
    <n v="405"/>
    <n v="480"/>
    <n v="194"/>
    <n v="224"/>
    <n v="165"/>
    <n v="117"/>
    <n v="165"/>
    <n v="85"/>
    <n v="25"/>
    <n v="68"/>
    <n v="29"/>
    <n v="18"/>
    <n v="16"/>
    <n v="12"/>
    <n v="3"/>
    <n v="9"/>
    <n v="5"/>
    <n v="5"/>
    <n v="15"/>
    <n v="5"/>
    <n v="0"/>
    <n v="0"/>
    <n v="0"/>
    <n v="2"/>
    <n v="1"/>
    <n v="0"/>
    <n v="0"/>
    <n v="0"/>
    <n v="0"/>
    <n v="0"/>
    <n v="0"/>
    <n v="0"/>
    <n v="0"/>
    <n v="0"/>
    <n v="4"/>
    <n v="9"/>
    <n v="19"/>
  </r>
  <r>
    <s v="TOTAL URUGUAY"/>
    <s v="SH+AC (160+162)"/>
    <s v="L'OREAL"/>
    <x v="0"/>
    <s v="7730317067726BP1"/>
    <x v="14"/>
    <s v="ELVIVE HIDRA HIALURONICO FP 680ML+ MM ACONDIC 370ML"/>
    <s v="Vtas Unds"/>
    <n v="244"/>
    <n v="114"/>
    <n v="55"/>
    <n v="262"/>
    <n v="419"/>
    <n v="451"/>
    <n v="706"/>
    <n v="570"/>
    <n v="592"/>
    <n v="836"/>
    <n v="383"/>
    <n v="325"/>
    <n v="468"/>
    <n v="260"/>
    <n v="281"/>
    <n v="279"/>
    <n v="232"/>
    <n v="278.65870000000001"/>
    <n v="516.37180000000001"/>
    <n v="378"/>
    <n v="477"/>
    <n v="761"/>
    <n v="678"/>
    <n v="891"/>
    <n v="877"/>
    <n v="601"/>
    <n v="326"/>
    <n v="759"/>
    <n v="507"/>
    <n v="600"/>
    <n v="618"/>
    <n v="845"/>
    <n v="611"/>
    <n v="1142"/>
    <n v="518"/>
    <n v="620"/>
    <n v="1008"/>
  </r>
  <r>
    <s v="TOTAL URUGUAY"/>
    <s v="SH+AC (160+162)"/>
    <s v="L'OREAL"/>
    <x v="0"/>
    <s v="7730317067726BP2"/>
    <x v="14"/>
    <s v="ELVIVE ACOND HIDRA HIALURONICO 370ML + MM SHAMPOO 680ML"/>
    <s v="Vtas Unds"/>
    <n v="244"/>
    <n v="114"/>
    <n v="55"/>
    <n v="262"/>
    <n v="419"/>
    <n v="451"/>
    <n v="706"/>
    <n v="570"/>
    <n v="592"/>
    <n v="836"/>
    <n v="383"/>
    <n v="325"/>
    <n v="468"/>
    <n v="260"/>
    <n v="281"/>
    <n v="279"/>
    <n v="232"/>
    <n v="278.65870000000001"/>
    <n v="516.37180000000001"/>
    <n v="378"/>
    <n v="477"/>
    <n v="761"/>
    <n v="678"/>
    <n v="891"/>
    <n v="877"/>
    <n v="601"/>
    <n v="326"/>
    <n v="759"/>
    <n v="507"/>
    <n v="600"/>
    <n v="618"/>
    <n v="845"/>
    <n v="611"/>
    <n v="1142"/>
    <n v="518"/>
    <n v="620"/>
    <n v="1008"/>
  </r>
  <r>
    <s v="TOTAL URUGUAY"/>
    <s v="SH+AC (160+162)"/>
    <s v="L'OREAL"/>
    <x v="0"/>
    <s v="7730317067733BP1"/>
    <x v="22"/>
    <s v="ELVIVE OLEO EXTRAORDINARI FCO PL 680ML + MM ACOND 400ML"/>
    <s v="Vtas Unds"/>
    <n v="175"/>
    <n v="229"/>
    <n v="81"/>
    <n v="86"/>
    <n v="69"/>
    <n v="58"/>
    <n v="82"/>
    <n v="41"/>
    <n v="12"/>
    <n v="40"/>
    <n v="2"/>
    <n v="2"/>
    <n v="4"/>
    <n v="5"/>
    <n v="3"/>
    <n v="1"/>
    <n v="1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7733BP2"/>
    <x v="22"/>
    <s v="ELVIVE ACON OLEO EXTRAORDINARIO FP 400ML + MM SHAMPOO 680ML"/>
    <s v="Vtas Unds"/>
    <n v="175"/>
    <n v="229"/>
    <n v="81"/>
    <n v="86"/>
    <n v="69"/>
    <n v="58"/>
    <n v="82"/>
    <n v="41"/>
    <n v="12"/>
    <n v="40"/>
    <n v="2"/>
    <n v="2"/>
    <n v="4"/>
    <n v="5"/>
    <n v="3"/>
    <n v="1"/>
    <n v="1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7740BP1"/>
    <x v="10"/>
    <s v="ELVIVE ARCILLA PURIFICA FCO.PL 680ML+ MM ACONDIC 400ML"/>
    <s v="Vtas Unds"/>
    <n v="174"/>
    <n v="135"/>
    <n v="85"/>
    <n v="94"/>
    <n v="88"/>
    <n v="106"/>
    <n v="118"/>
    <n v="16"/>
    <n v="5"/>
    <n v="13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7740BP2"/>
    <x v="10"/>
    <s v="ELVIVE ARCILLA ACOND PURIFICAN.400ML + MM SHAMPOO 680ML"/>
    <s v="Vtas Unds"/>
    <n v="174"/>
    <n v="135"/>
    <n v="85"/>
    <n v="94"/>
    <n v="88"/>
    <n v="106"/>
    <n v="118"/>
    <n v="16"/>
    <n v="5"/>
    <n v="13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7757BP1"/>
    <x v="7"/>
    <s v="ELVIVE COLORVIVE FCO PL 680ML + MM ACOND 400ML"/>
    <s v="Vtas Unds"/>
    <n v="133"/>
    <n v="92"/>
    <n v="52"/>
    <n v="67"/>
    <n v="64"/>
    <n v="43"/>
    <n v="69"/>
    <n v="30"/>
    <n v="7"/>
    <n v="13"/>
    <n v="5"/>
    <n v="2"/>
    <n v="1"/>
    <n v="3"/>
    <n v="3"/>
    <n v="1"/>
    <n v="0"/>
    <n v="0"/>
    <n v="1"/>
    <n v="2"/>
    <n v="0"/>
    <n v="0"/>
    <n v="1"/>
    <n v="0"/>
    <n v="0"/>
    <n v="0"/>
    <n v="0"/>
    <n v="0"/>
    <n v="0"/>
    <n v="0"/>
    <n v="0"/>
    <n v="1"/>
    <n v="0"/>
    <n v="0"/>
    <n v="0"/>
    <n v="0"/>
    <n v="0"/>
  </r>
  <r>
    <s v="TOTAL URUGUAY"/>
    <s v="SH+AC (160+162)"/>
    <s v="L'OREAL"/>
    <x v="0"/>
    <s v="7730317067757BP2"/>
    <x v="7"/>
    <s v="ELVIVE ACOND COLORVIVE FCO PL 400ML + MM SHAMPOO 680ML"/>
    <s v="Vtas Unds"/>
    <n v="133"/>
    <n v="92"/>
    <n v="52"/>
    <n v="67"/>
    <n v="64"/>
    <n v="43"/>
    <n v="69"/>
    <n v="30"/>
    <n v="7"/>
    <n v="13"/>
    <n v="5"/>
    <n v="2"/>
    <n v="1"/>
    <n v="3"/>
    <n v="3"/>
    <n v="1"/>
    <n v="0"/>
    <n v="0"/>
    <n v="1"/>
    <n v="2"/>
    <n v="0"/>
    <n v="0"/>
    <n v="1"/>
    <n v="0"/>
    <n v="0"/>
    <n v="0"/>
    <n v="0"/>
    <n v="0"/>
    <n v="0"/>
    <n v="0"/>
    <n v="0"/>
    <n v="1"/>
    <n v="0"/>
    <n v="0"/>
    <n v="0"/>
    <n v="0"/>
    <n v="0"/>
  </r>
  <r>
    <s v="TOTAL URUGUAY"/>
    <s v="SH+AC (160+162)"/>
    <s v="L'OREAL"/>
    <x v="0"/>
    <s v="7730317068624BP1"/>
    <x v="2"/>
    <s v="ELVIVE RT5 FCO.PL.400ML+ MM ACONDIC 200ML"/>
    <s v="Vtas Unds"/>
    <n v="21"/>
    <n v="18"/>
    <n v="2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8624BP2"/>
    <x v="2"/>
    <s v="ELVIVE ACOND RT5 FCO PL 200ML + MM SHAMPOO 400ML"/>
    <s v="Vtas Unds"/>
    <n v="21"/>
    <n v="18"/>
    <n v="2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8631BP1"/>
    <x v="22"/>
    <s v="ELVIVE OLEO EXTRAOR.FCO.PL.200ML +MM ACOND.FCO.PL.200ML"/>
    <s v="Vtas Unds"/>
    <n v="811"/>
    <n v="180"/>
    <n v="125"/>
    <n v="148"/>
    <n v="165"/>
    <n v="121"/>
    <n v="85"/>
    <n v="33"/>
    <n v="36"/>
    <n v="17"/>
    <n v="5"/>
    <n v="9"/>
    <n v="1"/>
    <n v="2"/>
    <n v="6"/>
    <n v="6"/>
    <n v="6"/>
    <n v="1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8631BP2"/>
    <x v="22"/>
    <s v="ELVIVE OLEO EXTRAORDIN ACOND FCO PL 200ML +MM SHAM.F.P.200ML"/>
    <s v="Vtas Unds"/>
    <n v="811"/>
    <n v="180"/>
    <n v="125"/>
    <n v="148"/>
    <n v="165"/>
    <n v="121"/>
    <n v="85"/>
    <n v="33"/>
    <n v="36"/>
    <n v="17"/>
    <n v="5"/>
    <n v="9"/>
    <n v="1"/>
    <n v="2"/>
    <n v="6"/>
    <n v="6"/>
    <n v="6"/>
    <n v="1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8808BP1"/>
    <x v="7"/>
    <s v="ELVIVE COLORVIVE SH 680 ML FCO + ACO MM 370 ML FCO"/>
    <s v="Vtas Unds"/>
    <n v="194"/>
    <n v="99"/>
    <n v="96"/>
    <n v="211"/>
    <n v="292"/>
    <n v="368"/>
    <n v="376"/>
    <n v="300"/>
    <n v="264"/>
    <n v="394"/>
    <n v="197"/>
    <n v="191"/>
    <n v="180"/>
    <n v="141"/>
    <n v="158"/>
    <n v="244"/>
    <n v="180"/>
    <n v="192.83789999999999"/>
    <n v="256.13720000000001"/>
    <n v="193"/>
    <n v="241"/>
    <n v="384"/>
    <n v="434"/>
    <n v="442"/>
    <n v="437"/>
    <n v="194"/>
    <n v="263"/>
    <n v="557"/>
    <n v="488"/>
    <n v="571"/>
    <n v="569"/>
    <n v="557"/>
    <n v="550"/>
    <n v="868"/>
    <n v="481"/>
    <n v="575"/>
    <n v="1044"/>
  </r>
  <r>
    <s v="TOTAL URUGUAY"/>
    <s v="SH+AC (160+162)"/>
    <s v="L'OREAL"/>
    <x v="0"/>
    <s v="7730317068808BP2"/>
    <x v="7"/>
    <s v="ELVIVE COLORVIVE ACO MM 370 ML FCO + SH MM 680 ML FCO"/>
    <s v="Vtas Unds"/>
    <n v="194"/>
    <n v="99"/>
    <n v="96"/>
    <n v="211"/>
    <n v="292"/>
    <n v="368"/>
    <n v="376"/>
    <n v="300"/>
    <n v="264"/>
    <n v="394"/>
    <n v="197"/>
    <n v="191"/>
    <n v="180"/>
    <n v="141"/>
    <n v="158"/>
    <n v="244"/>
    <n v="180"/>
    <n v="192.83789999999999"/>
    <n v="256.13720000000001"/>
    <n v="193"/>
    <n v="241"/>
    <n v="384"/>
    <n v="434"/>
    <n v="442"/>
    <n v="437"/>
    <n v="194"/>
    <n v="263"/>
    <n v="557"/>
    <n v="488"/>
    <n v="571"/>
    <n v="569"/>
    <n v="557"/>
    <n v="550"/>
    <n v="868"/>
    <n v="481"/>
    <n v="575"/>
    <n v="1044"/>
  </r>
  <r>
    <s v="TOTAL URUGUAY"/>
    <s v="SH+AC (160+162)"/>
    <s v="L'OREAL"/>
    <x v="0"/>
    <s v="7730317068815BP1"/>
    <x v="22"/>
    <s v="ELVIVE OLEO EXT SH 680 ML FCO +ACO MM 370 ML"/>
    <s v="Vtas Unds"/>
    <n v="108"/>
    <n v="53"/>
    <n v="63"/>
    <n v="171"/>
    <n v="259"/>
    <n v="331"/>
    <n v="351"/>
    <n v="235"/>
    <n v="182"/>
    <n v="172"/>
    <n v="129"/>
    <n v="112"/>
    <n v="183"/>
    <n v="104"/>
    <n v="93"/>
    <n v="119"/>
    <n v="88"/>
    <n v="111"/>
    <n v="151"/>
    <n v="132"/>
    <n v="141"/>
    <n v="257"/>
    <n v="323"/>
    <n v="373"/>
    <n v="253"/>
    <n v="326"/>
    <n v="376"/>
    <n v="249"/>
    <n v="87"/>
    <n v="59"/>
    <n v="38"/>
    <n v="15"/>
    <n v="6"/>
    <n v="8"/>
    <n v="1"/>
    <n v="0"/>
    <n v="0"/>
  </r>
  <r>
    <s v="TOTAL URUGUAY"/>
    <s v="SH+AC (160+162)"/>
    <s v="L'OREAL"/>
    <x v="0"/>
    <s v="7730317068815BP2"/>
    <x v="22"/>
    <s v="ELVIVE OLEO EXT ACO MM 370 ML + SH MM 680 ML FCO"/>
    <s v="Vtas Unds"/>
    <n v="108"/>
    <n v="53"/>
    <n v="63"/>
    <n v="171"/>
    <n v="259"/>
    <n v="331"/>
    <n v="351"/>
    <n v="235"/>
    <n v="182"/>
    <n v="172"/>
    <n v="129"/>
    <n v="112"/>
    <n v="183"/>
    <n v="104"/>
    <n v="93"/>
    <n v="119"/>
    <n v="88"/>
    <n v="111"/>
    <n v="151"/>
    <n v="132"/>
    <n v="141"/>
    <n v="257"/>
    <n v="323"/>
    <n v="373"/>
    <n v="253"/>
    <n v="326"/>
    <n v="376"/>
    <n v="249"/>
    <n v="87"/>
    <n v="59"/>
    <n v="38"/>
    <n v="15"/>
    <n v="6"/>
    <n v="8"/>
    <n v="1"/>
    <n v="0"/>
    <n v="0"/>
  </r>
  <r>
    <s v="TOTAL URUGUAY"/>
    <s v="SH+AC (160+162)"/>
    <s v="L'OREAL"/>
    <x v="0"/>
    <s v="7730317068822BP1"/>
    <x v="2"/>
    <s v="ELVIVE RT5 SH FCO 680 ML + ACOND MM 370 ML FCO"/>
    <s v="Vtas Unds"/>
    <n v="188"/>
    <n v="145"/>
    <n v="139"/>
    <n v="361"/>
    <n v="531"/>
    <n v="604"/>
    <n v="597"/>
    <n v="383"/>
    <n v="346"/>
    <n v="505"/>
    <n v="314"/>
    <n v="232"/>
    <n v="297"/>
    <n v="184"/>
    <n v="178"/>
    <n v="205"/>
    <n v="184"/>
    <n v="238.82669999999999"/>
    <n v="414.8997"/>
    <n v="308"/>
    <n v="306"/>
    <n v="442"/>
    <n v="663"/>
    <n v="618"/>
    <n v="565"/>
    <n v="174"/>
    <n v="344"/>
    <n v="755"/>
    <n v="503"/>
    <n v="503"/>
    <n v="814"/>
    <n v="364"/>
    <n v="550"/>
    <n v="594"/>
    <n v="400"/>
    <n v="273"/>
    <n v="542"/>
  </r>
  <r>
    <s v="TOTAL URUGUAY"/>
    <s v="SH+AC (160+162)"/>
    <s v="L'OREAL"/>
    <x v="0"/>
    <s v="7730317068822BP2"/>
    <x v="2"/>
    <s v="ELVIVE RT5 ACOND 370 ML FCO + SH MM FCO 680 ML"/>
    <s v="Vtas Unds"/>
    <n v="188"/>
    <n v="145"/>
    <n v="139"/>
    <n v="361"/>
    <n v="531"/>
    <n v="604"/>
    <n v="597"/>
    <n v="383"/>
    <n v="346"/>
    <n v="505"/>
    <n v="314"/>
    <n v="232"/>
    <n v="297"/>
    <n v="184"/>
    <n v="178"/>
    <n v="205"/>
    <n v="184"/>
    <n v="238.82669999999999"/>
    <n v="414.8997"/>
    <n v="308"/>
    <n v="306"/>
    <n v="442"/>
    <n v="663"/>
    <n v="618"/>
    <n v="565"/>
    <n v="174"/>
    <n v="344"/>
    <n v="755"/>
    <n v="503"/>
    <n v="503"/>
    <n v="814"/>
    <n v="364"/>
    <n v="550"/>
    <n v="594"/>
    <n v="400"/>
    <n v="273"/>
    <n v="542"/>
  </r>
  <r>
    <s v="TOTAL URUGUAY"/>
    <s v="SH+AC (160+162)"/>
    <s v="L'OREAL"/>
    <x v="0"/>
    <s v="7730317069928BP1"/>
    <x v="14"/>
    <s v="ELVIVE HIALURONICO 370 ML FCO + ACOND 370 ML FCO + CEP"/>
    <s v="Vtas Unds"/>
    <n v="470"/>
    <n v="261"/>
    <n v="129"/>
    <n v="49"/>
    <n v="16"/>
    <n v="42"/>
    <n v="359"/>
    <n v="157"/>
    <n v="55"/>
    <n v="257"/>
    <n v="463"/>
    <n v="94"/>
    <n v="53.217700000000001"/>
    <n v="27"/>
    <n v="14"/>
    <n v="8"/>
    <n v="0"/>
    <n v="1"/>
    <n v="3"/>
    <n v="2"/>
    <n v="105"/>
    <n v="694"/>
    <n v="257"/>
    <n v="73"/>
    <n v="74"/>
    <n v="30"/>
    <n v="40"/>
    <n v="32"/>
    <n v="18"/>
    <n v="25"/>
    <n v="53"/>
    <n v="1"/>
    <n v="1"/>
    <n v="4"/>
    <n v="4"/>
    <n v="1"/>
    <n v="4"/>
  </r>
  <r>
    <s v="TOTAL URUGUAY"/>
    <s v="SH+AC (160+162)"/>
    <s v="L'OREAL"/>
    <x v="0"/>
    <s v="7730317069928BP3"/>
    <x v="14"/>
    <s v="ELVIVE HIALURONICO ACOND 370 ML FCO + SH MM 370 ML FCO + CEP"/>
    <s v="Vtas Unds"/>
    <n v="470"/>
    <n v="261"/>
    <n v="129"/>
    <n v="49"/>
    <n v="16"/>
    <n v="42"/>
    <n v="359"/>
    <n v="157"/>
    <n v="55"/>
    <n v="257"/>
    <n v="463"/>
    <n v="94"/>
    <n v="53.217700000000001"/>
    <n v="27"/>
    <n v="14"/>
    <n v="8"/>
    <n v="0"/>
    <n v="1"/>
    <n v="3"/>
    <n v="2"/>
    <n v="105"/>
    <n v="694"/>
    <n v="257"/>
    <n v="73"/>
    <n v="74"/>
    <n v="30"/>
    <n v="40"/>
    <n v="32"/>
    <n v="18"/>
    <n v="25"/>
    <n v="53"/>
    <n v="1"/>
    <n v="1"/>
    <n v="4"/>
    <n v="4"/>
    <n v="1"/>
    <n v="4"/>
  </r>
  <r>
    <s v="TOTAL URUGUAY"/>
    <s v="SH+AC (160+162)"/>
    <s v="L'OREAL"/>
    <x v="0"/>
    <s v="7730317069942BP1"/>
    <x v="7"/>
    <s v="ELVIVE SH COLORVIVE 370ML FCO +ACOND MM 400 ML FCO+CEP"/>
    <s v="Vtas Unds"/>
    <n v="396"/>
    <n v="146"/>
    <n v="44"/>
    <n v="66"/>
    <n v="23"/>
    <n v="30"/>
    <n v="13"/>
    <n v="1"/>
    <n v="6"/>
    <n v="6"/>
    <n v="0"/>
    <n v="9"/>
    <n v="2"/>
    <n v="2"/>
    <n v="1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69942BP3"/>
    <x v="7"/>
    <s v="ELVIVE COLORVIVE ACOND 400 ML FCO+SH MM 370ML FCO +CEP"/>
    <s v="Vtas Unds"/>
    <n v="396"/>
    <n v="146"/>
    <n v="44"/>
    <n v="66"/>
    <n v="23"/>
    <n v="30"/>
    <n v="13"/>
    <n v="1"/>
    <n v="6"/>
    <n v="6"/>
    <n v="0"/>
    <n v="9"/>
    <n v="2"/>
    <n v="2"/>
    <n v="1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730317071709BP1"/>
    <x v="10"/>
    <s v="ELVIVE ARCILLA SHAM 370 ML FCO + ACOND MM 200 ML FCO"/>
    <s v="Vtas Unds"/>
    <n v="0"/>
    <n v="0"/>
    <n v="0"/>
    <n v="0"/>
    <n v="0"/>
    <n v="146"/>
    <n v="363"/>
    <n v="300"/>
    <n v="269"/>
    <n v="297"/>
    <n v="190"/>
    <n v="189"/>
    <n v="177"/>
    <n v="192"/>
    <n v="113"/>
    <n v="148"/>
    <n v="289"/>
    <n v="145"/>
    <n v="431"/>
    <n v="131"/>
    <n v="82"/>
    <n v="134"/>
    <n v="44"/>
    <n v="15"/>
    <n v="23"/>
    <n v="6"/>
    <n v="5"/>
    <n v="9"/>
    <n v="3"/>
    <n v="1"/>
    <n v="0"/>
    <n v="0"/>
    <n v="0"/>
    <n v="0"/>
    <n v="0"/>
    <n v="0"/>
    <n v="0"/>
  </r>
  <r>
    <s v="TOTAL URUGUAY"/>
    <s v="SH+AC (160+162)"/>
    <s v="L'OREAL"/>
    <x v="0"/>
    <s v="7730317071709BP2"/>
    <x v="10"/>
    <s v="ELVIVE ACOND MM 200 ML FCO + MM ARCILLA SHAM 370 ML FCO"/>
    <s v="Vtas Unds"/>
    <n v="0"/>
    <n v="0"/>
    <n v="0"/>
    <n v="0"/>
    <n v="0"/>
    <n v="146"/>
    <n v="363"/>
    <n v="300"/>
    <n v="269"/>
    <n v="297"/>
    <n v="190"/>
    <n v="189"/>
    <n v="177"/>
    <n v="192"/>
    <n v="113"/>
    <n v="148"/>
    <n v="289"/>
    <n v="145"/>
    <n v="431"/>
    <n v="131"/>
    <n v="82"/>
    <n v="134"/>
    <n v="44"/>
    <n v="15"/>
    <n v="23"/>
    <n v="6"/>
    <n v="5"/>
    <n v="9"/>
    <n v="3"/>
    <n v="1"/>
    <n v="0"/>
    <n v="0"/>
    <n v="0"/>
    <n v="0"/>
    <n v="0"/>
    <n v="0"/>
    <n v="0"/>
  </r>
  <r>
    <s v="TOTAL URUGUAY"/>
    <s v="SH+AC (160+162)"/>
    <s v="L'OREAL"/>
    <x v="0"/>
    <s v="7730317074557BP1"/>
    <x v="19"/>
    <s v="ELVIVE SH HPURE FCO 370 ML+MM ACO HIALU PURE FCO 370 ML"/>
    <s v="Vtas Unds"/>
    <n v="0"/>
    <n v="0"/>
    <n v="0"/>
    <n v="0"/>
    <n v="0"/>
    <n v="0"/>
    <n v="0"/>
    <n v="0"/>
    <n v="0"/>
    <n v="0"/>
    <n v="0"/>
    <n v="0"/>
    <n v="12"/>
    <n v="141"/>
    <n v="83"/>
    <n v="156"/>
    <n v="81"/>
    <n v="74"/>
    <n v="58"/>
    <n v="37"/>
    <n v="63"/>
    <n v="39"/>
    <n v="23"/>
    <n v="24"/>
    <n v="31"/>
    <n v="7"/>
    <n v="10"/>
    <n v="13"/>
    <n v="2"/>
    <n v="3"/>
    <n v="2"/>
    <n v="4"/>
    <n v="1"/>
    <n v="0"/>
    <n v="0"/>
    <n v="0"/>
    <n v="1"/>
  </r>
  <r>
    <s v="TOTAL URUGUAY"/>
    <s v="SH+AC (160+162)"/>
    <s v="L'OREAL"/>
    <x v="0"/>
    <s v="7730317074557BP2"/>
    <x v="19"/>
    <s v="ELVIVE ACO H PURE FCO 370 ML+ MM SH HPURE FCO 370 ML"/>
    <s v="Vtas Unds"/>
    <n v="0"/>
    <n v="0"/>
    <n v="0"/>
    <n v="0"/>
    <n v="0"/>
    <n v="0"/>
    <n v="0"/>
    <n v="0"/>
    <n v="0"/>
    <n v="0"/>
    <n v="0"/>
    <n v="0"/>
    <n v="12"/>
    <n v="141"/>
    <n v="83"/>
    <n v="156"/>
    <n v="81"/>
    <n v="74"/>
    <n v="58"/>
    <n v="37"/>
    <n v="63"/>
    <n v="39"/>
    <n v="23"/>
    <n v="24"/>
    <n v="31"/>
    <n v="7"/>
    <n v="10"/>
    <n v="13"/>
    <n v="2"/>
    <n v="3"/>
    <n v="2"/>
    <n v="4"/>
    <n v="1"/>
    <n v="0"/>
    <n v="0"/>
    <n v="0"/>
    <n v="1"/>
  </r>
  <r>
    <s v="TOTAL URUGUAY"/>
    <s v="SH+AC (160+162)"/>
    <s v="L'OREAL"/>
    <x v="0"/>
    <s v="7730317075592BP1"/>
    <x v="19"/>
    <s v="ELVIVE HIALURONICO PURE SH. FCO 370ML + MM AC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8"/>
    <n v="1120"/>
    <n v="832"/>
    <n v="762"/>
    <n v="941"/>
    <n v="916"/>
    <n v="553"/>
    <n v="642"/>
    <n v="534"/>
    <n v="570"/>
    <n v="687"/>
    <n v="514"/>
    <n v="459"/>
    <n v="753"/>
  </r>
  <r>
    <s v="TOTAL URUGUAY"/>
    <s v="SH+AC (160+162)"/>
    <s v="L'OREAL"/>
    <x v="0"/>
    <s v="7730317075592BP2"/>
    <x v="19"/>
    <s v="ELVIVE HIALURONICO PURE AC FCO 200ML + MM SH FCO 37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8"/>
    <n v="1120"/>
    <n v="832"/>
    <n v="762"/>
    <n v="941"/>
    <n v="916"/>
    <n v="553"/>
    <n v="642"/>
    <n v="534"/>
    <n v="570"/>
    <n v="687"/>
    <n v="514"/>
    <n v="459"/>
    <n v="753"/>
  </r>
  <r>
    <s v="TOTAL URUGUAY"/>
    <s v="SH+AC (160+162)"/>
    <s v="L'OREAL"/>
    <x v="0"/>
    <s v="7730317075608BP1"/>
    <x v="19"/>
    <s v="ELVIVE PURE SHAMPOO 680 ML + MM ACO. FCO 370 ML"/>
    <s v="Vtas Unds"/>
    <n v="0"/>
    <n v="0"/>
    <n v="0"/>
    <n v="0"/>
    <n v="0"/>
    <n v="0"/>
    <n v="0"/>
    <n v="0"/>
    <n v="0"/>
    <n v="0"/>
    <n v="0"/>
    <n v="0"/>
    <n v="0"/>
    <n v="0"/>
    <n v="204"/>
    <n v="264"/>
    <n v="252"/>
    <n v="296"/>
    <n v="470"/>
    <n v="427"/>
    <n v="349"/>
    <n v="157"/>
    <n v="130"/>
    <n v="25"/>
    <n v="18"/>
    <n v="7"/>
    <n v="3"/>
    <n v="66"/>
    <n v="48"/>
    <n v="338"/>
    <n v="668"/>
    <n v="654"/>
    <n v="706"/>
    <n v="832"/>
    <n v="774"/>
    <n v="748"/>
    <n v="1100"/>
  </r>
  <r>
    <s v="TOTAL URUGUAY"/>
    <s v="SH+AC (160+162)"/>
    <s v="L'OREAL"/>
    <x v="0"/>
    <s v="7730317075608BP2"/>
    <x v="19"/>
    <s v="ELVIVE PURE ACO. FCO 370 ML+ MM SHAMPOO 680 ML"/>
    <s v="Vtas Unds"/>
    <n v="0"/>
    <n v="0"/>
    <n v="0"/>
    <n v="0"/>
    <n v="0"/>
    <n v="0"/>
    <n v="0"/>
    <n v="0"/>
    <n v="0"/>
    <n v="0"/>
    <n v="0"/>
    <n v="0"/>
    <n v="0"/>
    <n v="0"/>
    <n v="204"/>
    <n v="264"/>
    <n v="252"/>
    <n v="296"/>
    <n v="470"/>
    <n v="427"/>
    <n v="349"/>
    <n v="157"/>
    <n v="130"/>
    <n v="25"/>
    <n v="18"/>
    <n v="7"/>
    <n v="3"/>
    <n v="66"/>
    <n v="48"/>
    <n v="338"/>
    <n v="668"/>
    <n v="654"/>
    <n v="706"/>
    <n v="832"/>
    <n v="774"/>
    <n v="748"/>
    <n v="1100"/>
  </r>
  <r>
    <s v="TOTAL URUGUAY"/>
    <s v="SH+AC (160+162)"/>
    <s v="L'OREAL"/>
    <x v="0"/>
    <s v="7730317076735BP1"/>
    <x v="19"/>
    <s v="ELVIVE HIALURONICO P SH 370ML FCO+MM ACO FCO 370ML C/G CEP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"/>
    <n v="176"/>
    <n v="63"/>
    <n v="33"/>
    <n v="11"/>
    <n v="5"/>
    <n v="7"/>
    <n v="10"/>
    <n v="5"/>
    <n v="5"/>
    <n v="6"/>
    <n v="1"/>
    <n v="4"/>
    <n v="2"/>
    <n v="2"/>
    <n v="2"/>
  </r>
  <r>
    <s v="TOTAL URUGUAY"/>
    <s v="SH+AC (160+162)"/>
    <s v="L'OREAL"/>
    <x v="0"/>
    <s v="7730317076735BP2"/>
    <x v="19"/>
    <s v="ELVIVE HIALURONICO P ACO 370ML FCO+MM SH FCO 370ML C/G CEP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"/>
    <n v="176"/>
    <n v="63"/>
    <n v="33"/>
    <n v="11"/>
    <n v="5"/>
    <n v="7"/>
    <n v="10"/>
    <n v="5"/>
    <n v="5"/>
    <n v="6"/>
    <n v="1"/>
    <n v="4"/>
    <n v="2"/>
    <n v="2"/>
    <n v="2"/>
  </r>
  <r>
    <s v="TOTAL URUGUAY"/>
    <s v="SH+AC (160+162)"/>
    <s v="L'OREAL"/>
    <x v="0"/>
    <s v="7730317078654BP1"/>
    <x v="14"/>
    <s v="ELVIVE HIDRA HIALURONICO. SH ADU REG FCO 370ML + MM AC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6"/>
    <n v="860"/>
    <n v="812"/>
    <n v="1020"/>
    <n v="829"/>
    <n v="1162"/>
    <n v="1095"/>
    <n v="1135"/>
    <n v="1531"/>
    <n v="1066"/>
    <n v="1083"/>
    <n v="1123"/>
  </r>
  <r>
    <s v="TOTAL URUGUAY"/>
    <s v="SH+AC (160+162)"/>
    <s v="L'OREAL"/>
    <x v="0"/>
    <s v="7730317078654BP2"/>
    <x v="14"/>
    <s v="ELVIVE HIDRA HIALURONICO AC ADU REG FCO 200ML + MM SH 37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6"/>
    <n v="860"/>
    <n v="812"/>
    <n v="1020"/>
    <n v="829"/>
    <n v="1162"/>
    <n v="1095"/>
    <n v="1135"/>
    <n v="1531"/>
    <n v="1066"/>
    <n v="1083"/>
    <n v="1123"/>
  </r>
  <r>
    <s v="TOTAL URUGUAY"/>
    <s v="SH+AC (160+162)"/>
    <s v="L'OREAL"/>
    <x v="0"/>
    <s v="7730317078982"/>
    <x v="14"/>
    <s v="ELVIVE HIDRA HIALURONICO SH ADU. FCO 370ML X2UN PRE. ESP.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236"/>
    <n v="315"/>
    <n v="123"/>
    <n v="113"/>
    <n v="44"/>
    <n v="20"/>
    <n v="33"/>
    <n v="17"/>
    <n v="13"/>
    <n v="17"/>
    <n v="13"/>
    <n v="6"/>
    <n v="7"/>
  </r>
  <r>
    <s v="TOTAL URUGUAY"/>
    <s v="SH+AC (160+162)"/>
    <s v="L'OREAL"/>
    <x v="0"/>
    <s v="7730317079125BP1"/>
    <x v="25"/>
    <s v="ELVIVE GLYCOLIC GLOSS BRILLO SH ADU REG FCO 680ML + MM AC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"/>
    <n v="546"/>
    <n v="587"/>
    <n v="599"/>
    <n v="849"/>
    <n v="893"/>
    <n v="958"/>
    <n v="1549"/>
    <n v="1229"/>
    <n v="980"/>
    <n v="1352"/>
  </r>
  <r>
    <s v="TOTAL URUGUAY"/>
    <s v="SH+AC (160+162)"/>
    <s v="L'OREAL"/>
    <x v="0"/>
    <s v="7730317079125BP2"/>
    <x v="25"/>
    <s v="ELVIVE GLYCOLIC GLOSS BRILLO AC ADU REG FCO 370ML + MM SH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"/>
    <n v="546"/>
    <n v="587"/>
    <n v="599"/>
    <n v="849"/>
    <n v="893"/>
    <n v="958"/>
    <n v="1549"/>
    <n v="1229"/>
    <n v="980"/>
    <n v="1352"/>
  </r>
  <r>
    <s v="TOTAL URUGUAY"/>
    <s v="SH+AC (160+162)"/>
    <s v="L'OREAL"/>
    <x v="0"/>
    <s v="7730317079149BP1"/>
    <x v="7"/>
    <s v="ELVIVE PACK COLORVIVE SH ADU REG FCO 370ML + MM AC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"/>
    <n v="601"/>
    <n v="838"/>
    <n v="1113"/>
    <n v="695"/>
    <n v="729"/>
    <n v="925"/>
  </r>
  <r>
    <s v="TOTAL URUGUAY"/>
    <s v="SH+AC (160+162)"/>
    <s v="L'OREAL"/>
    <x v="0"/>
    <s v="7730317079149BP2"/>
    <x v="7"/>
    <s v="ELVIVE PACK COLORVIVE AC ADU REG FCO 200ML + MM SH 37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"/>
    <n v="601"/>
    <n v="838"/>
    <n v="1113"/>
    <n v="695"/>
    <n v="729"/>
    <n v="925"/>
  </r>
  <r>
    <s v="TOTAL URUGUAY"/>
    <s v="SH+AC (160+162)"/>
    <s v="L'OREAL"/>
    <x v="0"/>
    <s v="7730317079408BP1"/>
    <x v="25"/>
    <s v="ELVIVE GLYCOLIC GLOSS SH. BRILLO ADU REG FCO 370ML + MM AC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614"/>
    <n v="981"/>
    <n v="869"/>
    <n v="557"/>
    <n v="284"/>
    <n v="701"/>
    <n v="1246"/>
    <n v="828"/>
    <n v="768"/>
    <n v="1083"/>
  </r>
  <r>
    <s v="TOTAL URUGUAY"/>
    <s v="SH+AC (160+162)"/>
    <s v="L'OREAL"/>
    <x v="0"/>
    <s v="7730317079408BP2"/>
    <x v="25"/>
    <s v="ELVIVE GLYCOLIC GLOSS AC. BRILLO ADU REG FCO 200ML + MM SH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614"/>
    <n v="981"/>
    <n v="869"/>
    <n v="557"/>
    <n v="284"/>
    <n v="701"/>
    <n v="1246"/>
    <n v="828"/>
    <n v="768"/>
    <n v="1083"/>
  </r>
  <r>
    <s v="TOTAL URUGUAY"/>
    <s v="SH+AC (160+162)"/>
    <s v="L'OREAL"/>
    <x v="0"/>
    <s v="7730317080145BP1"/>
    <x v="2"/>
    <s v="ELVIVE RT5 PACK SH REPARADOR ADU REG FCO 370ML + MM AC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335"/>
    <n v="1065"/>
    <n v="346"/>
    <n v="611"/>
    <n v="917"/>
  </r>
  <r>
    <s v="TOTAL URUGUAY"/>
    <s v="SH+AC (160+162)"/>
    <s v="L'OREAL"/>
    <x v="0"/>
    <s v="7730317080145BP2"/>
    <x v="2"/>
    <s v="ELVIVE RT5 PACK AC REPARADOR ADU REG FCO 200ML + MM SH 37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335"/>
    <n v="1065"/>
    <n v="346"/>
    <n v="611"/>
    <n v="917"/>
  </r>
  <r>
    <s v="TOTAL URUGUAY"/>
    <s v="SH+AC (160+162)"/>
    <s v="L'OREAL"/>
    <x v="0"/>
    <s v="7730901592337"/>
    <x v="16"/>
    <s v="ELVIVE RT5 EXTREME SH RECONSTRUCTOR ADU REG FCO 37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3"/>
    <n v="1"/>
    <n v="2"/>
  </r>
  <r>
    <s v="TOTAL URUGUAY"/>
    <s v="SH+AC (160+162)"/>
    <s v="L'OREAL"/>
    <x v="0"/>
    <s v="7773031706434BP1"/>
    <x v="7"/>
    <s v="ELVIVE COLORV SH FCO 370 ML+MM ACO FCO 200 ML"/>
    <s v="Vtas Unds"/>
    <n v="0"/>
    <n v="0"/>
    <n v="0"/>
    <n v="0"/>
    <n v="0"/>
    <n v="0"/>
    <n v="0"/>
    <n v="0"/>
    <n v="0"/>
    <n v="0"/>
    <n v="0"/>
    <n v="0"/>
    <n v="0"/>
    <n v="208.1842"/>
    <n v="157"/>
    <n v="340"/>
    <n v="227"/>
    <n v="252"/>
    <n v="414"/>
    <n v="201"/>
    <n v="85"/>
    <n v="39"/>
    <n v="17"/>
    <n v="9"/>
    <n v="26"/>
    <n v="4"/>
    <n v="93"/>
    <n v="177"/>
    <n v="0"/>
    <n v="0"/>
    <n v="0"/>
    <n v="0"/>
    <n v="0"/>
    <n v="0"/>
    <n v="0"/>
    <n v="0"/>
    <n v="0"/>
  </r>
  <r>
    <s v="TOTAL URUGUAY"/>
    <s v="SH+AC (160+162)"/>
    <s v="L'OREAL"/>
    <x v="0"/>
    <s v="7773031706434BP2"/>
    <x v="7"/>
    <s v="ELVIVE ACO 200 ML+ MM COLORV SHA 370 ML"/>
    <s v="Vtas Unds"/>
    <n v="0"/>
    <n v="0"/>
    <n v="0"/>
    <n v="0"/>
    <n v="0"/>
    <n v="0"/>
    <n v="0"/>
    <n v="0"/>
    <n v="0"/>
    <n v="0"/>
    <n v="0"/>
    <n v="0"/>
    <n v="0"/>
    <n v="208.1842"/>
    <n v="157"/>
    <n v="340"/>
    <n v="227"/>
    <n v="252"/>
    <n v="414"/>
    <n v="201"/>
    <n v="85"/>
    <n v="39"/>
    <n v="17"/>
    <n v="9"/>
    <n v="26"/>
    <n v="4"/>
    <n v="93"/>
    <n v="177"/>
    <n v="0"/>
    <n v="0"/>
    <n v="0"/>
    <n v="0"/>
    <n v="0"/>
    <n v="0"/>
    <n v="0"/>
    <n v="0"/>
    <n v="0"/>
  </r>
  <r>
    <s v="TOTAL URUGUAY"/>
    <s v="SH+AC (160+162)"/>
    <s v="L'OREAL"/>
    <x v="0"/>
    <s v="7896014149728"/>
    <x v="7"/>
    <s v="ELSEVE/ELVCOLORVIVE ACONDICIO.FCO.PLAST.300 CC IMP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TOTAL URUGUAY"/>
    <s v="SH+AC (160+162)"/>
    <s v="L'OREAL"/>
    <x v="0"/>
    <s v="7898587761864"/>
    <x v="2"/>
    <s v="ELVIVE SHAMPOO REPARACION TOTAL 5 200 ML"/>
    <s v="Vtas Unds"/>
    <n v="0"/>
    <n v="0"/>
    <n v="0"/>
    <n v="0"/>
    <n v="0"/>
    <n v="0"/>
    <n v="0"/>
    <n v="1"/>
    <n v="1"/>
    <n v="0"/>
    <n v="0"/>
    <n v="0"/>
    <n v="2"/>
    <n v="0"/>
    <n v="2"/>
    <n v="2"/>
    <n v="7"/>
    <n v="8"/>
    <n v="6"/>
    <n v="4"/>
    <n v="5"/>
    <n v="3"/>
    <n v="4"/>
    <n v="4"/>
    <n v="4"/>
    <n v="1"/>
    <n v="0"/>
    <n v="0"/>
    <n v="7"/>
    <n v="0"/>
    <n v="0"/>
    <n v="0"/>
    <n v="0"/>
    <n v="0"/>
    <n v="0"/>
    <n v="0"/>
    <n v="0"/>
  </r>
  <r>
    <s v="TOTAL URUGUAY"/>
    <s v="SH+AC (160+162)"/>
    <s v="L'OREAL"/>
    <x v="0"/>
    <s v="7898587761888"/>
    <x v="7"/>
    <s v="ELVIVE COLOR VIVE ACONDICIONADOR TRATAMIENTO 200ML FCO.PLAST"/>
    <s v="Vtas Unds"/>
    <n v="97"/>
    <n v="72"/>
    <n v="66"/>
    <n v="112"/>
    <n v="84"/>
    <n v="84"/>
    <n v="190"/>
    <n v="148"/>
    <n v="116"/>
    <n v="160"/>
    <n v="111"/>
    <n v="97"/>
    <n v="111"/>
    <n v="73.592100000000002"/>
    <n v="71"/>
    <n v="117"/>
    <n v="110"/>
    <n v="118"/>
    <n v="191"/>
    <n v="168"/>
    <n v="154"/>
    <n v="172"/>
    <n v="88"/>
    <n v="89"/>
    <n v="165"/>
    <n v="61"/>
    <n v="0"/>
    <n v="0"/>
    <n v="0"/>
    <n v="0"/>
    <n v="4"/>
    <n v="0"/>
    <n v="0"/>
    <n v="0"/>
    <n v="0"/>
    <n v="0"/>
    <n v="0"/>
  </r>
  <r>
    <s v="TOTAL URUGUAY"/>
    <s v="SH+AC (160+162)"/>
    <s v="L'OREAL"/>
    <x v="0"/>
    <s v="7898587761925"/>
    <x v="2"/>
    <s v="ELVIVE ACOND REPARARACION TOTAL 5 FCO 200 ML"/>
    <s v="Vtas Unds"/>
    <n v="0"/>
    <n v="0"/>
    <n v="0"/>
    <n v="0"/>
    <n v="0"/>
    <n v="0"/>
    <n v="0"/>
    <n v="1"/>
    <n v="1"/>
    <n v="0"/>
    <n v="0"/>
    <n v="1"/>
    <n v="2"/>
    <n v="0"/>
    <n v="2"/>
    <n v="0"/>
    <n v="2"/>
    <n v="3"/>
    <n v="1"/>
    <n v="3"/>
    <n v="1"/>
    <n v="1"/>
    <n v="4"/>
    <n v="0"/>
    <n v="2"/>
    <n v="4"/>
    <n v="0"/>
    <n v="0"/>
    <n v="0"/>
    <n v="0"/>
    <n v="14"/>
    <n v="0"/>
    <n v="0"/>
    <n v="0"/>
    <n v="0"/>
    <n v="0"/>
    <n v="0"/>
  </r>
  <r>
    <s v="TOTAL URUGUAY"/>
    <s v="SH+AC (160+162)"/>
    <s v="L'OREAL"/>
    <x v="0"/>
    <s v="7898587761987"/>
    <x v="2"/>
    <s v="ELVIVE REPARACION TOTAL 5 FCO.PLAST 400ML"/>
    <s v="Vtas Unds"/>
    <n v="34"/>
    <n v="16"/>
    <n v="20"/>
    <n v="24"/>
    <n v="19"/>
    <n v="17"/>
    <n v="22"/>
    <n v="16"/>
    <n v="10"/>
    <n v="5"/>
    <n v="5"/>
    <n v="6"/>
    <n v="1"/>
    <n v="3"/>
    <n v="1"/>
    <n v="1"/>
    <n v="3"/>
    <n v="2"/>
    <n v="7"/>
    <n v="0"/>
    <n v="1"/>
    <n v="1"/>
    <n v="2"/>
    <n v="0"/>
    <n v="0"/>
    <n v="1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898587762380"/>
    <x v="27"/>
    <s v="ELVIVE CITRUS FCO.PL. 200 CC"/>
    <s v="Vtas Unds"/>
    <n v="223"/>
    <n v="152"/>
    <n v="142"/>
    <n v="136"/>
    <n v="70"/>
    <n v="63"/>
    <n v="59"/>
    <n v="41"/>
    <n v="25"/>
    <n v="21"/>
    <n v="14"/>
    <n v="8"/>
    <n v="5"/>
    <n v="8"/>
    <n v="2"/>
    <n v="8"/>
    <n v="7"/>
    <n v="8"/>
    <n v="11"/>
    <n v="2"/>
    <n v="0"/>
    <n v="0"/>
    <n v="2"/>
    <n v="0"/>
    <n v="0"/>
    <n v="1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898587762403"/>
    <x v="27"/>
    <s v="ELVIVE CITRUS FCO.PLA. 400 CC"/>
    <s v="Vtas Unds"/>
    <n v="163"/>
    <n v="94"/>
    <n v="78"/>
    <n v="50"/>
    <n v="41"/>
    <n v="24"/>
    <n v="21"/>
    <n v="25"/>
    <n v="7"/>
    <n v="4"/>
    <n v="2"/>
    <n v="1"/>
    <n v="1"/>
    <n v="2"/>
    <n v="3"/>
    <n v="4"/>
    <n v="2"/>
    <n v="4"/>
    <n v="5"/>
    <n v="2"/>
    <n v="2"/>
    <n v="1"/>
    <n v="0"/>
    <n v="0"/>
    <n v="1"/>
    <n v="1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898587762892"/>
    <x v="20"/>
    <s v="ELVIVE OLEO EXTRAORDINARIO TRATAMIEN. 100 MLFCO.PL."/>
    <s v="Vtas Unds"/>
    <n v="65"/>
    <n v="31"/>
    <n v="48"/>
    <n v="75"/>
    <n v="48"/>
    <n v="39"/>
    <n v="36"/>
    <n v="21"/>
    <n v="16"/>
    <n v="19"/>
    <n v="14"/>
    <n v="4"/>
    <n v="8"/>
    <n v="5"/>
    <n v="18"/>
    <n v="2"/>
    <n v="7"/>
    <n v="1"/>
    <n v="2"/>
    <n v="2"/>
    <n v="1"/>
    <n v="1"/>
    <n v="1"/>
    <n v="2"/>
    <n v="1"/>
    <n v="0"/>
    <n v="0"/>
    <n v="0"/>
    <n v="0"/>
    <n v="0"/>
    <n v="0"/>
    <n v="0"/>
    <n v="0"/>
    <n v="0"/>
    <n v="0"/>
    <n v="1"/>
    <n v="0"/>
  </r>
  <r>
    <s v="TOTAL URUGUAY"/>
    <s v="SH+AC (160+162)"/>
    <s v="L'OREAL"/>
    <x v="0"/>
    <s v="7898587772518"/>
    <x v="16"/>
    <s v="ELVIVE RT EXTREME FCO.PL. 200 CC"/>
    <s v="Vtas Unds"/>
    <n v="102"/>
    <n v="75"/>
    <n v="115"/>
    <n v="144"/>
    <n v="57"/>
    <n v="84"/>
    <n v="116"/>
    <n v="136"/>
    <n v="77"/>
    <n v="93"/>
    <n v="83"/>
    <n v="51"/>
    <n v="75"/>
    <n v="49"/>
    <n v="62"/>
    <n v="70"/>
    <n v="52"/>
    <n v="45"/>
    <n v="52"/>
    <n v="72"/>
    <n v="68"/>
    <n v="53"/>
    <n v="40"/>
    <n v="24"/>
    <n v="32"/>
    <n v="38"/>
    <n v="39"/>
    <n v="26"/>
    <n v="14"/>
    <n v="11"/>
    <n v="12"/>
    <n v="7"/>
    <n v="4"/>
    <n v="0"/>
    <n v="1"/>
    <n v="1"/>
    <n v="5"/>
  </r>
  <r>
    <s v="TOTAL URUGUAY"/>
    <s v="SH+AC (160+162)"/>
    <s v="L'OREAL"/>
    <x v="0"/>
    <s v="7898587774925"/>
    <x v="9"/>
    <s v="ELVIVE OLEO EXTRAORDINARIO NUT.UNIVER. 200 MLFCO.PL."/>
    <s v="Vtas Unds"/>
    <n v="113"/>
    <n v="67"/>
    <n v="62"/>
    <n v="106"/>
    <n v="59"/>
    <n v="60"/>
    <n v="130"/>
    <n v="102"/>
    <n v="86"/>
    <n v="108"/>
    <n v="64"/>
    <n v="78"/>
    <n v="73"/>
    <n v="47"/>
    <n v="55"/>
    <n v="57"/>
    <n v="46"/>
    <n v="48"/>
    <n v="114"/>
    <n v="74"/>
    <n v="77"/>
    <n v="64"/>
    <n v="42"/>
    <n v="43"/>
    <n v="76"/>
    <n v="30"/>
    <n v="45"/>
    <n v="67"/>
    <n v="37"/>
    <n v="37"/>
    <n v="31"/>
    <n v="25"/>
    <n v="9"/>
    <n v="17"/>
    <n v="1"/>
    <n v="1"/>
    <n v="0"/>
  </r>
  <r>
    <s v="TOTAL URUGUAY"/>
    <s v="SH+AC (160+162)"/>
    <s v="L'OREAL"/>
    <x v="0"/>
    <s v="7898587775021"/>
    <x v="13"/>
    <s v="ELVIVE OLEO COCO ACONDICIONADOR 200ML FCO.PL."/>
    <s v="Vtas Unds"/>
    <n v="0"/>
    <n v="0"/>
    <n v="0"/>
    <n v="0"/>
    <n v="0"/>
    <n v="0"/>
    <n v="1"/>
    <n v="1"/>
    <n v="0"/>
    <n v="2"/>
    <n v="0"/>
    <n v="0"/>
    <n v="2"/>
    <n v="3"/>
    <n v="1"/>
    <n v="2"/>
    <n v="1"/>
    <n v="1"/>
    <n v="3"/>
    <n v="1"/>
    <n v="2"/>
    <n v="1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898587775021"/>
    <x v="1"/>
    <s v="ELVIVE OLEO EXTRAORDIN.NUT.INTEN.ACO. 200 MLFCO.PL."/>
    <s v="Vtas Unds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2"/>
    <n v="0"/>
    <n v="0"/>
    <n v="0"/>
    <n v="0"/>
    <n v="0"/>
    <n v="0"/>
    <n v="0"/>
  </r>
  <r>
    <s v="TOTAL URUGUAY"/>
    <s v="SH+AC (160+162)"/>
    <s v="L'OREAL"/>
    <x v="0"/>
    <s v="7898587775120"/>
    <x v="13"/>
    <s v="ELVIVE OLEO COCO SHAMPOO 200ML FCO. PLAST."/>
    <s v="Vtas Unds"/>
    <n v="203"/>
    <n v="157"/>
    <n v="201"/>
    <n v="224"/>
    <n v="176"/>
    <n v="217"/>
    <n v="336"/>
    <n v="306"/>
    <n v="200"/>
    <n v="318"/>
    <n v="211"/>
    <n v="190"/>
    <n v="303"/>
    <n v="153.19739999999999"/>
    <n v="243"/>
    <n v="204"/>
    <n v="201"/>
    <n v="192"/>
    <n v="289.68729999999999"/>
    <n v="182"/>
    <n v="217"/>
    <n v="188"/>
    <n v="38"/>
    <n v="24"/>
    <n v="22"/>
    <n v="8"/>
    <n v="5"/>
    <n v="5"/>
    <n v="6"/>
    <n v="1"/>
    <n v="1"/>
    <n v="12"/>
    <n v="3"/>
    <n v="2"/>
    <n v="2"/>
    <n v="0"/>
    <n v="0"/>
  </r>
  <r>
    <s v="TOTAL URUGUAY"/>
    <s v="SH+AC (160+162)"/>
    <s v="L'OREAL"/>
    <x v="0"/>
    <s v="7898587775120"/>
    <x v="1"/>
    <s v="ELVIVE OLEO EXTRAORDINARIO NUT.INTEN. 200 MLFCO.PL."/>
    <s v="Vtas Unds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3"/>
    <n v="14"/>
    <n v="3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898587775137"/>
    <x v="1"/>
    <s v="ELVIVE OLEO EXTR.NUT.INTENSA SH DRY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"/>
    <n v="0"/>
    <n v="0"/>
  </r>
  <r>
    <s v="TOTAL URUGUAY"/>
    <s v="SH+AC (160+162)"/>
    <s v="L'OREAL"/>
    <x v="0"/>
    <s v="7899026414310"/>
    <x v="28"/>
    <s v="ELSEVE/ELVNUTRI CERAMIDAS CR.P/PEIN. 250 CCFCO.PL.IMP"/>
    <s v="Vtas Unds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899026418042"/>
    <x v="7"/>
    <s v="ELVIVE COLOR VIVEFCO.PL. 400 CC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TOTAL URUGUAY"/>
    <s v="SH+AC (160+162)"/>
    <s v="L'OREAL"/>
    <x v="0"/>
    <s v="7899026422056"/>
    <x v="7"/>
    <s v="ELVIVE COLOR VIVEFCO.PL. 200 CC"/>
    <s v="Vtas Unds"/>
    <n v="0"/>
    <n v="0"/>
    <n v="0"/>
    <n v="0"/>
    <n v="1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</r>
  <r>
    <s v="TOTAL URUGUAY"/>
    <s v="SH+AC (160+162)"/>
    <s v="L'OREAL"/>
    <x v="0"/>
    <s v="7899026422247"/>
    <x v="2"/>
    <s v="ELVIVE REPARACIONTOTAL 5 FCO.PL. 200 CC"/>
    <s v="Vtas Unds"/>
    <n v="0"/>
    <n v="2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0"/>
    <n v="0"/>
    <n v="0"/>
    <n v="0"/>
  </r>
  <r>
    <s v="TOTAL URUGUAY"/>
    <s v="SH+AC (160+162)"/>
    <s v="L'OREAL"/>
    <x v="0"/>
    <s v="7899026422254"/>
    <x v="2"/>
    <s v="ELVIVE REPARACIONTOTAL 5 FCO.PL. 400 CC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TOTAL URUGUAY"/>
    <s v="SH+AC (160+162)"/>
    <s v="L'OREAL"/>
    <x v="0"/>
    <s v="7899026422292"/>
    <x v="2"/>
    <s v="ELSEVE/ELVREPARACIONTOTAL 5 CRE.P/PEI. 250 CCFCO.PLAST.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OTAL URUGUAY"/>
    <s v="SH+AC (160+162)"/>
    <s v="L'OREAL"/>
    <x v="0"/>
    <s v="7899706154185"/>
    <x v="29"/>
    <s v="ELVIVE RT5 CICA RENOV TRATAM. 50 MLFCO.PL."/>
    <s v="Vtas Unds"/>
    <n v="73"/>
    <n v="49"/>
    <n v="68"/>
    <n v="89"/>
    <n v="61"/>
    <n v="69"/>
    <n v="101"/>
    <n v="99"/>
    <n v="52"/>
    <n v="24"/>
    <n v="10"/>
    <n v="10"/>
    <n v="16"/>
    <n v="5"/>
    <n v="7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0"/>
    <s v="7899706182812"/>
    <x v="2"/>
    <s v="ELVIVE REPARACIONTOTAL 5 CICATRI-CERA CAPSULAS 15 GR X 3UN"/>
    <s v="Vtas Unds"/>
    <n v="142"/>
    <n v="131"/>
    <n v="144.9999"/>
    <n v="201"/>
    <n v="154.33330000000001"/>
    <n v="149.33330000000001"/>
    <n v="171"/>
    <n v="157"/>
    <n v="107"/>
    <n v="100"/>
    <n v="81"/>
    <n v="59"/>
    <n v="91.333100000000002"/>
    <n v="60.789499999999997"/>
    <n v="85.999799999999993"/>
    <n v="80"/>
    <n v="101"/>
    <n v="76.999899999999997"/>
    <n v="139.66659999999999"/>
    <n v="105"/>
    <n v="74"/>
    <n v="85"/>
    <n v="61"/>
    <n v="42"/>
    <n v="63"/>
    <n v="7"/>
    <n v="2"/>
    <n v="0"/>
    <n v="0"/>
    <n v="0"/>
    <n v="0"/>
    <n v="0"/>
    <n v="0"/>
    <n v="0"/>
    <n v="0"/>
    <n v="0"/>
    <n v="0"/>
  </r>
  <r>
    <s v="TOTAL URUGUAY"/>
    <s v="SH+AC (160+162)"/>
    <s v="L'OREAL"/>
    <x v="1"/>
    <s v="0071249155448"/>
    <x v="30"/>
    <s v="L'OREAL HAIR EXPERTISE EVE.MAS.TRATR. 300MLPOTE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1"/>
    <s v="0071249341346"/>
    <x v="31"/>
    <s v="L'OREAL HAIR EXP. EVERKERATIN CARE 250 MLTUBO"/>
    <s v="Vtas Unds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1"/>
    <s v="0071249341353"/>
    <x v="31"/>
    <s v="L'OREAL HAIR EXPERTISE EVER.KERAT 250 MLTUBO"/>
    <s v="Vtas Unds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1"/>
    <s v="0071249341360"/>
    <x v="30"/>
    <s v="L'OREAL HAIR EXP. EVERPURE REPAIR 250 MLTUBO"/>
    <s v="Vtas Unds"/>
    <n v="140"/>
    <n v="97"/>
    <n v="100"/>
    <n v="64"/>
    <n v="41"/>
    <n v="21"/>
    <n v="15"/>
    <n v="7"/>
    <n v="11"/>
    <n v="8"/>
    <n v="1"/>
    <n v="1"/>
    <n v="0"/>
    <n v="1"/>
    <n v="0"/>
    <n v="5"/>
    <n v="1"/>
    <n v="0"/>
    <n v="3"/>
    <n v="3"/>
    <n v="0"/>
    <n v="1"/>
    <n v="0"/>
    <n v="1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1"/>
    <s v="0071249341377"/>
    <x v="30"/>
    <s v="L'OREAL HAIR EXPERTISE EVER.REPAI 250 MLTUBO"/>
    <s v="Vtas Unds"/>
    <n v="95"/>
    <n v="48.154699999999998"/>
    <n v="26"/>
    <n v="39"/>
    <n v="21"/>
    <n v="11"/>
    <n v="15"/>
    <n v="12"/>
    <n v="19"/>
    <n v="10"/>
    <n v="2"/>
    <n v="5"/>
    <n v="3"/>
    <n v="2"/>
    <n v="3"/>
    <n v="2"/>
    <n v="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1"/>
    <s v="0071249341384"/>
    <x v="32"/>
    <s v="LOREAL HAIR EXPERT EVER CREME HYDRATATION SH 250 ML TUBO"/>
    <s v="Vtas Unds"/>
    <n v="203"/>
    <n v="121"/>
    <n v="169"/>
    <n v="204"/>
    <n v="182"/>
    <n v="179"/>
    <n v="309"/>
    <n v="225"/>
    <n v="143"/>
    <n v="189"/>
    <n v="146"/>
    <n v="109"/>
    <n v="173"/>
    <n v="129.19739999999999"/>
    <n v="147"/>
    <n v="163"/>
    <n v="143"/>
    <n v="136"/>
    <n v="246"/>
    <n v="194"/>
    <n v="178"/>
    <n v="236"/>
    <n v="143"/>
    <n v="141"/>
    <n v="179"/>
    <n v="109"/>
    <n v="113"/>
    <n v="204"/>
    <n v="126"/>
    <n v="86"/>
    <n v="154"/>
    <n v="92"/>
    <n v="124"/>
    <n v="134"/>
    <n v="94"/>
    <n v="80"/>
    <n v="138"/>
  </r>
  <r>
    <s v="TOTAL URUGUAY"/>
    <s v="SH+AC (160+162)"/>
    <s v="L'OREAL"/>
    <x v="1"/>
    <s v="0071249341391"/>
    <x v="32"/>
    <s v="L'OREAL HAIR EXPERTISE EVER.NOUR. 250 MLTUBO"/>
    <s v="Vtas Unds"/>
    <n v="121"/>
    <n v="77"/>
    <n v="90"/>
    <n v="133"/>
    <n v="95"/>
    <n v="98"/>
    <n v="151"/>
    <n v="103"/>
    <n v="56"/>
    <n v="103"/>
    <n v="62"/>
    <n v="64"/>
    <n v="78"/>
    <n v="61"/>
    <n v="85"/>
    <n v="87"/>
    <n v="74"/>
    <n v="70"/>
    <n v="118"/>
    <n v="88"/>
    <n v="108"/>
    <n v="106"/>
    <n v="79"/>
    <n v="94"/>
    <n v="79"/>
    <n v="66"/>
    <n v="90"/>
    <n v="102"/>
    <n v="88"/>
    <n v="71"/>
    <n v="128"/>
    <n v="132"/>
    <n v="115"/>
    <n v="122"/>
    <n v="81"/>
    <n v="74"/>
    <n v="113"/>
  </r>
  <r>
    <s v="TOTAL URUGUAY"/>
    <s v="SH+AC (160+162)"/>
    <s v="L'OREAL"/>
    <x v="1"/>
    <s v="0071249341421"/>
    <x v="30"/>
    <s v="L'OREAL HAIR EXPERTISE EVERBLONDE 250 MLTUBO"/>
    <s v="Vtas Unds"/>
    <n v="69"/>
    <n v="43"/>
    <n v="64"/>
    <n v="75"/>
    <n v="64"/>
    <n v="66"/>
    <n v="138"/>
    <n v="99"/>
    <n v="87"/>
    <n v="91"/>
    <n v="60"/>
    <n v="54"/>
    <n v="64"/>
    <n v="53"/>
    <n v="45"/>
    <n v="65"/>
    <n v="68"/>
    <n v="59"/>
    <n v="135"/>
    <n v="75"/>
    <n v="72"/>
    <n v="80"/>
    <n v="59"/>
    <n v="54"/>
    <n v="66"/>
    <n v="66"/>
    <n v="50"/>
    <n v="96"/>
    <n v="48"/>
    <n v="63"/>
    <n v="75"/>
    <n v="69"/>
    <n v="70"/>
    <n v="56"/>
    <n v="40"/>
    <n v="30"/>
    <n v="54"/>
  </r>
  <r>
    <s v="TOTAL URUGUAY"/>
    <s v="SH+AC (160+162)"/>
    <s v="L'OREAL"/>
    <x v="1"/>
    <s v="0071249341445"/>
    <x v="30"/>
    <s v="L'OREAL HAIR EXPERTISE EVE.BLONDE 250 MLTUBO"/>
    <s v="Vtas Unds"/>
    <n v="50"/>
    <n v="37"/>
    <n v="51"/>
    <n v="55"/>
    <n v="39"/>
    <n v="38"/>
    <n v="98"/>
    <n v="79"/>
    <n v="64"/>
    <n v="59"/>
    <n v="39"/>
    <n v="23"/>
    <n v="34"/>
    <n v="37"/>
    <n v="35"/>
    <n v="39"/>
    <n v="40"/>
    <n v="39"/>
    <n v="96"/>
    <n v="54"/>
    <n v="45"/>
    <n v="61"/>
    <n v="29"/>
    <n v="31"/>
    <n v="51"/>
    <n v="50"/>
    <n v="34"/>
    <n v="61"/>
    <n v="41"/>
    <n v="32"/>
    <n v="38"/>
    <n v="48"/>
    <n v="44"/>
    <n v="36"/>
    <n v="26"/>
    <n v="28"/>
    <n v="43"/>
  </r>
  <r>
    <s v="TOTAL URUGUAY"/>
    <s v="SH+AC (160+162)"/>
    <s v="L'OREAL"/>
    <x v="1"/>
    <s v="0071249395349"/>
    <x v="30"/>
    <s v="L'OREAL HAIR EXPERTISE EVER PURE VIOLE MATIZADOR POMO 200ML"/>
    <s v="Vtas Unds"/>
    <n v="85"/>
    <n v="69"/>
    <n v="57"/>
    <n v="86"/>
    <n v="58"/>
    <n v="71"/>
    <n v="98"/>
    <n v="85"/>
    <n v="85"/>
    <n v="73"/>
    <n v="40"/>
    <n v="45"/>
    <n v="73"/>
    <n v="58"/>
    <n v="56"/>
    <n v="67"/>
    <n v="52"/>
    <n v="55"/>
    <n v="124"/>
    <n v="71"/>
    <n v="83"/>
    <n v="71"/>
    <n v="50"/>
    <n v="64"/>
    <n v="61"/>
    <n v="72"/>
    <n v="61"/>
    <n v="80"/>
    <n v="82"/>
    <n v="63"/>
    <n v="152"/>
    <n v="165"/>
    <n v="66"/>
    <n v="71"/>
    <n v="60"/>
    <n v="65"/>
    <n v="109"/>
  </r>
  <r>
    <s v="TOTAL URUGUAY"/>
    <s v="SH+AC (160+162)"/>
    <s v="L'OREAL"/>
    <x v="1"/>
    <s v="0071249395363"/>
    <x v="30"/>
    <s v="L'OREAL HAIR EXPERTISE ACOND EVER PURE VIOLE MATIZ POM 200ML"/>
    <s v="Vtas Unds"/>
    <n v="60"/>
    <n v="34"/>
    <n v="51"/>
    <n v="70"/>
    <n v="48"/>
    <n v="46"/>
    <n v="74"/>
    <n v="56"/>
    <n v="59"/>
    <n v="60"/>
    <n v="31"/>
    <n v="31"/>
    <n v="46"/>
    <n v="32"/>
    <n v="36"/>
    <n v="57"/>
    <n v="36"/>
    <n v="36"/>
    <n v="89"/>
    <n v="66"/>
    <n v="57"/>
    <n v="41"/>
    <n v="37"/>
    <n v="35"/>
    <n v="49"/>
    <n v="46"/>
    <n v="34"/>
    <n v="58"/>
    <n v="46"/>
    <n v="37"/>
    <n v="84"/>
    <n v="42"/>
    <n v="36"/>
    <n v="47"/>
    <n v="33"/>
    <n v="51"/>
    <n v="57"/>
  </r>
  <r>
    <s v="TOTAL URUGUAY"/>
    <s v="SH+AC (160+162)"/>
    <s v="L'OREAL"/>
    <x v="1"/>
    <s v="0071249406915"/>
    <x v="30"/>
    <s v="L'OREAL EVER PURE BONDING REPAIR SH ADU REG POM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69"/>
    <n v="99"/>
    <n v="67"/>
    <n v="63"/>
    <n v="63"/>
    <n v="64"/>
    <n v="79"/>
  </r>
  <r>
    <s v="TOTAL URUGUAY"/>
    <s v="SH+AC (160+162)"/>
    <s v="L'OREAL"/>
    <x v="1"/>
    <s v="0071249406922"/>
    <x v="30"/>
    <s v="L'OREAL EVER PURE BONDING. REPAIR AC ADU REG POM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5"/>
    <n v="50"/>
    <n v="32"/>
    <n v="36"/>
    <n v="70"/>
  </r>
  <r>
    <s v="TOTAL URUGUAY"/>
    <s v="SH+AC (160+162)"/>
    <s v="L'OREAL"/>
    <x v="1"/>
    <s v="0071249645253"/>
    <x v="30"/>
    <s v="L'OREAL EVER PURE GLOSSING SH ADU REG POMO 25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79"/>
    <n v="102"/>
    <n v="82"/>
    <n v="65"/>
    <n v="47"/>
    <n v="60"/>
    <n v="75"/>
  </r>
  <r>
    <s v="TOTAL URUGUAY"/>
    <s v="SH+AC (160+162)"/>
    <s v="L'OREAL"/>
    <x v="1"/>
    <s v="0071249645260"/>
    <x v="30"/>
    <s v="L'OREAL EVER PURE GLOSSING AC ADU REG POMO 25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147"/>
    <n v="163"/>
    <n v="105"/>
    <n v="57"/>
    <n v="61"/>
    <n v="52"/>
    <n v="64"/>
  </r>
  <r>
    <s v="TOTAL URUGUAY"/>
    <s v="SH+AC (160+162)"/>
    <s v="L'OREAL"/>
    <x v="1"/>
    <s v="7730317051459BP1"/>
    <x v="32"/>
    <s v="LOREAL HAIR EXPERT EVER CREME CAB.SEC 250MLTUBO +MM SH 250ML"/>
    <s v="Vtas Unds"/>
    <n v="0"/>
    <n v="0"/>
    <n v="0"/>
    <n v="0"/>
    <n v="0"/>
    <n v="26"/>
    <n v="52"/>
    <n v="35"/>
    <n v="41"/>
    <n v="34"/>
    <n v="30"/>
    <n v="12"/>
    <n v="9"/>
    <n v="0"/>
    <n v="1"/>
    <n v="2"/>
    <n v="0"/>
    <n v="1"/>
    <n v="2"/>
    <n v="0"/>
    <n v="4"/>
    <n v="93"/>
    <n v="8"/>
    <n v="6"/>
    <n v="34"/>
    <n v="12"/>
    <n v="1"/>
    <n v="6"/>
    <n v="0"/>
    <n v="0"/>
    <n v="0"/>
    <n v="0"/>
    <n v="0"/>
    <n v="0"/>
    <n v="0"/>
    <n v="0"/>
    <n v="0"/>
  </r>
  <r>
    <s v="TOTAL URUGUAY"/>
    <s v="SH+AC (160+162)"/>
    <s v="L'OREAL"/>
    <x v="1"/>
    <s v="7730317051459BP2"/>
    <x v="32"/>
    <s v="LOREAL HAIR EXPERT EVER CREME CAB.SEC 250MLTUBO +MM ACO250ML"/>
    <s v="Vtas Unds"/>
    <n v="0"/>
    <n v="0"/>
    <n v="0"/>
    <n v="0"/>
    <n v="0"/>
    <n v="26"/>
    <n v="52"/>
    <n v="35"/>
    <n v="41"/>
    <n v="34"/>
    <n v="30"/>
    <n v="12"/>
    <n v="9"/>
    <n v="0"/>
    <n v="1"/>
    <n v="2"/>
    <n v="0"/>
    <n v="1"/>
    <n v="2"/>
    <n v="0"/>
    <n v="4"/>
    <n v="93"/>
    <n v="8"/>
    <n v="6"/>
    <n v="34"/>
    <n v="12"/>
    <n v="1"/>
    <n v="6"/>
    <n v="0"/>
    <n v="0"/>
    <n v="0"/>
    <n v="0"/>
    <n v="0"/>
    <n v="0"/>
    <n v="0"/>
    <n v="0"/>
    <n v="0"/>
  </r>
  <r>
    <s v="TOTAL URUGUAY"/>
    <s v="SH+AC (160+162)"/>
    <s v="L'OREAL"/>
    <x v="1"/>
    <s v="7730317051473BP1"/>
    <x v="30"/>
    <s v="LOREAL EVER CAB RUBIOS 250 ML POMO + ACO M/M POMO 250 MLPACK"/>
    <s v="Vtas Unds"/>
    <n v="0"/>
    <n v="0"/>
    <n v="0"/>
    <n v="0"/>
    <n v="0"/>
    <n v="0"/>
    <n v="2"/>
    <n v="15"/>
    <n v="26"/>
    <n v="27"/>
    <n v="9"/>
    <n v="10"/>
    <n v="12"/>
    <n v="1"/>
    <n v="2"/>
    <n v="4"/>
    <n v="0"/>
    <n v="1"/>
    <n v="1"/>
    <n v="2"/>
    <n v="1"/>
    <n v="57"/>
    <n v="37"/>
    <n v="25"/>
    <n v="35"/>
    <n v="29"/>
    <n v="36"/>
    <n v="99"/>
    <n v="39"/>
    <n v="31"/>
    <n v="60"/>
    <n v="14"/>
    <n v="12"/>
    <n v="35"/>
    <n v="5"/>
    <n v="0"/>
    <n v="1"/>
  </r>
  <r>
    <s v="TOTAL URUGUAY"/>
    <s v="SH+AC (160+162)"/>
    <s v="L'OREAL"/>
    <x v="1"/>
    <s v="7730317051473BP2"/>
    <x v="30"/>
    <s v="LOREAL EVER CAB RUBIOS 250 ML POMO + SH M/M POMO 250 MLPACK"/>
    <s v="Vtas Unds"/>
    <n v="0"/>
    <n v="0"/>
    <n v="0"/>
    <n v="0"/>
    <n v="0"/>
    <n v="0"/>
    <n v="2"/>
    <n v="15"/>
    <n v="26"/>
    <n v="27"/>
    <n v="9"/>
    <n v="10"/>
    <n v="12"/>
    <n v="1"/>
    <n v="2"/>
    <n v="4"/>
    <n v="0"/>
    <n v="1"/>
    <n v="1"/>
    <n v="2"/>
    <n v="1"/>
    <n v="57"/>
    <n v="37"/>
    <n v="25"/>
    <n v="35"/>
    <n v="29"/>
    <n v="36"/>
    <n v="99"/>
    <n v="39"/>
    <n v="31"/>
    <n v="60"/>
    <n v="14"/>
    <n v="12"/>
    <n v="35"/>
    <n v="5"/>
    <n v="0"/>
    <n v="1"/>
  </r>
  <r>
    <s v="TOTAL URUGUAY"/>
    <s v="SH+AC (160+162)"/>
    <s v="L'OREAL"/>
    <x v="1"/>
    <s v="7730317066927BP1"/>
    <x v="30"/>
    <s v="L'OREAL HAIR EXPERTISE EVERPU POMO 250ML+ MM ACON POMO 250ML"/>
    <s v="Vtas Unds"/>
    <n v="0"/>
    <n v="0"/>
    <n v="0"/>
    <n v="0"/>
    <n v="0"/>
    <n v="0"/>
    <n v="9"/>
    <n v="18"/>
    <n v="28"/>
    <n v="21"/>
    <n v="13"/>
    <n v="9"/>
    <n v="13"/>
    <n v="1"/>
    <n v="1"/>
    <n v="0"/>
    <n v="0"/>
    <n v="0"/>
    <n v="0"/>
    <n v="0"/>
    <n v="6"/>
    <n v="76"/>
    <n v="53"/>
    <n v="43"/>
    <n v="50"/>
    <n v="14"/>
    <n v="15"/>
    <n v="29"/>
    <n v="3"/>
    <n v="0"/>
    <n v="0"/>
    <n v="0"/>
    <n v="0"/>
    <n v="0"/>
    <n v="0"/>
    <n v="0"/>
    <n v="0"/>
  </r>
  <r>
    <s v="TOTAL URUGUAY"/>
    <s v="SH+AC (160+162)"/>
    <s v="L'OREAL"/>
    <x v="1"/>
    <s v="7730317066927BP2"/>
    <x v="30"/>
    <s v="L'OREAL HAIR EXPERTISE EVERPURE ACON POM 250ML+MM SHAM 250ML"/>
    <s v="Vtas Unds"/>
    <n v="0"/>
    <n v="0"/>
    <n v="0"/>
    <n v="0"/>
    <n v="0"/>
    <n v="0"/>
    <n v="9"/>
    <n v="18"/>
    <n v="28"/>
    <n v="21"/>
    <n v="13"/>
    <n v="9"/>
    <n v="13"/>
    <n v="1"/>
    <n v="1"/>
    <n v="0"/>
    <n v="0"/>
    <n v="0"/>
    <n v="0"/>
    <n v="0"/>
    <n v="6"/>
    <n v="76"/>
    <n v="53"/>
    <n v="43"/>
    <n v="50"/>
    <n v="14"/>
    <n v="15"/>
    <n v="29"/>
    <n v="3"/>
    <n v="0"/>
    <n v="0"/>
    <n v="0"/>
    <n v="0"/>
    <n v="0"/>
    <n v="0"/>
    <n v="0"/>
    <n v="0"/>
  </r>
  <r>
    <s v="TOTAL URUGUAY"/>
    <s v="SH+AC (160+162)"/>
    <s v="L'OREAL"/>
    <x v="2"/>
    <s v="7501027218384"/>
    <x v="33"/>
    <s v="LOREAL KIDS 2 EN 1EXP.FRESA CREM 265 CCFCO.PL."/>
    <s v="Vtas Unds"/>
    <n v="47"/>
    <n v="39"/>
    <n v="43"/>
    <n v="59"/>
    <n v="50"/>
    <n v="59"/>
    <n v="94"/>
    <n v="76"/>
    <n v="62"/>
    <n v="82"/>
    <n v="44"/>
    <n v="27"/>
    <n v="47"/>
    <n v="38"/>
    <n v="33"/>
    <n v="41"/>
    <n v="43"/>
    <n v="38"/>
    <n v="65"/>
    <n v="60"/>
    <n v="61"/>
    <n v="64"/>
    <n v="59"/>
    <n v="40"/>
    <n v="42"/>
    <n v="26"/>
    <n v="22"/>
    <n v="42"/>
    <n v="62"/>
    <n v="80"/>
    <n v="95"/>
    <n v="45"/>
    <n v="28"/>
    <n v="22"/>
    <n v="6"/>
    <n v="3"/>
    <n v="5"/>
  </r>
  <r>
    <s v="TOTAL URUGUAY"/>
    <s v="SH+AC (160+162)"/>
    <s v="L'OREAL"/>
    <x v="2"/>
    <s v="7501027280640"/>
    <x v="33"/>
    <s v="LOREAL KIDS 2 EN 1 MORA AZUL 265 CCFCO. PL."/>
    <s v="Vtas Unds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2"/>
    <s v="7501027280657"/>
    <x v="33"/>
    <s v="LOREAL KIDS 2 EN 1 MANGO-NARA. 265 CCFRASCO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2"/>
    <s v="7509552780987"/>
    <x v="33"/>
    <s v="LOREAL KIDS SHAMPOO COOL MELON FCO 265 M L"/>
    <s v="Vtas Unds"/>
    <n v="0"/>
    <n v="0"/>
    <n v="0"/>
    <n v="0"/>
    <n v="0"/>
    <n v="0"/>
    <n v="0"/>
    <n v="0"/>
    <n v="0"/>
    <n v="93"/>
    <n v="64"/>
    <n v="62"/>
    <n v="68"/>
    <n v="48"/>
    <n v="36"/>
    <n v="57"/>
    <n v="42"/>
    <n v="42"/>
    <n v="94"/>
    <n v="69"/>
    <n v="93"/>
    <n v="72"/>
    <n v="56"/>
    <n v="54"/>
    <n v="41"/>
    <n v="34"/>
    <n v="22"/>
    <n v="29"/>
    <n v="15"/>
    <n v="14"/>
    <n v="11"/>
    <n v="8"/>
    <n v="5"/>
    <n v="0"/>
    <n v="1"/>
    <n v="0"/>
    <n v="0"/>
  </r>
  <r>
    <s v="TOTAL URUGUAY"/>
    <s v="SH+AC (160+162)"/>
    <s v="L'OREAL"/>
    <x v="3"/>
    <s v="0603084082063"/>
    <x v="34"/>
    <s v="FRUCTIS SLEEK AND SHINE FCO 180ML"/>
    <s v="Vtas Unds"/>
    <n v="0"/>
    <n v="0"/>
    <n v="0"/>
    <n v="0"/>
    <n v="0"/>
    <n v="0"/>
    <n v="0"/>
    <n v="0"/>
    <n v="0"/>
    <n v="0"/>
    <n v="0"/>
    <n v="0"/>
    <n v="20"/>
    <n v="170.59209999999999"/>
    <n v="248"/>
    <n v="239"/>
    <n v="127"/>
    <n v="168.90799999999999"/>
    <n v="313.68279999999999"/>
    <n v="158"/>
    <n v="151"/>
    <n v="142"/>
    <n v="67"/>
    <n v="55"/>
    <n v="90"/>
    <n v="77"/>
    <n v="59"/>
    <n v="91"/>
    <n v="51"/>
    <n v="144"/>
    <n v="116"/>
    <n v="179"/>
    <n v="114"/>
    <n v="146"/>
    <n v="75"/>
    <n v="73"/>
    <n v="65"/>
  </r>
  <r>
    <s v="TOTAL URUGUAY"/>
    <s v="SH+AC (160+162)"/>
    <s v="L'OREAL"/>
    <x v="3"/>
    <s v="200063442247"/>
    <x v="35"/>
    <s v="FRUCTIS CRECE FUERTE ACOND. 350 MLFCO.PL.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TOTAL URUGUAY"/>
    <s v="SH+AC (160+162)"/>
    <s v="L'OREAL"/>
    <x v="3"/>
    <s v="200063976961"/>
    <x v="36"/>
    <s v="FRUCTIS FRESCURA VITAMI.ACO F.P 35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1839105247"/>
    <x v="37"/>
    <s v="FRUCTIS OIL REPAIR 3 FCO.PLAST. 350 CC"/>
    <s v="Vtas Unds"/>
    <n v="16"/>
    <n v="9"/>
    <n v="6"/>
    <n v="10"/>
    <n v="1"/>
    <n v="2"/>
    <n v="2"/>
    <n v="2"/>
    <n v="0"/>
    <n v="3"/>
    <n v="4"/>
    <n v="2"/>
    <n v="0"/>
    <n v="1"/>
    <n v="0"/>
    <n v="0"/>
    <n v="0"/>
    <n v="0"/>
    <n v="0"/>
    <n v="0"/>
    <n v="1"/>
    <n v="1"/>
    <n v="19"/>
    <n v="3"/>
    <n v="3"/>
    <n v="1"/>
    <n v="1"/>
    <n v="1"/>
    <n v="1"/>
    <n v="3"/>
    <n v="3"/>
    <n v="1"/>
    <n v="2"/>
    <n v="0"/>
    <n v="1"/>
    <n v="0"/>
    <n v="0"/>
  </r>
  <r>
    <s v="TOTAL URUGUAY"/>
    <s v="SH+AC (160+162)"/>
    <s v="L'OREAL"/>
    <x v="3"/>
    <s v="7501839192285"/>
    <x v="38"/>
    <s v="FRUCTIS ONDAS PERFECTAS CR.DEF.ON. 200 CCPOMO"/>
    <s v="Vtas Unds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792287"/>
    <x v="39"/>
    <s v="FRUCTIS FOOD SH MANT DE CACAO FCO 300 ML"/>
    <s v="Vtas Unds"/>
    <n v="0"/>
    <n v="0"/>
    <n v="0"/>
    <n v="0"/>
    <n v="0"/>
    <n v="0"/>
    <n v="0"/>
    <n v="0"/>
    <n v="10"/>
    <n v="97"/>
    <n v="80"/>
    <n v="88"/>
    <n v="81"/>
    <n v="51"/>
    <n v="59"/>
    <n v="69"/>
    <n v="73"/>
    <n v="69"/>
    <n v="119"/>
    <n v="114"/>
    <n v="127"/>
    <n v="138"/>
    <n v="144"/>
    <n v="126"/>
    <n v="159"/>
    <n v="101"/>
    <n v="107"/>
    <n v="138"/>
    <n v="96"/>
    <n v="124"/>
    <n v="143"/>
    <n v="125"/>
    <n v="133"/>
    <n v="132"/>
    <n v="76"/>
    <n v="76"/>
    <n v="102"/>
  </r>
  <r>
    <s v="TOTAL URUGUAY"/>
    <s v="SH+AC (160+162)"/>
    <s v="L'OREAL"/>
    <x v="3"/>
    <s v="7509552792294"/>
    <x v="39"/>
    <s v="FRUCTIS HAIR FOOD ACO MANT DE CACAO 300 ML"/>
    <s v="Vtas Unds"/>
    <n v="0"/>
    <n v="0"/>
    <n v="0"/>
    <n v="0"/>
    <n v="0"/>
    <n v="0"/>
    <n v="0"/>
    <n v="0"/>
    <n v="3"/>
    <n v="78"/>
    <n v="64"/>
    <n v="70"/>
    <n v="72"/>
    <n v="43"/>
    <n v="56"/>
    <n v="52"/>
    <n v="63"/>
    <n v="62"/>
    <n v="86"/>
    <n v="115"/>
    <n v="89"/>
    <n v="139"/>
    <n v="121"/>
    <n v="115"/>
    <n v="156"/>
    <n v="118"/>
    <n v="98"/>
    <n v="120"/>
    <n v="102"/>
    <n v="138"/>
    <n v="122"/>
    <n v="149"/>
    <n v="131"/>
    <n v="134"/>
    <n v="79"/>
    <n v="74"/>
    <n v="95"/>
  </r>
  <r>
    <s v="TOTAL URUGUAY"/>
    <s v="SH+AC (160+162)"/>
    <s v="L'OREAL"/>
    <x v="3"/>
    <s v="7509552792317"/>
    <x v="39"/>
    <s v="FRUCTIS HAIR C PEINAR FOODMANTECA DE CACAO 300 ML"/>
    <s v="Vtas Unds"/>
    <n v="0"/>
    <n v="0"/>
    <n v="0"/>
    <n v="0"/>
    <n v="0"/>
    <n v="0"/>
    <n v="0"/>
    <n v="0"/>
    <n v="10"/>
    <n v="109"/>
    <n v="63"/>
    <n v="81"/>
    <n v="71"/>
    <n v="27"/>
    <n v="30"/>
    <n v="42"/>
    <n v="31"/>
    <n v="43"/>
    <n v="64"/>
    <n v="45"/>
    <n v="47"/>
    <n v="30"/>
    <n v="21"/>
    <n v="13"/>
    <n v="20"/>
    <n v="15"/>
    <n v="16"/>
    <n v="20"/>
    <n v="13"/>
    <n v="27"/>
    <n v="45"/>
    <n v="59"/>
    <n v="41"/>
    <n v="37"/>
    <n v="22"/>
    <n v="15"/>
    <n v="19"/>
  </r>
  <r>
    <s v="TOTAL URUGUAY"/>
    <s v="SH+AC (160+162)"/>
    <s v="L'OREAL"/>
    <x v="3"/>
    <s v="7509552795608"/>
    <x v="40"/>
    <s v="FRUCTIS CREMA 10EN1 STOP CAIDA FCO 300 ML"/>
    <s v="Vtas Unds"/>
    <n v="79"/>
    <n v="56"/>
    <n v="65"/>
    <n v="59"/>
    <n v="45"/>
    <n v="78"/>
    <n v="110"/>
    <n v="155"/>
    <n v="87"/>
    <n v="69"/>
    <n v="42"/>
    <n v="40"/>
    <n v="51"/>
    <n v="29.197399999999998"/>
    <n v="37"/>
    <n v="66"/>
    <n v="36"/>
    <n v="31"/>
    <n v="75"/>
    <n v="75"/>
    <n v="80"/>
    <n v="88"/>
    <n v="56"/>
    <n v="55"/>
    <n v="59"/>
    <n v="62"/>
    <n v="44"/>
    <n v="52"/>
    <n v="27"/>
    <n v="63"/>
    <n v="49"/>
    <n v="61"/>
    <n v="48"/>
    <n v="40"/>
    <n v="17"/>
    <n v="31"/>
    <n v="38"/>
  </r>
  <r>
    <s v="TOTAL URUGUAY"/>
    <s v="SH+AC (160+162)"/>
    <s v="L'OREAL"/>
    <x v="3"/>
    <s v="7509552795646"/>
    <x v="40"/>
    <s v="FRUCTIS CRECE FUERTE VIT SERUM TRATAMIENTO 30 ML"/>
    <s v="Vtas Unds"/>
    <n v="91"/>
    <n v="43"/>
    <n v="35"/>
    <n v="40"/>
    <n v="26"/>
    <n v="36"/>
    <n v="54"/>
    <n v="108"/>
    <n v="81"/>
    <n v="121"/>
    <n v="69"/>
    <n v="42"/>
    <n v="54"/>
    <n v="43.592100000000002"/>
    <n v="50"/>
    <n v="52"/>
    <n v="39"/>
    <n v="32.871600000000001"/>
    <n v="38"/>
    <n v="25"/>
    <n v="31"/>
    <n v="31"/>
    <n v="12"/>
    <n v="14"/>
    <n v="8"/>
    <n v="15"/>
    <n v="11"/>
    <n v="7"/>
    <n v="5"/>
    <n v="12"/>
    <n v="3"/>
    <n v="4"/>
    <n v="0"/>
    <n v="3"/>
    <n v="2"/>
    <n v="0"/>
    <n v="1"/>
  </r>
  <r>
    <s v="TOTAL URUGUAY"/>
    <s v="SH+AC (160+162)"/>
    <s v="L'OREAL"/>
    <x v="3"/>
    <s v="7509552796216"/>
    <x v="39"/>
    <s v="FRUCTIS HAIR FOOD TTO MANTEC POT 350 ML"/>
    <s v="Vtas Unds"/>
    <n v="0"/>
    <n v="0"/>
    <n v="0"/>
    <n v="0"/>
    <n v="0"/>
    <n v="0"/>
    <n v="0"/>
    <n v="0"/>
    <n v="17"/>
    <n v="191"/>
    <n v="116"/>
    <n v="119"/>
    <n v="178"/>
    <n v="64"/>
    <n v="80"/>
    <n v="77"/>
    <n v="62"/>
    <n v="81"/>
    <n v="112"/>
    <n v="91"/>
    <n v="114"/>
    <n v="100"/>
    <n v="82"/>
    <n v="86"/>
    <n v="118"/>
    <n v="64"/>
    <n v="78"/>
    <n v="77"/>
    <n v="77"/>
    <n v="84"/>
    <n v="118"/>
    <n v="131"/>
    <n v="114"/>
    <n v="173"/>
    <n v="134"/>
    <n v="136"/>
    <n v="109"/>
  </r>
  <r>
    <s v="TOTAL URUGUAY"/>
    <s v="SH+AC (160+162)"/>
    <s v="L'OREAL"/>
    <x v="3"/>
    <s v="7509552798456"/>
    <x v="40"/>
    <s v="FRUCTIS ACO STOP CAIDA CRECE FUERTE FCO 350 ML"/>
    <s v="Vtas Unds"/>
    <n v="186"/>
    <n v="261"/>
    <n v="185"/>
    <n v="181"/>
    <n v="109"/>
    <n v="147"/>
    <n v="188"/>
    <n v="144"/>
    <n v="149"/>
    <n v="316"/>
    <n v="171"/>
    <n v="156"/>
    <n v="158"/>
    <n v="114.5921"/>
    <n v="100"/>
    <n v="116"/>
    <n v="93"/>
    <n v="85.957400000000007"/>
    <n v="108"/>
    <n v="99"/>
    <n v="88"/>
    <n v="110"/>
    <n v="115"/>
    <n v="119"/>
    <n v="128"/>
    <n v="136"/>
    <n v="106"/>
    <n v="94"/>
    <n v="149"/>
    <n v="275"/>
    <n v="168"/>
    <n v="131"/>
    <n v="203"/>
    <n v="198"/>
    <n v="94"/>
    <n v="204"/>
    <n v="244"/>
  </r>
  <r>
    <s v="TOTAL URUGUAY"/>
    <s v="SH+AC (160+162)"/>
    <s v="L'OREAL"/>
    <x v="3"/>
    <s v="7509552805260"/>
    <x v="36"/>
    <s v="FRUCTIS BRILLO VITAMINADO 200 CCFCO.PLAST."/>
    <s v="Vtas Unds"/>
    <n v="399"/>
    <n v="306"/>
    <n v="413"/>
    <n v="477"/>
    <n v="424"/>
    <n v="416"/>
    <n v="533"/>
    <n v="817"/>
    <n v="622"/>
    <n v="787"/>
    <n v="459"/>
    <n v="364"/>
    <n v="478"/>
    <n v="528"/>
    <n v="558"/>
    <n v="599"/>
    <n v="379"/>
    <n v="433.63139999999999"/>
    <n v="518.50620000000004"/>
    <n v="255"/>
    <n v="168"/>
    <n v="84"/>
    <n v="34"/>
    <n v="19"/>
    <n v="23"/>
    <n v="4"/>
    <n v="13"/>
    <n v="10"/>
    <n v="24"/>
    <n v="18"/>
    <n v="16"/>
    <n v="11"/>
    <n v="0"/>
    <n v="2"/>
    <n v="0"/>
    <n v="0"/>
    <n v="0"/>
  </r>
  <r>
    <s v="TOTAL URUGUAY"/>
    <s v="SH+AC (160+162)"/>
    <s v="L'OREAL"/>
    <x v="3"/>
    <s v="7509552805307"/>
    <x v="36"/>
    <s v="FRUCTIS BRILLO VITAMINADO ACOND. 200 CCFCO.PLAST."/>
    <s v="Vtas Unds"/>
    <n v="466"/>
    <n v="323"/>
    <n v="431"/>
    <n v="425"/>
    <n v="460"/>
    <n v="453"/>
    <n v="567"/>
    <n v="653"/>
    <n v="445"/>
    <n v="586"/>
    <n v="322"/>
    <n v="264"/>
    <n v="395"/>
    <n v="469"/>
    <n v="572"/>
    <n v="656"/>
    <n v="443"/>
    <n v="461.80270000000002"/>
    <n v="507.11869999999999"/>
    <n v="332"/>
    <n v="276"/>
    <n v="145"/>
    <n v="15"/>
    <n v="15"/>
    <n v="18"/>
    <n v="18"/>
    <n v="17"/>
    <n v="15"/>
    <n v="8"/>
    <n v="10"/>
    <n v="0"/>
    <n v="5"/>
    <n v="3"/>
    <n v="2"/>
    <n v="3"/>
    <n v="2"/>
    <n v="1"/>
  </r>
  <r>
    <s v="TOTAL URUGUAY"/>
    <s v="SH+AC (160+162)"/>
    <s v="L'OREAL"/>
    <x v="3"/>
    <s v="7509552805314"/>
    <x v="36"/>
    <s v="FRUCTIS ACONDICIONADOR BRILLO VITAMI FCO 200 ML"/>
    <s v="Vtas Unds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805345"/>
    <x v="41"/>
    <s v="FRUCTIS GOODBYE DANOS FCO.PLAST. 200 CC"/>
    <s v="Vtas Unds"/>
    <n v="568"/>
    <n v="427.30939999999998"/>
    <n v="492"/>
    <n v="530"/>
    <n v="543"/>
    <n v="443"/>
    <n v="609"/>
    <n v="1005"/>
    <n v="703"/>
    <n v="855"/>
    <n v="470"/>
    <n v="365"/>
    <n v="424.21769999999998"/>
    <n v="511"/>
    <n v="620"/>
    <n v="643"/>
    <n v="414"/>
    <n v="371.755"/>
    <n v="391"/>
    <n v="233"/>
    <n v="153"/>
    <n v="121"/>
    <n v="59"/>
    <n v="42"/>
    <n v="56"/>
    <n v="20"/>
    <n v="5"/>
    <n v="2"/>
    <n v="3"/>
    <n v="1"/>
    <n v="5"/>
    <n v="7"/>
    <n v="8"/>
    <n v="3"/>
    <n v="3"/>
    <n v="1"/>
    <n v="6"/>
  </r>
  <r>
    <s v="TOTAL URUGUAY"/>
    <s v="SH+AC (160+162)"/>
    <s v="L'OREAL"/>
    <x v="3"/>
    <s v="7509552805352"/>
    <x v="41"/>
    <s v="FRUCTIS GOODBYE DANOS SH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</r>
  <r>
    <s v="TOTAL URUGUAY"/>
    <s v="SH+AC (160+162)"/>
    <s v="L'OREAL"/>
    <x v="3"/>
    <s v="7509552805383"/>
    <x v="41"/>
    <s v="FRUCTIS GOODBYE DANOS ACOND. 200 CCFCO.PLAST."/>
    <s v="Vtas Unds"/>
    <n v="568"/>
    <n v="419.15469999999999"/>
    <n v="576"/>
    <n v="572"/>
    <n v="519"/>
    <n v="561"/>
    <n v="706"/>
    <n v="1020"/>
    <n v="668"/>
    <n v="714"/>
    <n v="480"/>
    <n v="319"/>
    <n v="400"/>
    <n v="467"/>
    <n v="472"/>
    <n v="426"/>
    <n v="196"/>
    <n v="189.94820000000001"/>
    <n v="180"/>
    <n v="136"/>
    <n v="166"/>
    <n v="87"/>
    <n v="31"/>
    <n v="17"/>
    <n v="6"/>
    <n v="4"/>
    <n v="2"/>
    <n v="4"/>
    <n v="0"/>
    <n v="3"/>
    <n v="0"/>
    <n v="2"/>
    <n v="0"/>
    <n v="1"/>
    <n v="8"/>
    <n v="1"/>
    <n v="0"/>
  </r>
  <r>
    <s v="TOTAL URUGUAY"/>
    <s v="SH+AC (160+162)"/>
    <s v="L'OREAL"/>
    <x v="3"/>
    <s v="7509552805390"/>
    <x v="41"/>
    <s v="FRUCTIS ACOND GOODBYE DANOS FCO 200 ML."/>
    <s v="Vtas Unds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805543"/>
    <x v="42"/>
    <s v="FRUCTIS CONTROL Y DEFINICIONLISO PODE.ACO.200 CCFCO.PLAST."/>
    <s v="Vtas Unds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805581"/>
    <x v="37"/>
    <s v="FRUCTIS OIL REPAIR 3 FCO.PLAST. 200 CC"/>
    <s v="Vtas Unds"/>
    <n v="1"/>
    <n v="4"/>
    <n v="2"/>
    <n v="1"/>
    <n v="2"/>
    <n v="2"/>
    <n v="1"/>
    <n v="0"/>
    <n v="1"/>
    <n v="4"/>
    <n v="1"/>
    <n v="1"/>
    <n v="2"/>
    <n v="0"/>
    <n v="1"/>
    <n v="1"/>
    <n v="0"/>
    <n v="0"/>
    <n v="0"/>
    <n v="0"/>
    <n v="0"/>
    <n v="0"/>
    <n v="0"/>
    <n v="0"/>
    <n v="0"/>
    <n v="0"/>
    <n v="1"/>
    <n v="2"/>
    <n v="2"/>
    <n v="0"/>
    <n v="1"/>
    <n v="2"/>
    <n v="2"/>
    <n v="2"/>
    <n v="0"/>
    <n v="1"/>
    <n v="0"/>
  </r>
  <r>
    <s v="TOTAL URUGUAY"/>
    <s v="SH+AC (160+162)"/>
    <s v="L'OREAL"/>
    <x v="3"/>
    <s v="7509552805628"/>
    <x v="37"/>
    <s v="FRUCTIS OIL REPAIR 3 ACOND. 200 CCFCO.PLAST."/>
    <s v="Vtas Unds"/>
    <n v="3"/>
    <n v="4"/>
    <n v="4"/>
    <n v="0"/>
    <n v="3"/>
    <n v="3"/>
    <n v="3"/>
    <n v="1"/>
    <n v="2"/>
    <n v="0"/>
    <n v="1"/>
    <n v="5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</r>
  <r>
    <s v="TOTAL URUGUAY"/>
    <s v="SH+AC (160+162)"/>
    <s v="L'OREAL"/>
    <x v="3"/>
    <s v="7509552816242"/>
    <x v="43"/>
    <s v="FRUCTIS GARNIER OIL REPAIR LISO COCO.CAB.SEC.REB 350 ML F.P."/>
    <s v="Vtas Unds"/>
    <n v="272"/>
    <n v="207.15469999999999"/>
    <n v="158"/>
    <n v="193"/>
    <n v="155"/>
    <n v="201"/>
    <n v="293"/>
    <n v="182"/>
    <n v="163"/>
    <n v="199"/>
    <n v="141"/>
    <n v="110"/>
    <n v="133"/>
    <n v="112.3947"/>
    <n v="102"/>
    <n v="136"/>
    <n v="99"/>
    <n v="143"/>
    <n v="185"/>
    <n v="170"/>
    <n v="173"/>
    <n v="270"/>
    <n v="156"/>
    <n v="118"/>
    <n v="183"/>
    <n v="197"/>
    <n v="125"/>
    <n v="179"/>
    <n v="192"/>
    <n v="313"/>
    <n v="253"/>
    <n v="285"/>
    <n v="241"/>
    <n v="265"/>
    <n v="166"/>
    <n v="171"/>
    <n v="214"/>
  </r>
  <r>
    <s v="TOTAL URUGUAY"/>
    <s v="SH+AC (160+162)"/>
    <s v="L'OREAL"/>
    <x v="3"/>
    <s v="7509552816266"/>
    <x v="43"/>
    <s v="FRUCTIS SHAMPOO LISS COCONUT OIL FCO.650 ML"/>
    <s v="Vtas Unds"/>
    <n v="25"/>
    <n v="17"/>
    <n v="26"/>
    <n v="22"/>
    <n v="24"/>
    <n v="26"/>
    <n v="27"/>
    <n v="22"/>
    <n v="28"/>
    <n v="30"/>
    <n v="19"/>
    <n v="14"/>
    <n v="19"/>
    <n v="11"/>
    <n v="12"/>
    <n v="19"/>
    <n v="17"/>
    <n v="14"/>
    <n v="31"/>
    <n v="16"/>
    <n v="17"/>
    <n v="34"/>
    <n v="12"/>
    <n v="18"/>
    <n v="15"/>
    <n v="26"/>
    <n v="5"/>
    <n v="14"/>
    <n v="1"/>
    <n v="2"/>
    <n v="29"/>
    <n v="14"/>
    <n v="14"/>
    <n v="16"/>
    <n v="8"/>
    <n v="13"/>
    <n v="27"/>
  </r>
  <r>
    <s v="TOTAL URUGUAY"/>
    <s v="SH+AC (160+162)"/>
    <s v="L'OREAL"/>
    <x v="3"/>
    <s v="7509552816273"/>
    <x v="43"/>
    <s v="FRUCTIS GARNIER OIL REPAIR LISO COCO CAB.SEC.REB 350 ML F.P."/>
    <s v="Vtas Unds"/>
    <n v="175"/>
    <n v="104"/>
    <n v="68"/>
    <n v="112"/>
    <n v="96"/>
    <n v="139"/>
    <n v="163"/>
    <n v="134"/>
    <n v="119"/>
    <n v="147"/>
    <n v="67"/>
    <n v="70"/>
    <n v="72.217699999999994"/>
    <n v="50"/>
    <n v="66"/>
    <n v="97"/>
    <n v="61"/>
    <n v="105"/>
    <n v="168"/>
    <n v="124"/>
    <n v="164"/>
    <n v="270"/>
    <n v="177"/>
    <n v="116"/>
    <n v="173"/>
    <n v="208"/>
    <n v="113"/>
    <n v="172"/>
    <n v="144"/>
    <n v="274"/>
    <n v="248"/>
    <n v="204"/>
    <n v="217"/>
    <n v="250"/>
    <n v="189"/>
    <n v="186"/>
    <n v="232"/>
  </r>
  <r>
    <s v="TOTAL URUGUAY"/>
    <s v="SH+AC (160+162)"/>
    <s v="L'OREAL"/>
    <x v="3"/>
    <s v="7509552816297"/>
    <x v="43"/>
    <s v="FRUCTIS GARNIER OIL REPAIR LISO COCONUT CRE P/PEI 300ML F.P."/>
    <s v="Vtas Unds"/>
    <n v="23"/>
    <n v="20"/>
    <n v="14"/>
    <n v="30"/>
    <n v="23"/>
    <n v="26"/>
    <n v="46"/>
    <n v="36"/>
    <n v="34"/>
    <n v="40"/>
    <n v="23"/>
    <n v="19"/>
    <n v="34"/>
    <n v="32"/>
    <n v="25"/>
    <n v="46"/>
    <n v="37"/>
    <n v="40.816400000000002"/>
    <n v="33"/>
    <n v="26"/>
    <n v="30"/>
    <n v="55"/>
    <n v="29"/>
    <n v="38"/>
    <n v="52"/>
    <n v="32"/>
    <n v="49"/>
    <n v="46"/>
    <n v="53"/>
    <n v="66"/>
    <n v="85"/>
    <n v="107"/>
    <n v="57"/>
    <n v="70"/>
    <n v="31"/>
    <n v="45"/>
    <n v="62"/>
  </r>
  <r>
    <s v="TOTAL URUGUAY"/>
    <s v="SH+AC (160+162)"/>
    <s v="L'OREAL"/>
    <x v="3"/>
    <s v="7509552823837"/>
    <x v="43"/>
    <s v="FRUCTIS ACO OIL REPAIR LISO COCO 200 ML"/>
    <s v="Vtas Unds"/>
    <n v="0"/>
    <n v="0"/>
    <n v="0"/>
    <n v="0"/>
    <n v="0"/>
    <n v="0"/>
    <n v="0"/>
    <n v="0"/>
    <n v="0"/>
    <n v="0"/>
    <n v="172"/>
    <n v="252"/>
    <n v="340"/>
    <n v="370.3947"/>
    <n v="272"/>
    <n v="296"/>
    <n v="131"/>
    <n v="100"/>
    <n v="84"/>
    <n v="41"/>
    <n v="22"/>
    <n v="13"/>
    <n v="2"/>
    <n v="0"/>
    <n v="4"/>
    <n v="0"/>
    <n v="3"/>
    <n v="3"/>
    <n v="2"/>
    <n v="3"/>
    <n v="5"/>
    <n v="1"/>
    <n v="0"/>
    <n v="0"/>
    <n v="0"/>
    <n v="1"/>
    <n v="3"/>
  </r>
  <r>
    <s v="TOTAL URUGUAY"/>
    <s v="SH+AC (160+162)"/>
    <s v="L'OREAL"/>
    <x v="3"/>
    <s v="7509552823851"/>
    <x v="37"/>
    <s v="FRUCTIS SHAMPOO OIL REPAIR LISO COCO FCO 200 ML"/>
    <s v="Vtas Unds"/>
    <n v="0"/>
    <n v="0"/>
    <n v="0"/>
    <n v="0"/>
    <n v="0"/>
    <n v="0"/>
    <n v="0"/>
    <n v="0"/>
    <n v="0"/>
    <n v="143"/>
    <n v="261"/>
    <n v="263"/>
    <n v="247"/>
    <n v="194"/>
    <n v="132"/>
    <n v="326"/>
    <n v="211"/>
    <n v="202.46449999999999"/>
    <n v="256.37180000000001"/>
    <n v="212"/>
    <n v="158"/>
    <n v="148"/>
    <n v="73"/>
    <n v="60"/>
    <n v="65"/>
    <n v="54"/>
    <n v="50"/>
    <n v="32"/>
    <n v="20"/>
    <n v="39"/>
    <n v="15"/>
    <n v="15"/>
    <n v="7"/>
    <n v="3"/>
    <n v="1"/>
    <n v="4"/>
    <n v="0"/>
  </r>
  <r>
    <s v="TOTAL URUGUAY"/>
    <s v="SH+AC (160+162)"/>
    <s v="L'OREAL"/>
    <x v="3"/>
    <s v="7509552823868"/>
    <x v="41"/>
    <s v="FRUCTIS GOODBYE DAMAGE SH REPARADOR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"/>
    <n v="143"/>
    <n v="229"/>
    <n v="324"/>
    <n v="306"/>
    <n v="452"/>
    <n v="390"/>
    <n v="535"/>
    <n v="443"/>
    <n v="510"/>
    <n v="256"/>
    <n v="246"/>
    <n v="439"/>
  </r>
  <r>
    <s v="TOTAL URUGUAY"/>
    <s v="SH+AC (160+162)"/>
    <s v="L'OREAL"/>
    <x v="3"/>
    <s v="7509552823899"/>
    <x v="44"/>
    <s v="FRUCTIS ACOND REC NUTRITIVA FCO.200 ML"/>
    <s v="Vtas Unds"/>
    <n v="0"/>
    <n v="0"/>
    <n v="0"/>
    <n v="0"/>
    <n v="0"/>
    <n v="0"/>
    <n v="0"/>
    <n v="0"/>
    <n v="0"/>
    <n v="0"/>
    <n v="0"/>
    <n v="31"/>
    <n v="137"/>
    <n v="279.78949999999998"/>
    <n v="427"/>
    <n v="366"/>
    <n v="183"/>
    <n v="149.5104"/>
    <n v="160.2276"/>
    <n v="84"/>
    <n v="66"/>
    <n v="38"/>
    <n v="13"/>
    <n v="15"/>
    <n v="6"/>
    <n v="4"/>
    <n v="3"/>
    <n v="6"/>
    <n v="3"/>
    <n v="4"/>
    <n v="1"/>
    <n v="9"/>
    <n v="0"/>
    <n v="3"/>
    <n v="1"/>
    <n v="8"/>
    <n v="0"/>
  </r>
  <r>
    <s v="TOTAL URUGUAY"/>
    <s v="SH+AC (160+162)"/>
    <s v="L'OREAL"/>
    <x v="3"/>
    <s v="7509552823905"/>
    <x v="44"/>
    <s v="FRUCTIS OIL REPAIR REC NUTRI FCO.PLAST 200ML"/>
    <s v="Vtas Unds"/>
    <n v="0"/>
    <n v="0"/>
    <n v="0"/>
    <n v="0"/>
    <n v="0"/>
    <n v="0"/>
    <n v="2"/>
    <n v="466"/>
    <n v="312"/>
    <n v="561"/>
    <n v="378"/>
    <n v="479"/>
    <n v="784.21770000000004"/>
    <n v="857.19740000000002"/>
    <n v="874"/>
    <n v="911"/>
    <n v="588"/>
    <n v="641.53779999999995"/>
    <n v="865.62109999999996"/>
    <n v="684"/>
    <n v="573"/>
    <n v="564"/>
    <n v="425"/>
    <n v="322"/>
    <n v="450"/>
    <n v="283"/>
    <n v="268"/>
    <n v="230"/>
    <n v="118"/>
    <n v="134"/>
    <n v="75"/>
    <n v="60"/>
    <n v="35"/>
    <n v="37"/>
    <n v="11"/>
    <n v="16"/>
    <n v="25"/>
  </r>
  <r>
    <s v="TOTAL URUGUAY"/>
    <s v="SH+AC (160+162)"/>
    <s v="L'OREAL"/>
    <x v="3"/>
    <s v="7509552823912"/>
    <x v="41"/>
    <s v="FRUCTIS ACOND GOODBYE DANOS FRASCO 200 ML"/>
    <s v="Vtas Unds"/>
    <n v="0"/>
    <n v="0"/>
    <n v="0"/>
    <n v="0"/>
    <n v="0"/>
    <n v="0"/>
    <n v="0"/>
    <n v="0"/>
    <n v="0"/>
    <n v="0"/>
    <n v="0"/>
    <n v="0"/>
    <n v="0"/>
    <n v="0"/>
    <n v="0"/>
    <n v="41"/>
    <n v="61"/>
    <n v="64"/>
    <n v="141"/>
    <n v="166"/>
    <n v="153"/>
    <n v="183"/>
    <n v="136"/>
    <n v="111"/>
    <n v="151"/>
    <n v="120"/>
    <n v="130"/>
    <n v="228"/>
    <n v="247"/>
    <n v="476"/>
    <n v="310"/>
    <n v="292"/>
    <n v="341"/>
    <n v="452"/>
    <n v="304"/>
    <n v="308"/>
    <n v="399"/>
  </r>
  <r>
    <s v="TOTAL URUGUAY"/>
    <s v="SH+AC (160+162)"/>
    <s v="L'OREAL"/>
    <x v="3"/>
    <s v="7509552827002"/>
    <x v="43"/>
    <s v="FRUCTIS GARNIER OIL REPAIR LISO COCO.CAB.SEC.REB 200 ML F.P."/>
    <s v="Vtas Unds"/>
    <n v="495"/>
    <n v="441.15469999999999"/>
    <n v="457"/>
    <n v="505"/>
    <n v="492"/>
    <n v="591"/>
    <n v="792"/>
    <n v="831"/>
    <n v="502"/>
    <n v="244"/>
    <n v="59"/>
    <n v="34"/>
    <n v="44"/>
    <n v="45"/>
    <n v="43"/>
    <n v="21"/>
    <n v="7"/>
    <n v="8.9664000000000001"/>
    <n v="7"/>
    <n v="8"/>
    <n v="15"/>
    <n v="17"/>
    <n v="17"/>
    <n v="14"/>
    <n v="10"/>
    <n v="9"/>
    <n v="9"/>
    <n v="5"/>
    <n v="5"/>
    <n v="2"/>
    <n v="1"/>
    <n v="1"/>
    <n v="0"/>
    <n v="0"/>
    <n v="0"/>
    <n v="0"/>
    <n v="0"/>
  </r>
  <r>
    <s v="TOTAL URUGUAY"/>
    <s v="SH+AC (160+162)"/>
    <s v="L'OREAL"/>
    <x v="3"/>
    <s v="7509552827019"/>
    <x v="43"/>
    <s v="FRUCTIS GARNIER OIL REPAIR LISO COCO CAB.SEC.REB 200 ML F.P."/>
    <s v="Vtas Unds"/>
    <n v="501"/>
    <n v="382.15469999999999"/>
    <n v="476"/>
    <n v="517"/>
    <n v="478"/>
    <n v="534"/>
    <n v="670"/>
    <n v="676"/>
    <n v="335"/>
    <n v="135"/>
    <n v="37"/>
    <n v="43"/>
    <n v="23"/>
    <n v="17"/>
    <n v="15"/>
    <n v="23"/>
    <n v="13"/>
    <n v="6"/>
    <n v="5"/>
    <n v="3"/>
    <n v="4"/>
    <n v="2"/>
    <n v="0"/>
    <n v="4"/>
    <n v="2"/>
    <n v="0"/>
    <n v="0"/>
    <n v="0"/>
    <n v="1"/>
    <n v="3"/>
    <n v="2"/>
    <n v="0"/>
    <n v="0"/>
    <n v="0"/>
    <n v="0"/>
    <n v="0"/>
    <n v="0"/>
  </r>
  <r>
    <s v="TOTAL URUGUAY"/>
    <s v="SH+AC (160+162)"/>
    <s v="L'OREAL"/>
    <x v="3"/>
    <s v="7509552828030"/>
    <x v="39"/>
    <s v="FRUCTIS HAIR FOOD COCONUT 350 ML POTE"/>
    <s v="Vtas Unds"/>
    <n v="364"/>
    <n v="258.15469999999999"/>
    <n v="257"/>
    <n v="512"/>
    <n v="355"/>
    <n v="372"/>
    <n v="515"/>
    <n v="459"/>
    <n v="509"/>
    <n v="694"/>
    <n v="451"/>
    <n v="346"/>
    <n v="661"/>
    <n v="256.3947"/>
    <n v="284"/>
    <n v="383"/>
    <n v="265"/>
    <n v="333.70960000000002"/>
    <n v="521.59939999999995"/>
    <n v="419"/>
    <n v="439"/>
    <n v="466"/>
    <n v="361"/>
    <n v="318"/>
    <n v="400"/>
    <n v="318"/>
    <n v="349"/>
    <n v="443"/>
    <n v="374"/>
    <n v="582"/>
    <n v="544"/>
    <n v="393"/>
    <n v="426"/>
    <n v="637"/>
    <n v="290"/>
    <n v="272"/>
    <n v="304"/>
  </r>
  <r>
    <s v="TOTAL URUGUAY"/>
    <s v="SH+AC (160+162)"/>
    <s v="L'OREAL"/>
    <x v="3"/>
    <s v="7509552828078"/>
    <x v="39"/>
    <s v="FRUCTIS HAIR FOOD BANANA 350 ML POTE"/>
    <s v="Vtas Unds"/>
    <n v="34"/>
    <n v="17"/>
    <n v="16"/>
    <n v="23"/>
    <n v="14"/>
    <n v="8"/>
    <n v="10"/>
    <n v="5"/>
    <n v="4"/>
    <n v="2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828962"/>
    <x v="39"/>
    <s v="FRUCTIS HAIR FOOD AGUACATE 350 ML POTE"/>
    <s v="Vtas Unds"/>
    <n v="243"/>
    <n v="188.30940000000001"/>
    <n v="185"/>
    <n v="263"/>
    <n v="229"/>
    <n v="314"/>
    <n v="427"/>
    <n v="325"/>
    <n v="319"/>
    <n v="441"/>
    <n v="256"/>
    <n v="255"/>
    <n v="242"/>
    <n v="201.59209999999999"/>
    <n v="197"/>
    <n v="272"/>
    <n v="188"/>
    <n v="223.89150000000001"/>
    <n v="313.37180000000001"/>
    <n v="245"/>
    <n v="286"/>
    <n v="417"/>
    <n v="214"/>
    <n v="236"/>
    <n v="295"/>
    <n v="214"/>
    <n v="220"/>
    <n v="402"/>
    <n v="244"/>
    <n v="277"/>
    <n v="396"/>
    <n v="454"/>
    <n v="367"/>
    <n v="482"/>
    <n v="254"/>
    <n v="241"/>
    <n v="276"/>
  </r>
  <r>
    <s v="TOTAL URUGUAY"/>
    <s v="SH+AC (160+162)"/>
    <s v="L'OREAL"/>
    <x v="3"/>
    <s v="7509552830507"/>
    <x v="45"/>
    <s v="FRUCTIS ALOE HIDRA BOMB 2EN1 HUMEC/ANTIFRIZZ .FP.350ML"/>
    <s v="Vtas Unds"/>
    <n v="366"/>
    <n v="260.15469999999999"/>
    <n v="241"/>
    <n v="301"/>
    <n v="225"/>
    <n v="312"/>
    <n v="454"/>
    <n v="357"/>
    <n v="299.2371"/>
    <n v="435"/>
    <n v="283"/>
    <n v="273"/>
    <n v="357"/>
    <n v="214.7895"/>
    <n v="236"/>
    <n v="294"/>
    <n v="254"/>
    <n v="306.53120000000001"/>
    <n v="354.49059999999997"/>
    <n v="283"/>
    <n v="321"/>
    <n v="398"/>
    <n v="272"/>
    <n v="228"/>
    <n v="301"/>
    <n v="296"/>
    <n v="249"/>
    <n v="294"/>
    <n v="402"/>
    <n v="648"/>
    <n v="465"/>
    <n v="442"/>
    <n v="456"/>
    <n v="507"/>
    <n v="408"/>
    <n v="440"/>
    <n v="487"/>
  </r>
  <r>
    <s v="TOTAL URUGUAY"/>
    <s v="SH+AC (160+162)"/>
    <s v="L'OREAL"/>
    <x v="3"/>
    <s v="7509552830583"/>
    <x v="45"/>
    <s v="FRUCTIS SHAMPOO ALOE HYDRA FCO 650 ML"/>
    <s v="Vtas Unds"/>
    <n v="35"/>
    <n v="26"/>
    <n v="27"/>
    <n v="40"/>
    <n v="32"/>
    <n v="42"/>
    <n v="49"/>
    <n v="42"/>
    <n v="51"/>
    <n v="45"/>
    <n v="28"/>
    <n v="26"/>
    <n v="29"/>
    <n v="19"/>
    <n v="20"/>
    <n v="37"/>
    <n v="33"/>
    <n v="22"/>
    <n v="19"/>
    <n v="26"/>
    <n v="27"/>
    <n v="29"/>
    <n v="25"/>
    <n v="38"/>
    <n v="27"/>
    <n v="29"/>
    <n v="31"/>
    <n v="42"/>
    <n v="23"/>
    <n v="56"/>
    <n v="47"/>
    <n v="45"/>
    <n v="48"/>
    <n v="63"/>
    <n v="43"/>
    <n v="35"/>
    <n v="53"/>
  </r>
  <r>
    <s v="TOTAL URUGUAY"/>
    <s v="SH+AC (160+162)"/>
    <s v="L'OREAL"/>
    <x v="3"/>
    <s v="7509552830620"/>
    <x v="45"/>
    <s v="FRUCTIS ALOE HIDRA BOMB AC.HUME/ANTIFRIZZ CA.SE.F.P.350ML"/>
    <s v="Vtas Unds"/>
    <n v="379"/>
    <n v="276.30939999999998"/>
    <n v="232"/>
    <n v="291"/>
    <n v="227"/>
    <n v="334"/>
    <n v="447"/>
    <n v="365"/>
    <n v="322"/>
    <n v="411"/>
    <n v="225"/>
    <n v="257"/>
    <n v="313"/>
    <n v="193.19739999999999"/>
    <n v="223"/>
    <n v="249"/>
    <n v="194"/>
    <n v="240.7944"/>
    <n v="307.11869999999999"/>
    <n v="260"/>
    <n v="330"/>
    <n v="392"/>
    <n v="291"/>
    <n v="279"/>
    <n v="326"/>
    <n v="330"/>
    <n v="253"/>
    <n v="298"/>
    <n v="383"/>
    <n v="605"/>
    <n v="422"/>
    <n v="394"/>
    <n v="436"/>
    <n v="479"/>
    <n v="367"/>
    <n v="395"/>
    <n v="507"/>
  </r>
  <r>
    <s v="TOTAL URUGUAY"/>
    <s v="SH+AC (160+162)"/>
    <s v="L'OREAL"/>
    <x v="3"/>
    <s v="7509552830644"/>
    <x v="45"/>
    <s v="FRUCTIS ALOE HIDRA BOM CREM/PEI HIDRA/ANTIFRIZZ FP.300ML"/>
    <s v="Vtas Unds"/>
    <n v="0"/>
    <n v="1"/>
    <n v="0"/>
    <n v="1"/>
    <n v="2"/>
    <n v="0"/>
    <n v="0"/>
    <n v="2"/>
    <n v="4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830965"/>
    <x v="45"/>
    <s v="FRUCTIS ALOE HIDRA BOMB 2 EN 1 SH CAB DESID. 200 ML FP"/>
    <s v="Vtas Unds"/>
    <n v="173"/>
    <n v="132"/>
    <n v="144"/>
    <n v="104"/>
    <n v="157"/>
    <n v="197"/>
    <n v="227"/>
    <n v="245"/>
    <n v="175"/>
    <n v="282"/>
    <n v="138"/>
    <n v="144"/>
    <n v="179"/>
    <n v="90"/>
    <n v="66"/>
    <n v="262"/>
    <n v="78"/>
    <n v="47.675899999999999"/>
    <n v="27"/>
    <n v="15"/>
    <n v="11"/>
    <n v="5"/>
    <n v="1"/>
    <n v="0"/>
    <n v="1"/>
    <n v="0"/>
    <n v="3"/>
    <n v="3"/>
    <n v="1"/>
    <n v="0"/>
    <n v="0"/>
    <n v="0"/>
    <n v="0"/>
    <n v="0"/>
    <n v="0"/>
    <n v="0"/>
    <n v="0"/>
  </r>
  <r>
    <s v="TOTAL URUGUAY"/>
    <s v="SH+AC (160+162)"/>
    <s v="L'OREAL"/>
    <x v="3"/>
    <s v="7509552831016"/>
    <x v="45"/>
    <s v="FRUCTIS ALOE HIDRA BOMB ACO CAB DESID 200 ML FP"/>
    <s v="Vtas Unds"/>
    <n v="147"/>
    <n v="113"/>
    <n v="182"/>
    <n v="114"/>
    <n v="138"/>
    <n v="126"/>
    <n v="182"/>
    <n v="190"/>
    <n v="139"/>
    <n v="234"/>
    <n v="129"/>
    <n v="74"/>
    <n v="82"/>
    <n v="51"/>
    <n v="63"/>
    <n v="243"/>
    <n v="110"/>
    <n v="119.5723"/>
    <n v="120.37179999999999"/>
    <n v="117"/>
    <n v="104"/>
    <n v="52"/>
    <n v="14"/>
    <n v="10"/>
    <n v="35"/>
    <n v="15"/>
    <n v="8"/>
    <n v="8"/>
    <n v="7"/>
    <n v="10"/>
    <n v="6"/>
    <n v="11"/>
    <n v="1"/>
    <n v="2"/>
    <n v="2"/>
    <n v="0"/>
    <n v="1"/>
  </r>
  <r>
    <s v="TOTAL URUGUAY"/>
    <s v="SH+AC (160+162)"/>
    <s v="L'OREAL"/>
    <x v="3"/>
    <s v="7509552841794"/>
    <x v="39"/>
    <s v="FRUCTIS HAIR FOOD ALOE VERA MASC.CAP.1MIN.POTE 350ML"/>
    <s v="Vtas Unds"/>
    <n v="168"/>
    <n v="119"/>
    <n v="99"/>
    <n v="163"/>
    <n v="127"/>
    <n v="169"/>
    <n v="229"/>
    <n v="312"/>
    <n v="185"/>
    <n v="275"/>
    <n v="153"/>
    <n v="160"/>
    <n v="203"/>
    <n v="101"/>
    <n v="106"/>
    <n v="127"/>
    <n v="94"/>
    <n v="105.78360000000001"/>
    <n v="180"/>
    <n v="139"/>
    <n v="119"/>
    <n v="135"/>
    <n v="166"/>
    <n v="159"/>
    <n v="155"/>
    <n v="143"/>
    <n v="181"/>
    <n v="180"/>
    <n v="209"/>
    <n v="274"/>
    <n v="277"/>
    <n v="246"/>
    <n v="260"/>
    <n v="280"/>
    <n v="203"/>
    <n v="223"/>
    <n v="234"/>
  </r>
  <r>
    <s v="TOTAL URUGUAY"/>
    <s v="SH+AC (160+162)"/>
    <s v="L'OREAL"/>
    <x v="3"/>
    <s v="7509552844153"/>
    <x v="39"/>
    <s v="FRUCTIS HAIR FOOD BANANA SH FUERZA. FP 300 ML"/>
    <s v="Vtas Unds"/>
    <n v="109"/>
    <n v="89"/>
    <n v="78"/>
    <n v="75"/>
    <n v="58"/>
    <n v="76"/>
    <n v="107"/>
    <n v="90"/>
    <n v="99"/>
    <n v="86"/>
    <n v="56"/>
    <n v="55"/>
    <n v="48"/>
    <n v="29"/>
    <n v="28"/>
    <n v="36"/>
    <n v="27"/>
    <n v="32"/>
    <n v="29"/>
    <n v="27"/>
    <n v="10"/>
    <n v="5"/>
    <n v="0"/>
    <n v="1"/>
    <n v="0"/>
    <n v="0"/>
    <n v="1"/>
    <n v="0"/>
    <n v="0"/>
    <n v="0"/>
    <n v="0"/>
    <n v="0"/>
    <n v="0"/>
    <n v="0"/>
    <n v="0"/>
    <n v="0"/>
    <n v="0"/>
  </r>
  <r>
    <s v="TOTAL URUGUAY"/>
    <s v="SH+AC (160+162)"/>
    <s v="L'OREAL"/>
    <x v="3"/>
    <s v="7509552844160"/>
    <x v="39"/>
    <s v="FRUCTIS HAIR FOOD ACONDICIONADOR BANANA POTE 300 ML"/>
    <s v="Vtas Unds"/>
    <n v="90"/>
    <n v="58"/>
    <n v="61"/>
    <n v="57"/>
    <n v="33"/>
    <n v="57"/>
    <n v="79"/>
    <n v="71"/>
    <n v="68"/>
    <n v="70"/>
    <n v="48"/>
    <n v="38"/>
    <n v="54"/>
    <n v="37"/>
    <n v="31"/>
    <n v="50"/>
    <n v="39"/>
    <n v="35"/>
    <n v="42"/>
    <n v="16"/>
    <n v="5"/>
    <n v="2"/>
    <n v="4"/>
    <n v="3"/>
    <n v="3"/>
    <n v="1"/>
    <n v="2"/>
    <n v="1"/>
    <n v="2"/>
    <n v="0"/>
    <n v="1"/>
    <n v="0"/>
    <n v="0"/>
    <n v="0"/>
    <n v="0"/>
    <n v="0"/>
    <n v="0"/>
  </r>
  <r>
    <s v="TOTAL URUGUAY"/>
    <s v="SH+AC (160+162)"/>
    <s v="L'OREAL"/>
    <x v="3"/>
    <s v="7509552844177"/>
    <x v="39"/>
    <s v="FRUCTIS HAIR FOOD ALOE HIDRA SH CAB DESID. FP 300 ML"/>
    <s v="Vtas Unds"/>
    <n v="194"/>
    <n v="131"/>
    <n v="133"/>
    <n v="160"/>
    <n v="99"/>
    <n v="170"/>
    <n v="226"/>
    <n v="226"/>
    <n v="206"/>
    <n v="229"/>
    <n v="147"/>
    <n v="96"/>
    <n v="122"/>
    <n v="91"/>
    <n v="68"/>
    <n v="70"/>
    <n v="31"/>
    <n v="35.930199999999999"/>
    <n v="61"/>
    <n v="25"/>
    <n v="12"/>
    <n v="9"/>
    <n v="9"/>
    <n v="8"/>
    <n v="6"/>
    <n v="1"/>
    <n v="5"/>
    <n v="4"/>
    <n v="8"/>
    <n v="4"/>
    <n v="1"/>
    <n v="1"/>
    <n v="0"/>
    <n v="0"/>
    <n v="0"/>
    <n v="0"/>
    <n v="0"/>
  </r>
  <r>
    <s v="TOTAL URUGUAY"/>
    <s v="SH+AC (160+162)"/>
    <s v="L'OREAL"/>
    <x v="3"/>
    <s v="7509552844184"/>
    <x v="39"/>
    <s v="FRUCTIS HAIR FOOD ALOE VERA ACONDI CAB DESI POTE 300ML"/>
    <s v="Vtas Unds"/>
    <n v="130"/>
    <n v="106"/>
    <n v="107"/>
    <n v="107"/>
    <n v="78"/>
    <n v="105"/>
    <n v="158"/>
    <n v="160"/>
    <n v="113"/>
    <n v="152"/>
    <n v="102"/>
    <n v="87"/>
    <n v="112"/>
    <n v="83"/>
    <n v="74"/>
    <n v="100"/>
    <n v="64"/>
    <n v="94.800799999999995"/>
    <n v="81.196700000000007"/>
    <n v="55"/>
    <n v="76"/>
    <n v="86"/>
    <n v="42"/>
    <n v="28"/>
    <n v="50"/>
    <n v="13"/>
    <n v="3"/>
    <n v="3"/>
    <n v="1"/>
    <n v="2"/>
    <n v="3"/>
    <n v="3"/>
    <n v="6"/>
    <n v="1"/>
    <n v="0"/>
    <n v="0"/>
    <n v="0"/>
  </r>
  <r>
    <s v="TOTAL URUGUAY"/>
    <s v="SH+AC (160+162)"/>
    <s v="L'OREAL"/>
    <x v="3"/>
    <s v="7509552844191"/>
    <x v="39"/>
    <s v="FRUCTIS HAIR FOOD COCO SH REPARACION FP 300 ML"/>
    <s v="Vtas Unds"/>
    <n v="211"/>
    <n v="164"/>
    <n v="186"/>
    <n v="198"/>
    <n v="169"/>
    <n v="184"/>
    <n v="263"/>
    <n v="230"/>
    <n v="214"/>
    <n v="276"/>
    <n v="222"/>
    <n v="203"/>
    <n v="235"/>
    <n v="208.59209999999999"/>
    <n v="184"/>
    <n v="293"/>
    <n v="200"/>
    <n v="267.95119999999997"/>
    <n v="392.2276"/>
    <n v="337"/>
    <n v="351"/>
    <n v="362"/>
    <n v="219"/>
    <n v="180"/>
    <n v="269"/>
    <n v="223"/>
    <n v="184"/>
    <n v="277"/>
    <n v="297"/>
    <n v="308"/>
    <n v="379"/>
    <n v="402"/>
    <n v="337"/>
    <n v="385"/>
    <n v="236"/>
    <n v="214"/>
    <n v="245"/>
  </r>
  <r>
    <s v="TOTAL URUGUAY"/>
    <s v="SH+AC (160+162)"/>
    <s v="L'OREAL"/>
    <x v="3"/>
    <s v="7509552844207"/>
    <x v="39"/>
    <s v="FRUCTIS HAIR FOOD COCO ACONDI REPA POTE 300 ML"/>
    <s v="Vtas Unds"/>
    <n v="159"/>
    <n v="118"/>
    <n v="132"/>
    <n v="159"/>
    <n v="116"/>
    <n v="159"/>
    <n v="199"/>
    <n v="218"/>
    <n v="178"/>
    <n v="225"/>
    <n v="202"/>
    <n v="162"/>
    <n v="167"/>
    <n v="144.3947"/>
    <n v="136"/>
    <n v="220"/>
    <n v="158"/>
    <n v="223.98759999999999"/>
    <n v="309.57389999999998"/>
    <n v="258"/>
    <n v="283"/>
    <n v="306"/>
    <n v="195"/>
    <n v="199"/>
    <n v="247"/>
    <n v="190"/>
    <n v="194"/>
    <n v="263"/>
    <n v="261"/>
    <n v="280"/>
    <n v="360"/>
    <n v="329"/>
    <n v="288"/>
    <n v="333"/>
    <n v="211"/>
    <n v="177"/>
    <n v="230"/>
  </r>
  <r>
    <s v="TOTAL URUGUAY"/>
    <s v="SH+AC (160+162)"/>
    <s v="L'OREAL"/>
    <x v="3"/>
    <s v="7509552844214"/>
    <x v="39"/>
    <s v="FRUCTIS HAIR FOOD AGUACATE SH NUTRI FP 300 ML"/>
    <s v="Vtas Unds"/>
    <n v="216"/>
    <n v="164"/>
    <n v="200"/>
    <n v="191"/>
    <n v="158"/>
    <n v="199"/>
    <n v="270"/>
    <n v="256"/>
    <n v="199"/>
    <n v="262"/>
    <n v="213"/>
    <n v="208"/>
    <n v="227"/>
    <n v="151"/>
    <n v="165"/>
    <n v="252"/>
    <n v="197"/>
    <n v="242.67689999999999"/>
    <n v="346.42430000000002"/>
    <n v="227"/>
    <n v="316"/>
    <n v="301"/>
    <n v="184"/>
    <n v="269"/>
    <n v="310"/>
    <n v="195"/>
    <n v="238"/>
    <n v="284"/>
    <n v="232"/>
    <n v="220"/>
    <n v="280"/>
    <n v="337"/>
    <n v="287"/>
    <n v="341"/>
    <n v="247"/>
    <n v="222"/>
    <n v="263"/>
  </r>
  <r>
    <s v="TOTAL URUGUAY"/>
    <s v="SH+AC (160+162)"/>
    <s v="L'OREAL"/>
    <x v="3"/>
    <s v="7509552844221"/>
    <x v="39"/>
    <s v="FRUCTIS HAIR FOOD AGUACATE ACOND NUTRI POTE 300 ML"/>
    <s v="Vtas Unds"/>
    <n v="117"/>
    <n v="83"/>
    <n v="85"/>
    <n v="106"/>
    <n v="94"/>
    <n v="102"/>
    <n v="143"/>
    <n v="144"/>
    <n v="125"/>
    <n v="146"/>
    <n v="109"/>
    <n v="119"/>
    <n v="134"/>
    <n v="90"/>
    <n v="101"/>
    <n v="104"/>
    <n v="94"/>
    <n v="109.9457"/>
    <n v="208.11869999999999"/>
    <n v="137"/>
    <n v="169"/>
    <n v="177"/>
    <n v="128"/>
    <n v="133"/>
    <n v="144"/>
    <n v="115"/>
    <n v="115"/>
    <n v="137"/>
    <n v="112"/>
    <n v="129"/>
    <n v="196"/>
    <n v="211"/>
    <n v="201"/>
    <n v="251"/>
    <n v="155"/>
    <n v="156"/>
    <n v="216"/>
  </r>
  <r>
    <s v="TOTAL URUGUAY"/>
    <s v="SH+AC (160+162)"/>
    <s v="L'OREAL"/>
    <x v="3"/>
    <s v="7509552849509"/>
    <x v="39"/>
    <s v="FRUCTIS HAIR FOOD SANDIA FCO PL 300ML"/>
    <s v="Vtas Unds"/>
    <n v="200"/>
    <n v="187.4641"/>
    <n v="176"/>
    <n v="194"/>
    <n v="153"/>
    <n v="206"/>
    <n v="297"/>
    <n v="243"/>
    <n v="238"/>
    <n v="270"/>
    <n v="202"/>
    <n v="184"/>
    <n v="234"/>
    <n v="162.19739999999999"/>
    <n v="179"/>
    <n v="268"/>
    <n v="202"/>
    <n v="213.90950000000001"/>
    <n v="315.74970000000002"/>
    <n v="224"/>
    <n v="268"/>
    <n v="242"/>
    <n v="100"/>
    <n v="120"/>
    <n v="180"/>
    <n v="136"/>
    <n v="120"/>
    <n v="286"/>
    <n v="257"/>
    <n v="285"/>
    <n v="365"/>
    <n v="196"/>
    <n v="157"/>
    <n v="118"/>
    <n v="76"/>
    <n v="73"/>
    <n v="101"/>
  </r>
  <r>
    <s v="TOTAL URUGUAY"/>
    <s v="SH+AC (160+162)"/>
    <s v="L'OREAL"/>
    <x v="3"/>
    <s v="7509552849516"/>
    <x v="39"/>
    <s v="FRUCTIS ACOND HAIR FOOD SANDIA FCO PL 300ML"/>
    <s v="Vtas Unds"/>
    <n v="138"/>
    <n v="110"/>
    <n v="88"/>
    <n v="136"/>
    <n v="91"/>
    <n v="115"/>
    <n v="218"/>
    <n v="170"/>
    <n v="163"/>
    <n v="207"/>
    <n v="134"/>
    <n v="109"/>
    <n v="135"/>
    <n v="94.197400000000002"/>
    <n v="113"/>
    <n v="155"/>
    <n v="123"/>
    <n v="163.7139"/>
    <n v="259.44979999999998"/>
    <n v="196"/>
    <n v="226"/>
    <n v="160"/>
    <n v="95"/>
    <n v="95"/>
    <n v="161"/>
    <n v="141"/>
    <n v="116"/>
    <n v="168"/>
    <n v="154"/>
    <n v="150"/>
    <n v="205"/>
    <n v="124"/>
    <n v="123"/>
    <n v="95"/>
    <n v="70"/>
    <n v="55"/>
    <n v="88"/>
  </r>
  <r>
    <s v="TOTAL URUGUAY"/>
    <s v="SH+AC (160+162)"/>
    <s v="L'OREAL"/>
    <x v="3"/>
    <s v="7509552849523"/>
    <x v="39"/>
    <s v="FRUCTIS ACOND HAIR FOOD SANDIA FCO PL 350ML"/>
    <s v="Vtas Unds"/>
    <n v="210"/>
    <n v="141"/>
    <n v="118"/>
    <n v="249"/>
    <n v="170"/>
    <n v="137"/>
    <n v="218"/>
    <n v="148"/>
    <n v="129"/>
    <n v="120"/>
    <n v="79"/>
    <n v="73"/>
    <n v="108"/>
    <n v="81.3947"/>
    <n v="73"/>
    <n v="112"/>
    <n v="79"/>
    <n v="70"/>
    <n v="130"/>
    <n v="102"/>
    <n v="122"/>
    <n v="137"/>
    <n v="91"/>
    <n v="82"/>
    <n v="113"/>
    <n v="84"/>
    <n v="60"/>
    <n v="148"/>
    <n v="92"/>
    <n v="145"/>
    <n v="117"/>
    <n v="75"/>
    <n v="38"/>
    <n v="39"/>
    <n v="11"/>
    <n v="12"/>
    <n v="10"/>
  </r>
  <r>
    <s v="TOTAL URUGUAY"/>
    <s v="SH+AC (160+162)"/>
    <s v="L'OREAL"/>
    <x v="3"/>
    <s v="7509552849554"/>
    <x v="44"/>
    <s v="FRUCTIS CP/P 10 EN 1 RECARGA NUTRITIVA POTE 300ML"/>
    <s v="Vtas Unds"/>
    <n v="35"/>
    <n v="31"/>
    <n v="29"/>
    <n v="61"/>
    <n v="35"/>
    <n v="67"/>
    <n v="125"/>
    <n v="192"/>
    <n v="82"/>
    <n v="70"/>
    <n v="36"/>
    <n v="37"/>
    <n v="30"/>
    <n v="26"/>
    <n v="28"/>
    <n v="35"/>
    <n v="33"/>
    <n v="20"/>
    <n v="68"/>
    <n v="89"/>
    <n v="56"/>
    <n v="68"/>
    <n v="41"/>
    <n v="30"/>
    <n v="57"/>
    <n v="35"/>
    <n v="36"/>
    <n v="49"/>
    <n v="50"/>
    <n v="65"/>
    <n v="70"/>
    <n v="98"/>
    <n v="88"/>
    <n v="61"/>
    <n v="33"/>
    <n v="32"/>
    <n v="38"/>
  </r>
  <r>
    <s v="TOTAL URUGUAY"/>
    <s v="SH+AC (160+162)"/>
    <s v="L'OREAL"/>
    <x v="3"/>
    <s v="7509552849561"/>
    <x v="44"/>
    <s v="FRUCTIS CRE P/P 10 EN 1 RIZOS PODEROSOS POTE 300ML"/>
    <s v="Vtas Unds"/>
    <n v="150"/>
    <n v="78"/>
    <n v="64"/>
    <n v="70"/>
    <n v="60"/>
    <n v="91"/>
    <n v="160"/>
    <n v="178"/>
    <n v="91"/>
    <n v="106"/>
    <n v="57"/>
    <n v="66"/>
    <n v="73"/>
    <n v="50"/>
    <n v="61"/>
    <n v="73"/>
    <n v="65"/>
    <n v="69"/>
    <n v="114"/>
    <n v="140"/>
    <n v="109"/>
    <n v="113"/>
    <n v="66"/>
    <n v="71"/>
    <n v="99"/>
    <n v="66"/>
    <n v="77"/>
    <n v="124"/>
    <n v="104"/>
    <n v="119"/>
    <n v="123"/>
    <n v="118"/>
    <n v="131"/>
    <n v="146"/>
    <n v="82"/>
    <n v="80"/>
    <n v="105"/>
  </r>
  <r>
    <s v="TOTAL URUGUAY"/>
    <s v="SH+AC (160+162)"/>
    <s v="L'OREAL"/>
    <x v="3"/>
    <s v="7509552849653"/>
    <x v="44"/>
    <s v="FRUCTIS OIL REPAIR RECARGA NUTRITIVA FCO.PLAST 650ML"/>
    <s v="Vtas Unds"/>
    <n v="33"/>
    <n v="30"/>
    <n v="22"/>
    <n v="32"/>
    <n v="23"/>
    <n v="26"/>
    <n v="38"/>
    <n v="37"/>
    <n v="30"/>
    <n v="36"/>
    <n v="20"/>
    <n v="22"/>
    <n v="23"/>
    <n v="13"/>
    <n v="15"/>
    <n v="28"/>
    <n v="10"/>
    <n v="14"/>
    <n v="31"/>
    <n v="16"/>
    <n v="15"/>
    <n v="48"/>
    <n v="30"/>
    <n v="32"/>
    <n v="24"/>
    <n v="32"/>
    <n v="27"/>
    <n v="39"/>
    <n v="19"/>
    <n v="32"/>
    <n v="42"/>
    <n v="44"/>
    <n v="33"/>
    <n v="53"/>
    <n v="41"/>
    <n v="36"/>
    <n v="49"/>
  </r>
  <r>
    <s v="TOTAL URUGUAY"/>
    <s v="SH+AC (160+162)"/>
    <s v="L'OREAL"/>
    <x v="3"/>
    <s v="7509552849660"/>
    <x v="44"/>
    <s v="FRUCTIS OIL REPAIR RECARGA NUTRITIVA FCO.PLAST 350ML"/>
    <s v="Vtas Unds"/>
    <n v="387"/>
    <n v="295.15469999999999"/>
    <n v="253"/>
    <n v="294"/>
    <n v="221"/>
    <n v="347"/>
    <n v="516"/>
    <n v="413"/>
    <n v="357"/>
    <n v="458"/>
    <n v="269"/>
    <n v="248"/>
    <n v="276"/>
    <n v="203.19739999999999"/>
    <n v="211"/>
    <n v="272"/>
    <n v="209"/>
    <n v="303.9228"/>
    <n v="410.19670000000002"/>
    <n v="342"/>
    <n v="356"/>
    <n v="506"/>
    <n v="330"/>
    <n v="284"/>
    <n v="313"/>
    <n v="298"/>
    <n v="226"/>
    <n v="346"/>
    <n v="465"/>
    <n v="648"/>
    <n v="449"/>
    <n v="462"/>
    <n v="471"/>
    <n v="513"/>
    <n v="417"/>
    <n v="418"/>
    <n v="492"/>
  </r>
  <r>
    <s v="TOTAL URUGUAY"/>
    <s v="SH+AC (160+162)"/>
    <s v="L'OREAL"/>
    <x v="3"/>
    <s v="7509552849691"/>
    <x v="44"/>
    <s v="FRUCTIS OIL REPAIR RECARGA NUTRITIVA FCO.PLAST 200ML"/>
    <s v="Vtas Unds"/>
    <n v="809"/>
    <n v="688"/>
    <n v="713"/>
    <n v="730"/>
    <n v="659"/>
    <n v="586"/>
    <n v="470"/>
    <n v="402"/>
    <n v="175"/>
    <n v="94"/>
    <n v="18"/>
    <n v="13"/>
    <n v="13"/>
    <n v="11"/>
    <n v="11"/>
    <n v="9"/>
    <n v="3"/>
    <n v="6"/>
    <n v="9"/>
    <n v="7"/>
    <n v="2"/>
    <n v="2"/>
    <n v="4"/>
    <n v="1"/>
    <n v="2"/>
    <n v="0"/>
    <n v="1"/>
    <n v="0"/>
    <n v="0"/>
    <n v="0"/>
    <n v="0"/>
    <n v="6"/>
    <n v="2"/>
    <n v="1"/>
    <n v="1"/>
    <n v="1"/>
    <n v="0"/>
  </r>
  <r>
    <s v="TOTAL URUGUAY"/>
    <s v="SH+AC (160+162)"/>
    <s v="L'OREAL"/>
    <x v="3"/>
    <s v="7509552849707"/>
    <x v="44"/>
    <s v="FRUCTIS ACOND OIL REPAIR RECARGA NUTRITIVA FCO PL 200ML"/>
    <s v="Vtas Unds"/>
    <n v="681"/>
    <n v="536"/>
    <n v="638"/>
    <n v="682"/>
    <n v="666"/>
    <n v="655"/>
    <n v="777"/>
    <n v="971"/>
    <n v="710"/>
    <n v="887"/>
    <n v="491"/>
    <n v="378"/>
    <n v="394"/>
    <n v="251"/>
    <n v="158"/>
    <n v="164"/>
    <n v="73"/>
    <n v="49"/>
    <n v="46"/>
    <n v="17"/>
    <n v="8"/>
    <n v="18"/>
    <n v="13"/>
    <n v="8"/>
    <n v="8"/>
    <n v="7"/>
    <n v="3"/>
    <n v="5"/>
    <n v="1"/>
    <n v="0"/>
    <n v="5"/>
    <n v="2"/>
    <n v="0"/>
    <n v="0"/>
    <n v="0"/>
    <n v="2"/>
    <n v="0"/>
  </r>
  <r>
    <s v="TOTAL URUGUAY"/>
    <s v="SH+AC (160+162)"/>
    <s v="L'OREAL"/>
    <x v="3"/>
    <s v="7509552849714"/>
    <x v="44"/>
    <s v="FRUCTIS CREMA P/PE OIL REPAIR RECARGA NUTRITIVA POTE 300ML"/>
    <s v="Vtas Unds"/>
    <n v="123"/>
    <n v="87"/>
    <n v="68"/>
    <n v="119"/>
    <n v="84"/>
    <n v="93"/>
    <n v="165"/>
    <n v="195"/>
    <n v="124"/>
    <n v="205"/>
    <n v="114"/>
    <n v="99"/>
    <n v="134"/>
    <n v="107"/>
    <n v="94"/>
    <n v="52"/>
    <n v="30"/>
    <n v="49"/>
    <n v="77.910499999999999"/>
    <n v="72"/>
    <n v="70"/>
    <n v="171"/>
    <n v="53"/>
    <n v="45"/>
    <n v="89"/>
    <n v="76"/>
    <n v="67"/>
    <n v="104"/>
    <n v="77"/>
    <n v="78"/>
    <n v="95"/>
    <n v="120"/>
    <n v="50"/>
    <n v="56"/>
    <n v="45"/>
    <n v="40"/>
    <n v="45"/>
  </r>
  <r>
    <s v="TOTAL URUGUAY"/>
    <s v="SH+AC (160+162)"/>
    <s v="L'OREAL"/>
    <x v="3"/>
    <s v="7509552849721"/>
    <x v="44"/>
    <s v="FRUCTIS ACOND OIL REPAIR RECARGA NUTRITIVA FCO PL 350ML"/>
    <s v="Vtas Unds"/>
    <n v="232"/>
    <n v="174"/>
    <n v="153"/>
    <n v="182"/>
    <n v="143"/>
    <n v="218"/>
    <n v="265"/>
    <n v="291"/>
    <n v="209"/>
    <n v="318"/>
    <n v="188"/>
    <n v="177"/>
    <n v="219"/>
    <n v="141"/>
    <n v="127"/>
    <n v="189"/>
    <n v="127"/>
    <n v="169.50149999999999"/>
    <n v="258.19670000000002"/>
    <n v="245"/>
    <n v="222"/>
    <n v="450"/>
    <n v="164"/>
    <n v="187"/>
    <n v="233"/>
    <n v="206"/>
    <n v="154"/>
    <n v="170"/>
    <n v="225"/>
    <n v="334"/>
    <n v="267"/>
    <n v="308"/>
    <n v="337"/>
    <n v="384"/>
    <n v="308"/>
    <n v="331"/>
    <n v="349"/>
  </r>
  <r>
    <s v="TOTAL URUGUAY"/>
    <s v="SH+AC (160+162)"/>
    <s v="L'OREAL"/>
    <x v="3"/>
    <s v="7509552876499"/>
    <x v="46"/>
    <s v="FRUCTIS SH ADIOS ESPONJADO 350 ML"/>
    <s v="Vtas Unds"/>
    <n v="0"/>
    <n v="0"/>
    <n v="0"/>
    <n v="0"/>
    <n v="0"/>
    <n v="0"/>
    <n v="0"/>
    <n v="0"/>
    <n v="0"/>
    <n v="0"/>
    <n v="0"/>
    <n v="0"/>
    <n v="63"/>
    <n v="193.3947"/>
    <n v="290"/>
    <n v="409"/>
    <n v="367"/>
    <n v="763.80709999999999"/>
    <n v="1428.6921"/>
    <n v="647"/>
    <n v="647"/>
    <n v="852"/>
    <n v="522"/>
    <n v="459"/>
    <n v="579"/>
    <n v="514"/>
    <n v="404"/>
    <n v="516"/>
    <n v="830"/>
    <n v="1007"/>
    <n v="742"/>
    <n v="681"/>
    <n v="834"/>
    <n v="953"/>
    <n v="726"/>
    <n v="795"/>
    <n v="953"/>
  </r>
  <r>
    <s v="TOTAL URUGUAY"/>
    <s v="SH+AC (160+162)"/>
    <s v="L'OREAL"/>
    <x v="3"/>
    <s v="7509552876529"/>
    <x v="46"/>
    <s v="FRUCTIS SH ADIOS ESPONJADO FCO 650 ML"/>
    <s v="Vtas Unds"/>
    <n v="0"/>
    <n v="0"/>
    <n v="0"/>
    <n v="0"/>
    <n v="0"/>
    <n v="0"/>
    <n v="0"/>
    <n v="0"/>
    <n v="0"/>
    <n v="0"/>
    <n v="0"/>
    <n v="0"/>
    <n v="16"/>
    <n v="161"/>
    <n v="303"/>
    <n v="345"/>
    <n v="214"/>
    <n v="368.0573"/>
    <n v="827.15350000000001"/>
    <n v="259"/>
    <n v="289"/>
    <n v="308"/>
    <n v="177"/>
    <n v="182"/>
    <n v="204"/>
    <n v="154"/>
    <n v="133"/>
    <n v="150"/>
    <n v="195"/>
    <n v="266"/>
    <n v="255"/>
    <n v="238"/>
    <n v="198"/>
    <n v="231"/>
    <n v="180"/>
    <n v="149"/>
    <n v="186"/>
  </r>
  <r>
    <s v="TOTAL URUGUAY"/>
    <s v="SH+AC (160+162)"/>
    <s v="L'OREAL"/>
    <x v="3"/>
    <s v="7509552876604"/>
    <x v="46"/>
    <s v="FRUCTIS 10N1 ADIOS ESPONJADO FCO 300 ML"/>
    <s v="Vtas Unds"/>
    <n v="0"/>
    <n v="0"/>
    <n v="0"/>
    <n v="0"/>
    <n v="0"/>
    <n v="0"/>
    <n v="0"/>
    <n v="0"/>
    <n v="0"/>
    <n v="0"/>
    <n v="0"/>
    <n v="0"/>
    <n v="72"/>
    <n v="297.3947"/>
    <n v="432"/>
    <n v="341"/>
    <n v="220"/>
    <n v="278.91609999999997"/>
    <n v="594.82159999999999"/>
    <n v="280"/>
    <n v="393"/>
    <n v="478"/>
    <n v="200"/>
    <n v="115"/>
    <n v="181"/>
    <n v="114"/>
    <n v="131"/>
    <n v="214"/>
    <n v="205"/>
    <n v="332"/>
    <n v="350"/>
    <n v="455"/>
    <n v="510"/>
    <n v="488"/>
    <n v="263"/>
    <n v="224"/>
    <n v="265"/>
  </r>
  <r>
    <s v="TOTAL URUGUAY"/>
    <s v="SH+AC (160+162)"/>
    <s v="L'OREAL"/>
    <x v="3"/>
    <s v="7509552876611"/>
    <x v="39"/>
    <s v="FRUCTIS HAIR FOOD PINA SH ANTI-QUIEBRE ADU REG FRASCO 3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236"/>
  </r>
  <r>
    <s v="TOTAL URUGUAY"/>
    <s v="SH+AC (160+162)"/>
    <s v="L'OREAL"/>
    <x v="3"/>
    <s v="7509552876628"/>
    <x v="39"/>
    <s v="FRUCTIS HAIR FOOD PINA AC ANTI-QUIEBRE ADU REG FRASCO 3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19"/>
  </r>
  <r>
    <s v="TOTAL URUGUAY"/>
    <s v="SH+AC (160+162)"/>
    <s v="L'OREAL"/>
    <x v="3"/>
    <s v="7509552876635"/>
    <x v="39"/>
    <s v="FRUCTIS HAIR FOOD PINA CR TRAT MASK ANTIQ ADU REG POTE 35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293"/>
  </r>
  <r>
    <s v="TOTAL URUGUAY"/>
    <s v="SH+AC (160+162)"/>
    <s v="L'OREAL"/>
    <x v="3"/>
    <s v="7509552876666"/>
    <x v="46"/>
    <s v="FRUCTIS ADIOS ESPONJADO ACO FCO 350 ML"/>
    <s v="Vtas Unds"/>
    <n v="0"/>
    <n v="0"/>
    <n v="0"/>
    <n v="0"/>
    <n v="0"/>
    <n v="0"/>
    <n v="0"/>
    <n v="0"/>
    <n v="0"/>
    <n v="0"/>
    <n v="0"/>
    <n v="0"/>
    <n v="35"/>
    <n v="255"/>
    <n v="477"/>
    <n v="650"/>
    <n v="451"/>
    <n v="870.37689999999998"/>
    <n v="1715.5455999999999"/>
    <n v="700"/>
    <n v="795"/>
    <n v="810"/>
    <n v="505"/>
    <n v="474"/>
    <n v="583"/>
    <n v="538"/>
    <n v="396"/>
    <n v="521"/>
    <n v="777"/>
    <n v="1089"/>
    <n v="759"/>
    <n v="715"/>
    <n v="880"/>
    <n v="991"/>
    <n v="744"/>
    <n v="791"/>
    <n v="914"/>
  </r>
  <r>
    <s v="TOTAL URUGUAY"/>
    <s v="SH+AC (160+162)"/>
    <s v="L'OREAL"/>
    <x v="3"/>
    <s v="7509552901696"/>
    <x v="47"/>
    <s v="FRUCTIS ANTICASPA CITR-DETOXFCO.PLAST. 350 CC"/>
    <s v="Vtas Unds"/>
    <n v="0"/>
    <n v="0"/>
    <n v="0"/>
    <n v="0"/>
    <n v="0"/>
    <n v="0"/>
    <n v="0"/>
    <n v="0"/>
    <n v="0"/>
    <n v="0"/>
    <n v="0"/>
    <n v="0"/>
    <n v="1"/>
    <n v="2"/>
    <n v="0"/>
    <n v="2"/>
    <n v="0"/>
    <n v="3"/>
    <n v="2"/>
    <n v="2"/>
    <n v="1"/>
    <n v="2"/>
    <n v="1"/>
    <n v="2"/>
    <n v="1"/>
    <n v="1"/>
    <n v="0"/>
    <n v="1"/>
    <n v="0"/>
    <n v="0"/>
    <n v="0"/>
    <n v="0"/>
    <n v="0"/>
    <n v="0"/>
    <n v="0"/>
    <n v="0"/>
    <n v="0"/>
  </r>
  <r>
    <s v="TOTAL URUGUAY"/>
    <s v="SH+AC (160+162)"/>
    <s v="L'OREAL"/>
    <x v="3"/>
    <s v="7509552905663"/>
    <x v="37"/>
    <s v="FRUCTIS OIL REPA. SUP.OLEO 8TRATA.INT. 100 ML FCO.PL."/>
    <s v="Vtas Unds"/>
    <n v="106"/>
    <n v="82"/>
    <n v="74"/>
    <n v="94"/>
    <n v="99"/>
    <n v="107"/>
    <n v="178"/>
    <n v="160"/>
    <n v="123"/>
    <n v="162"/>
    <n v="83"/>
    <n v="58"/>
    <n v="38"/>
    <n v="32.3947"/>
    <n v="29"/>
    <n v="40"/>
    <n v="21"/>
    <n v="14"/>
    <n v="37"/>
    <n v="8"/>
    <n v="2"/>
    <n v="5"/>
    <n v="4"/>
    <n v="1"/>
    <n v="19"/>
    <n v="8"/>
    <n v="3"/>
    <n v="10"/>
    <n v="3"/>
    <n v="2"/>
    <n v="2"/>
    <n v="0"/>
    <n v="0"/>
    <n v="0"/>
    <n v="0"/>
    <n v="0"/>
    <n v="0"/>
  </r>
  <r>
    <s v="TOTAL URUGUAY"/>
    <s v="SH+AC (160+162)"/>
    <s v="L'OREAL"/>
    <x v="3"/>
    <s v="7509552906448"/>
    <x v="36"/>
    <s v="FRUCTIS BRILLO VITAMINADO 350 CCFCO.PLAST."/>
    <s v="Vtas Unds"/>
    <n v="181"/>
    <n v="105"/>
    <n v="112"/>
    <n v="109"/>
    <n v="99"/>
    <n v="169"/>
    <n v="180"/>
    <n v="165"/>
    <n v="138"/>
    <n v="141"/>
    <n v="123"/>
    <n v="94"/>
    <n v="143"/>
    <n v="115.5921"/>
    <n v="91"/>
    <n v="150"/>
    <n v="129"/>
    <n v="162"/>
    <n v="262"/>
    <n v="224"/>
    <n v="217"/>
    <n v="343"/>
    <n v="181"/>
    <n v="160"/>
    <n v="229"/>
    <n v="299"/>
    <n v="183"/>
    <n v="283"/>
    <n v="291"/>
    <n v="383"/>
    <n v="374"/>
    <n v="312"/>
    <n v="424"/>
    <n v="553"/>
    <n v="358"/>
    <n v="392"/>
    <n v="647"/>
  </r>
  <r>
    <s v="TOTAL URUGUAY"/>
    <s v="SH+AC (160+162)"/>
    <s v="L'OREAL"/>
    <x v="3"/>
    <s v="7509552906455"/>
    <x v="36"/>
    <s v="FRUCTIS BRILLO VITAMINADO 650 CCFCO.PLAST."/>
    <s v="Vtas Unds"/>
    <n v="22"/>
    <n v="18"/>
    <n v="26"/>
    <n v="30"/>
    <n v="32"/>
    <n v="23"/>
    <n v="21"/>
    <n v="12"/>
    <n v="28"/>
    <n v="30"/>
    <n v="16"/>
    <n v="13"/>
    <n v="11"/>
    <n v="18"/>
    <n v="12"/>
    <n v="24"/>
    <n v="11"/>
    <n v="13"/>
    <n v="15"/>
    <n v="18"/>
    <n v="27"/>
    <n v="25"/>
    <n v="10"/>
    <n v="17"/>
    <n v="12"/>
    <n v="17"/>
    <n v="17"/>
    <n v="14"/>
    <n v="10"/>
    <n v="12"/>
    <n v="3"/>
    <n v="2"/>
    <n v="0"/>
    <n v="0"/>
    <n v="0"/>
    <n v="0"/>
    <n v="0"/>
  </r>
  <r>
    <s v="TOTAL URUGUAY"/>
    <s v="SH+AC (160+162)"/>
    <s v="L'OREAL"/>
    <x v="3"/>
    <s v="7509552906479"/>
    <x v="36"/>
    <s v="FRUCTIS VITAMINADOFRESCURA FCO.PLAST. 350 ML"/>
    <s v="Vtas Unds"/>
    <n v="779"/>
    <n v="570.30939999999998"/>
    <n v="523"/>
    <n v="613"/>
    <n v="510"/>
    <n v="589"/>
    <n v="775"/>
    <n v="595"/>
    <n v="586"/>
    <n v="690"/>
    <n v="484"/>
    <n v="438"/>
    <n v="499"/>
    <n v="358.57889999999998"/>
    <n v="396"/>
    <n v="472"/>
    <n v="255"/>
    <n v="282"/>
    <n v="589"/>
    <n v="523"/>
    <n v="498"/>
    <n v="669"/>
    <n v="426"/>
    <n v="451"/>
    <n v="578"/>
    <n v="485"/>
    <n v="299"/>
    <n v="294"/>
    <n v="552"/>
    <n v="719"/>
    <n v="798"/>
    <n v="721"/>
    <n v="790"/>
    <n v="1003"/>
    <n v="603"/>
    <n v="650"/>
    <n v="890"/>
  </r>
  <r>
    <s v="TOTAL URUGUAY"/>
    <s v="SH+AC (160+162)"/>
    <s v="L'OREAL"/>
    <x v="3"/>
    <s v="7509552906493"/>
    <x v="36"/>
    <s v="FRUCTIS VITAMINADONUTRICION FCO.PLAST. 35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1"/>
    <n v="0"/>
  </r>
  <r>
    <s v="TOTAL URUGUAY"/>
    <s v="SH+AC (160+162)"/>
    <s v="L'OREAL"/>
    <x v="3"/>
    <s v="7509552908701"/>
    <x v="41"/>
    <s v="FRUCTIS GOODBYE DANOS FCO.PLAST. 350 ML"/>
    <s v="Vtas Unds"/>
    <n v="252"/>
    <n v="166.15469999999999"/>
    <n v="171"/>
    <n v="195"/>
    <n v="173"/>
    <n v="205"/>
    <n v="269"/>
    <n v="244"/>
    <n v="194"/>
    <n v="313"/>
    <n v="154"/>
    <n v="146"/>
    <n v="180"/>
    <n v="122"/>
    <n v="88"/>
    <n v="163"/>
    <n v="127"/>
    <n v="145.7276"/>
    <n v="206"/>
    <n v="200"/>
    <n v="250"/>
    <n v="322"/>
    <n v="193"/>
    <n v="181"/>
    <n v="182"/>
    <n v="197"/>
    <n v="145"/>
    <n v="121"/>
    <n v="95"/>
    <n v="78"/>
    <n v="49"/>
    <n v="35"/>
    <n v="19"/>
    <n v="17"/>
    <n v="5"/>
    <n v="3"/>
    <n v="2"/>
  </r>
  <r>
    <s v="TOTAL URUGUAY"/>
    <s v="SH+AC (160+162)"/>
    <s v="L'OREAL"/>
    <x v="3"/>
    <s v="7509552909647"/>
    <x v="35"/>
    <s v="FRUCTIS CRECE FUERTE ACOND. 300 MLFCO.PLAST."/>
    <s v="Vtas Unds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909678"/>
    <x v="48"/>
    <s v="FRUCTIS STOP CAIDACREC.FUER.FCO.PLAST. 350 CC"/>
    <s v="Vtas Unds"/>
    <n v="584"/>
    <n v="710.30939999999998"/>
    <n v="517"/>
    <n v="565"/>
    <n v="356"/>
    <n v="438"/>
    <n v="613"/>
    <n v="506"/>
    <n v="478"/>
    <n v="660"/>
    <n v="399"/>
    <n v="307"/>
    <n v="401"/>
    <n v="221.98679999999999"/>
    <n v="217"/>
    <n v="237"/>
    <n v="157"/>
    <n v="145.88339999999999"/>
    <n v="287"/>
    <n v="233"/>
    <n v="236"/>
    <n v="369"/>
    <n v="243"/>
    <n v="307"/>
    <n v="331"/>
    <n v="347"/>
    <n v="274"/>
    <n v="303"/>
    <n v="370"/>
    <n v="504"/>
    <n v="431"/>
    <n v="345"/>
    <n v="370"/>
    <n v="449"/>
    <n v="337"/>
    <n v="334"/>
    <n v="393"/>
  </r>
  <r>
    <s v="TOTAL URUGUAY"/>
    <s v="SH+AC (160+162)"/>
    <s v="L'OREAL"/>
    <x v="3"/>
    <s v="7509552909913"/>
    <x v="37"/>
    <s v="FRUCTIS SUPER OLEO POST COLOR TRAT 100 ML FCO PL"/>
    <s v="Vtas Unds"/>
    <n v="36"/>
    <n v="25"/>
    <n v="27"/>
    <n v="37"/>
    <n v="18"/>
    <n v="19"/>
    <n v="25"/>
    <n v="27"/>
    <n v="13"/>
    <n v="33"/>
    <n v="21"/>
    <n v="27"/>
    <n v="43"/>
    <n v="30.197399999999998"/>
    <n v="24"/>
    <n v="31"/>
    <n v="31"/>
    <n v="13"/>
    <n v="8"/>
    <n v="7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910070"/>
    <x v="41"/>
    <s v="FRUCTIS GOODBYE DANOS POSTCOLOR 350 MLFCO.PL."/>
    <s v="Vtas Unds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3"/>
    <n v="3"/>
    <n v="6"/>
    <n v="33"/>
    <n v="47"/>
    <n v="61"/>
    <n v="57"/>
    <n v="14"/>
    <n v="18"/>
    <n v="17"/>
    <n v="110"/>
    <n v="105"/>
    <n v="123"/>
    <n v="108"/>
    <n v="80"/>
    <n v="44"/>
    <n v="54"/>
    <n v="54"/>
  </r>
  <r>
    <s v="TOTAL URUGUAY"/>
    <s v="SH+AC (160+162)"/>
    <s v="L'OREAL"/>
    <x v="3"/>
    <s v="7509552914030"/>
    <x v="41"/>
    <s v="FRUCTIS GOODBYE DANOS ACOND. 350 MLFCO.PL."/>
    <s v="Vtas Unds"/>
    <n v="196"/>
    <n v="126"/>
    <n v="150"/>
    <n v="169"/>
    <n v="113"/>
    <n v="142"/>
    <n v="147"/>
    <n v="156"/>
    <n v="153"/>
    <n v="233"/>
    <n v="128"/>
    <n v="105"/>
    <n v="119"/>
    <n v="103"/>
    <n v="72"/>
    <n v="125"/>
    <n v="95"/>
    <n v="138.64680000000001"/>
    <n v="167"/>
    <n v="144"/>
    <n v="177"/>
    <n v="283"/>
    <n v="185"/>
    <n v="187"/>
    <n v="194"/>
    <n v="216"/>
    <n v="177"/>
    <n v="177"/>
    <n v="229"/>
    <n v="383"/>
    <n v="279"/>
    <n v="271"/>
    <n v="211"/>
    <n v="190"/>
    <n v="153"/>
    <n v="167"/>
    <n v="173"/>
  </r>
  <r>
    <s v="TOTAL URUGUAY"/>
    <s v="SH+AC (160+162)"/>
    <s v="L'OREAL"/>
    <x v="3"/>
    <s v="7509552914108"/>
    <x v="36"/>
    <s v="FRUCTIS BRILLO VITAMINADOACOND. 350 MLFCO.PLAST."/>
    <s v="Vtas Unds"/>
    <n v="70"/>
    <n v="58.154699999999998"/>
    <n v="70"/>
    <n v="66"/>
    <n v="50"/>
    <n v="99"/>
    <n v="94"/>
    <n v="67"/>
    <n v="89"/>
    <n v="74"/>
    <n v="73"/>
    <n v="59"/>
    <n v="59"/>
    <n v="66"/>
    <n v="41"/>
    <n v="76"/>
    <n v="62"/>
    <n v="55"/>
    <n v="142"/>
    <n v="129"/>
    <n v="136"/>
    <n v="205"/>
    <n v="146"/>
    <n v="109"/>
    <n v="133"/>
    <n v="174"/>
    <n v="93"/>
    <n v="151"/>
    <n v="148"/>
    <n v="234"/>
    <n v="212"/>
    <n v="202"/>
    <n v="213"/>
    <n v="237"/>
    <n v="171"/>
    <n v="145"/>
    <n v="190"/>
  </r>
  <r>
    <s v="TOTAL URUGUAY"/>
    <s v="SH+AC (160+162)"/>
    <s v="L'OREAL"/>
    <x v="3"/>
    <s v="7509552914276"/>
    <x v="48"/>
    <s v="FRUCTIS STOP CAIDACRECE FUER ACOND. 350 MLFCO.PLAST."/>
    <s v="Vtas Unds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914429"/>
    <x v="37"/>
    <s v="FRUCTIS OIL REPAIR 3 ACOND. 350 CCFCO.PLAST."/>
    <s v="Vtas Unds"/>
    <n v="2"/>
    <n v="2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</r>
  <r>
    <s v="TOTAL URUGUAY"/>
    <s v="SH+AC (160+162)"/>
    <s v="L'OREAL"/>
    <x v="3"/>
    <s v="7509552914641"/>
    <x v="49"/>
    <s v="FRUCTIS CONTROL Y DEFINICIONRIZOS POD. 350 CCFCO.PLAST."/>
    <s v="Vtas Unds"/>
    <n v="134"/>
    <n v="72.154700000000005"/>
    <n v="73"/>
    <n v="71"/>
    <n v="73"/>
    <n v="108"/>
    <n v="82"/>
    <n v="99"/>
    <n v="89"/>
    <n v="87"/>
    <n v="63"/>
    <n v="62"/>
    <n v="48"/>
    <n v="53"/>
    <n v="58"/>
    <n v="70"/>
    <n v="65"/>
    <n v="67"/>
    <n v="105"/>
    <n v="94"/>
    <n v="97"/>
    <n v="130"/>
    <n v="86"/>
    <n v="82"/>
    <n v="112"/>
    <n v="94"/>
    <n v="100"/>
    <n v="133"/>
    <n v="144"/>
    <n v="207"/>
    <n v="213"/>
    <n v="228"/>
    <n v="172"/>
    <n v="181"/>
    <n v="145"/>
    <n v="166"/>
    <n v="127"/>
  </r>
  <r>
    <s v="TOTAL URUGUAY"/>
    <s v="SH+AC (160+162)"/>
    <s v="L'OREAL"/>
    <x v="3"/>
    <s v="7509552914672"/>
    <x v="49"/>
    <s v="FRUCTIS RIZOS PODEROSOS ACOND. 300 MLFCO.PLAST."/>
    <s v="Vtas Unds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914696"/>
    <x v="49"/>
    <s v="FRUCTIS CONT.Y DEFRIZO.PODE.CRE.P/PEI. 300 MLFCO.PL."/>
    <s v="Vtas Unds"/>
    <n v="203"/>
    <n v="183"/>
    <n v="207"/>
    <n v="206"/>
    <n v="148"/>
    <n v="230"/>
    <n v="330"/>
    <n v="317"/>
    <n v="224"/>
    <n v="242"/>
    <n v="149"/>
    <n v="144"/>
    <n v="165"/>
    <n v="144.3947"/>
    <n v="115"/>
    <n v="173"/>
    <n v="127"/>
    <n v="150"/>
    <n v="239"/>
    <n v="190"/>
    <n v="191"/>
    <n v="260"/>
    <n v="204"/>
    <n v="198"/>
    <n v="209"/>
    <n v="197"/>
    <n v="185"/>
    <n v="254"/>
    <n v="152"/>
    <n v="267"/>
    <n v="304"/>
    <n v="277"/>
    <n v="264"/>
    <n v="302"/>
    <n v="137"/>
    <n v="164"/>
    <n v="226"/>
  </r>
  <r>
    <s v="TOTAL URUGUAY"/>
    <s v="SH+AC (160+162)"/>
    <s v="L'OREAL"/>
    <x v="3"/>
    <s v="7509552914719"/>
    <x v="49"/>
    <s v="FRUCTIS CONT.Y DEFRIZOS POD.OLEO 100 MLFCO.PL."/>
    <s v="Vtas Unds"/>
    <n v="5"/>
    <n v="7"/>
    <n v="4"/>
    <n v="3"/>
    <n v="3"/>
    <n v="3"/>
    <n v="8"/>
    <n v="4"/>
    <n v="3"/>
    <n v="2"/>
    <n v="2"/>
    <n v="3"/>
    <n v="6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509552915112"/>
    <x v="36"/>
    <s v="FRUCTIS FRESCURA VITAMINA ACOND. 300 CCFCO.PLAST."/>
    <s v="Vtas Unds"/>
    <n v="69"/>
    <n v="48"/>
    <n v="39"/>
    <n v="39"/>
    <n v="23"/>
    <n v="34"/>
    <n v="73"/>
    <n v="146"/>
    <n v="125"/>
    <n v="118"/>
    <n v="103"/>
    <n v="70"/>
    <n v="90"/>
    <n v="78.986800000000002"/>
    <n v="131"/>
    <n v="179"/>
    <n v="131"/>
    <n v="172"/>
    <n v="293"/>
    <n v="213"/>
    <n v="233"/>
    <n v="325"/>
    <n v="217"/>
    <n v="215"/>
    <n v="280"/>
    <n v="198"/>
    <n v="156"/>
    <n v="202"/>
    <n v="284"/>
    <n v="340"/>
    <n v="367"/>
    <n v="386"/>
    <n v="456"/>
    <n v="556"/>
    <n v="306"/>
    <n v="363"/>
    <n v="539"/>
  </r>
  <r>
    <s v="TOTAL URUGUAY"/>
    <s v="SH+AC (160+162)"/>
    <s v="L'OREAL"/>
    <x v="3"/>
    <s v="7509552920864"/>
    <x v="43"/>
    <s v="FRUCTIS OIL REPAIR LISO ACO COCO FCO 20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0"/>
    <n v="8"/>
    <n v="12"/>
    <n v="43"/>
    <n v="130"/>
    <n v="281"/>
    <n v="301"/>
    <n v="606"/>
    <n v="522"/>
    <n v="736"/>
    <n v="450"/>
    <n v="486"/>
    <n v="278"/>
    <n v="319"/>
    <n v="431"/>
  </r>
  <r>
    <s v="TOTAL URUGUAY"/>
    <s v="SH+AC (160+162)"/>
    <s v="L'OREAL"/>
    <x v="3"/>
    <s v="7509552920888"/>
    <x v="36"/>
    <s v="FRUCTIS BRILLO VITAMINADO SH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1"/>
    <n v="8"/>
    <n v="6"/>
    <n v="9"/>
    <n v="8"/>
    <n v="0"/>
    <n v="1"/>
    <n v="2"/>
    <n v="0"/>
    <n v="1"/>
    <n v="0"/>
    <n v="1"/>
  </r>
  <r>
    <s v="TOTAL URUGUAY"/>
    <s v="SH+AC (160+162)"/>
    <s v="L'OREAL"/>
    <x v="3"/>
    <s v="7509552920895"/>
    <x v="36"/>
    <s v="FRUCTIS ACOND. BRILLO VITAMINADO FCO 200 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n v="33"/>
    <n v="58"/>
    <n v="29"/>
    <n v="22"/>
    <n v="26"/>
    <n v="18"/>
    <n v="29"/>
    <n v="13"/>
    <n v="10"/>
    <n v="6"/>
    <n v="0"/>
    <n v="2"/>
    <n v="0"/>
    <n v="0"/>
  </r>
  <r>
    <s v="TOTAL URUGUAY"/>
    <s v="SH+AC (160+162)"/>
    <s v="L'OREAL"/>
    <x v="3"/>
    <s v="7509552922226"/>
    <x v="44"/>
    <s v="FRUCTIS OIL REPAIR RECARGA. NUTRITIVA AC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2"/>
    <n v="0"/>
    <n v="3"/>
    <n v="1"/>
    <n v="0"/>
    <n v="1"/>
    <n v="0"/>
    <n v="0"/>
    <n v="0"/>
    <n v="6"/>
  </r>
  <r>
    <s v="TOTAL URUGUAY"/>
    <s v="SH+AC (160+162)"/>
    <s v="L'OREAL"/>
    <x v="3"/>
    <s v="7509552922288"/>
    <x v="44"/>
    <s v="FRUCTIS OIL. REPAIR RECARGA NUTRITIVA SH ADU REG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42"/>
    <n v="66"/>
    <n v="62"/>
    <n v="239"/>
    <n v="250"/>
    <n v="266"/>
    <n v="275"/>
    <n v="348"/>
    <n v="123"/>
    <n v="110"/>
    <n v="199"/>
  </r>
  <r>
    <s v="TOTAL URUGUAY"/>
    <s v="SH+AC (160+162)"/>
    <s v="L'OREAL"/>
    <x v="3"/>
    <s v="7509552922301"/>
    <x v="50"/>
    <s v="FRUCTIS ALOE HIDRA CLEAN AC REG. ADU.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72"/>
    <n v="46"/>
    <n v="47"/>
    <n v="44"/>
    <n v="27"/>
    <n v="83"/>
    <n v="27"/>
    <n v="19"/>
    <n v="18"/>
    <n v="10"/>
    <n v="1"/>
    <n v="5"/>
    <n v="12"/>
  </r>
  <r>
    <s v="TOTAL URUGUAY"/>
    <s v="SH+AC (160+162)"/>
    <s v="L'OREAL"/>
    <x v="3"/>
    <s v="7509552922325"/>
    <x v="50"/>
    <s v="FRUCTIS ALOE HIDRA CLEAN SH REG. ADU.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"/>
    <n v="77"/>
    <n v="51"/>
    <n v="47"/>
    <n v="47"/>
    <n v="38"/>
    <n v="52"/>
    <n v="15"/>
    <n v="15"/>
    <n v="13"/>
    <n v="8"/>
    <n v="5"/>
    <n v="2"/>
    <n v="7"/>
  </r>
  <r>
    <s v="TOTAL URUGUAY"/>
    <s v="SH+AC (160+162)"/>
    <s v="L'OREAL"/>
    <x v="3"/>
    <s v="7509552922332"/>
    <x v="51"/>
    <s v="FRUCTIS OIL REPAIR LISO COCO SH REG ADU F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106"/>
    <n v="217"/>
    <n v="368"/>
    <n v="218"/>
    <n v="317"/>
    <n v="287"/>
    <n v="336"/>
    <n v="220"/>
    <n v="200"/>
    <n v="224"/>
  </r>
  <r>
    <s v="TOTAL URUGUAY"/>
    <s v="SH+AC (160+162)"/>
    <s v="L'OREAL"/>
    <x v="3"/>
    <s v="7509552930535"/>
    <x v="52"/>
    <s v="FRUCTIS PROBIOTICOS FUERZA SH ADU REG FCO 35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207"/>
    <n v="496"/>
    <n v="908"/>
    <n v="1253"/>
    <n v="758"/>
    <n v="536"/>
    <n v="879"/>
    <n v="913"/>
    <n v="626"/>
    <n v="709"/>
    <n v="799"/>
  </r>
  <r>
    <s v="TOTAL URUGUAY"/>
    <s v="SH+AC (160+162)"/>
    <s v="L'OREAL"/>
    <x v="3"/>
    <s v="7509552930559"/>
    <x v="52"/>
    <s v="FRUCTIS PROBIOTICOS FUERZA AC REG ADU FCO 35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67"/>
    <n v="493"/>
    <n v="847"/>
    <n v="1329"/>
    <n v="788"/>
    <n v="580"/>
    <n v="752"/>
    <n v="841"/>
    <n v="573"/>
    <n v="600"/>
    <n v="591"/>
  </r>
  <r>
    <s v="TOTAL URUGUAY"/>
    <s v="SH+AC (160+162)"/>
    <s v="L'OREAL"/>
    <x v="3"/>
    <s v="7509552930573"/>
    <x v="52"/>
    <s v="FRUCTIS PROBIOTICOS FUERZA LEAVE 10EN1 CPP REG ADU FCO 3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77"/>
    <n v="125"/>
    <n v="148"/>
    <n v="341"/>
    <n v="275"/>
    <n v="275"/>
    <n v="270"/>
    <n v="305"/>
    <n v="172"/>
    <n v="179"/>
    <n v="190"/>
  </r>
  <r>
    <s v="TOTAL URUGUAY"/>
    <s v="SH+AC (160+162)"/>
    <s v="L'OREAL"/>
    <x v="3"/>
    <s v="7509552932164"/>
    <x v="52"/>
    <s v="FRUCTIS PROBIOTICOS FUERZA SH. REG ADU FCO 65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36"/>
    <n v="240"/>
    <n v="264"/>
    <n v="667"/>
    <n v="387"/>
    <n v="238"/>
    <n v="300"/>
    <n v="381"/>
    <n v="211"/>
    <n v="206"/>
    <n v="288"/>
  </r>
  <r>
    <s v="TOTAL URUGUAY"/>
    <s v="SH+AC (160+162)"/>
    <s v="L'OREAL"/>
    <x v="3"/>
    <s v="7509552964035"/>
    <x v="52"/>
    <s v="FRUCTIS PROBIOTICOS FUERZA SHA ADU REG FRAS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"/>
    <n v="338"/>
    <n v="347"/>
    <n v="503"/>
  </r>
  <r>
    <s v="TOTAL URUGUAY"/>
    <s v="SH+AC (160+162)"/>
    <s v="L'OREAL"/>
    <x v="3"/>
    <s v="7509552964042"/>
    <x v="52"/>
    <s v="FRUCTIS PROBIOTICOS FUERZA AC. ADU REG FRASCO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160"/>
    <n v="187"/>
    <n v="452"/>
  </r>
  <r>
    <s v="TOTAL URUGUAY"/>
    <s v="SH+AC (160+162)"/>
    <s v="L'OREAL"/>
    <x v="3"/>
    <s v="7730317051848BP1"/>
    <x v="36"/>
    <s v="FRUCTIS BRILLO VITAMINADO350ML F.P.+ACO.200ML F.P"/>
    <s v="Vtas Unds"/>
    <n v="993"/>
    <n v="1170.3094000000001"/>
    <n v="1806"/>
    <n v="1455"/>
    <n v="1389"/>
    <n v="1282"/>
    <n v="1385"/>
    <n v="1281"/>
    <n v="1712"/>
    <n v="1254"/>
    <n v="630"/>
    <n v="444"/>
    <n v="673"/>
    <n v="748.39469999999994"/>
    <n v="934"/>
    <n v="1223"/>
    <n v="838"/>
    <n v="591.86030000000005"/>
    <n v="369"/>
    <n v="161"/>
    <n v="82"/>
    <n v="59"/>
    <n v="39"/>
    <n v="20"/>
    <n v="22"/>
    <n v="11"/>
    <n v="38"/>
    <n v="19"/>
    <n v="29"/>
    <n v="16"/>
    <n v="12"/>
    <n v="16"/>
    <n v="8"/>
    <n v="10"/>
    <n v="1"/>
    <n v="0"/>
    <n v="1"/>
  </r>
  <r>
    <s v="TOTAL URUGUAY"/>
    <s v="SH+AC (160+162)"/>
    <s v="L'OREAL"/>
    <x v="3"/>
    <s v="7730317051848BP2"/>
    <x v="36"/>
    <s v="FRUCTIS BRILLO VITAM.ACO.200 ML FP.+SHA.350ML F.P"/>
    <s v="Vtas Unds"/>
    <n v="993"/>
    <n v="1170.3094000000001"/>
    <n v="1806"/>
    <n v="1455"/>
    <n v="1389"/>
    <n v="1282"/>
    <n v="1385"/>
    <n v="1281"/>
    <n v="1712"/>
    <n v="1254"/>
    <n v="630"/>
    <n v="444"/>
    <n v="673"/>
    <n v="748.39469999999994"/>
    <n v="934"/>
    <n v="1223"/>
    <n v="838"/>
    <n v="591.86030000000005"/>
    <n v="369"/>
    <n v="161"/>
    <n v="82"/>
    <n v="59"/>
    <n v="39"/>
    <n v="20"/>
    <n v="22"/>
    <n v="11"/>
    <n v="38"/>
    <n v="19"/>
    <n v="29"/>
    <n v="16"/>
    <n v="12"/>
    <n v="16"/>
    <n v="8"/>
    <n v="10"/>
    <n v="1"/>
    <n v="0"/>
    <n v="1"/>
  </r>
  <r>
    <s v="TOTAL URUGUAY"/>
    <s v="SH+AC (160+162)"/>
    <s v="L'OREAL"/>
    <x v="3"/>
    <s v="7730317051855BP1"/>
    <x v="41"/>
    <s v="FRUCTIS GOOD BYE DANOS F.P.350 ML + ACO.200 ML FCO.PL."/>
    <s v="Vtas Unds"/>
    <n v="537"/>
    <n v="556"/>
    <n v="964"/>
    <n v="936"/>
    <n v="863"/>
    <n v="665"/>
    <n v="1001"/>
    <n v="760"/>
    <n v="1015"/>
    <n v="824"/>
    <n v="666"/>
    <n v="543"/>
    <n v="718.21770000000004"/>
    <n v="756.39469999999994"/>
    <n v="919"/>
    <n v="673"/>
    <n v="265"/>
    <n v="226"/>
    <n v="194"/>
    <n v="91"/>
    <n v="46"/>
    <n v="32"/>
    <n v="27"/>
    <n v="21"/>
    <n v="18"/>
    <n v="6"/>
    <n v="11"/>
    <n v="3"/>
    <n v="3"/>
    <n v="7"/>
    <n v="7"/>
    <n v="0"/>
    <n v="2"/>
    <n v="1"/>
    <n v="1"/>
    <n v="0"/>
    <n v="0"/>
  </r>
  <r>
    <s v="TOTAL URUGUAY"/>
    <s v="SH+AC (160+162)"/>
    <s v="L'OREAL"/>
    <x v="3"/>
    <s v="7730317051855BP2"/>
    <x v="41"/>
    <s v="FRUCTIS GOOD BYE DANOS ACO.F.P.200 ML+ SHA.350 ML F.P."/>
    <s v="Vtas Unds"/>
    <n v="537"/>
    <n v="556"/>
    <n v="964"/>
    <n v="936"/>
    <n v="863"/>
    <n v="665"/>
    <n v="1001"/>
    <n v="760"/>
    <n v="1015"/>
    <n v="824"/>
    <n v="666"/>
    <n v="543"/>
    <n v="718.21770000000004"/>
    <n v="756.39469999999994"/>
    <n v="919"/>
    <n v="673"/>
    <n v="265"/>
    <n v="226"/>
    <n v="194"/>
    <n v="91"/>
    <n v="46"/>
    <n v="32"/>
    <n v="27"/>
    <n v="21"/>
    <n v="18"/>
    <n v="6"/>
    <n v="11"/>
    <n v="3"/>
    <n v="3"/>
    <n v="7"/>
    <n v="7"/>
    <n v="0"/>
    <n v="2"/>
    <n v="1"/>
    <n v="1"/>
    <n v="0"/>
    <n v="0"/>
  </r>
  <r>
    <s v="TOTAL URUGUAY"/>
    <s v="SH+AC (160+162)"/>
    <s v="L'OREAL"/>
    <x v="3"/>
    <s v="7730317051862BP1"/>
    <x v="42"/>
    <s v="FRUCTIS CONTROL Y DEF.LISO. POD.FCO.P.350ML+ACO.200ML F.P"/>
    <s v="Vtas Unds"/>
    <n v="0"/>
    <n v="0"/>
    <n v="1"/>
    <n v="2"/>
    <n v="0"/>
    <n v="0"/>
    <n v="0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</r>
  <r>
    <s v="TOTAL URUGUAY"/>
    <s v="SH+AC (160+162)"/>
    <s v="L'OREAL"/>
    <x v="3"/>
    <s v="7730317051862BP2"/>
    <x v="42"/>
    <s v="FRUCTIS CONTROL Y DEF.LISO. POD.ACO.FP200ML+SHA.350 ML FP"/>
    <s v="Vtas Unds"/>
    <n v="0"/>
    <n v="0"/>
    <n v="1"/>
    <n v="2"/>
    <n v="0"/>
    <n v="0"/>
    <n v="0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</r>
  <r>
    <s v="TOTAL URUGUAY"/>
    <s v="SH+AC (160+162)"/>
    <s v="L'OREAL"/>
    <x v="3"/>
    <s v="7730317051879BP1"/>
    <x v="37"/>
    <s v="FRUCTIS OIL REPAIR 3 FCO.PL.200ML ACO.+SHA. 350 ML F.P."/>
    <s v="Vtas Unds"/>
    <n v="2"/>
    <n v="7"/>
    <n v="10"/>
    <n v="1"/>
    <n v="6"/>
    <n v="8"/>
    <n v="8"/>
    <n v="1"/>
    <n v="8"/>
    <n v="1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51879BP2"/>
    <x v="37"/>
    <s v="FRUCTIS OIL REPAIR 3 FCO.PL.350 CC + ACO.200 MLFCO.P."/>
    <s v="Vtas Unds"/>
    <n v="2"/>
    <n v="7"/>
    <n v="10"/>
    <n v="1"/>
    <n v="6"/>
    <n v="8"/>
    <n v="8"/>
    <n v="1"/>
    <n v="8"/>
    <n v="1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54603BP1"/>
    <x v="37"/>
    <s v="FRUCTIS OIL REPAIR ACEITE DE PALTA 200ML FP+ACO350MLPF PACK"/>
    <s v="Vtas Unds"/>
    <n v="1046"/>
    <n v="1078"/>
    <n v="1599"/>
    <n v="1261"/>
    <n v="1340"/>
    <n v="1201"/>
    <n v="1430"/>
    <n v="1310"/>
    <n v="1548"/>
    <n v="323"/>
    <n v="150"/>
    <n v="136"/>
    <n v="109"/>
    <n v="60"/>
    <n v="58"/>
    <n v="53"/>
    <n v="22"/>
    <n v="24"/>
    <n v="16"/>
    <n v="6"/>
    <n v="1"/>
    <n v="7"/>
    <n v="1"/>
    <n v="0"/>
    <n v="1"/>
    <n v="4"/>
    <n v="0"/>
    <n v="2"/>
    <n v="1"/>
    <n v="3"/>
    <n v="7"/>
    <n v="6"/>
    <n v="3"/>
    <n v="6"/>
    <n v="1"/>
    <n v="0"/>
    <n v="7"/>
  </r>
  <r>
    <s v="TOTAL URUGUAY"/>
    <s v="SH+AC (160+162)"/>
    <s v="L'OREAL"/>
    <x v="3"/>
    <s v="7730317054603BP2"/>
    <x v="37"/>
    <s v="FRUCTIS OIL REPAIR ACEITE DE PALTA350ML FP+ACO 200MLPF PACK"/>
    <s v="Vtas Unds"/>
    <n v="1046"/>
    <n v="1078"/>
    <n v="1599"/>
    <n v="1261"/>
    <n v="1340"/>
    <n v="1201"/>
    <n v="1430"/>
    <n v="1310"/>
    <n v="1548"/>
    <n v="323"/>
    <n v="150"/>
    <n v="136"/>
    <n v="109"/>
    <n v="60"/>
    <n v="58"/>
    <n v="53"/>
    <n v="22"/>
    <n v="24"/>
    <n v="16"/>
    <n v="6"/>
    <n v="1"/>
    <n v="7"/>
    <n v="1"/>
    <n v="0"/>
    <n v="1"/>
    <n v="4"/>
    <n v="0"/>
    <n v="2"/>
    <n v="1"/>
    <n v="3"/>
    <n v="7"/>
    <n v="6"/>
    <n v="3"/>
    <n v="6"/>
    <n v="1"/>
    <n v="0"/>
    <n v="7"/>
  </r>
  <r>
    <s v="TOTAL URUGUAY"/>
    <s v="SH+AC (160+162)"/>
    <s v="L'OREAL"/>
    <x v="3"/>
    <s v="7730317059202BP1"/>
    <x v="36"/>
    <s v="FRUCTIS BRILLO VITAM FCO 200 ML+MM SH.FCO 650ML"/>
    <s v="Vtas Unds"/>
    <n v="26"/>
    <n v="15"/>
    <n v="13"/>
    <n v="2"/>
    <n v="3"/>
    <n v="3"/>
    <n v="3"/>
    <n v="1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59202BP2"/>
    <x v="36"/>
    <s v="FRUCTIS BRILLO VITAM FCO 650CC+MM ACO.FCO 200ML"/>
    <s v="Vtas Unds"/>
    <n v="26"/>
    <n v="15"/>
    <n v="13"/>
    <n v="2"/>
    <n v="3"/>
    <n v="3"/>
    <n v="3"/>
    <n v="1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59219BP1"/>
    <x v="42"/>
    <s v="FRUCTIS GARNIER CTRL&amp;DEF. LISO PODER. SH.F.P.350ML+ACO.200ML"/>
    <s v="Vtas Unds"/>
    <n v="13"/>
    <n v="10"/>
    <n v="2"/>
    <n v="6"/>
    <n v="6"/>
    <n v="5"/>
    <n v="3"/>
    <n v="0"/>
    <n v="3"/>
    <n v="0"/>
    <n v="0"/>
    <n v="0"/>
    <n v="0"/>
    <n v="0"/>
    <n v="0"/>
    <n v="0"/>
    <n v="0"/>
    <n v="0"/>
    <n v="0"/>
    <n v="1"/>
    <n v="0"/>
    <n v="4"/>
    <n v="1"/>
    <n v="3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59219BP2"/>
    <x v="42"/>
    <s v="FRUCTIS GARNIER CTRL&amp;DEF. LISO PODER.ACO.F.P.200ML+SH.350ML"/>
    <s v="Vtas Unds"/>
    <n v="13"/>
    <n v="10"/>
    <n v="2"/>
    <n v="6"/>
    <n v="6"/>
    <n v="5"/>
    <n v="3"/>
    <n v="0"/>
    <n v="3"/>
    <n v="0"/>
    <n v="0"/>
    <n v="0"/>
    <n v="0"/>
    <n v="0"/>
    <n v="0"/>
    <n v="0"/>
    <n v="0"/>
    <n v="0"/>
    <n v="0"/>
    <n v="1"/>
    <n v="0"/>
    <n v="4"/>
    <n v="1"/>
    <n v="3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1038BP1"/>
    <x v="45"/>
    <s v="FRUCTIS GARNIER ALOE HIDRA BOMB FORTIF.FP.200ML+MM SH.350ML"/>
    <s v="Vtas Unds"/>
    <n v="928"/>
    <n v="977"/>
    <n v="1639"/>
    <n v="968"/>
    <n v="1064"/>
    <n v="972"/>
    <n v="1028"/>
    <n v="838"/>
    <n v="976"/>
    <n v="1066"/>
    <n v="332"/>
    <n v="120"/>
    <n v="55"/>
    <n v="21"/>
    <n v="7"/>
    <n v="9"/>
    <n v="14"/>
    <n v="10"/>
    <n v="8"/>
    <n v="8"/>
    <n v="3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1038BP2"/>
    <x v="45"/>
    <s v="FRUCTIS GARNIER ALOE HIDRA BOMB FORTIF.FP.350ML+MM ACO.200ML"/>
    <s v="Vtas Unds"/>
    <n v="928"/>
    <n v="977"/>
    <n v="1639"/>
    <n v="968"/>
    <n v="1064"/>
    <n v="972"/>
    <n v="1028"/>
    <n v="838"/>
    <n v="976"/>
    <n v="1066"/>
    <n v="332"/>
    <n v="120"/>
    <n v="55"/>
    <n v="21"/>
    <n v="7"/>
    <n v="9"/>
    <n v="14"/>
    <n v="10"/>
    <n v="8"/>
    <n v="8"/>
    <n v="3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4039BP1"/>
    <x v="39"/>
    <s v="FRUCTIS HAIR FOOD AGUACATE FP 300ML+ MM ACOND 300ML"/>
    <s v="Vtas Unds"/>
    <n v="10"/>
    <n v="5"/>
    <n v="6"/>
    <n v="4"/>
    <n v="1"/>
    <n v="2"/>
    <n v="9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4039BP2"/>
    <x v="39"/>
    <s v="FRUCTIS HAIR FOOD ACOND AGUACATE FCO 300ML+ MM SHAMPOO 300ML"/>
    <s v="Vtas Unds"/>
    <n v="10"/>
    <n v="5"/>
    <n v="6"/>
    <n v="4"/>
    <n v="1"/>
    <n v="2"/>
    <n v="9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4961BP1"/>
    <x v="37"/>
    <s v="FRUCTIS OIL REPAIR FCO.PL 650ML+ MM ACON 200ML"/>
    <s v="Vtas Unds"/>
    <n v="28"/>
    <n v="19"/>
    <n v="17"/>
    <n v="17"/>
    <n v="16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4961BP2"/>
    <x v="37"/>
    <s v="FRUCTIS ACOND OIL REPAIR FCO.PLAST 200ML+ MM SHAMPOO 650ML"/>
    <s v="Vtas Unds"/>
    <n v="28"/>
    <n v="19"/>
    <n v="17"/>
    <n v="17"/>
    <n v="16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4978BP1"/>
    <x v="37"/>
    <s v="FRUCTIS OIL REPAIR FCO.PL 350ML+ MM ACON 200ML"/>
    <s v="Vtas Unds"/>
    <n v="456"/>
    <n v="565"/>
    <n v="1015"/>
    <n v="754"/>
    <n v="692"/>
    <n v="670"/>
    <n v="842"/>
    <n v="576"/>
    <n v="787"/>
    <n v="567"/>
    <n v="402"/>
    <n v="391"/>
    <n v="349"/>
    <n v="143"/>
    <n v="83"/>
    <n v="64"/>
    <n v="33"/>
    <n v="32"/>
    <n v="21"/>
    <n v="6"/>
    <n v="6"/>
    <n v="5"/>
    <n v="0"/>
    <n v="1"/>
    <n v="1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4978BP2"/>
    <x v="37"/>
    <s v="FRUCTIS ACOND OIL REPAIR FCO.PLAST 200ML+ MM SHAMPOO 350ML"/>
    <s v="Vtas Unds"/>
    <n v="456"/>
    <n v="565"/>
    <n v="1015"/>
    <n v="754"/>
    <n v="692"/>
    <n v="670"/>
    <n v="842"/>
    <n v="576"/>
    <n v="787"/>
    <n v="567"/>
    <n v="402"/>
    <n v="391"/>
    <n v="349"/>
    <n v="143"/>
    <n v="83"/>
    <n v="64"/>
    <n v="33"/>
    <n v="32"/>
    <n v="21"/>
    <n v="6"/>
    <n v="6"/>
    <n v="5"/>
    <n v="0"/>
    <n v="1"/>
    <n v="1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7047BP1"/>
    <x v="45"/>
    <s v="FRUCTIS ALOE HIDRA BOMB FCO 650ML + MM ACO.FCO 200ML"/>
    <s v="Vtas Unds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7047BP2"/>
    <x v="45"/>
    <s v="FRUCTIS ALOE HIDRA BOMB FCO 200 ML+MM SH.FCO 650ML"/>
    <s v="Vtas Unds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7177BP1"/>
    <x v="39"/>
    <s v="FRUCTIS HAIR FOOD BANANA FCO PL 300ML+ MM ACOND 300ML"/>
    <s v="Vtas Unds"/>
    <n v="93"/>
    <n v="48"/>
    <n v="45"/>
    <n v="62"/>
    <n v="38"/>
    <n v="42"/>
    <n v="72"/>
    <n v="77"/>
    <n v="63"/>
    <n v="71"/>
    <n v="57"/>
    <n v="46"/>
    <n v="32"/>
    <n v="27"/>
    <n v="19"/>
    <n v="30"/>
    <n v="13"/>
    <n v="20"/>
    <n v="19"/>
    <n v="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7177BP2"/>
    <x v="39"/>
    <s v="FRUCTIS HAIR FOOD ACOND BANANA FCO 300ML+ MM SHAMPOO 300ML"/>
    <s v="Vtas Unds"/>
    <n v="93"/>
    <n v="48"/>
    <n v="45"/>
    <n v="62"/>
    <n v="38"/>
    <n v="42"/>
    <n v="72"/>
    <n v="77"/>
    <n v="63"/>
    <n v="71"/>
    <n v="57"/>
    <n v="46"/>
    <n v="32"/>
    <n v="27"/>
    <n v="19"/>
    <n v="30"/>
    <n v="13"/>
    <n v="20"/>
    <n v="19"/>
    <n v="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7184BP1"/>
    <x v="39"/>
    <s v="FRUCTIS HAIR FOOD COCO FCO PL 300ML+ MM ACOND 300ML"/>
    <s v="Vtas Unds"/>
    <n v="43"/>
    <n v="35"/>
    <n v="56"/>
    <n v="82"/>
    <n v="52"/>
    <n v="59"/>
    <n v="123"/>
    <n v="130"/>
    <n v="86"/>
    <n v="100"/>
    <n v="86"/>
    <n v="63"/>
    <n v="74"/>
    <n v="32"/>
    <n v="49"/>
    <n v="57"/>
    <n v="30"/>
    <n v="28"/>
    <n v="19"/>
    <n v="9"/>
    <n v="5"/>
    <n v="9"/>
    <n v="4"/>
    <n v="2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7184BP2"/>
    <x v="39"/>
    <s v="FRUCTIS HAIR FOOD ACOND COCO FCO 300ML+ MM SHAMPOO 300ML"/>
    <s v="Vtas Unds"/>
    <n v="43"/>
    <n v="35"/>
    <n v="56"/>
    <n v="82"/>
    <n v="52"/>
    <n v="59"/>
    <n v="123"/>
    <n v="130"/>
    <n v="86"/>
    <n v="100"/>
    <n v="86"/>
    <n v="63"/>
    <n v="74"/>
    <n v="32"/>
    <n v="49"/>
    <n v="57"/>
    <n v="30"/>
    <n v="28"/>
    <n v="19"/>
    <n v="9"/>
    <n v="5"/>
    <n v="9"/>
    <n v="4"/>
    <n v="2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7191BP1"/>
    <x v="39"/>
    <s v="FRUCTIS HAIR FOOD ALOE FCO PL 300ML+ MM ACOND 300ML"/>
    <s v="Vtas Unds"/>
    <n v="60"/>
    <n v="42"/>
    <n v="60"/>
    <n v="90"/>
    <n v="56"/>
    <n v="70"/>
    <n v="141"/>
    <n v="117"/>
    <n v="91"/>
    <n v="107"/>
    <n v="87"/>
    <n v="68"/>
    <n v="86"/>
    <n v="37"/>
    <n v="37"/>
    <n v="54"/>
    <n v="17"/>
    <n v="19"/>
    <n v="32"/>
    <n v="6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67191BP2"/>
    <x v="39"/>
    <s v="FRUCTIS HAIR FOOD ACOND ALOE FCO PL 300ML+ MM SHAMPOO 300ML"/>
    <s v="Vtas Unds"/>
    <n v="60"/>
    <n v="42"/>
    <n v="60"/>
    <n v="90"/>
    <n v="56"/>
    <n v="70"/>
    <n v="141"/>
    <n v="117"/>
    <n v="91"/>
    <n v="107"/>
    <n v="87"/>
    <n v="68"/>
    <n v="86"/>
    <n v="37"/>
    <n v="37"/>
    <n v="54"/>
    <n v="17"/>
    <n v="19"/>
    <n v="32"/>
    <n v="6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71198BP2"/>
    <x v="44"/>
    <s v="FRUCTIS RECARGA NUTRITIVA HIDRANTE FCO.200ML+NUTRISSE TINT."/>
    <s v="Vtas Unds"/>
    <n v="0"/>
    <n v="0"/>
    <n v="3"/>
    <n v="34"/>
    <n v="53"/>
    <n v="49"/>
    <n v="113"/>
    <n v="85"/>
    <n v="94"/>
    <n v="133"/>
    <n v="71"/>
    <n v="38"/>
    <n v="38"/>
    <n v="26"/>
    <n v="14"/>
    <n v="15"/>
    <n v="6"/>
    <n v="8"/>
    <n v="22"/>
    <n v="11"/>
    <n v="6"/>
    <n v="5"/>
    <n v="2"/>
    <n v="0"/>
    <n v="7"/>
    <n v="2"/>
    <n v="1"/>
    <n v="4"/>
    <n v="3"/>
    <n v="1"/>
    <n v="0"/>
    <n v="0"/>
    <n v="0"/>
    <n v="0"/>
    <n v="0"/>
    <n v="0"/>
    <n v="0"/>
  </r>
  <r>
    <s v="TOTAL URUGUAY"/>
    <s v="SH+AC (160+162)"/>
    <s v="L'OREAL"/>
    <x v="3"/>
    <s v="7730317071259BP2"/>
    <x v="44"/>
    <s v="FRUCTIS RECARGA NUTRITIVA HIDRANTE FCO.200ML+NUTRISSE TINT."/>
    <s v="Vtas Unds"/>
    <n v="0"/>
    <n v="0"/>
    <n v="2"/>
    <n v="28"/>
    <n v="46"/>
    <n v="32"/>
    <n v="67"/>
    <n v="47"/>
    <n v="44"/>
    <n v="72"/>
    <n v="44"/>
    <n v="51"/>
    <n v="33"/>
    <n v="25"/>
    <n v="21"/>
    <n v="29"/>
    <n v="16"/>
    <n v="19"/>
    <n v="14"/>
    <n v="11"/>
    <n v="5"/>
    <n v="5"/>
    <n v="5"/>
    <n v="3"/>
    <n v="2"/>
    <n v="2"/>
    <n v="3"/>
    <n v="1"/>
    <n v="3"/>
    <n v="1"/>
    <n v="0"/>
    <n v="0"/>
    <n v="1"/>
    <n v="1"/>
    <n v="0"/>
    <n v="0"/>
    <n v="0"/>
  </r>
  <r>
    <s v="TOTAL URUGUAY"/>
    <s v="SH+AC (160+162)"/>
    <s v="L'OREAL"/>
    <x v="3"/>
    <s v="7730317071266BP2"/>
    <x v="44"/>
    <s v="FRUCTIS RECARGA NUTRITIVA HIDRANTE FCO.200ML+NUTRISSE TINT."/>
    <s v="Vtas Unds"/>
    <n v="0"/>
    <n v="0"/>
    <n v="0"/>
    <n v="28"/>
    <n v="16"/>
    <n v="13"/>
    <n v="31"/>
    <n v="20"/>
    <n v="12"/>
    <n v="12"/>
    <n v="17"/>
    <n v="7"/>
    <n v="10"/>
    <n v="8"/>
    <n v="4"/>
    <n v="3"/>
    <n v="1"/>
    <n v="4"/>
    <n v="4"/>
    <n v="1"/>
    <n v="3"/>
    <n v="4"/>
    <n v="2"/>
    <n v="0"/>
    <n v="3"/>
    <n v="5"/>
    <n v="2"/>
    <n v="2"/>
    <n v="2"/>
    <n v="0"/>
    <n v="0"/>
    <n v="0"/>
    <n v="0"/>
    <n v="0"/>
    <n v="0"/>
    <n v="0"/>
    <n v="0"/>
  </r>
  <r>
    <s v="TOTAL URUGUAY"/>
    <s v="SH+AC (160+162)"/>
    <s v="L'OREAL"/>
    <x v="3"/>
    <s v="7730317071273BP2"/>
    <x v="44"/>
    <s v="FRUCTIS RECARGA NUTRITIVA HIDRANTE FCO.200ML+NUTRISSE TINT."/>
    <s v="Vtas Unds"/>
    <n v="0"/>
    <n v="0"/>
    <n v="2"/>
    <n v="42"/>
    <n v="59"/>
    <n v="29"/>
    <n v="72"/>
    <n v="70"/>
    <n v="55"/>
    <n v="76"/>
    <n v="45"/>
    <n v="44"/>
    <n v="33"/>
    <n v="15"/>
    <n v="12"/>
    <n v="15"/>
    <n v="5"/>
    <n v="4"/>
    <n v="9"/>
    <n v="5"/>
    <n v="7"/>
    <n v="9"/>
    <n v="3"/>
    <n v="6"/>
    <n v="7"/>
    <n v="3"/>
    <n v="0"/>
    <n v="1"/>
    <n v="0"/>
    <n v="1"/>
    <n v="1"/>
    <n v="2"/>
    <n v="3"/>
    <n v="0"/>
    <n v="0"/>
    <n v="0"/>
    <n v="0"/>
  </r>
  <r>
    <s v="TOTAL URUGUAY"/>
    <s v="SH+AC (160+162)"/>
    <s v="L'OREAL"/>
    <x v="3"/>
    <s v="7730317071280BP2"/>
    <x v="44"/>
    <s v="FRUCTIS RECARGA NUTRITIVA HIDRANTE FCO.200ML+NUTRISSE TINT."/>
    <s v="Vtas Unds"/>
    <n v="0"/>
    <n v="0"/>
    <n v="2"/>
    <n v="35"/>
    <n v="38"/>
    <n v="20"/>
    <n v="46"/>
    <n v="22"/>
    <n v="12"/>
    <n v="18"/>
    <n v="14"/>
    <n v="12"/>
    <n v="12"/>
    <n v="6"/>
    <n v="7"/>
    <n v="5"/>
    <n v="9"/>
    <n v="6"/>
    <n v="2"/>
    <n v="5"/>
    <n v="3"/>
    <n v="1"/>
    <n v="3"/>
    <n v="2"/>
    <n v="4"/>
    <n v="1"/>
    <n v="0"/>
    <n v="4"/>
    <n v="2"/>
    <n v="1"/>
    <n v="0"/>
    <n v="0"/>
    <n v="1"/>
    <n v="0"/>
    <n v="0"/>
    <n v="0"/>
    <n v="0"/>
  </r>
  <r>
    <s v="TOTAL URUGUAY"/>
    <s v="SH+AC (160+162)"/>
    <s v="L'OREAL"/>
    <x v="3"/>
    <s v="7730317071297BP2"/>
    <x v="44"/>
    <s v="FRUCTIS RECARGA NUTRITIVA HIDRANTE FCO.200ML+NUTRISSE TINT."/>
    <s v="Vtas Unds"/>
    <n v="0"/>
    <n v="0"/>
    <n v="2"/>
    <n v="88"/>
    <n v="127"/>
    <n v="92"/>
    <n v="128"/>
    <n v="76"/>
    <n v="66"/>
    <n v="104"/>
    <n v="78"/>
    <n v="32"/>
    <n v="40"/>
    <n v="20"/>
    <n v="9"/>
    <n v="16"/>
    <n v="19"/>
    <n v="19"/>
    <n v="13"/>
    <n v="8"/>
    <n v="9"/>
    <n v="9"/>
    <n v="4"/>
    <n v="7"/>
    <n v="8"/>
    <n v="9"/>
    <n v="3"/>
    <n v="2"/>
    <n v="4"/>
    <n v="3"/>
    <n v="6"/>
    <n v="3"/>
    <n v="2"/>
    <n v="0"/>
    <n v="0"/>
    <n v="0"/>
    <n v="0"/>
  </r>
  <r>
    <s v="TOTAL URUGUAY"/>
    <s v="SH+AC (160+162)"/>
    <s v="L'OREAL"/>
    <x v="3"/>
    <s v="7730317071303BP2"/>
    <x v="44"/>
    <s v="FRUCTIS RECARGA NUTRITIVA HIDRANTE FCO.200ML+NUTRISSE TINT."/>
    <s v="Vtas Unds"/>
    <n v="0"/>
    <n v="0"/>
    <n v="6"/>
    <n v="25"/>
    <n v="14"/>
    <n v="10"/>
    <n v="22"/>
    <n v="18"/>
    <n v="13"/>
    <n v="9"/>
    <n v="6"/>
    <n v="6"/>
    <n v="4"/>
    <n v="7"/>
    <n v="4"/>
    <n v="3"/>
    <n v="5"/>
    <n v="5"/>
    <n v="6"/>
    <n v="2"/>
    <n v="3"/>
    <n v="0"/>
    <n v="0"/>
    <n v="3"/>
    <n v="2"/>
    <n v="3"/>
    <n v="2"/>
    <n v="1"/>
    <n v="3"/>
    <n v="1"/>
    <n v="0"/>
    <n v="0"/>
    <n v="0"/>
    <n v="0"/>
    <n v="0"/>
    <n v="0"/>
    <n v="0"/>
  </r>
  <r>
    <s v="TOTAL URUGUAY"/>
    <s v="SH+AC (160+162)"/>
    <s v="L'OREAL"/>
    <x v="3"/>
    <s v="7730317071310BP2"/>
    <x v="44"/>
    <s v="FRUCTIS RECARGA NUTRITIVA HIDRANTE FCO.200ML+NUTRISSE TINT."/>
    <s v="Vtas Unds"/>
    <n v="0"/>
    <n v="0"/>
    <n v="3"/>
    <n v="23"/>
    <n v="14"/>
    <n v="8"/>
    <n v="18"/>
    <n v="16"/>
    <n v="12"/>
    <n v="11"/>
    <n v="3"/>
    <n v="13"/>
    <n v="11"/>
    <n v="4"/>
    <n v="5"/>
    <n v="6"/>
    <n v="4"/>
    <n v="5"/>
    <n v="2"/>
    <n v="5"/>
    <n v="2"/>
    <n v="0"/>
    <n v="2"/>
    <n v="1"/>
    <n v="0"/>
    <n v="2"/>
    <n v="0"/>
    <n v="3"/>
    <n v="1"/>
    <n v="1"/>
    <n v="0"/>
    <n v="1"/>
    <n v="0"/>
    <n v="0"/>
    <n v="0"/>
    <n v="0"/>
    <n v="0"/>
  </r>
  <r>
    <s v="TOTAL URUGUAY"/>
    <s v="SH+AC (160+162)"/>
    <s v="L'OREAL"/>
    <x v="3"/>
    <s v="7730317071365BP2"/>
    <x v="44"/>
    <s v="FRUCTIS RECARGA NUTRITIVA HIDRANTE FCO.200ML+NUTRISSE TINT."/>
    <s v="Vtas Unds"/>
    <n v="0"/>
    <n v="0"/>
    <n v="1"/>
    <n v="2"/>
    <n v="2"/>
    <n v="7"/>
    <n v="16"/>
    <n v="4"/>
    <n v="2"/>
    <n v="4"/>
    <n v="1"/>
    <n v="9"/>
    <n v="7"/>
    <n v="5"/>
    <n v="5"/>
    <n v="6"/>
    <n v="1"/>
    <n v="8"/>
    <n v="4"/>
    <n v="2"/>
    <n v="5"/>
    <n v="2"/>
    <n v="1"/>
    <n v="3"/>
    <n v="4"/>
    <n v="3"/>
    <n v="0"/>
    <n v="6"/>
    <n v="4"/>
    <n v="1"/>
    <n v="2"/>
    <n v="1"/>
    <n v="0"/>
    <n v="0"/>
    <n v="0"/>
    <n v="0"/>
    <n v="0"/>
  </r>
  <r>
    <s v="TOTAL URUGUAY"/>
    <s v="SH+AC (160+162)"/>
    <s v="L'OREAL"/>
    <x v="3"/>
    <s v="7730317071372BP2"/>
    <x v="44"/>
    <s v="FRUCTIS RECARGA NUTRITIVA HIDRANTE FCO.200ML+NUTRISSE TINT."/>
    <s v="Vtas Unds"/>
    <n v="0"/>
    <n v="0"/>
    <n v="0"/>
    <n v="10"/>
    <n v="4"/>
    <n v="10"/>
    <n v="10"/>
    <n v="9"/>
    <n v="11"/>
    <n v="14"/>
    <n v="6"/>
    <n v="11"/>
    <n v="10"/>
    <n v="2"/>
    <n v="6"/>
    <n v="5"/>
    <n v="6"/>
    <n v="0"/>
    <n v="7"/>
    <n v="1"/>
    <n v="7"/>
    <n v="4"/>
    <n v="1"/>
    <n v="3"/>
    <n v="1"/>
    <n v="4"/>
    <n v="2"/>
    <n v="3"/>
    <n v="3"/>
    <n v="1"/>
    <n v="0"/>
    <n v="0"/>
    <n v="0"/>
    <n v="0"/>
    <n v="0"/>
    <n v="0"/>
    <n v="0"/>
  </r>
  <r>
    <s v="TOTAL URUGUAY"/>
    <s v="SH+AC (160+162)"/>
    <s v="L'OREAL"/>
    <x v="3"/>
    <s v="7730317071396BP2"/>
    <x v="44"/>
    <s v="FRUCTIS RECARGA NUTRITIVA HIDRANTE FCO.200ML+NUTRISSE TINT."/>
    <s v="Vtas Unds"/>
    <n v="0"/>
    <n v="0"/>
    <n v="4"/>
    <n v="17"/>
    <n v="13"/>
    <n v="7"/>
    <n v="14"/>
    <n v="6"/>
    <n v="7"/>
    <n v="13"/>
    <n v="8"/>
    <n v="11"/>
    <n v="9"/>
    <n v="2"/>
    <n v="3"/>
    <n v="3"/>
    <n v="7"/>
    <n v="2"/>
    <n v="3"/>
    <n v="3"/>
    <n v="3"/>
    <n v="4"/>
    <n v="3"/>
    <n v="5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71402BP2"/>
    <x v="44"/>
    <s v="FRUCTIS RECARGA NUTRITIVA HIDRANTE FCO.200ML+NUTRISSE TINT."/>
    <s v="Vtas Unds"/>
    <n v="0"/>
    <n v="0"/>
    <n v="0"/>
    <n v="12"/>
    <n v="6"/>
    <n v="8"/>
    <n v="24"/>
    <n v="13"/>
    <n v="6"/>
    <n v="5"/>
    <n v="6"/>
    <n v="7"/>
    <n v="4"/>
    <n v="0"/>
    <n v="5"/>
    <n v="6"/>
    <n v="3"/>
    <n v="2"/>
    <n v="6"/>
    <n v="1"/>
    <n v="1"/>
    <n v="3"/>
    <n v="2"/>
    <n v="3"/>
    <n v="4"/>
    <n v="0"/>
    <n v="0"/>
    <n v="2"/>
    <n v="1"/>
    <n v="0"/>
    <n v="3"/>
    <n v="0"/>
    <n v="0"/>
    <n v="0"/>
    <n v="0"/>
    <n v="0"/>
    <n v="0"/>
  </r>
  <r>
    <s v="TOTAL URUGUAY"/>
    <s v="SH+AC (160+162)"/>
    <s v="L'OREAL"/>
    <x v="3"/>
    <s v="7730317071419BP2"/>
    <x v="44"/>
    <s v="FRUCTIS RECARGA NUTRITIVA HIDRANTE FCO.200ML+NUTRISSE TINT."/>
    <s v="Vtas Unds"/>
    <n v="0"/>
    <n v="0"/>
    <n v="4"/>
    <n v="49"/>
    <n v="42"/>
    <n v="29"/>
    <n v="45"/>
    <n v="25"/>
    <n v="9"/>
    <n v="12"/>
    <n v="12"/>
    <n v="5"/>
    <n v="7"/>
    <n v="4"/>
    <n v="1"/>
    <n v="1"/>
    <n v="3"/>
    <n v="4"/>
    <n v="3"/>
    <n v="1"/>
    <n v="5"/>
    <n v="2"/>
    <n v="2"/>
    <n v="3"/>
    <n v="3"/>
    <n v="1"/>
    <n v="1"/>
    <n v="1"/>
    <n v="1"/>
    <n v="0"/>
    <n v="0"/>
    <n v="0"/>
    <n v="0"/>
    <n v="0"/>
    <n v="0"/>
    <n v="0"/>
    <n v="0"/>
  </r>
  <r>
    <s v="TOTAL URUGUAY"/>
    <s v="SH+AC (160+162)"/>
    <s v="L'OREAL"/>
    <x v="3"/>
    <s v="7730317071426BP2"/>
    <x v="44"/>
    <s v="FRUCTIS RECARGA NUTRITIVA HIDRANTE FCO.200ML+NUTRISSE TINT."/>
    <s v="Vtas Unds"/>
    <n v="0"/>
    <n v="0"/>
    <n v="1"/>
    <n v="38"/>
    <n v="13"/>
    <n v="7"/>
    <n v="21"/>
    <n v="7"/>
    <n v="7"/>
    <n v="10"/>
    <n v="7"/>
    <n v="6"/>
    <n v="4"/>
    <n v="1"/>
    <n v="2"/>
    <n v="2"/>
    <n v="6"/>
    <n v="2"/>
    <n v="2"/>
    <n v="1"/>
    <n v="3"/>
    <n v="2"/>
    <n v="0"/>
    <n v="2"/>
    <n v="0"/>
    <n v="2"/>
    <n v="1"/>
    <n v="2"/>
    <n v="1"/>
    <n v="0"/>
    <n v="1"/>
    <n v="0"/>
    <n v="0"/>
    <n v="0"/>
    <n v="0"/>
    <n v="0"/>
    <n v="0"/>
  </r>
  <r>
    <s v="TOTAL URUGUAY"/>
    <s v="SH+AC (160+162)"/>
    <s v="L'OREAL"/>
    <x v="3"/>
    <s v="7730317071457BP2"/>
    <x v="44"/>
    <s v="FRUCTIS RECARGA NUTRITIVA HIDRANTE FCO.200ML+NUTRISSE TINT."/>
    <s v="Vtas Unds"/>
    <n v="0"/>
    <n v="0"/>
    <n v="3"/>
    <n v="29"/>
    <n v="18"/>
    <n v="11"/>
    <n v="23"/>
    <n v="10"/>
    <n v="12"/>
    <n v="18"/>
    <n v="8"/>
    <n v="6"/>
    <n v="2"/>
    <n v="4"/>
    <n v="1"/>
    <n v="5"/>
    <n v="4"/>
    <n v="2"/>
    <n v="3"/>
    <n v="1"/>
    <n v="3"/>
    <n v="3"/>
    <n v="5"/>
    <n v="0"/>
    <n v="4"/>
    <n v="0"/>
    <n v="0"/>
    <n v="3"/>
    <n v="1"/>
    <n v="2"/>
    <n v="1"/>
    <n v="2"/>
    <n v="0"/>
    <n v="0"/>
    <n v="0"/>
    <n v="0"/>
    <n v="0"/>
  </r>
  <r>
    <s v="TOTAL URUGUAY"/>
    <s v="SH+AC (160+162)"/>
    <s v="L'OREAL"/>
    <x v="3"/>
    <s v="7730317071464BP2"/>
    <x v="44"/>
    <s v="FRUCTIS RECARGA NUTRITIVA HIDRANTE FCO.200ML+NUTRISSE TINT."/>
    <s v="Vtas Unds"/>
    <n v="0"/>
    <n v="0"/>
    <n v="0"/>
    <n v="8"/>
    <n v="6"/>
    <n v="8"/>
    <n v="11"/>
    <n v="7"/>
    <n v="13"/>
    <n v="16"/>
    <n v="4"/>
    <n v="5"/>
    <n v="6"/>
    <n v="2"/>
    <n v="2"/>
    <n v="6"/>
    <n v="6"/>
    <n v="5"/>
    <n v="5"/>
    <n v="0"/>
    <n v="2"/>
    <n v="4"/>
    <n v="4"/>
    <n v="0"/>
    <n v="2"/>
    <n v="1"/>
    <n v="2"/>
    <n v="1"/>
    <n v="0"/>
    <n v="0"/>
    <n v="0"/>
    <n v="0"/>
    <n v="0"/>
    <n v="0"/>
    <n v="0"/>
    <n v="0"/>
    <n v="0"/>
  </r>
  <r>
    <s v="TOTAL URUGUAY"/>
    <s v="SH+AC (160+162)"/>
    <s v="L'OREAL"/>
    <x v="3"/>
    <s v="7730317071471BP2"/>
    <x v="44"/>
    <s v="FRUCTIS RECARGA NUTRITIVA HIDRANTE FCO.200ML+NUTRISSE TINT."/>
    <s v="Vtas Unds"/>
    <n v="0"/>
    <n v="0"/>
    <n v="1"/>
    <n v="51"/>
    <n v="41"/>
    <n v="22"/>
    <n v="39"/>
    <n v="25"/>
    <n v="10"/>
    <n v="25"/>
    <n v="14"/>
    <n v="15"/>
    <n v="12"/>
    <n v="2"/>
    <n v="5"/>
    <n v="6"/>
    <n v="4"/>
    <n v="6"/>
    <n v="6"/>
    <n v="5"/>
    <n v="2"/>
    <n v="4"/>
    <n v="1"/>
    <n v="2"/>
    <n v="4"/>
    <n v="1"/>
    <n v="1"/>
    <n v="0"/>
    <n v="1"/>
    <n v="0"/>
    <n v="1"/>
    <n v="0"/>
    <n v="0"/>
    <n v="0"/>
    <n v="0"/>
    <n v="0"/>
    <n v="0"/>
  </r>
  <r>
    <s v="TOTAL URUGUAY"/>
    <s v="SH+AC (160+162)"/>
    <s v="L'OREAL"/>
    <x v="3"/>
    <s v="7730317071488BP2"/>
    <x v="44"/>
    <s v="FRUCTIS RECARGA NUTRITIVA HIDRANTE FCO.200ML+NUTRISSE TINT."/>
    <s v="Vtas Unds"/>
    <n v="0"/>
    <n v="0"/>
    <n v="1"/>
    <n v="18"/>
    <n v="16"/>
    <n v="14"/>
    <n v="13"/>
    <n v="13"/>
    <n v="7"/>
    <n v="6"/>
    <n v="10"/>
    <n v="10"/>
    <n v="11"/>
    <n v="5"/>
    <n v="4"/>
    <n v="4"/>
    <n v="2"/>
    <n v="0"/>
    <n v="1"/>
    <n v="3"/>
    <n v="3"/>
    <n v="0"/>
    <n v="0"/>
    <n v="2"/>
    <n v="1"/>
    <n v="0"/>
    <n v="0"/>
    <n v="1"/>
    <n v="2"/>
    <n v="1"/>
    <n v="1"/>
    <n v="0"/>
    <n v="0"/>
    <n v="0"/>
    <n v="0"/>
    <n v="0"/>
    <n v="0"/>
  </r>
  <r>
    <s v="TOTAL URUGUAY"/>
    <s v="SH+AC (160+162)"/>
    <s v="L'OREAL"/>
    <x v="3"/>
    <s v="7730317071495BP2"/>
    <x v="44"/>
    <s v="FRUCTIS RECARGA NUTRITIVA HIDRANTE FCO.200ML+NUTRISSE TINT."/>
    <s v="Vtas Unds"/>
    <n v="0"/>
    <n v="0"/>
    <n v="5"/>
    <n v="16"/>
    <n v="11"/>
    <n v="13"/>
    <n v="17"/>
    <n v="19"/>
    <n v="18"/>
    <n v="13"/>
    <n v="9"/>
    <n v="15"/>
    <n v="7"/>
    <n v="3"/>
    <n v="7"/>
    <n v="9"/>
    <n v="6"/>
    <n v="0"/>
    <n v="4"/>
    <n v="1"/>
    <n v="2"/>
    <n v="1"/>
    <n v="0"/>
    <n v="0"/>
    <n v="1"/>
    <n v="5"/>
    <n v="1"/>
    <n v="4"/>
    <n v="2"/>
    <n v="0"/>
    <n v="2"/>
    <n v="2"/>
    <n v="0"/>
    <n v="0"/>
    <n v="0"/>
    <n v="0"/>
    <n v="0"/>
  </r>
  <r>
    <s v="TOTAL URUGUAY"/>
    <s v="SH+AC (160+162)"/>
    <s v="L'OREAL"/>
    <x v="3"/>
    <s v="7730317071501BP2"/>
    <x v="44"/>
    <s v="FRUCTIS RECARGA NUTRITIVA HIDRANTE FCO.200ML+NUTRISSE TINT."/>
    <s v="Vtas Unds"/>
    <n v="0"/>
    <n v="0"/>
    <n v="4"/>
    <n v="40"/>
    <n v="63"/>
    <n v="46"/>
    <n v="87"/>
    <n v="50"/>
    <n v="30"/>
    <n v="70"/>
    <n v="24"/>
    <n v="30"/>
    <n v="18"/>
    <n v="12"/>
    <n v="7"/>
    <n v="15"/>
    <n v="4"/>
    <n v="5"/>
    <n v="6"/>
    <n v="4"/>
    <n v="2"/>
    <n v="2"/>
    <n v="4"/>
    <n v="0"/>
    <n v="2"/>
    <n v="4"/>
    <n v="1"/>
    <n v="3"/>
    <n v="4"/>
    <n v="0"/>
    <n v="0"/>
    <n v="0"/>
    <n v="0"/>
    <n v="0"/>
    <n v="0"/>
    <n v="0"/>
    <n v="0"/>
  </r>
  <r>
    <s v="TOTAL URUGUAY"/>
    <s v="SH+AC (160+162)"/>
    <s v="L'OREAL"/>
    <x v="3"/>
    <s v="7730317071518BP2"/>
    <x v="44"/>
    <s v="FRUCTIS RECARGA NUTRITIVA HIDRANTE FCO.200ML+NUTRISSE TINT."/>
    <s v="Vtas Unds"/>
    <n v="0"/>
    <n v="0"/>
    <n v="3"/>
    <n v="28"/>
    <n v="18"/>
    <n v="16"/>
    <n v="21"/>
    <n v="12"/>
    <n v="7"/>
    <n v="11"/>
    <n v="10"/>
    <n v="13"/>
    <n v="6"/>
    <n v="9"/>
    <n v="2"/>
    <n v="2"/>
    <n v="6"/>
    <n v="3"/>
    <n v="3"/>
    <n v="1"/>
    <n v="1"/>
    <n v="1"/>
    <n v="1"/>
    <n v="2"/>
    <n v="1"/>
    <n v="3"/>
    <n v="0"/>
    <n v="8"/>
    <n v="3"/>
    <n v="0"/>
    <n v="2"/>
    <n v="1"/>
    <n v="0"/>
    <n v="1"/>
    <n v="0"/>
    <n v="0"/>
    <n v="0"/>
  </r>
  <r>
    <s v="TOTAL URUGUAY"/>
    <s v="SH+AC (160+162)"/>
    <s v="L'OREAL"/>
    <x v="3"/>
    <s v="7730317071525BP2"/>
    <x v="44"/>
    <s v="FRUCTIS RECARGA NUTRITIVA HIDRANTE FCO.200ML+NUTRISSE TINT."/>
    <s v="Vtas Unds"/>
    <n v="0"/>
    <n v="0"/>
    <n v="4"/>
    <n v="27"/>
    <n v="26"/>
    <n v="33"/>
    <n v="29"/>
    <n v="32"/>
    <n v="13"/>
    <n v="16"/>
    <n v="12"/>
    <n v="11"/>
    <n v="6"/>
    <n v="7"/>
    <n v="5"/>
    <n v="4"/>
    <n v="0"/>
    <n v="4"/>
    <n v="4"/>
    <n v="2"/>
    <n v="5"/>
    <n v="1"/>
    <n v="1"/>
    <n v="2"/>
    <n v="1"/>
    <n v="1"/>
    <n v="1"/>
    <n v="2"/>
    <n v="0"/>
    <n v="3"/>
    <n v="0"/>
    <n v="1"/>
    <n v="0"/>
    <n v="0"/>
    <n v="0"/>
    <n v="0"/>
    <n v="0"/>
  </r>
  <r>
    <s v="TOTAL URUGUAY"/>
    <s v="SH+AC (160+162)"/>
    <s v="L'OREAL"/>
    <x v="3"/>
    <s v="7730317071532BP2"/>
    <x v="44"/>
    <s v="FRUCTIS RECARGA NUTRITIVA HIDRANTE FCO.200ML+NUTRISSE TINT."/>
    <s v="Vtas Unds"/>
    <n v="0"/>
    <n v="0"/>
    <n v="6"/>
    <n v="17"/>
    <n v="13"/>
    <n v="14"/>
    <n v="22"/>
    <n v="16"/>
    <n v="15"/>
    <n v="18"/>
    <n v="9"/>
    <n v="10"/>
    <n v="7"/>
    <n v="9"/>
    <n v="0"/>
    <n v="4"/>
    <n v="1"/>
    <n v="5"/>
    <n v="3"/>
    <n v="4"/>
    <n v="2"/>
    <n v="3"/>
    <n v="1"/>
    <n v="1"/>
    <n v="3"/>
    <n v="0"/>
    <n v="4"/>
    <n v="5"/>
    <n v="2"/>
    <n v="2"/>
    <n v="0"/>
    <n v="1"/>
    <n v="0"/>
    <n v="0"/>
    <n v="0"/>
    <n v="0"/>
    <n v="0"/>
  </r>
  <r>
    <s v="TOTAL URUGUAY"/>
    <s v="SH+AC (160+162)"/>
    <s v="L'OREAL"/>
    <x v="3"/>
    <s v="7730317071556BP2"/>
    <x v="44"/>
    <s v="FRUCTIS RECARGA NUTRITIVA HIDRANTE FCO.200ML+NUTRISSE TINT."/>
    <s v="Vtas Unds"/>
    <n v="0"/>
    <n v="0"/>
    <n v="7"/>
    <n v="35"/>
    <n v="24"/>
    <n v="22"/>
    <n v="14"/>
    <n v="19"/>
    <n v="19"/>
    <n v="17"/>
    <n v="5"/>
    <n v="5"/>
    <n v="9"/>
    <n v="4"/>
    <n v="4"/>
    <n v="7"/>
    <n v="2"/>
    <n v="0"/>
    <n v="2"/>
    <n v="3"/>
    <n v="2"/>
    <n v="0"/>
    <n v="2"/>
    <n v="0"/>
    <n v="0"/>
    <n v="1"/>
    <n v="1"/>
    <n v="3"/>
    <n v="0"/>
    <n v="2"/>
    <n v="0"/>
    <n v="1"/>
    <n v="0"/>
    <n v="0"/>
    <n v="0"/>
    <n v="0"/>
    <n v="0"/>
  </r>
  <r>
    <s v="TOTAL URUGUAY"/>
    <s v="SH+AC (160+162)"/>
    <s v="L'OREAL"/>
    <x v="3"/>
    <s v="7730317071563BP2"/>
    <x v="44"/>
    <s v="FRUCTIS RECARGA NUTRITIVA HIDRANTE FCO.200ML+NUTRISSE TINT."/>
    <s v="Vtas Unds"/>
    <n v="0"/>
    <n v="0"/>
    <n v="1"/>
    <n v="20"/>
    <n v="10"/>
    <n v="17"/>
    <n v="38"/>
    <n v="17"/>
    <n v="25"/>
    <n v="13"/>
    <n v="19"/>
    <n v="11"/>
    <n v="18"/>
    <n v="6"/>
    <n v="6"/>
    <n v="8"/>
    <n v="4"/>
    <n v="3"/>
    <n v="3"/>
    <n v="3"/>
    <n v="4"/>
    <n v="3"/>
    <n v="4"/>
    <n v="0"/>
    <n v="0"/>
    <n v="2"/>
    <n v="2"/>
    <n v="0"/>
    <n v="0"/>
    <n v="0"/>
    <n v="0"/>
    <n v="0"/>
    <n v="0"/>
    <n v="0"/>
    <n v="0"/>
    <n v="0"/>
    <n v="0"/>
  </r>
  <r>
    <s v="TOTAL URUGUAY"/>
    <s v="SH+AC (160+162)"/>
    <s v="L'OREAL"/>
    <x v="3"/>
    <s v="7730317071570BP2"/>
    <x v="44"/>
    <s v="FRUCTIS RECARGA NUTRITIVA HIDRANTE FCO.200ML+NUTRISSE TINT."/>
    <s v="Vtas Unds"/>
    <n v="0"/>
    <n v="0"/>
    <n v="4"/>
    <n v="60"/>
    <n v="55"/>
    <n v="57"/>
    <n v="94"/>
    <n v="62"/>
    <n v="46"/>
    <n v="74"/>
    <n v="51"/>
    <n v="32"/>
    <n v="24"/>
    <n v="10"/>
    <n v="15"/>
    <n v="18"/>
    <n v="17"/>
    <n v="11"/>
    <n v="11"/>
    <n v="9"/>
    <n v="5"/>
    <n v="8"/>
    <n v="1"/>
    <n v="1"/>
    <n v="2"/>
    <n v="2"/>
    <n v="0"/>
    <n v="1"/>
    <n v="2"/>
    <n v="1"/>
    <n v="1"/>
    <n v="0"/>
    <n v="0"/>
    <n v="0"/>
    <n v="0"/>
    <n v="0"/>
    <n v="0"/>
  </r>
  <r>
    <s v="TOTAL URUGUAY"/>
    <s v="SH+AC (160+162)"/>
    <s v="L'OREAL"/>
    <x v="3"/>
    <s v="7730317071716BP2"/>
    <x v="44"/>
    <s v="FRUCTIS RECARGA NUTRITIVA HIDRANTE FCO.200ML+NUTRISSE TINT."/>
    <s v="Vtas Unds"/>
    <n v="0"/>
    <n v="0"/>
    <n v="5"/>
    <n v="26"/>
    <n v="22"/>
    <n v="19"/>
    <n v="26"/>
    <n v="21"/>
    <n v="13"/>
    <n v="7"/>
    <n v="9"/>
    <n v="4"/>
    <n v="4"/>
    <n v="5"/>
    <n v="2"/>
    <n v="3"/>
    <n v="4"/>
    <n v="2"/>
    <n v="3"/>
    <n v="0"/>
    <n v="1"/>
    <n v="1"/>
    <n v="3"/>
    <n v="3"/>
    <n v="2"/>
    <n v="1"/>
    <n v="0"/>
    <n v="3"/>
    <n v="0"/>
    <n v="0"/>
    <n v="1"/>
    <n v="1"/>
    <n v="4"/>
    <n v="0"/>
    <n v="0"/>
    <n v="0"/>
    <n v="0"/>
  </r>
  <r>
    <s v="TOTAL URUGUAY"/>
    <s v="SH+AC (160+162)"/>
    <s v="L'OREAL"/>
    <x v="3"/>
    <s v="7730317071723BP2"/>
    <x v="44"/>
    <s v="FRUCTIS RECARGA NUTRITIVA HIDRANTE FCO.200ML+NUTRISSE TINT."/>
    <s v="Vtas Unds"/>
    <n v="0"/>
    <n v="0"/>
    <n v="2"/>
    <n v="34"/>
    <n v="23"/>
    <n v="26"/>
    <n v="27"/>
    <n v="28"/>
    <n v="8"/>
    <n v="15"/>
    <n v="5"/>
    <n v="8"/>
    <n v="5"/>
    <n v="4"/>
    <n v="5"/>
    <n v="7"/>
    <n v="4"/>
    <n v="1"/>
    <n v="4"/>
    <n v="3"/>
    <n v="0"/>
    <n v="3"/>
    <n v="4"/>
    <n v="0"/>
    <n v="1"/>
    <n v="0"/>
    <n v="1"/>
    <n v="3"/>
    <n v="0"/>
    <n v="1"/>
    <n v="4"/>
    <n v="0"/>
    <n v="2"/>
    <n v="0"/>
    <n v="0"/>
    <n v="0"/>
    <n v="0"/>
  </r>
  <r>
    <s v="TOTAL URUGUAY"/>
    <s v="SH+AC (160+162)"/>
    <s v="L'OREAL"/>
    <x v="3"/>
    <s v="7730317071730BP2"/>
    <x v="44"/>
    <s v="FRUCTIS RECARGA NUTRITIVA HIDRANTE FCO.200ML+NUTRISSE TINT."/>
    <s v="Vtas Unds"/>
    <n v="0"/>
    <n v="0"/>
    <n v="3"/>
    <n v="66"/>
    <n v="68"/>
    <n v="51"/>
    <n v="95"/>
    <n v="77"/>
    <n v="53"/>
    <n v="149"/>
    <n v="86"/>
    <n v="54"/>
    <n v="65"/>
    <n v="37"/>
    <n v="36"/>
    <n v="27"/>
    <n v="23"/>
    <n v="14"/>
    <n v="14"/>
    <n v="9"/>
    <n v="11"/>
    <n v="8"/>
    <n v="5"/>
    <n v="3"/>
    <n v="6"/>
    <n v="4"/>
    <n v="5"/>
    <n v="4"/>
    <n v="3"/>
    <n v="1"/>
    <n v="1"/>
    <n v="0"/>
    <n v="0"/>
    <n v="0"/>
    <n v="0"/>
    <n v="0"/>
    <n v="0"/>
  </r>
  <r>
    <s v="TOTAL URUGUAY"/>
    <s v="SH+AC (160+162)"/>
    <s v="L'OREAL"/>
    <x v="3"/>
    <s v="7730317071747BP2"/>
    <x v="44"/>
    <s v="FRUCTIS RECARGA NUTRITIVA HIDRANTE FCO.200ML+NUTRISSE TINT."/>
    <s v="Vtas Unds"/>
    <n v="0"/>
    <n v="0"/>
    <n v="8"/>
    <n v="44"/>
    <n v="59"/>
    <n v="44"/>
    <n v="68"/>
    <n v="75"/>
    <n v="69"/>
    <n v="115"/>
    <n v="80"/>
    <n v="60"/>
    <n v="73"/>
    <n v="38"/>
    <n v="37"/>
    <n v="32"/>
    <n v="28"/>
    <n v="32"/>
    <n v="16"/>
    <n v="19"/>
    <n v="19"/>
    <n v="13"/>
    <n v="9"/>
    <n v="4"/>
    <n v="7"/>
    <n v="4"/>
    <n v="2"/>
    <n v="2"/>
    <n v="4"/>
    <n v="2"/>
    <n v="1"/>
    <n v="0"/>
    <n v="2"/>
    <n v="4"/>
    <n v="3"/>
    <n v="0"/>
    <n v="0"/>
  </r>
  <r>
    <s v="TOTAL URUGUAY"/>
    <s v="SH+AC (160+162)"/>
    <s v="L'OREAL"/>
    <x v="3"/>
    <s v="7730317071754BP2"/>
    <x v="44"/>
    <s v="FRUCTIS RECARGA NUTRITIVA HIDRANTE FCO.200ML+NUTRISSE TINT."/>
    <s v="Vtas Unds"/>
    <n v="0"/>
    <n v="0"/>
    <n v="6"/>
    <n v="65"/>
    <n v="75"/>
    <n v="72"/>
    <n v="96"/>
    <n v="91"/>
    <n v="42"/>
    <n v="95"/>
    <n v="40"/>
    <n v="44"/>
    <n v="39"/>
    <n v="24"/>
    <n v="28"/>
    <n v="35"/>
    <n v="21"/>
    <n v="18"/>
    <n v="21"/>
    <n v="9"/>
    <n v="16"/>
    <n v="16"/>
    <n v="9"/>
    <n v="4"/>
    <n v="7"/>
    <n v="4"/>
    <n v="3"/>
    <n v="10"/>
    <n v="2"/>
    <n v="2"/>
    <n v="1"/>
    <n v="0"/>
    <n v="3"/>
    <n v="2"/>
    <n v="0"/>
    <n v="0"/>
    <n v="0"/>
  </r>
  <r>
    <s v="TOTAL URUGUAY"/>
    <s v="SH+AC (160+162)"/>
    <s v="L'OREAL"/>
    <x v="3"/>
    <s v="7730317071761BP2"/>
    <x v="44"/>
    <s v="FRUCTIS RECARGA NUTRITIVA HIDRANTE FCO.200ML+NUTRISSE TINT."/>
    <s v="Vtas Unds"/>
    <n v="0"/>
    <n v="0"/>
    <n v="2"/>
    <n v="58"/>
    <n v="59"/>
    <n v="60"/>
    <n v="96"/>
    <n v="80"/>
    <n v="49"/>
    <n v="105"/>
    <n v="55"/>
    <n v="36"/>
    <n v="54"/>
    <n v="38"/>
    <n v="26"/>
    <n v="24"/>
    <n v="19"/>
    <n v="21"/>
    <n v="18"/>
    <n v="18"/>
    <n v="11"/>
    <n v="21"/>
    <n v="7"/>
    <n v="3"/>
    <n v="5"/>
    <n v="2"/>
    <n v="2"/>
    <n v="3"/>
    <n v="2"/>
    <n v="2"/>
    <n v="2"/>
    <n v="0"/>
    <n v="0"/>
    <n v="0"/>
    <n v="0"/>
    <n v="0"/>
    <n v="0"/>
  </r>
  <r>
    <s v="TOTAL URUGUAY"/>
    <s v="SH+AC (160+162)"/>
    <s v="L'OREAL"/>
    <x v="3"/>
    <s v="7730317074380BP1"/>
    <x v="43"/>
    <s v="FRUCTIS SH LISO COCO FCO 350 ML + MM ACOND FCO 200 ML"/>
    <s v="Vtas Unds"/>
    <n v="0"/>
    <n v="0"/>
    <n v="0"/>
    <n v="0"/>
    <n v="0"/>
    <n v="0"/>
    <n v="0"/>
    <n v="0"/>
    <n v="0"/>
    <n v="175"/>
    <n v="650"/>
    <n v="586"/>
    <n v="238.21770000000001"/>
    <n v="404"/>
    <n v="234"/>
    <n v="156"/>
    <n v="52"/>
    <n v="33"/>
    <n v="25"/>
    <n v="9"/>
    <n v="11"/>
    <n v="3"/>
    <n v="3"/>
    <n v="4"/>
    <n v="0"/>
    <n v="1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74380BP2"/>
    <x v="43"/>
    <s v="FRUCTIS ACOND FCO 200 ML+ MM SH LISO COCO FCO 350 ML"/>
    <s v="Vtas Unds"/>
    <n v="0"/>
    <n v="0"/>
    <n v="0"/>
    <n v="0"/>
    <n v="0"/>
    <n v="0"/>
    <n v="0"/>
    <n v="0"/>
    <n v="0"/>
    <n v="175"/>
    <n v="650"/>
    <n v="586"/>
    <n v="238.21770000000001"/>
    <n v="404"/>
    <n v="234"/>
    <n v="156"/>
    <n v="52"/>
    <n v="33"/>
    <n v="25"/>
    <n v="9"/>
    <n v="11"/>
    <n v="3"/>
    <n v="3"/>
    <n v="4"/>
    <n v="0"/>
    <n v="1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75233BP1"/>
    <x v="44"/>
    <s v="FRUCTIS RECARGA NUTRITIVA FCO 350 ML + MM ACO FCO 200 ML"/>
    <s v="Vtas Unds"/>
    <n v="0"/>
    <n v="0"/>
    <n v="0"/>
    <n v="0"/>
    <n v="0"/>
    <n v="0"/>
    <n v="0"/>
    <n v="0"/>
    <n v="0"/>
    <n v="0"/>
    <n v="0"/>
    <n v="0"/>
    <n v="0"/>
    <n v="58"/>
    <n v="68"/>
    <n v="64"/>
    <n v="26"/>
    <n v="24"/>
    <n v="12"/>
    <n v="18"/>
    <n v="4"/>
    <n v="5"/>
    <n v="1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75233BP2"/>
    <x v="44"/>
    <s v="FRUCTIS ACO REC NUTRITIVA PALTA 200 ML+ MM SHA FCO 350 ML"/>
    <s v="Vtas Unds"/>
    <n v="0"/>
    <n v="0"/>
    <n v="0"/>
    <n v="0"/>
    <n v="0"/>
    <n v="0"/>
    <n v="0"/>
    <n v="0"/>
    <n v="0"/>
    <n v="0"/>
    <n v="0"/>
    <n v="0"/>
    <n v="0"/>
    <n v="58"/>
    <n v="68"/>
    <n v="64"/>
    <n v="26"/>
    <n v="24"/>
    <n v="12"/>
    <n v="18"/>
    <n v="4"/>
    <n v="5"/>
    <n v="1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730317078463BP1"/>
    <x v="41"/>
    <s v="FRUCTIS GOODBYE DAMAGE PRO SH REG ADU FCO 350ML +MM AC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"/>
    <n v="282"/>
    <n v="345"/>
    <n v="120"/>
    <n v="74"/>
    <n v="59"/>
    <n v="126"/>
  </r>
  <r>
    <s v="TOTAL URUGUAY"/>
    <s v="SH+AC (160+162)"/>
    <s v="L'OREAL"/>
    <x v="3"/>
    <s v="7730317078463BP2"/>
    <x v="41"/>
    <s v="FRUCTIS GOODBYE DAMAGE PRO AC REG ADU FCO 200ML +MM SH 35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"/>
    <n v="282"/>
    <n v="345"/>
    <n v="120"/>
    <n v="74"/>
    <n v="59"/>
    <n v="126"/>
  </r>
  <r>
    <s v="TOTAL URUGUAY"/>
    <s v="SH+AC (160+162)"/>
    <s v="L'OREAL"/>
    <x v="3"/>
    <s v="7730317078630"/>
    <x v="41"/>
    <s v="FRUCTIS GOODBYE DANOS SH DAMAGE ERASER REG FCO 350ML X2UN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181"/>
    <n v="153"/>
    <n v="70"/>
    <n v="65"/>
    <n v="56"/>
    <n v="40"/>
    <n v="47"/>
    <n v="32"/>
    <n v="20"/>
    <n v="19"/>
    <n v="20"/>
    <n v="8"/>
    <n v="9"/>
    <n v="6"/>
  </r>
  <r>
    <s v="TOTAL URUGUAY"/>
    <s v="SH+AC (160+162)"/>
    <s v="L'OREAL"/>
    <x v="3"/>
    <s v="7730317078647"/>
    <x v="45"/>
    <s v="FRUCTIS ALOE HIDRA BOMB SH. HIDRAT/BRILLA REG FCO 350ML X2UN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229"/>
    <n v="165"/>
    <n v="113"/>
    <n v="70"/>
    <n v="82"/>
    <n v="52"/>
    <n v="40"/>
    <n v="31"/>
    <n v="16"/>
    <n v="9"/>
    <n v="7"/>
    <n v="1"/>
    <n v="3"/>
    <n v="1"/>
  </r>
  <r>
    <s v="TOTAL URUGUAY"/>
    <s v="SH+AC (160+162)"/>
    <s v="L'OREAL"/>
    <x v="3"/>
    <s v="7730317078890BP1"/>
    <x v="44"/>
    <s v="FRUCTIS OIL REPAIR RECARG NUT. SH ADU REG FCO 350ML +MMAC200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6"/>
  </r>
  <r>
    <s v="TOTAL URUGUAY"/>
    <s v="SH+AC (160+162)"/>
    <s v="L'OREAL"/>
    <x v="3"/>
    <s v="7730317078890BP2"/>
    <x v="44"/>
    <s v="FRUCTIS OIL. REPAIR RECARG NUT AC ADU REG FCO 200ML +MMSH350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6"/>
  </r>
  <r>
    <s v="TOTAL URUGUAY"/>
    <s v="SH+AC (160+162)"/>
    <s v="L'OREAL"/>
    <x v="3"/>
    <s v="7730317078906BP1"/>
    <x v="43"/>
    <s v="FRUCTIS PACK LISO COCO SH ADU REG FCO 350ML + MM AC 20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"/>
    <n v="685"/>
    <n v="784"/>
    <n v="1070"/>
    <n v="1051"/>
    <n v="1091"/>
    <n v="1034"/>
    <n v="515"/>
    <n v="609"/>
    <n v="766"/>
  </r>
  <r>
    <s v="TOTAL URUGUAY"/>
    <s v="SH+AC (160+162)"/>
    <s v="L'OREAL"/>
    <x v="3"/>
    <s v="7730317078906BP2"/>
    <x v="43"/>
    <s v="FRUCTIS PACK LISO COCO AC ADU REG FCO 200ML + MM SH 35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"/>
    <n v="685"/>
    <n v="784"/>
    <n v="1070"/>
    <n v="1051"/>
    <n v="1091"/>
    <n v="1034"/>
    <n v="515"/>
    <n v="609"/>
    <n v="766"/>
  </r>
  <r>
    <s v="TOTAL URUGUAY"/>
    <s v="SH+AC (160+162)"/>
    <s v="L'OREAL"/>
    <x v="3"/>
    <s v="7730317079019BP1"/>
    <x v="51"/>
    <s v="FRUCTIS OIL REPAIR LISO. COCO SH ADU REG FCO 650ML + MM AC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8"/>
    <n v="7"/>
    <n v="3"/>
    <n v="1"/>
    <n v="1"/>
    <n v="1"/>
    <n v="0"/>
    <n v="0"/>
    <n v="0"/>
    <n v="0"/>
    <n v="0"/>
  </r>
  <r>
    <s v="TOTAL URUGUAY"/>
    <s v="SH+AC (160+162)"/>
    <s v="L'OREAL"/>
    <x v="3"/>
    <s v="7730317079019BP2"/>
    <x v="51"/>
    <s v="FRUCTIS OIL REPAIR LISO COCO AC ADU REG FCO 350ML + MM SH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8"/>
    <n v="7"/>
    <n v="3"/>
    <n v="1"/>
    <n v="1"/>
    <n v="1"/>
    <n v="0"/>
    <n v="0"/>
    <n v="0"/>
    <n v="0"/>
    <n v="0"/>
  </r>
  <r>
    <s v="TOTAL URUGUAY"/>
    <s v="SH+AC (160+162)"/>
    <s v="L'OREAL"/>
    <x v="3"/>
    <s v="7730317079033BP1"/>
    <x v="45"/>
    <s v="FRUCTIS ALOE HIDRA BOOM SH. HIDRAT ADU REG FCO 650ML + MM AC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37"/>
    <n v="14"/>
    <n v="8"/>
    <n v="172"/>
    <n v="101"/>
    <n v="67"/>
    <n v="4"/>
    <n v="0"/>
    <n v="0"/>
    <n v="0"/>
  </r>
  <r>
    <s v="TOTAL URUGUAY"/>
    <s v="SH+AC (160+162)"/>
    <s v="L'OREAL"/>
    <x v="3"/>
    <s v="7730317079033BP2"/>
    <x v="45"/>
    <s v="FRUCTIS ALOE HIDRA BOOM AC. HIDRAT ADU REG FCO 350ML + MM SH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37"/>
    <n v="14"/>
    <n v="8"/>
    <n v="172"/>
    <n v="101"/>
    <n v="67"/>
    <n v="4"/>
    <n v="0"/>
    <n v="0"/>
    <n v="0"/>
  </r>
  <r>
    <s v="TOTAL URUGUAY"/>
    <s v="SH+AC (160+162)"/>
    <s v="L'OREAL"/>
    <x v="3"/>
    <s v="7730317079040BP1"/>
    <x v="36"/>
    <s v="FRUCTIS BRILLO VITAMINADO SH. ADU REG FCO 650ML + MM AC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3"/>
    <n v="141"/>
    <n v="64"/>
    <n v="24"/>
    <n v="12"/>
    <n v="11"/>
    <n v="1"/>
    <n v="0"/>
    <n v="0"/>
    <n v="0"/>
    <n v="0"/>
    <n v="0"/>
  </r>
  <r>
    <s v="TOTAL URUGUAY"/>
    <s v="SH+AC (160+162)"/>
    <s v="L'OREAL"/>
    <x v="3"/>
    <s v="7730317079040BP2"/>
    <x v="36"/>
    <s v="FRUCTIS BRILLO VITAMINADO AC ADU REG FCO 350ML + MM SH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3"/>
    <n v="141"/>
    <n v="64"/>
    <n v="24"/>
    <n v="12"/>
    <n v="11"/>
    <n v="1"/>
    <n v="0"/>
    <n v="0"/>
    <n v="0"/>
    <n v="0"/>
    <n v="0"/>
  </r>
  <r>
    <s v="TOTAL URUGUAY"/>
    <s v="SH+AC (160+162)"/>
    <s v="L'OREAL"/>
    <x v="3"/>
    <s v="7730317079583BP1"/>
    <x v="52"/>
    <s v="FRUCTIS PROBIOTICOS FUERZ SH ADU REG FCO 650ML +MM AC 35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n v="90"/>
    <n v="17"/>
    <n v="75"/>
    <n v="140"/>
    <n v="368"/>
    <n v="68"/>
  </r>
  <r>
    <s v="TOTAL URUGUAY"/>
    <s v="SH+AC (160+162)"/>
    <s v="L'OREAL"/>
    <x v="3"/>
    <s v="7730317079583BP2"/>
    <x v="52"/>
    <s v="FRUCTIS PROBIOTICO FUERZA AC ADU REG FCO 350ML +MM SH 650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n v="90"/>
    <n v="17"/>
    <n v="75"/>
    <n v="140"/>
    <n v="368"/>
    <n v="68"/>
  </r>
  <r>
    <s v="TOTAL URUGUAY"/>
    <s v="SH+AC (160+162)"/>
    <s v="L'OREAL"/>
    <x v="3"/>
    <s v="7730317080169BP1"/>
    <x v="52"/>
    <s v="FRUCTIS PAC PROBIOTICOS FUERZA SH ADU REG FCO 350ML +MMAC200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"/>
    <n v="312"/>
    <n v="660"/>
  </r>
  <r>
    <s v="TOTAL URUGUAY"/>
    <s v="SH+AC (160+162)"/>
    <s v="L'OREAL"/>
    <x v="3"/>
    <s v="7730317080169BP2"/>
    <x v="52"/>
    <s v="FRUCTIS PC. PROBIOTICOS FUERZA AC ADU REG FCO 200ML +MMSH350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"/>
    <n v="312"/>
    <n v="660"/>
  </r>
  <r>
    <s v="TOTAL URUGUAY"/>
    <s v="SH+AC (160+162)"/>
    <s v="L'OREAL"/>
    <x v="3"/>
    <s v="7804960029810"/>
    <x v="37"/>
    <s v="FRUCTIS OIL REPAIR CAB.RESECO 350 CCFCO.PL.IMP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</r>
  <r>
    <s v="TOTAL URUGUAY"/>
    <s v="SH+AC (160+162)"/>
    <s v="L'OREAL"/>
    <x v="3"/>
    <s v="7899706161763"/>
    <x v="39"/>
    <s v="FRUCTIS HAIR FOOD MASC.AGUACATE CAB SECO SACHET 20ML"/>
    <s v="Vtas Unds"/>
    <n v="10"/>
    <n v="4"/>
    <n v="3"/>
    <n v="3"/>
    <n v="4"/>
    <n v="5"/>
    <n v="1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899706161800"/>
    <x v="39"/>
    <s v="FRUCTIS HAIR FOOD COCO MASC.REP CAB.DANADO SACHET 20 ML"/>
    <s v="Vtas Unds"/>
    <n v="26"/>
    <n v="17"/>
    <n v="10"/>
    <n v="16"/>
    <n v="3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TAL URUGUAY"/>
    <s v="SH+AC (160+162)"/>
    <s v="L'OREAL"/>
    <x v="3"/>
    <s v="7899706170611"/>
    <x v="39"/>
    <s v="FRUCTIS HAIR FOOD MASC.CAP BANANA CAB.DEBIL SACHET 20ML"/>
    <s v="Vtas Unds"/>
    <n v="31"/>
    <n v="19"/>
    <n v="10"/>
    <n v="0"/>
    <n v="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x v="0"/>
    <s v="TINTURAS"/>
    <s v="L'OREAL"/>
    <s v="CASTING"/>
    <s v="200076962531"/>
    <x v="0"/>
    <s v="CASTING CREME GLOSS POMO 45GR T.77 CHOCO TENTACION KIT"/>
    <s v="Vtas Unds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CASTING"/>
    <s v="7730317009214"/>
    <x v="1"/>
    <s v="CASTING CREMEGLOSSCREMA POMOTONO CIRU. 45 GRKIT"/>
    <s v="Vtas Unds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0"/>
    <s v="TINTURAS"/>
    <s v="L'OREAL"/>
    <s v="CASTING"/>
    <s v="7896014184439"/>
    <x v="1"/>
    <s v="CASTING CREMEGLOSSCREMA POMOTONO 810 45 GRKIT"/>
    <s v="Vtas Unds"/>
    <n v="27"/>
    <n v="8"/>
    <n v="15"/>
    <n v="31"/>
    <n v="15"/>
    <n v="11"/>
    <n v="21"/>
    <n v="20"/>
    <n v="14"/>
    <n v="32"/>
    <n v="10"/>
    <n v="12"/>
    <n v="27"/>
    <n v="9.1974"/>
    <n v="4"/>
    <n v="25"/>
    <n v="21"/>
    <n v="22"/>
    <n v="10"/>
    <n v="8"/>
    <n v="6"/>
    <n v="29"/>
    <n v="6"/>
    <n v="9"/>
    <n v="6"/>
    <n v="12"/>
    <n v="6"/>
    <n v="27"/>
    <n v="12"/>
    <n v="13"/>
    <n v="12"/>
    <n v="9"/>
    <n v="16"/>
    <n v="27"/>
    <n v="8"/>
    <n v="15"/>
    <n v="6"/>
  </r>
  <r>
    <x v="0"/>
    <s v="TINTURAS"/>
    <s v="L'OREAL"/>
    <s v="CASTING"/>
    <s v="7896014184477"/>
    <x v="1"/>
    <s v="CASTING CREMEGLOSSCREMA POMOTONO 415 45 GRKIT"/>
    <s v="Vtas Unds"/>
    <n v="23"/>
    <n v="16"/>
    <n v="13"/>
    <n v="22"/>
    <n v="12"/>
    <n v="22"/>
    <n v="16"/>
    <n v="15"/>
    <n v="16"/>
    <n v="29"/>
    <n v="16"/>
    <n v="21"/>
    <n v="26"/>
    <n v="15"/>
    <n v="10"/>
    <n v="22"/>
    <n v="11"/>
    <n v="17"/>
    <n v="20"/>
    <n v="24"/>
    <n v="24"/>
    <n v="31"/>
    <n v="17"/>
    <n v="19"/>
    <n v="19"/>
    <n v="17"/>
    <n v="14"/>
    <n v="33"/>
    <n v="17"/>
    <n v="13"/>
    <n v="23"/>
    <n v="17"/>
    <n v="23"/>
    <n v="27"/>
    <n v="21"/>
    <n v="21"/>
    <n v="25"/>
  </r>
  <r>
    <x v="0"/>
    <s v="TINTURAS"/>
    <s v="L'OREAL"/>
    <s v="CASTING"/>
    <s v="7896014184484"/>
    <x v="1"/>
    <s v="CASTING CREMEGLOSSCREMA POMOTONO 500 45 GRKIT"/>
    <s v="Vtas Unds"/>
    <n v="100"/>
    <n v="82"/>
    <n v="77"/>
    <n v="124"/>
    <n v="75"/>
    <n v="73"/>
    <n v="116"/>
    <n v="88"/>
    <n v="86"/>
    <n v="127"/>
    <n v="126"/>
    <n v="74"/>
    <n v="91"/>
    <n v="67.197400000000002"/>
    <n v="78"/>
    <n v="118"/>
    <n v="87"/>
    <n v="91.740200000000002"/>
    <n v="126.19670000000001"/>
    <n v="75"/>
    <n v="77"/>
    <n v="121"/>
    <n v="66"/>
    <n v="74"/>
    <n v="91"/>
    <n v="77"/>
    <n v="93"/>
    <n v="126"/>
    <n v="70"/>
    <n v="74"/>
    <n v="103"/>
    <n v="72"/>
    <n v="84"/>
    <n v="119"/>
    <n v="84"/>
    <n v="107"/>
    <n v="169"/>
  </r>
  <r>
    <x v="0"/>
    <s v="TINTURAS"/>
    <s v="L'OREAL"/>
    <s v="CASTING"/>
    <s v="7896014184491"/>
    <x v="1"/>
    <s v="CASTING CREMEGLOSSCREMA POMOTONO 700 45 GRKIT"/>
    <s v="Vtas Unds"/>
    <n v="45"/>
    <n v="30"/>
    <n v="31"/>
    <n v="23"/>
    <n v="37"/>
    <n v="26"/>
    <n v="32"/>
    <n v="30"/>
    <n v="25"/>
    <n v="61"/>
    <n v="24"/>
    <n v="22"/>
    <n v="35"/>
    <n v="18"/>
    <n v="24"/>
    <n v="42"/>
    <n v="21"/>
    <n v="18"/>
    <n v="33"/>
    <n v="29"/>
    <n v="17"/>
    <n v="33"/>
    <n v="17"/>
    <n v="17"/>
    <n v="23"/>
    <n v="21"/>
    <n v="13"/>
    <n v="30"/>
    <n v="16"/>
    <n v="10"/>
    <n v="28"/>
    <n v="14"/>
    <n v="24"/>
    <n v="34"/>
    <n v="23"/>
    <n v="16"/>
    <n v="23"/>
  </r>
  <r>
    <x v="0"/>
    <s v="TINTURAS"/>
    <s v="L'OREAL"/>
    <s v="CASTING"/>
    <s v="7896014184507"/>
    <x v="1"/>
    <s v="CASTING CREMEGLOSSCREMA POMOTONO 713 45 GRKIT"/>
    <s v="Vtas Unds"/>
    <n v="33"/>
    <n v="13"/>
    <n v="20"/>
    <n v="33"/>
    <n v="19"/>
    <n v="16"/>
    <n v="30"/>
    <n v="23"/>
    <n v="25"/>
    <n v="44"/>
    <n v="20"/>
    <n v="17"/>
    <n v="21"/>
    <n v="17.197399999999998"/>
    <n v="17"/>
    <n v="36"/>
    <n v="13"/>
    <n v="11"/>
    <n v="21"/>
    <n v="22"/>
    <n v="20"/>
    <n v="35"/>
    <n v="16"/>
    <n v="22"/>
    <n v="18"/>
    <n v="14"/>
    <n v="20"/>
    <n v="32"/>
    <n v="14"/>
    <n v="14"/>
    <n v="36"/>
    <n v="13"/>
    <n v="20"/>
    <n v="41"/>
    <n v="12"/>
    <n v="11"/>
    <n v="19"/>
  </r>
  <r>
    <x v="0"/>
    <s v="TINTURAS"/>
    <s v="L'OREAL"/>
    <s v="CASTING"/>
    <s v="7896014184514"/>
    <x v="1"/>
    <s v="CASTING CREMEGLOSSCREMA POMOTONO 600 45 GRKIT"/>
    <s v="Vtas Unds"/>
    <n v="77"/>
    <n v="44"/>
    <n v="30"/>
    <n v="49"/>
    <n v="28"/>
    <n v="28"/>
    <n v="23"/>
    <n v="30"/>
    <n v="20"/>
    <n v="24"/>
    <n v="28"/>
    <n v="27"/>
    <n v="43"/>
    <n v="27.197399999999998"/>
    <n v="34"/>
    <n v="50"/>
    <n v="37"/>
    <n v="45.930199999999999"/>
    <n v="48"/>
    <n v="42"/>
    <n v="33"/>
    <n v="73"/>
    <n v="41"/>
    <n v="18"/>
    <n v="33"/>
    <n v="25"/>
    <n v="23"/>
    <n v="48"/>
    <n v="36"/>
    <n v="25"/>
    <n v="42"/>
    <n v="28"/>
    <n v="37"/>
    <n v="57"/>
    <n v="24"/>
    <n v="24"/>
    <n v="32"/>
  </r>
  <r>
    <x v="0"/>
    <s v="TINTURAS"/>
    <s v="L'OREAL"/>
    <s v="CASTING"/>
    <s v="7896014184538"/>
    <x v="1"/>
    <s v="CASTING CREMEGLOSSCREMA POMOTONO 550 45 GRKIT"/>
    <s v="Vtas Unds"/>
    <n v="18"/>
    <n v="23"/>
    <n v="15"/>
    <n v="23"/>
    <n v="17"/>
    <n v="19"/>
    <n v="22"/>
    <n v="22"/>
    <n v="19"/>
    <n v="27"/>
    <n v="22"/>
    <n v="11"/>
    <n v="23"/>
    <n v="18"/>
    <n v="14"/>
    <n v="26"/>
    <n v="16"/>
    <n v="19"/>
    <n v="27"/>
    <n v="17"/>
    <n v="17"/>
    <n v="21"/>
    <n v="18"/>
    <n v="14"/>
    <n v="21"/>
    <n v="18"/>
    <n v="9"/>
    <n v="27"/>
    <n v="20"/>
    <n v="18"/>
    <n v="21"/>
    <n v="10"/>
    <n v="12"/>
    <n v="29"/>
    <n v="6"/>
    <n v="12"/>
    <n v="20"/>
  </r>
  <r>
    <x v="0"/>
    <s v="TINTURAS"/>
    <s v="L'OREAL"/>
    <s v="CASTING"/>
    <s v="7896014184545"/>
    <x v="1"/>
    <s v="CASTING CREMEGLOSSCREMA POMOTONO 210 45 GRKIT"/>
    <s v="Vtas Unds"/>
    <n v="21"/>
    <n v="17"/>
    <n v="12"/>
    <n v="20"/>
    <n v="16"/>
    <n v="10"/>
    <n v="26"/>
    <n v="8"/>
    <n v="16"/>
    <n v="28"/>
    <n v="11"/>
    <n v="11"/>
    <n v="16"/>
    <n v="13"/>
    <n v="11"/>
    <n v="18"/>
    <n v="20"/>
    <n v="24"/>
    <n v="28"/>
    <n v="13"/>
    <n v="12"/>
    <n v="20"/>
    <n v="10"/>
    <n v="14"/>
    <n v="22"/>
    <n v="18"/>
    <n v="5"/>
    <n v="20"/>
    <n v="14"/>
    <n v="9"/>
    <n v="16"/>
    <n v="11"/>
    <n v="14"/>
    <n v="21"/>
    <n v="10"/>
    <n v="14"/>
    <n v="14"/>
  </r>
  <r>
    <x v="0"/>
    <s v="TINTURAS"/>
    <s v="L'OREAL"/>
    <s v="CASTING"/>
    <s v="7896014184552"/>
    <x v="1"/>
    <s v="CASTING CREMEGLOSSCREMA POMOTONO 316 45 GRKIT"/>
    <s v="Vtas Unds"/>
    <n v="61"/>
    <n v="42"/>
    <n v="39"/>
    <n v="51"/>
    <n v="46"/>
    <n v="41"/>
    <n v="63"/>
    <n v="52"/>
    <n v="22"/>
    <n v="48"/>
    <n v="51"/>
    <n v="38"/>
    <n v="49"/>
    <n v="21"/>
    <n v="18"/>
    <n v="25"/>
    <n v="29"/>
    <n v="25.909500000000001"/>
    <n v="35"/>
    <n v="19"/>
    <n v="30"/>
    <n v="30"/>
    <n v="24"/>
    <n v="22"/>
    <n v="42"/>
    <n v="19"/>
    <n v="22"/>
    <n v="34"/>
    <n v="26"/>
    <n v="29"/>
    <n v="36"/>
    <n v="33"/>
    <n v="31"/>
    <n v="35"/>
    <n v="34"/>
    <n v="77"/>
    <n v="147"/>
  </r>
  <r>
    <x v="0"/>
    <s v="TINTURAS"/>
    <s v="L'OREAL"/>
    <s v="CASTING"/>
    <s v="7896014184569"/>
    <x v="1"/>
    <s v="CASTING CREMEGLOSSCREMA POMOTONO 426 45 GRKIT"/>
    <s v="Vtas Unds"/>
    <n v="11"/>
    <n v="15"/>
    <n v="13"/>
    <n v="19"/>
    <n v="13"/>
    <n v="7"/>
    <n v="15"/>
    <n v="25"/>
    <n v="15"/>
    <n v="18"/>
    <n v="24"/>
    <n v="10"/>
    <n v="26"/>
    <n v="13"/>
    <n v="14"/>
    <n v="18"/>
    <n v="17"/>
    <n v="10"/>
    <n v="31"/>
    <n v="24"/>
    <n v="22"/>
    <n v="26"/>
    <n v="23"/>
    <n v="17"/>
    <n v="28"/>
    <n v="22"/>
    <n v="20"/>
    <n v="28"/>
    <n v="18"/>
    <n v="17"/>
    <n v="19"/>
    <n v="24"/>
    <n v="14"/>
    <n v="19"/>
    <n v="15"/>
    <n v="20"/>
    <n v="10"/>
  </r>
  <r>
    <x v="0"/>
    <s v="TINTURAS"/>
    <s v="L'OREAL"/>
    <s v="CASTING"/>
    <s v="7896014187997"/>
    <x v="1"/>
    <s v="CASTING CREMEGLOSSCREMA POMOTONO 300 45 GRKIT"/>
    <s v="Vtas Unds"/>
    <n v="52"/>
    <n v="48"/>
    <n v="48"/>
    <n v="52"/>
    <n v="52"/>
    <n v="39"/>
    <n v="63"/>
    <n v="43"/>
    <n v="32"/>
    <n v="77"/>
    <n v="47"/>
    <n v="43"/>
    <n v="57"/>
    <n v="45.197400000000002"/>
    <n v="39"/>
    <n v="67"/>
    <n v="41"/>
    <n v="41"/>
    <n v="67"/>
    <n v="39"/>
    <n v="41"/>
    <n v="74"/>
    <n v="33"/>
    <n v="32"/>
    <n v="53"/>
    <n v="36"/>
    <n v="39"/>
    <n v="53"/>
    <n v="31"/>
    <n v="31"/>
    <n v="63"/>
    <n v="40"/>
    <n v="33"/>
    <n v="62"/>
    <n v="31"/>
    <n v="39"/>
    <n v="53"/>
  </r>
  <r>
    <x v="0"/>
    <s v="TINTURAS"/>
    <s v="L'OREAL"/>
    <s v="CASTING"/>
    <s v="7896014188000"/>
    <x v="1"/>
    <s v="CASTING CREMEGLOSSCREMA POMOTONO 535 45 GRKIT"/>
    <s v="Vtas Unds"/>
    <n v="34"/>
    <n v="17"/>
    <n v="19"/>
    <n v="27"/>
    <n v="22"/>
    <n v="25"/>
    <n v="32"/>
    <n v="17"/>
    <n v="26"/>
    <n v="37"/>
    <n v="26"/>
    <n v="10"/>
    <n v="22"/>
    <n v="20"/>
    <n v="14"/>
    <n v="26"/>
    <n v="14"/>
    <n v="17"/>
    <n v="20"/>
    <n v="13"/>
    <n v="21"/>
    <n v="32"/>
    <n v="10"/>
    <n v="17"/>
    <n v="13"/>
    <n v="28"/>
    <n v="20"/>
    <n v="23"/>
    <n v="13"/>
    <n v="12"/>
    <n v="31"/>
    <n v="27"/>
    <n v="20"/>
    <n v="40"/>
    <n v="24"/>
    <n v="16"/>
    <n v="32"/>
  </r>
  <r>
    <x v="0"/>
    <s v="TINTURAS"/>
    <s v="L'OREAL"/>
    <s v="CASTING"/>
    <s v="7896014188017"/>
    <x v="1"/>
    <s v="CASTING CREMEGLOSSCREMA POMOTONO 400 45 GRKIT"/>
    <s v="Vtas Unds"/>
    <n v="101"/>
    <n v="65"/>
    <n v="65"/>
    <n v="82"/>
    <n v="61"/>
    <n v="59"/>
    <n v="112"/>
    <n v="64"/>
    <n v="92"/>
    <n v="84"/>
    <n v="121"/>
    <n v="68"/>
    <n v="67"/>
    <n v="47"/>
    <n v="51"/>
    <n v="78"/>
    <n v="75"/>
    <n v="73.799300000000002"/>
    <n v="94.227599999999995"/>
    <n v="62"/>
    <n v="66"/>
    <n v="66"/>
    <n v="49"/>
    <n v="61"/>
    <n v="87"/>
    <n v="65"/>
    <n v="55"/>
    <n v="88"/>
    <n v="58"/>
    <n v="65"/>
    <n v="97"/>
    <n v="60"/>
    <n v="68"/>
    <n v="82"/>
    <n v="61"/>
    <n v="71"/>
    <n v="73"/>
  </r>
  <r>
    <x v="0"/>
    <s v="TINTURAS"/>
    <s v="L'OREAL"/>
    <s v="CASTING"/>
    <s v="7896014188031"/>
    <x v="1"/>
    <s v="CASTING CREMEGLOSSCREMA POMOTONO 200 45 GRKIT"/>
    <s v="Vtas Unds"/>
    <n v="83"/>
    <n v="67"/>
    <n v="67"/>
    <n v="67"/>
    <n v="66"/>
    <n v="62"/>
    <n v="129"/>
    <n v="61"/>
    <n v="70"/>
    <n v="97"/>
    <n v="102"/>
    <n v="53"/>
    <n v="53"/>
    <n v="38"/>
    <n v="50"/>
    <n v="51"/>
    <n v="79"/>
    <n v="48.8352"/>
    <n v="86.196700000000007"/>
    <n v="64"/>
    <n v="51"/>
    <n v="91"/>
    <n v="58"/>
    <n v="75"/>
    <n v="73"/>
    <n v="57"/>
    <n v="56"/>
    <n v="90"/>
    <n v="66"/>
    <n v="61"/>
    <n v="95"/>
    <n v="62"/>
    <n v="60"/>
    <n v="90"/>
    <n v="45"/>
    <n v="54"/>
    <n v="78"/>
  </r>
  <r>
    <x v="0"/>
    <s v="TINTURAS"/>
    <s v="L'OREAL"/>
    <s v="CASTING"/>
    <s v="7899026496507"/>
    <x v="1"/>
    <s v="CASTING CREME GLOSS CREMA POMO 45 GR KIT TONO 603"/>
    <s v="Vtas Unds"/>
    <n v="16"/>
    <n v="15"/>
    <n v="12"/>
    <n v="23"/>
    <n v="27"/>
    <n v="17"/>
    <n v="23"/>
    <n v="20"/>
    <n v="13"/>
    <n v="27"/>
    <n v="19"/>
    <n v="18"/>
    <n v="23"/>
    <n v="14"/>
    <n v="17"/>
    <n v="21"/>
    <n v="15"/>
    <n v="14"/>
    <n v="28"/>
    <n v="16"/>
    <n v="19"/>
    <n v="39"/>
    <n v="28"/>
    <n v="15"/>
    <n v="27"/>
    <n v="19"/>
    <n v="19"/>
    <n v="33"/>
    <n v="19"/>
    <n v="25"/>
    <n v="33"/>
    <n v="12"/>
    <n v="20"/>
    <n v="32"/>
    <n v="18"/>
    <n v="24"/>
    <n v="23"/>
  </r>
  <r>
    <x v="0"/>
    <s v="TINTURAS"/>
    <s v="L'OREAL"/>
    <s v="CASTING"/>
    <s v="7899026496514"/>
    <x v="1"/>
    <s v="CASTING CREME GLOSS POMO 45 GR KIT TONO GOLDEN CHOCOLATE"/>
    <s v="Vtas Unds"/>
    <n v="9"/>
    <n v="1"/>
    <n v="1"/>
    <n v="0"/>
    <n v="1"/>
    <n v="0"/>
    <n v="3"/>
    <n v="1"/>
    <n v="4"/>
    <n v="12"/>
    <n v="7"/>
    <n v="4"/>
    <n v="8"/>
    <n v="7"/>
    <n v="2"/>
    <n v="10"/>
    <n v="8"/>
    <n v="9"/>
    <n v="16"/>
    <n v="7"/>
    <n v="2"/>
    <n v="2"/>
    <n v="4"/>
    <n v="0"/>
    <n v="1"/>
    <n v="0"/>
    <n v="0"/>
    <n v="1"/>
    <n v="0"/>
    <n v="0"/>
    <n v="2"/>
    <n v="1"/>
    <n v="1"/>
    <n v="0"/>
    <n v="0"/>
    <n v="0"/>
    <n v="0"/>
  </r>
  <r>
    <x v="0"/>
    <s v="TINTURAS"/>
    <s v="L'OREAL"/>
    <s v="CASTING"/>
    <s v="7899706135887"/>
    <x v="1"/>
    <s v="CASTING CREME GLOSS S/AMONIAÁ T.670 CHOCO-CARAM POMO45 GRKIT"/>
    <s v="Vtas Unds"/>
    <n v="0"/>
    <n v="0"/>
    <n v="0"/>
    <n v="0"/>
    <n v="0"/>
    <n v="0"/>
    <n v="0"/>
    <n v="0"/>
    <n v="0"/>
    <n v="0"/>
    <n v="0"/>
    <n v="0"/>
    <n v="0"/>
    <n v="2"/>
    <n v="2"/>
    <n v="2"/>
    <n v="1"/>
    <n v="1"/>
    <n v="0"/>
    <n v="1"/>
    <n v="1"/>
    <n v="0"/>
    <n v="1"/>
    <n v="0"/>
    <n v="1"/>
    <n v="2"/>
    <n v="0"/>
    <n v="0"/>
    <n v="0"/>
    <n v="0"/>
    <n v="0"/>
    <n v="0"/>
    <n v="0"/>
    <n v="0"/>
    <n v="0"/>
    <n v="0"/>
    <n v="0"/>
  </r>
  <r>
    <x v="0"/>
    <s v="TINTURAS"/>
    <s v="L'OREAL"/>
    <s v="NUTRISSE COR INTENSA"/>
    <s v="200083041128"/>
    <x v="2"/>
    <s v="NUTRISSE COR INTENSA PERM. CREM. TUBO 45GR T.210 KIT"/>
    <s v="Vtas Unds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  <n v="0"/>
    <n v="0"/>
    <n v="0"/>
  </r>
  <r>
    <x v="0"/>
    <s v="TINTURAS"/>
    <s v="L'OREAL"/>
    <s v="NUTRISSE COR INTENSA"/>
    <s v="200085564921"/>
    <x v="2"/>
    <s v="NUTRISSE COR INTENSA PERM. CR. TUBO 45GR T.20 NEG.AZU. KIT"/>
    <s v="Vtas Unds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 COR INTENSA"/>
    <s v="7509552828894"/>
    <x v="2"/>
    <s v="NUTRISSE COR INTENSE PERM.TUBO 45GR T.11.0RUB.EX.CLARO KIT"/>
    <s v="Vtas Unds"/>
    <n v="677"/>
    <n v="601.15470000000005"/>
    <n v="453"/>
    <n v="549"/>
    <n v="442"/>
    <n v="465"/>
    <n v="595"/>
    <n v="390"/>
    <n v="486"/>
    <n v="545"/>
    <n v="423"/>
    <n v="382"/>
    <n v="613.21770000000004"/>
    <n v="414"/>
    <n v="501"/>
    <n v="502"/>
    <n v="427"/>
    <n v="418.77269999999999"/>
    <n v="708.67740000000003"/>
    <n v="382"/>
    <n v="375"/>
    <n v="471"/>
    <n v="277"/>
    <n v="357"/>
    <n v="505"/>
    <n v="322"/>
    <n v="379"/>
    <n v="429"/>
    <n v="338"/>
    <n v="422"/>
    <n v="450"/>
    <n v="364"/>
    <n v="285"/>
    <n v="499"/>
    <n v="314"/>
    <n v="448"/>
    <n v="651"/>
  </r>
  <r>
    <x v="0"/>
    <s v="TINTURAS"/>
    <s v="L'OREAL"/>
    <s v="NUTRISSE COR INTENSA"/>
    <s v="7896014151257"/>
    <x v="2"/>
    <s v="NUTRISSE COR INTENSA PAER. CRE. TUBO 45GR T.6.0 RUB.OSC. KIT"/>
    <s v="Vtas Unds"/>
    <n v="0"/>
    <n v="0"/>
    <n v="0"/>
    <n v="0"/>
    <n v="0"/>
    <n v="20"/>
    <n v="154"/>
    <n v="114"/>
    <n v="50"/>
    <n v="43"/>
    <n v="29"/>
    <n v="16"/>
    <n v="29"/>
    <n v="45.592100000000002"/>
    <n v="1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 COR INTENSA"/>
    <s v="7898587770651"/>
    <x v="2"/>
    <s v="NUTRISSE COR INTENSA CRE.T.5.3 POMO 45 GRMINI KITS"/>
    <s v="Vtas Unds"/>
    <n v="675"/>
    <n v="487"/>
    <n v="403"/>
    <n v="584"/>
    <n v="404"/>
    <n v="437"/>
    <n v="600"/>
    <n v="440"/>
    <n v="439"/>
    <n v="477"/>
    <n v="422"/>
    <n v="342"/>
    <n v="542"/>
    <n v="381"/>
    <n v="430"/>
    <n v="470"/>
    <n v="345"/>
    <n v="340.16550000000001"/>
    <n v="523.73379999999997"/>
    <n v="378"/>
    <n v="341"/>
    <n v="418"/>
    <n v="317"/>
    <n v="349"/>
    <n v="396"/>
    <n v="355"/>
    <n v="326"/>
    <n v="442"/>
    <n v="324"/>
    <n v="403"/>
    <n v="539"/>
    <n v="394"/>
    <n v="376"/>
    <n v="547"/>
    <n v="444"/>
    <n v="467"/>
    <n v="681"/>
  </r>
  <r>
    <x v="0"/>
    <s v="TINTURAS"/>
    <s v="L'OREAL"/>
    <s v="NUTRISSE COR INTENSA"/>
    <s v="7898587770668"/>
    <x v="2"/>
    <s v="NUTRISSE COR INTENSA CRE.T.8.1 POMO 45 GRMINI KITS"/>
    <s v="Vtas Unds"/>
    <n v="1090"/>
    <n v="775"/>
    <n v="719"/>
    <n v="957"/>
    <n v="735"/>
    <n v="803"/>
    <n v="992"/>
    <n v="655"/>
    <n v="688"/>
    <n v="793"/>
    <n v="746"/>
    <n v="599"/>
    <n v="950"/>
    <n v="635.59209999999996"/>
    <n v="643"/>
    <n v="691"/>
    <n v="561"/>
    <n v="571.41070000000002"/>
    <n v="804.06370000000004"/>
    <n v="572"/>
    <n v="529"/>
    <n v="538"/>
    <n v="339"/>
    <n v="248"/>
    <n v="386"/>
    <n v="326"/>
    <n v="295"/>
    <n v="417"/>
    <n v="278"/>
    <n v="397"/>
    <n v="716"/>
    <n v="594"/>
    <n v="479"/>
    <n v="714"/>
    <n v="625"/>
    <n v="656"/>
    <n v="956"/>
  </r>
  <r>
    <x v="0"/>
    <s v="TINTURAS"/>
    <s v="L'OREAL"/>
    <s v="NUTRISSE COR INTENSA"/>
    <s v="7898587770675"/>
    <x v="2"/>
    <s v="NUTRISSE COR INTENSA PERM CASTANO CL DR TUBO 45GR KIT T.N5.3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0"/>
    <s v="TINTURAS"/>
    <s v="L'OREAL"/>
    <s v="NUTRISSE COR INTENSA"/>
    <s v="7898587770699"/>
    <x v="2"/>
    <s v="NUTRISSE COR INTENSA CREMA POMO 45 GR MINI KIT TONO 71"/>
    <s v="Vtas Unds"/>
    <n v="192"/>
    <n v="101"/>
    <n v="117"/>
    <n v="228"/>
    <n v="128"/>
    <n v="160"/>
    <n v="201"/>
    <n v="120"/>
    <n v="152"/>
    <n v="185"/>
    <n v="126"/>
    <n v="126"/>
    <n v="164"/>
    <n v="140.19739999999999"/>
    <n v="143"/>
    <n v="185"/>
    <n v="235"/>
    <n v="181"/>
    <n v="305"/>
    <n v="245"/>
    <n v="249"/>
    <n v="329"/>
    <n v="248"/>
    <n v="227"/>
    <n v="282"/>
    <n v="249"/>
    <n v="204"/>
    <n v="300"/>
    <n v="262"/>
    <n v="262"/>
    <n v="412"/>
    <n v="332"/>
    <n v="291"/>
    <n v="409"/>
    <n v="445"/>
    <n v="368"/>
    <n v="535"/>
  </r>
  <r>
    <x v="0"/>
    <s v="TINTURAS"/>
    <s v="L'OREAL"/>
    <s v="NUTRISSE COR INTENSA"/>
    <s v="7898587770705"/>
    <x v="2"/>
    <s v="NUTRISSE COR INTENSA CRE.T.7.3 POMO 45GRMINI KITS"/>
    <s v="Vtas Unds"/>
    <n v="900"/>
    <n v="646.15470000000005"/>
    <n v="552"/>
    <n v="731"/>
    <n v="543"/>
    <n v="623"/>
    <n v="738"/>
    <n v="561"/>
    <n v="550"/>
    <n v="684"/>
    <n v="526"/>
    <n v="484"/>
    <n v="623"/>
    <n v="490.19740000000002"/>
    <n v="463"/>
    <n v="578"/>
    <n v="465"/>
    <n v="497.8288"/>
    <n v="684.29909999999995"/>
    <n v="433"/>
    <n v="465"/>
    <n v="570"/>
    <n v="415"/>
    <n v="429"/>
    <n v="501"/>
    <n v="336"/>
    <n v="294"/>
    <n v="404"/>
    <n v="286"/>
    <n v="349"/>
    <n v="570"/>
    <n v="420"/>
    <n v="402"/>
    <n v="547"/>
    <n v="489"/>
    <n v="488"/>
    <n v="692"/>
  </r>
  <r>
    <x v="0"/>
    <s v="TINTURAS"/>
    <s v="L'OREAL"/>
    <s v="NUTRISSE COR INTENSA"/>
    <s v="7898587775908"/>
    <x v="2"/>
    <s v="NUTRISSE COR INTENSA CREMA POMO 45 GR MINI KIT TONO 2.1"/>
    <s v="Vtas Unds"/>
    <n v="739"/>
    <n v="500"/>
    <n v="444"/>
    <n v="561"/>
    <n v="501"/>
    <n v="495"/>
    <n v="830"/>
    <n v="524"/>
    <n v="554"/>
    <n v="668"/>
    <n v="588"/>
    <n v="416"/>
    <n v="691"/>
    <n v="506"/>
    <n v="534"/>
    <n v="601"/>
    <n v="473"/>
    <n v="481.89150000000001"/>
    <n v="798.51220000000001"/>
    <n v="444"/>
    <n v="412"/>
    <n v="432"/>
    <n v="363"/>
    <n v="398"/>
    <n v="542"/>
    <n v="332"/>
    <n v="363"/>
    <n v="519"/>
    <n v="360"/>
    <n v="414"/>
    <n v="672"/>
    <n v="502"/>
    <n v="438"/>
    <n v="616"/>
    <n v="502"/>
    <n v="529"/>
    <n v="913"/>
  </r>
  <r>
    <x v="0"/>
    <s v="TINTURAS"/>
    <s v="L'OREAL"/>
    <s v="NUTRISSE COR INTENSA"/>
    <s v="7898587775922"/>
    <x v="2"/>
    <s v="NUTRISSE COR INTENSA CREMA POMO 45 GR MINI KIT TONO 5.52"/>
    <s v="Vtas Unds"/>
    <n v="224"/>
    <n v="123"/>
    <n v="140"/>
    <n v="203"/>
    <n v="135"/>
    <n v="138"/>
    <n v="221"/>
    <n v="152"/>
    <n v="168"/>
    <n v="246"/>
    <n v="119"/>
    <n v="142"/>
    <n v="172"/>
    <n v="136"/>
    <n v="148"/>
    <n v="173"/>
    <n v="126"/>
    <n v="136"/>
    <n v="232"/>
    <n v="132"/>
    <n v="151"/>
    <n v="263"/>
    <n v="176"/>
    <n v="125"/>
    <n v="187"/>
    <n v="170"/>
    <n v="138"/>
    <n v="217"/>
    <n v="186"/>
    <n v="202"/>
    <n v="285"/>
    <n v="234"/>
    <n v="187"/>
    <n v="229"/>
    <n v="273"/>
    <n v="236"/>
    <n v="352"/>
  </r>
  <r>
    <x v="0"/>
    <s v="TINTURAS"/>
    <s v="L'OREAL"/>
    <s v="NUTRISSE COR INTENSA"/>
    <s v="7898587775939"/>
    <x v="2"/>
    <s v="NUTRISSE COR INTENSA CREMA POMO 45 GR MINI KIT TONO 7.7"/>
    <s v="Vtas Unds"/>
    <n v="642"/>
    <n v="497"/>
    <n v="461"/>
    <n v="613"/>
    <n v="504"/>
    <n v="504"/>
    <n v="680"/>
    <n v="468"/>
    <n v="495"/>
    <n v="615"/>
    <n v="484"/>
    <n v="461"/>
    <n v="685"/>
    <n v="467"/>
    <n v="518"/>
    <n v="541"/>
    <n v="461"/>
    <n v="431.40609999999998"/>
    <n v="618.24599999999998"/>
    <n v="426"/>
    <n v="463"/>
    <n v="403"/>
    <n v="322"/>
    <n v="419"/>
    <n v="570"/>
    <n v="404"/>
    <n v="341"/>
    <n v="523"/>
    <n v="476"/>
    <n v="548"/>
    <n v="659"/>
    <n v="519"/>
    <n v="492"/>
    <n v="666"/>
    <n v="553"/>
    <n v="588"/>
    <n v="1021"/>
  </r>
  <r>
    <x v="0"/>
    <s v="TINTURAS"/>
    <s v="L'OREAL"/>
    <s v="NUTRISSE COR INTENSA"/>
    <s v="7898587775946"/>
    <x v="2"/>
    <s v="NUTRISSE COR INTENSA CREMA POMO 45 GR MINI KIT TONO 7.3"/>
    <s v="Vtas Unds"/>
    <n v="910"/>
    <n v="690"/>
    <n v="634"/>
    <n v="783"/>
    <n v="607"/>
    <n v="691"/>
    <n v="945"/>
    <n v="591"/>
    <n v="601"/>
    <n v="754"/>
    <n v="638"/>
    <n v="519"/>
    <n v="771"/>
    <n v="568.19740000000002"/>
    <n v="590"/>
    <n v="635"/>
    <n v="519"/>
    <n v="565.52369999999996"/>
    <n v="690.67160000000001"/>
    <n v="529"/>
    <n v="472"/>
    <n v="451"/>
    <n v="401"/>
    <n v="465"/>
    <n v="523"/>
    <n v="425"/>
    <n v="434"/>
    <n v="574"/>
    <n v="427"/>
    <n v="497"/>
    <n v="703"/>
    <n v="524"/>
    <n v="464"/>
    <n v="664"/>
    <n v="592"/>
    <n v="602"/>
    <n v="862"/>
  </r>
  <r>
    <x v="0"/>
    <s v="TINTURAS"/>
    <s v="L'OREAL"/>
    <s v="NUTRISSE COR INTENSA"/>
    <s v="7898587775953"/>
    <x v="2"/>
    <s v="NUTRISSE COR INTENSA PERM CR. NEG.AZULA TUBO 45GR KIT T.2.10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0"/>
    <s v="TINTURAS"/>
    <s v="L'OREAL"/>
    <s v="NUTRISSE COR INTENSA"/>
    <s v="7899026462533"/>
    <x v="2"/>
    <s v="NUTRISSE COR INTENSA CRE.T.1.0 POMO 45 GRMINI KITS"/>
    <s v="Vtas Unds"/>
    <n v="1567"/>
    <n v="1025"/>
    <n v="1107"/>
    <n v="1236"/>
    <n v="980"/>
    <n v="1057"/>
    <n v="1481"/>
    <n v="917"/>
    <n v="1124"/>
    <n v="1485"/>
    <n v="1195"/>
    <n v="990"/>
    <n v="1479.2176999999999"/>
    <n v="1043.3947000000001"/>
    <n v="1035"/>
    <n v="1139"/>
    <n v="947"/>
    <n v="932.24400000000003"/>
    <n v="1389.9487999999999"/>
    <n v="801"/>
    <n v="874"/>
    <n v="1221"/>
    <n v="793"/>
    <n v="817"/>
    <n v="1138"/>
    <n v="712"/>
    <n v="652"/>
    <n v="840"/>
    <n v="725"/>
    <n v="864"/>
    <n v="1046"/>
    <n v="717"/>
    <n v="667"/>
    <n v="1053"/>
    <n v="867"/>
    <n v="1015"/>
    <n v="1520"/>
  </r>
  <r>
    <x v="0"/>
    <s v="TINTURAS"/>
    <s v="L'OREAL"/>
    <s v="NUTRISSE COR INTENSA"/>
    <s v="7899026462540"/>
    <x v="2"/>
    <s v="NUTRISSE COR INTENSA CRE.T.2.0 POMO 45 GRMINI KITS"/>
    <s v="Vtas Unds"/>
    <n v="860"/>
    <n v="617"/>
    <n v="543"/>
    <n v="706"/>
    <n v="501"/>
    <n v="525"/>
    <n v="849"/>
    <n v="571"/>
    <n v="554"/>
    <n v="762"/>
    <n v="612"/>
    <n v="530"/>
    <n v="685"/>
    <n v="555"/>
    <n v="563"/>
    <n v="675"/>
    <n v="505"/>
    <n v="486.92959999999999"/>
    <n v="804.42430000000002"/>
    <n v="482"/>
    <n v="460"/>
    <n v="673"/>
    <n v="541"/>
    <n v="476"/>
    <n v="634"/>
    <n v="472"/>
    <n v="432"/>
    <n v="584"/>
    <n v="461"/>
    <n v="487"/>
    <n v="709"/>
    <n v="526"/>
    <n v="405"/>
    <n v="731"/>
    <n v="624"/>
    <n v="577"/>
    <n v="969"/>
  </r>
  <r>
    <x v="0"/>
    <s v="TINTURAS"/>
    <s v="L'OREAL"/>
    <s v="NUTRISSE COR INTENSA"/>
    <s v="7899026462557"/>
    <x v="2"/>
    <s v="NUTRISSE COR INTENSA CRE.T.30 POMO 45 GRMINI KITS"/>
    <s v="Vtas Unds"/>
    <n v="1095"/>
    <n v="712"/>
    <n v="671"/>
    <n v="910"/>
    <n v="729"/>
    <n v="771"/>
    <n v="974"/>
    <n v="654"/>
    <n v="774"/>
    <n v="858"/>
    <n v="734"/>
    <n v="644"/>
    <n v="931"/>
    <n v="639.19740000000002"/>
    <n v="696"/>
    <n v="797"/>
    <n v="658"/>
    <n v="631.39670000000001"/>
    <n v="873.721"/>
    <n v="597"/>
    <n v="660"/>
    <n v="774"/>
    <n v="601"/>
    <n v="644"/>
    <n v="713"/>
    <n v="472"/>
    <n v="419"/>
    <n v="556"/>
    <n v="415"/>
    <n v="518"/>
    <n v="774"/>
    <n v="595"/>
    <n v="571"/>
    <n v="748"/>
    <n v="686"/>
    <n v="629"/>
    <n v="1046"/>
  </r>
  <r>
    <x v="0"/>
    <s v="TINTURAS"/>
    <s v="L'OREAL"/>
    <s v="NUTRISSE COR INTENSA"/>
    <s v="7899026462564"/>
    <x v="2"/>
    <s v="NUTRISSE COR INTENSA CRE.T.3.16POMO 45 GRMINI KITS"/>
    <s v="Vtas Unds"/>
    <n v="728"/>
    <n v="438"/>
    <n v="445"/>
    <n v="547"/>
    <n v="444"/>
    <n v="453"/>
    <n v="718"/>
    <n v="409"/>
    <n v="471"/>
    <n v="615"/>
    <n v="496"/>
    <n v="503"/>
    <n v="671"/>
    <n v="461"/>
    <n v="500"/>
    <n v="583"/>
    <n v="460"/>
    <n v="433.62619999999998"/>
    <n v="662.93050000000005"/>
    <n v="463"/>
    <n v="439"/>
    <n v="525"/>
    <n v="392"/>
    <n v="394"/>
    <n v="538"/>
    <n v="405"/>
    <n v="394"/>
    <n v="482"/>
    <n v="386"/>
    <n v="460"/>
    <n v="601"/>
    <n v="418"/>
    <n v="376"/>
    <n v="594"/>
    <n v="528"/>
    <n v="541"/>
    <n v="803"/>
  </r>
  <r>
    <x v="0"/>
    <s v="TINTURAS"/>
    <s v="L'OREAL"/>
    <s v="NUTRISSE COR INTENSA"/>
    <s v="7899026462571"/>
    <x v="2"/>
    <s v="NUTRISSE COR INTENSA CRE.T.4.0 POMO 45 GRMINI KITS"/>
    <s v="Vtas Unds"/>
    <n v="1136"/>
    <n v="753"/>
    <n v="716"/>
    <n v="888"/>
    <n v="729"/>
    <n v="793"/>
    <n v="1040"/>
    <n v="723"/>
    <n v="803"/>
    <n v="997"/>
    <n v="823"/>
    <n v="676"/>
    <n v="953"/>
    <n v="688.19740000000002"/>
    <n v="646"/>
    <n v="840"/>
    <n v="703"/>
    <n v="686.37310000000002"/>
    <n v="938.44650000000001"/>
    <n v="679"/>
    <n v="694"/>
    <n v="949"/>
    <n v="507"/>
    <n v="430"/>
    <n v="796"/>
    <n v="628"/>
    <n v="506"/>
    <n v="694"/>
    <n v="633"/>
    <n v="671"/>
    <n v="913"/>
    <n v="703"/>
    <n v="654"/>
    <n v="982"/>
    <n v="712"/>
    <n v="781"/>
    <n v="1195"/>
  </r>
  <r>
    <x v="0"/>
    <s v="TINTURAS"/>
    <s v="L'OREAL"/>
    <s v="NUTRISSE COR INTENSA"/>
    <s v="7899026462588"/>
    <x v="2"/>
    <s v="NUTRISSE COR INTENSA CRE.T.4.15POMO 45 GRMINI KITS"/>
    <s v="Vtas Unds"/>
    <n v="607"/>
    <n v="449"/>
    <n v="360"/>
    <n v="541"/>
    <n v="408"/>
    <n v="405"/>
    <n v="591"/>
    <n v="394"/>
    <n v="442"/>
    <n v="528"/>
    <n v="381"/>
    <n v="358"/>
    <n v="503"/>
    <n v="368.19740000000002"/>
    <n v="398"/>
    <n v="440"/>
    <n v="328"/>
    <n v="313.46109999999999"/>
    <n v="508.90499999999997"/>
    <n v="345"/>
    <n v="389"/>
    <n v="451"/>
    <n v="394"/>
    <n v="398"/>
    <n v="401"/>
    <n v="323"/>
    <n v="329"/>
    <n v="433"/>
    <n v="355"/>
    <n v="423"/>
    <n v="526"/>
    <n v="390"/>
    <n v="353"/>
    <n v="535"/>
    <n v="427"/>
    <n v="448"/>
    <n v="611"/>
  </r>
  <r>
    <x v="0"/>
    <s v="TINTURAS"/>
    <s v="L'OREAL"/>
    <s v="NUTRISSE COR INTENSA"/>
    <s v="7899026462595"/>
    <x v="2"/>
    <s v="NUTRISSE COR INTENSA CRE.T.4.0 POMO 45 GRMINI KITS"/>
    <s v="Vtas Unds"/>
    <n v="295"/>
    <n v="168.15469999999999"/>
    <n v="191"/>
    <n v="278"/>
    <n v="185"/>
    <n v="220"/>
    <n v="309"/>
    <n v="188"/>
    <n v="227"/>
    <n v="292"/>
    <n v="227"/>
    <n v="212"/>
    <n v="270"/>
    <n v="182"/>
    <n v="201"/>
    <n v="219"/>
    <n v="208"/>
    <n v="211"/>
    <n v="283"/>
    <n v="171"/>
    <n v="191"/>
    <n v="301"/>
    <n v="247"/>
    <n v="179"/>
    <n v="257"/>
    <n v="197"/>
    <n v="188"/>
    <n v="242"/>
    <n v="242"/>
    <n v="230"/>
    <n v="333"/>
    <n v="271"/>
    <n v="235"/>
    <n v="295"/>
    <n v="324"/>
    <n v="279"/>
    <n v="493"/>
  </r>
  <r>
    <x v="0"/>
    <s v="TINTURAS"/>
    <s v="L'OREAL"/>
    <s v="NUTRISSE COR INTENSA"/>
    <s v="7899026462601"/>
    <x v="2"/>
    <s v="NUTRISSE COR INTENSA CRE.T.5.0 POMO 45 GRMINI KITS"/>
    <s v="Vtas Unds"/>
    <n v="1444"/>
    <n v="915"/>
    <n v="893"/>
    <n v="1225"/>
    <n v="980"/>
    <n v="956"/>
    <n v="1265"/>
    <n v="880"/>
    <n v="917"/>
    <n v="1229"/>
    <n v="946"/>
    <n v="824"/>
    <n v="1258"/>
    <n v="955.39469999999994"/>
    <n v="934"/>
    <n v="1072"/>
    <n v="834"/>
    <n v="868.14149999999995"/>
    <n v="1182.1187"/>
    <n v="765"/>
    <n v="741"/>
    <n v="958"/>
    <n v="648"/>
    <n v="731"/>
    <n v="981"/>
    <n v="628"/>
    <n v="475"/>
    <n v="661"/>
    <n v="657"/>
    <n v="709"/>
    <n v="890"/>
    <n v="755"/>
    <n v="722"/>
    <n v="874"/>
    <n v="785"/>
    <n v="873"/>
    <n v="1220"/>
  </r>
  <r>
    <x v="0"/>
    <s v="TINTURAS"/>
    <s v="L'OREAL"/>
    <s v="NUTRISSE COR INTENSA"/>
    <s v="7899026462618"/>
    <x v="2"/>
    <s v="NUTRISSE COR INTENSA CRE.T.5.62POMO 45 GRMINI KITS"/>
    <s v="Vtas Unds"/>
    <n v="824"/>
    <n v="596"/>
    <n v="634"/>
    <n v="685"/>
    <n v="551"/>
    <n v="665"/>
    <n v="787"/>
    <n v="555"/>
    <n v="595"/>
    <n v="748"/>
    <n v="644"/>
    <n v="504"/>
    <n v="831"/>
    <n v="643"/>
    <n v="607"/>
    <n v="672"/>
    <n v="545"/>
    <n v="584.84709999999995"/>
    <n v="839.40110000000004"/>
    <n v="473"/>
    <n v="554"/>
    <n v="373"/>
    <n v="327"/>
    <n v="301"/>
    <n v="365"/>
    <n v="268"/>
    <n v="232"/>
    <n v="287"/>
    <n v="197"/>
    <n v="359"/>
    <n v="670"/>
    <n v="515"/>
    <n v="399"/>
    <n v="559"/>
    <n v="511"/>
    <n v="638"/>
    <n v="947"/>
  </r>
  <r>
    <x v="0"/>
    <s v="TINTURAS"/>
    <s v="L'OREAL"/>
    <s v="NUTRISSE COR INTENSA"/>
    <s v="7899026462625"/>
    <x v="2"/>
    <s v="NUTRISSE COR INTENSA CRE.T.6.0 POMO 45 GRMINI KITS"/>
    <s v="Vtas Unds"/>
    <n v="1551"/>
    <n v="942.30939999999998"/>
    <n v="1003"/>
    <n v="1256"/>
    <n v="1022"/>
    <n v="1057"/>
    <n v="1121"/>
    <n v="763"/>
    <n v="842"/>
    <n v="1068"/>
    <n v="865"/>
    <n v="663"/>
    <n v="1103"/>
    <n v="760"/>
    <n v="798"/>
    <n v="853"/>
    <n v="679"/>
    <n v="850.83190000000002"/>
    <n v="1104.9272000000001"/>
    <n v="791"/>
    <n v="811"/>
    <n v="783"/>
    <n v="568"/>
    <n v="653"/>
    <n v="979"/>
    <n v="658"/>
    <n v="493"/>
    <n v="818"/>
    <n v="694"/>
    <n v="839"/>
    <n v="1035"/>
    <n v="816"/>
    <n v="744"/>
    <n v="1042"/>
    <n v="884"/>
    <n v="951"/>
    <n v="1419"/>
  </r>
  <r>
    <x v="0"/>
    <s v="TINTURAS"/>
    <s v="L'OREAL"/>
    <s v="NUTRISSE COR INTENSA"/>
    <s v="7899026462632"/>
    <x v="2"/>
    <s v="NUTRISSE COR INTENSA CRE.T.6.35POMO 45 GRMINI KITS"/>
    <s v="Vtas Unds"/>
    <n v="769"/>
    <n v="563"/>
    <n v="516"/>
    <n v="644"/>
    <n v="486"/>
    <n v="526"/>
    <n v="705"/>
    <n v="565"/>
    <n v="521"/>
    <n v="626"/>
    <n v="518"/>
    <n v="448"/>
    <n v="596"/>
    <n v="466"/>
    <n v="521"/>
    <n v="582"/>
    <n v="397"/>
    <n v="400.48820000000001"/>
    <n v="613.96199999999999"/>
    <n v="371"/>
    <n v="418"/>
    <n v="495"/>
    <n v="406"/>
    <n v="364"/>
    <n v="494"/>
    <n v="397"/>
    <n v="344"/>
    <n v="461"/>
    <n v="384"/>
    <n v="371"/>
    <n v="593"/>
    <n v="440"/>
    <n v="360"/>
    <n v="625"/>
    <n v="424"/>
    <n v="494"/>
    <n v="709"/>
  </r>
  <r>
    <x v="0"/>
    <s v="TINTURAS"/>
    <s v="L'OREAL"/>
    <s v="NUTRISSE COR INTENSA"/>
    <s v="7899026462649"/>
    <x v="2"/>
    <s v="NUTRISSE COR INTENSA CRE.T.6.46POMO 45 GRMINI KITS"/>
    <s v="Vtas Unds"/>
    <n v="125"/>
    <n v="78"/>
    <n v="95"/>
    <n v="133"/>
    <n v="90"/>
    <n v="110"/>
    <n v="160"/>
    <n v="99"/>
    <n v="103"/>
    <n v="149"/>
    <n v="108"/>
    <n v="101"/>
    <n v="142"/>
    <n v="92.3947"/>
    <n v="91"/>
    <n v="146"/>
    <n v="193"/>
    <n v="196"/>
    <n v="331"/>
    <n v="214"/>
    <n v="223"/>
    <n v="245"/>
    <n v="164"/>
    <n v="232"/>
    <n v="264"/>
    <n v="227"/>
    <n v="224"/>
    <n v="262"/>
    <n v="201"/>
    <n v="221"/>
    <n v="373"/>
    <n v="398"/>
    <n v="312"/>
    <n v="541"/>
    <n v="474"/>
    <n v="524"/>
    <n v="708"/>
  </r>
  <r>
    <x v="0"/>
    <s v="TINTURAS"/>
    <s v="L'OREAL"/>
    <s v="NUTRISSE COR INTENSA"/>
    <s v="7899026462656"/>
    <x v="2"/>
    <s v="NUTRISSE COR INTENSA CRE.T.6.61POMO 45 GRMINI KITS"/>
    <s v="Vtas Unds"/>
    <n v="726"/>
    <n v="438.15469999999999"/>
    <n v="533"/>
    <n v="625"/>
    <n v="454"/>
    <n v="489"/>
    <n v="782"/>
    <n v="505"/>
    <n v="533"/>
    <n v="772"/>
    <n v="533"/>
    <n v="517"/>
    <n v="683"/>
    <n v="570"/>
    <n v="620"/>
    <n v="728"/>
    <n v="519"/>
    <n v="390"/>
    <n v="780"/>
    <n v="486"/>
    <n v="530"/>
    <n v="786"/>
    <n v="432"/>
    <n v="540"/>
    <n v="696"/>
    <n v="555"/>
    <n v="434"/>
    <n v="548"/>
    <n v="427"/>
    <n v="465"/>
    <n v="670"/>
    <n v="432"/>
    <n v="404"/>
    <n v="685"/>
    <n v="663"/>
    <n v="709"/>
    <n v="997"/>
  </r>
  <r>
    <x v="0"/>
    <s v="TINTURAS"/>
    <s v="L'OREAL"/>
    <s v="NUTRISSE COR INTENSA"/>
    <s v="7899026462670"/>
    <x v="2"/>
    <s v="NUTRISSE COR INTENSA CRE.T.7.0 POMO 45 GRMINI KITS"/>
    <s v="Vtas Unds"/>
    <n v="1698"/>
    <n v="1125.1547"/>
    <n v="1099"/>
    <n v="1399"/>
    <n v="1200"/>
    <n v="1263"/>
    <n v="1356"/>
    <n v="975"/>
    <n v="995"/>
    <n v="1156"/>
    <n v="990"/>
    <n v="829"/>
    <n v="1320"/>
    <n v="850"/>
    <n v="899"/>
    <n v="1049"/>
    <n v="779"/>
    <n v="784.51969999999994"/>
    <n v="1107.4919"/>
    <n v="854"/>
    <n v="804"/>
    <n v="1063"/>
    <n v="798"/>
    <n v="699"/>
    <n v="823"/>
    <n v="557"/>
    <n v="477"/>
    <n v="662"/>
    <n v="492"/>
    <n v="631"/>
    <n v="1063"/>
    <n v="814"/>
    <n v="651"/>
    <n v="1044"/>
    <n v="934"/>
    <n v="909"/>
    <n v="1404"/>
  </r>
  <r>
    <x v="0"/>
    <s v="TINTURAS"/>
    <s v="L'OREAL"/>
    <s v="NUTRISSE COR INTENSA"/>
    <s v="7899026462687"/>
    <x v="2"/>
    <s v="NUTRISSE COR INTENSA CRE.T.8.0 POMO 45 GRMINI KITS"/>
    <s v="Vtas Unds"/>
    <n v="1397"/>
    <n v="855.30939999999998"/>
    <n v="824"/>
    <n v="1083"/>
    <n v="881"/>
    <n v="964"/>
    <n v="1130"/>
    <n v="811"/>
    <n v="846"/>
    <n v="1126"/>
    <n v="835"/>
    <n v="697"/>
    <n v="1096"/>
    <n v="729.98680000000002"/>
    <n v="797"/>
    <n v="899"/>
    <n v="703"/>
    <n v="728.37829999999997"/>
    <n v="1021.6493"/>
    <n v="698"/>
    <n v="685"/>
    <n v="734"/>
    <n v="566"/>
    <n v="718"/>
    <n v="896"/>
    <n v="636"/>
    <n v="542"/>
    <n v="893"/>
    <n v="674"/>
    <n v="676"/>
    <n v="956"/>
    <n v="787"/>
    <n v="576"/>
    <n v="906"/>
    <n v="774"/>
    <n v="862"/>
    <n v="1157"/>
  </r>
  <r>
    <x v="0"/>
    <s v="TINTURAS"/>
    <s v="L'OREAL"/>
    <s v="NUTRISSE COR INTENSA"/>
    <s v="7899026462694"/>
    <x v="2"/>
    <s v="NUTRISSE COR INTENSA CRE.T.9.13POMO 45 GRMINI KITS"/>
    <s v="Vtas Unds"/>
    <n v="538"/>
    <n v="394.15469999999999"/>
    <n v="360"/>
    <n v="478"/>
    <n v="382"/>
    <n v="394"/>
    <n v="516"/>
    <n v="328"/>
    <n v="386"/>
    <n v="447"/>
    <n v="328"/>
    <n v="303"/>
    <n v="435"/>
    <n v="359"/>
    <n v="371"/>
    <n v="390"/>
    <n v="313"/>
    <n v="341.75900000000001"/>
    <n v="481.51220000000001"/>
    <n v="310"/>
    <n v="301"/>
    <n v="423"/>
    <n v="245"/>
    <n v="305"/>
    <n v="394"/>
    <n v="256"/>
    <n v="247"/>
    <n v="324"/>
    <n v="305"/>
    <n v="342"/>
    <n v="424"/>
    <n v="346"/>
    <n v="322"/>
    <n v="468"/>
    <n v="362"/>
    <n v="433"/>
    <n v="609"/>
  </r>
  <r>
    <x v="0"/>
    <s v="TINTURAS"/>
    <s v="L'OREAL"/>
    <s v="NUTRISSE COR INTENSA"/>
    <s v="7899026462717"/>
    <x v="2"/>
    <s v="NUTRISSE COR INTENSA CRE.T.11.3POMO 45 GRMINI KITS"/>
    <s v="Vtas Unds"/>
    <n v="477"/>
    <n v="316.15469999999999"/>
    <n v="394"/>
    <n v="483"/>
    <n v="348"/>
    <n v="344"/>
    <n v="531"/>
    <n v="322"/>
    <n v="379"/>
    <n v="405"/>
    <n v="331"/>
    <n v="300"/>
    <n v="450"/>
    <n v="329"/>
    <n v="364"/>
    <n v="420"/>
    <n v="309"/>
    <n v="278.56819999999999"/>
    <n v="407.19670000000002"/>
    <n v="275"/>
    <n v="252"/>
    <n v="362"/>
    <n v="283"/>
    <n v="265"/>
    <n v="344"/>
    <n v="268"/>
    <n v="263"/>
    <n v="304"/>
    <n v="268"/>
    <n v="316"/>
    <n v="497"/>
    <n v="358"/>
    <n v="334"/>
    <n v="435"/>
    <n v="381"/>
    <n v="450"/>
    <n v="632"/>
  </r>
  <r>
    <x v="0"/>
    <s v="TINTURAS"/>
    <s v="L'OREAL"/>
    <s v="NUTRISSE COR INTENSA"/>
    <s v="7899026462724"/>
    <x v="2"/>
    <s v="NUTRISSE COR INTENSA CRE.T.11.1POMO 45 GRMINI KITS"/>
    <s v="Vtas Unds"/>
    <n v="821"/>
    <n v="619.15470000000005"/>
    <n v="491"/>
    <n v="726"/>
    <n v="549"/>
    <n v="592"/>
    <n v="792"/>
    <n v="550"/>
    <n v="522"/>
    <n v="616"/>
    <n v="546"/>
    <n v="447"/>
    <n v="638"/>
    <n v="544"/>
    <n v="551"/>
    <n v="577"/>
    <n v="431"/>
    <n v="450.82339999999999"/>
    <n v="642.48069999999996"/>
    <n v="373"/>
    <n v="399"/>
    <n v="546"/>
    <n v="419"/>
    <n v="407"/>
    <n v="439"/>
    <n v="325"/>
    <n v="304"/>
    <n v="360"/>
    <n v="264"/>
    <n v="339"/>
    <n v="556"/>
    <n v="461"/>
    <n v="328"/>
    <n v="580"/>
    <n v="476"/>
    <n v="472"/>
    <n v="690"/>
  </r>
  <r>
    <x v="0"/>
    <s v="TINTURAS"/>
    <s v="L'OREAL"/>
    <s v="NUTRISSE COR INTENSA"/>
    <s v="7899026462748"/>
    <x v="2"/>
    <s v="NUTRISSE COR INTENSA T.PERM. CR. NEGRO TUBO 45GR KIT T.2.0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0"/>
    <s v="TINTURAS"/>
    <s v="L'OREAL"/>
    <s v="NUTRISSE COR INTENSA"/>
    <s v="7899026462786"/>
    <x v="2"/>
    <s v="NUTRISSE COR INTENSA PERM. CASTA.CENI.CAO TB 45GR KIT T.4.15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0"/>
    <s v="TINTURAS"/>
    <s v="L'OREAL"/>
    <s v="NUTRISSE COR INTENSA"/>
    <s v="7899026462809"/>
    <x v="2"/>
    <s v="NUTRISSE COR INTENSA PERMA. CASTANO CL. TB 45GR KIT T. 5.0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0"/>
    <s v="TINTURAS"/>
    <s v="L'OREAL"/>
    <s v="NUTRISSE COR INTENSA"/>
    <s v="7899026462892"/>
    <x v="2"/>
    <s v="NUTRISSE COR INTENSA PERM RUB CL.CEN.DR TUBO 45GR KIT TN9.13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0"/>
    <s v="TINTURAS"/>
    <s v="L'OREAL"/>
    <s v="NUTRISSE COR INTENSA"/>
    <s v="7899026462922"/>
    <x v="2"/>
    <s v="NUTRISSE COR INTENSA T.PERM RUBIO ULT.CL. TB 45GR KIT T.11.1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0"/>
    <s v="TINTURAS"/>
    <s v="L'OREAL"/>
    <s v="EXCELLENCE"/>
    <s v="200063625086"/>
    <x v="3"/>
    <s v="PREF.EXCELLENCECREMETONO 8 RUBIO CLA.CR.PO.47 GKIT"/>
    <s v="Vtas Unds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200063643838"/>
    <x v="3"/>
    <s v="EXCELLENCECREME COL.TONO 6.66 POMO 47 GRKIT IMP"/>
    <s v="Vtas Unds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200063806290"/>
    <x v="3"/>
    <s v="EXCELLENCECREME TONO 9 POMO KIT 47 GRC/PEI.APL."/>
    <s v="Vtas Unds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200076962409"/>
    <x v="3"/>
    <s v="EXCELLENCE CR. PERM. POMO 47GR T.51 CAST.CL.CENIZA KIT"/>
    <s v="Vtas Unds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200076962437"/>
    <x v="3"/>
    <s v="EXCELLENCE CR. PERM.POMO 45GR T.8.11 RUB.CL.CEN. PROF KIT"/>
    <s v="Vtas Unds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200077002942"/>
    <x v="3"/>
    <s v="EXCELLENCE CR. PERM. TUBO 45GR T.67 CHOCOLATE"/>
    <s v="Vtas Unds"/>
    <n v="1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200079339619"/>
    <x v="3"/>
    <s v="EXCELLENCE PERMAN. CREM. TUBO 47GR T.73 MIEL RUBIO D."/>
    <s v="Vtas Unds"/>
    <n v="0"/>
    <n v="0"/>
    <n v="0"/>
    <n v="0"/>
    <n v="0"/>
    <n v="0"/>
    <n v="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200081623900"/>
    <x v="3"/>
    <s v="EXCELLENCE CREM.PERM. TUBO 45GR T. 03CASTANO OSCURO KIT"/>
    <s v="Vtas Unds"/>
    <n v="0"/>
    <n v="0"/>
    <n v="0"/>
    <n v="0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200081922378"/>
    <x v="3"/>
    <s v="EXCELLENCE CREM. PERM. TUBO 45GR T.01 NEGRO KIT"/>
    <s v="Vtas Unds"/>
    <n v="1"/>
    <n v="0"/>
    <n v="0"/>
    <n v="0"/>
    <n v="0"/>
    <n v="0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200084009402"/>
    <x v="3"/>
    <s v="EXCELLENCE PERM.CREM. TUBO 47GR T.7.17 KIT"/>
    <s v="Vtas Unds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200095083574"/>
    <x v="3"/>
    <s v="EXCELLENCE CREME. PERMA.TUBO 47GR T.7.17 KIT"/>
    <s v="Vtas Unds"/>
    <n v="0"/>
    <n v="0"/>
    <n v="0"/>
    <n v="0"/>
    <n v="0"/>
    <n v="0"/>
    <n v="0"/>
    <n v="0"/>
    <n v="1"/>
    <n v="0"/>
    <n v="0"/>
    <n v="0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501027207258"/>
    <x v="3"/>
    <s v="EXCELLENCE CREME CREMA POMO 47 GR KIT TONO 7.3"/>
    <s v="Vtas Unds"/>
    <n v="92"/>
    <n v="64"/>
    <n v="64"/>
    <n v="101"/>
    <n v="73"/>
    <n v="80"/>
    <n v="96"/>
    <n v="55"/>
    <n v="46"/>
    <n v="78"/>
    <n v="48"/>
    <n v="40"/>
    <n v="58"/>
    <n v="22"/>
    <n v="32"/>
    <n v="60"/>
    <n v="44"/>
    <n v="23"/>
    <n v="42"/>
    <n v="31"/>
    <n v="41"/>
    <n v="49"/>
    <n v="31"/>
    <n v="28"/>
    <n v="46"/>
    <n v="34"/>
    <n v="43"/>
    <n v="72"/>
    <n v="43"/>
    <n v="40"/>
    <n v="49"/>
    <n v="33"/>
    <n v="31"/>
    <n v="50"/>
    <n v="49"/>
    <n v="39"/>
    <n v="48"/>
  </r>
  <r>
    <x v="0"/>
    <s v="TINTURAS"/>
    <s v="L'OREAL"/>
    <s v="EXCELLENCE"/>
    <s v="7501027235367"/>
    <x v="3"/>
    <s v="EXCELLENCE CREME CREMA POMO 47 GR KIT TONO 6.3"/>
    <s v="Vtas Unds"/>
    <n v="100"/>
    <n v="69"/>
    <n v="66"/>
    <n v="65"/>
    <n v="86"/>
    <n v="71"/>
    <n v="121"/>
    <n v="101"/>
    <n v="73"/>
    <n v="95"/>
    <n v="64"/>
    <n v="42"/>
    <n v="61"/>
    <n v="44"/>
    <n v="59"/>
    <n v="61"/>
    <n v="48"/>
    <n v="36"/>
    <n v="48"/>
    <n v="36"/>
    <n v="43"/>
    <n v="57"/>
    <n v="40"/>
    <n v="30"/>
    <n v="40"/>
    <n v="44"/>
    <n v="47"/>
    <n v="29"/>
    <n v="27"/>
    <n v="37"/>
    <n v="42"/>
    <n v="32"/>
    <n v="33"/>
    <n v="34"/>
    <n v="34"/>
    <n v="22"/>
    <n v="49"/>
  </r>
  <r>
    <x v="0"/>
    <s v="TINTURAS"/>
    <s v="L'OREAL"/>
    <s v="EXCELLENCE"/>
    <s v="7501027275042"/>
    <x v="3"/>
    <s v="EXCELLENCE CREME CREMA POMO 47 GR KIT TONO 4"/>
    <s v="Vtas Unds"/>
    <n v="345"/>
    <n v="189"/>
    <n v="186"/>
    <n v="238"/>
    <n v="233"/>
    <n v="200"/>
    <n v="272"/>
    <n v="176"/>
    <n v="167"/>
    <n v="238"/>
    <n v="135"/>
    <n v="137"/>
    <n v="190"/>
    <n v="117"/>
    <n v="120"/>
    <n v="168"/>
    <n v="112"/>
    <n v="109"/>
    <n v="133"/>
    <n v="84"/>
    <n v="100"/>
    <n v="154"/>
    <n v="90"/>
    <n v="96"/>
    <n v="150"/>
    <n v="94"/>
    <n v="127"/>
    <n v="147"/>
    <n v="88"/>
    <n v="85"/>
    <n v="149"/>
    <n v="90"/>
    <n v="94"/>
    <n v="155"/>
    <n v="92"/>
    <n v="99"/>
    <n v="172"/>
  </r>
  <r>
    <x v="0"/>
    <s v="TINTURAS"/>
    <s v="L'OREAL"/>
    <s v="EXCELLENCE"/>
    <s v="7501027275080"/>
    <x v="3"/>
    <s v="EXCELLENCE CREME CREMA POMO 47 GR KIT TONO 5"/>
    <s v="Vtas Unds"/>
    <n v="400"/>
    <n v="231"/>
    <n v="247"/>
    <n v="327"/>
    <n v="275"/>
    <n v="254"/>
    <n v="353"/>
    <n v="215"/>
    <n v="212"/>
    <n v="334"/>
    <n v="181"/>
    <n v="187"/>
    <n v="260"/>
    <n v="127.1974"/>
    <n v="167"/>
    <n v="196"/>
    <n v="114"/>
    <n v="139"/>
    <n v="174"/>
    <n v="127"/>
    <n v="125"/>
    <n v="213"/>
    <n v="133"/>
    <n v="119"/>
    <n v="190"/>
    <n v="149"/>
    <n v="158"/>
    <n v="203"/>
    <n v="110"/>
    <n v="126"/>
    <n v="197"/>
    <n v="123"/>
    <n v="128"/>
    <n v="198"/>
    <n v="181"/>
    <n v="133"/>
    <n v="225"/>
  </r>
  <r>
    <x v="0"/>
    <s v="TINTURAS"/>
    <s v="L'OREAL"/>
    <s v="EXCELLENCE"/>
    <s v="7501027275097"/>
    <x v="3"/>
    <s v="EXCELLENCE CREME POMO 47 GR KIT TONO 5.1"/>
    <s v="Vtas Unds"/>
    <n v="116"/>
    <n v="58"/>
    <n v="43"/>
    <n v="66"/>
    <n v="51"/>
    <n v="58"/>
    <n v="87"/>
    <n v="70"/>
    <n v="67"/>
    <n v="84"/>
    <n v="51"/>
    <n v="46"/>
    <n v="75"/>
    <n v="39"/>
    <n v="44"/>
    <n v="42"/>
    <n v="40"/>
    <n v="41"/>
    <n v="46"/>
    <n v="35"/>
    <n v="44"/>
    <n v="64"/>
    <n v="51"/>
    <n v="25"/>
    <n v="52"/>
    <n v="42"/>
    <n v="62"/>
    <n v="65"/>
    <n v="47"/>
    <n v="36"/>
    <n v="42"/>
    <n v="38"/>
    <n v="38"/>
    <n v="69"/>
    <n v="47"/>
    <n v="44"/>
    <n v="81"/>
  </r>
  <r>
    <x v="0"/>
    <s v="TINTURAS"/>
    <s v="L'OREAL"/>
    <s v="EXCELLENCE"/>
    <s v="7501027275127"/>
    <x v="3"/>
    <s v="EXCELLENCE CREME CREMA POMO 47 GR KIT TONO 6"/>
    <s v="Vtas Unds"/>
    <n v="418"/>
    <n v="214"/>
    <n v="246"/>
    <n v="328"/>
    <n v="278"/>
    <n v="255"/>
    <n v="346"/>
    <n v="271"/>
    <n v="221"/>
    <n v="325"/>
    <n v="194"/>
    <n v="183"/>
    <n v="278"/>
    <n v="172"/>
    <n v="206"/>
    <n v="275"/>
    <n v="168"/>
    <n v="177"/>
    <n v="239"/>
    <n v="185"/>
    <n v="180"/>
    <n v="284"/>
    <n v="196"/>
    <n v="157"/>
    <n v="254"/>
    <n v="161"/>
    <n v="221"/>
    <n v="271"/>
    <n v="87"/>
    <n v="188"/>
    <n v="216"/>
    <n v="162"/>
    <n v="184"/>
    <n v="251"/>
    <n v="214"/>
    <n v="148"/>
    <n v="265"/>
  </r>
  <r>
    <x v="0"/>
    <s v="TINTURAS"/>
    <s v="L'OREAL"/>
    <s v="EXCELLENCE"/>
    <s v="7501027275134"/>
    <x v="3"/>
    <s v="EXCELLENCE CREME CREMA POMO 47 GR KI TONO 6.1"/>
    <s v="Vtas Unds"/>
    <n v="106"/>
    <n v="64"/>
    <n v="79"/>
    <n v="79"/>
    <n v="60"/>
    <n v="87"/>
    <n v="118"/>
    <n v="81"/>
    <n v="80"/>
    <n v="64"/>
    <n v="55"/>
    <n v="71"/>
    <n v="89"/>
    <n v="43"/>
    <n v="56"/>
    <n v="54"/>
    <n v="56"/>
    <n v="33"/>
    <n v="88"/>
    <n v="55"/>
    <n v="58"/>
    <n v="90"/>
    <n v="52"/>
    <n v="60"/>
    <n v="83"/>
    <n v="69"/>
    <n v="85"/>
    <n v="79"/>
    <n v="60"/>
    <n v="57"/>
    <n v="76"/>
    <n v="55"/>
    <n v="62"/>
    <n v="75"/>
    <n v="60"/>
    <n v="59"/>
    <n v="113"/>
  </r>
  <r>
    <x v="0"/>
    <s v="TINTURAS"/>
    <s v="L'OREAL"/>
    <s v="EXCELLENCE"/>
    <s v="7501027275172"/>
    <x v="3"/>
    <s v="EXCELLENCE CREME CREMA POMO 47 GR KIT TONO 7.1"/>
    <s v="Vtas Unds"/>
    <n v="300"/>
    <n v="154"/>
    <n v="168"/>
    <n v="221"/>
    <n v="184"/>
    <n v="189"/>
    <n v="215"/>
    <n v="164"/>
    <n v="125"/>
    <n v="177"/>
    <n v="95"/>
    <n v="109"/>
    <n v="167"/>
    <n v="101"/>
    <n v="92"/>
    <n v="136"/>
    <n v="93"/>
    <n v="127"/>
    <n v="143"/>
    <n v="129"/>
    <n v="152"/>
    <n v="177"/>
    <n v="136"/>
    <n v="107"/>
    <n v="163"/>
    <n v="137"/>
    <n v="156"/>
    <n v="189"/>
    <n v="120"/>
    <n v="120"/>
    <n v="176"/>
    <n v="111"/>
    <n v="118"/>
    <n v="137"/>
    <n v="126"/>
    <n v="106"/>
    <n v="168"/>
  </r>
  <r>
    <x v="0"/>
    <s v="TINTURAS"/>
    <s v="L'OREAL"/>
    <s v="EXCELLENCE"/>
    <s v="7501027275226"/>
    <x v="3"/>
    <s v="EXCELLENCE CREME CREMA POMO 47 GR KIT TONO 8.1"/>
    <s v="Vtas Unds"/>
    <n v="218"/>
    <n v="99"/>
    <n v="113"/>
    <n v="159"/>
    <n v="134"/>
    <n v="111"/>
    <n v="174"/>
    <n v="119"/>
    <n v="94"/>
    <n v="146"/>
    <n v="87"/>
    <n v="79"/>
    <n v="93"/>
    <n v="63.197400000000002"/>
    <n v="63"/>
    <n v="105"/>
    <n v="62"/>
    <n v="73"/>
    <n v="88"/>
    <n v="69"/>
    <n v="70"/>
    <n v="131"/>
    <n v="86"/>
    <n v="62"/>
    <n v="133"/>
    <n v="86"/>
    <n v="100"/>
    <n v="94"/>
    <n v="62"/>
    <n v="58"/>
    <n v="91"/>
    <n v="77"/>
    <n v="77"/>
    <n v="118"/>
    <n v="75"/>
    <n v="84"/>
    <n v="108"/>
  </r>
  <r>
    <x v="0"/>
    <s v="TINTURAS"/>
    <s v="L'OREAL"/>
    <s v="EXCELLENCE"/>
    <s v="7501027275295"/>
    <x v="3"/>
    <s v="EXCELLENCE CREME CREMA POMO 47 GR KIT TONO 5.3"/>
    <s v="Vtas Unds"/>
    <n v="98"/>
    <n v="55"/>
    <n v="43"/>
    <n v="60"/>
    <n v="47"/>
    <n v="47"/>
    <n v="80"/>
    <n v="47"/>
    <n v="52"/>
    <n v="49"/>
    <n v="41"/>
    <n v="36"/>
    <n v="56"/>
    <n v="25"/>
    <n v="22"/>
    <n v="37"/>
    <n v="38"/>
    <n v="45"/>
    <n v="48"/>
    <n v="37"/>
    <n v="34"/>
    <n v="57"/>
    <n v="35"/>
    <n v="23"/>
    <n v="35"/>
    <n v="26"/>
    <n v="38"/>
    <n v="26"/>
    <n v="34"/>
    <n v="16"/>
    <n v="29"/>
    <n v="21"/>
    <n v="11"/>
    <n v="20"/>
    <n v="21"/>
    <n v="15"/>
    <n v="31"/>
  </r>
  <r>
    <x v="0"/>
    <s v="TINTURAS"/>
    <s v="L'OREAL"/>
    <s v="EXCELLENCE"/>
    <s v="7501027275301"/>
    <x v="3"/>
    <s v="EXCELLENCE CREME CREMA POMO 47 GR KIT TONO 7"/>
    <s v="Vtas Unds"/>
    <n v="485"/>
    <n v="276.30939999999998"/>
    <n v="252"/>
    <n v="435"/>
    <n v="321"/>
    <n v="312"/>
    <n v="398"/>
    <n v="265"/>
    <n v="236"/>
    <n v="398"/>
    <n v="225"/>
    <n v="217"/>
    <n v="288"/>
    <n v="192.19739999999999"/>
    <n v="172"/>
    <n v="276"/>
    <n v="154"/>
    <n v="192"/>
    <n v="256"/>
    <n v="159"/>
    <n v="190"/>
    <n v="300"/>
    <n v="159"/>
    <n v="163"/>
    <n v="285"/>
    <n v="190"/>
    <n v="184"/>
    <n v="190"/>
    <n v="145"/>
    <n v="143"/>
    <n v="235"/>
    <n v="168"/>
    <n v="178"/>
    <n v="290"/>
    <n v="210"/>
    <n v="205"/>
    <n v="303"/>
  </r>
  <r>
    <x v="0"/>
    <s v="TINTURAS"/>
    <s v="L'OREAL"/>
    <s v="EXCELLENCE"/>
    <s v="7506078917491"/>
    <x v="3"/>
    <s v="EXCELLENCE CREME CREMA POMO 47 GR KIT TONO 6.34"/>
    <s v="Vtas Unds"/>
    <n v="97"/>
    <n v="58"/>
    <n v="42"/>
    <n v="62"/>
    <n v="52"/>
    <n v="45"/>
    <n v="78"/>
    <n v="55"/>
    <n v="38"/>
    <n v="61"/>
    <n v="50"/>
    <n v="42"/>
    <n v="58"/>
    <n v="28"/>
    <n v="45"/>
    <n v="30"/>
    <n v="24"/>
    <n v="25"/>
    <n v="34"/>
    <n v="12"/>
    <n v="10"/>
    <n v="20"/>
    <n v="9"/>
    <n v="4"/>
    <n v="8"/>
    <n v="6"/>
    <n v="7"/>
    <n v="8"/>
    <n v="4"/>
    <n v="1"/>
    <n v="9"/>
    <n v="5"/>
    <n v="6"/>
    <n v="30"/>
    <n v="40"/>
    <n v="46"/>
    <n v="53"/>
  </r>
  <r>
    <x v="0"/>
    <s v="TINTURAS"/>
    <s v="L'OREAL"/>
    <s v="EXCELLENCE"/>
    <s v="7506078921603"/>
    <x v="3"/>
    <s v="EXCELLENCE CREME CREMA POMO 47 GR KIT TONO 6.7"/>
    <s v="Vtas Unds"/>
    <n v="268"/>
    <n v="156"/>
    <n v="143"/>
    <n v="191"/>
    <n v="181"/>
    <n v="180"/>
    <n v="200"/>
    <n v="168"/>
    <n v="139"/>
    <n v="188"/>
    <n v="132"/>
    <n v="105"/>
    <n v="153"/>
    <n v="87"/>
    <n v="89"/>
    <n v="127"/>
    <n v="85"/>
    <n v="81"/>
    <n v="113"/>
    <n v="84"/>
    <n v="126"/>
    <n v="136"/>
    <n v="86"/>
    <n v="116"/>
    <n v="149"/>
    <n v="106"/>
    <n v="130"/>
    <n v="172"/>
    <n v="100"/>
    <n v="112"/>
    <n v="126"/>
    <n v="107"/>
    <n v="100"/>
    <n v="153"/>
    <n v="121"/>
    <n v="117"/>
    <n v="152"/>
  </r>
  <r>
    <x v="0"/>
    <s v="TINTURAS"/>
    <s v="L'OREAL"/>
    <s v="EXCELLENCE"/>
    <s v="7506078935488"/>
    <x v="3"/>
    <s v="EXCELLENCE CREME CREMA POMO 47 GR KIT TONO 1"/>
    <s v="Vtas Unds"/>
    <n v="235"/>
    <n v="126"/>
    <n v="104"/>
    <n v="135"/>
    <n v="127"/>
    <n v="132"/>
    <n v="174"/>
    <n v="115"/>
    <n v="77"/>
    <n v="136"/>
    <n v="96"/>
    <n v="81"/>
    <n v="96"/>
    <n v="56"/>
    <n v="61"/>
    <n v="71"/>
    <n v="55"/>
    <n v="72"/>
    <n v="79.455200000000005"/>
    <n v="49"/>
    <n v="64"/>
    <n v="94"/>
    <n v="45"/>
    <n v="59"/>
    <n v="75"/>
    <n v="41"/>
    <n v="72"/>
    <n v="89"/>
    <n v="40"/>
    <n v="60"/>
    <n v="85"/>
    <n v="52"/>
    <n v="46"/>
    <n v="62"/>
    <n v="57"/>
    <n v="66"/>
    <n v="88"/>
  </r>
  <r>
    <x v="0"/>
    <s v="TINTURAS"/>
    <s v="L'OREAL"/>
    <s v="EXCELLENCE"/>
    <s v="7506078935501"/>
    <x v="3"/>
    <s v="EXCELLENCE CREME TRI.PROTE.COLOR POMO 47 GR KIT TONO 3"/>
    <s v="Vtas Unds"/>
    <n v="233"/>
    <n v="133"/>
    <n v="122"/>
    <n v="165"/>
    <n v="166"/>
    <n v="129"/>
    <n v="218"/>
    <n v="139"/>
    <n v="128"/>
    <n v="157"/>
    <n v="93"/>
    <n v="115"/>
    <n v="105"/>
    <n v="105"/>
    <n v="90"/>
    <n v="90"/>
    <n v="51"/>
    <n v="77"/>
    <n v="113"/>
    <n v="67"/>
    <n v="70"/>
    <n v="98"/>
    <n v="63"/>
    <n v="46"/>
    <n v="99"/>
    <n v="69"/>
    <n v="99"/>
    <n v="107"/>
    <n v="54"/>
    <n v="58"/>
    <n v="83"/>
    <n v="48"/>
    <n v="54"/>
    <n v="87"/>
    <n v="68"/>
    <n v="76"/>
    <n v="86"/>
  </r>
  <r>
    <x v="0"/>
    <s v="TINTURAS"/>
    <s v="L'OREAL"/>
    <s v="EXCELLENCE"/>
    <s v="7506078935907"/>
    <x v="3"/>
    <s v="EXCELLENCECREME TONO 8.3 POMO 47 GRKIT"/>
    <s v="Vtas Unds"/>
    <n v="232"/>
    <n v="118"/>
    <n v="118"/>
    <n v="178"/>
    <n v="150"/>
    <n v="131"/>
    <n v="184"/>
    <n v="134"/>
    <n v="117"/>
    <n v="173"/>
    <n v="107"/>
    <n v="96"/>
    <n v="121"/>
    <n v="85"/>
    <n v="88"/>
    <n v="128"/>
    <n v="101"/>
    <n v="99"/>
    <n v="128.2276"/>
    <n v="87"/>
    <n v="86"/>
    <n v="134"/>
    <n v="76"/>
    <n v="55"/>
    <n v="108"/>
    <n v="77"/>
    <n v="102"/>
    <n v="106"/>
    <n v="68"/>
    <n v="74"/>
    <n v="83"/>
    <n v="85"/>
    <n v="75"/>
    <n v="105"/>
    <n v="58"/>
    <n v="91"/>
    <n v="149"/>
  </r>
  <r>
    <x v="0"/>
    <s v="TINTURAS"/>
    <s v="L'OREAL"/>
    <s v="EXCELLENCE"/>
    <s v="7509552791778"/>
    <x v="3"/>
    <s v="EXCELLENCE CREM. PERM. TUBO 47GR T.6.111"/>
    <s v="Vtas Unds"/>
    <n v="0"/>
    <n v="0"/>
    <n v="0"/>
    <n v="0"/>
    <n v="0"/>
    <n v="8"/>
    <n v="4"/>
    <n v="6"/>
    <n v="7"/>
    <n v="13"/>
    <n v="8"/>
    <n v="6"/>
    <n v="16"/>
    <n v="11"/>
    <n v="11"/>
    <n v="11"/>
    <n v="11"/>
    <n v="8"/>
    <n v="8"/>
    <n v="9"/>
    <n v="6"/>
    <n v="14"/>
    <n v="3"/>
    <n v="8"/>
    <n v="9"/>
    <n v="5"/>
    <n v="6"/>
    <n v="14"/>
    <n v="6"/>
    <n v="11"/>
    <n v="17"/>
    <n v="11"/>
    <n v="16"/>
    <n v="20"/>
    <n v="0"/>
    <n v="0"/>
    <n v="0"/>
  </r>
  <r>
    <x v="0"/>
    <s v="TINTURAS"/>
    <s v="L'OREAL"/>
    <s v="EXCELLENCE"/>
    <s v="7509552841831"/>
    <x v="3"/>
    <s v="EXCELLENCE CREME PER. TUBO 45GR T.02 NEGRO PROF. KIT"/>
    <s v="Vtas Unds"/>
    <n v="40"/>
    <n v="15"/>
    <n v="14"/>
    <n v="23"/>
    <n v="21"/>
    <n v="14"/>
    <n v="37"/>
    <n v="25"/>
    <n v="23"/>
    <n v="27"/>
    <n v="22"/>
    <n v="24"/>
    <n v="18"/>
    <n v="11"/>
    <n v="15"/>
    <n v="25"/>
    <n v="15"/>
    <n v="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509552844443"/>
    <x v="3"/>
    <s v="LOREAL EXCELLENCE PERM.TUBO 47GR T.6.12 RUB OSCU.CENIZO KIT"/>
    <s v="Vtas Unds"/>
    <n v="110"/>
    <n v="49"/>
    <n v="45"/>
    <n v="72"/>
    <n v="58"/>
    <n v="41"/>
    <n v="55"/>
    <n v="37"/>
    <n v="36"/>
    <n v="54"/>
    <n v="40"/>
    <n v="42"/>
    <n v="58"/>
    <n v="31"/>
    <n v="40"/>
    <n v="39"/>
    <n v="24"/>
    <n v="17"/>
    <n v="31"/>
    <n v="15"/>
    <n v="20"/>
    <n v="21"/>
    <n v="15"/>
    <n v="18"/>
    <n v="20"/>
    <n v="13"/>
    <n v="14"/>
    <n v="31"/>
    <n v="23"/>
    <n v="25"/>
    <n v="33"/>
    <n v="19"/>
    <n v="27"/>
    <n v="25"/>
    <n v="18"/>
    <n v="20"/>
    <n v="26"/>
  </r>
  <r>
    <x v="0"/>
    <s v="TINTURAS"/>
    <s v="L'OREAL"/>
    <s v="EXCELLENCE"/>
    <s v="7509552844450"/>
    <x v="3"/>
    <s v="EXCELLENCE PERM.CREMA TUBO 47GR T.6.17 KIT"/>
    <s v="Vtas Unds"/>
    <n v="0"/>
    <n v="0"/>
    <n v="0"/>
    <n v="0"/>
    <n v="0"/>
    <n v="0"/>
    <n v="0"/>
    <n v="22"/>
    <n v="33"/>
    <n v="26"/>
    <n v="26"/>
    <n v="18"/>
    <n v="20"/>
    <n v="16"/>
    <n v="8"/>
    <n v="10"/>
    <n v="9"/>
    <n v="16"/>
    <n v="10"/>
    <n v="12"/>
    <n v="8"/>
    <n v="9"/>
    <n v="9"/>
    <n v="6"/>
    <n v="8"/>
    <n v="6"/>
    <n v="6"/>
    <n v="13"/>
    <n v="10"/>
    <n v="10"/>
    <n v="12"/>
    <n v="10"/>
    <n v="12"/>
    <n v="10"/>
    <n v="13"/>
    <n v="14"/>
    <n v="24"/>
  </r>
  <r>
    <x v="0"/>
    <s v="TINTURAS"/>
    <s v="L'OREAL"/>
    <s v="EXCELLENCE"/>
    <s v="7509552844467"/>
    <x v="3"/>
    <s v="EXCELLENCE CREME PERMA. TUBO 47GR T.7.12 KIT"/>
    <s v="Vtas Unds"/>
    <n v="112"/>
    <n v="59"/>
    <n v="45"/>
    <n v="74"/>
    <n v="68"/>
    <n v="60"/>
    <n v="97"/>
    <n v="49"/>
    <n v="50"/>
    <n v="66"/>
    <n v="52"/>
    <n v="32"/>
    <n v="45"/>
    <n v="45"/>
    <n v="28"/>
    <n v="39"/>
    <n v="23"/>
    <n v="22"/>
    <n v="30"/>
    <n v="21"/>
    <n v="23"/>
    <n v="12"/>
    <n v="12"/>
    <n v="9"/>
    <n v="7"/>
    <n v="17"/>
    <n v="12"/>
    <n v="25"/>
    <n v="23"/>
    <n v="23"/>
    <n v="34"/>
    <n v="20"/>
    <n v="14"/>
    <n v="26"/>
    <n v="21"/>
    <n v="17"/>
    <n v="22"/>
  </r>
  <r>
    <x v="0"/>
    <s v="TINTURAS"/>
    <s v="L'OREAL"/>
    <s v="EXCELLENCE"/>
    <s v="7509552844474"/>
    <x v="3"/>
    <s v="LOREAL EXCELLENCE PERM.TUBO 47GR T.7.17 RUBIO CEN.MATTE KIT"/>
    <s v="Vtas Unds"/>
    <n v="102"/>
    <n v="48"/>
    <n v="37"/>
    <n v="40"/>
    <n v="43"/>
    <n v="42"/>
    <n v="67"/>
    <n v="41"/>
    <n v="42"/>
    <n v="55"/>
    <n v="36"/>
    <n v="28"/>
    <n v="25"/>
    <n v="25"/>
    <n v="22"/>
    <n v="23"/>
    <n v="18"/>
    <n v="17"/>
    <n v="22"/>
    <n v="26"/>
    <n v="10"/>
    <n v="14"/>
    <n v="7"/>
    <n v="5"/>
    <n v="17"/>
    <n v="9"/>
    <n v="11"/>
    <n v="19"/>
    <n v="8"/>
    <n v="14"/>
    <n v="21"/>
    <n v="11"/>
    <n v="26"/>
    <n v="16"/>
    <n v="21"/>
    <n v="17"/>
    <n v="30"/>
  </r>
  <r>
    <x v="0"/>
    <s v="TINTURAS"/>
    <s v="L'OREAL"/>
    <s v="EXCELLENCE"/>
    <s v="7509552844481"/>
    <x v="3"/>
    <s v="LOREAL EXCELLENCE PERM.TUBO 47GR T.8.12 RUB.CLARO CEN.KIT"/>
    <s v="Vtas Unds"/>
    <n v="46"/>
    <n v="26"/>
    <n v="23"/>
    <n v="43"/>
    <n v="33"/>
    <n v="32"/>
    <n v="37"/>
    <n v="40"/>
    <n v="27"/>
    <n v="34"/>
    <n v="24"/>
    <n v="26"/>
    <n v="31"/>
    <n v="19"/>
    <n v="25"/>
    <n v="21"/>
    <n v="29"/>
    <n v="22"/>
    <n v="25"/>
    <n v="15"/>
    <n v="14"/>
    <n v="33"/>
    <n v="13"/>
    <n v="10"/>
    <n v="9"/>
    <n v="10"/>
    <n v="14"/>
    <n v="36"/>
    <n v="18"/>
    <n v="9"/>
    <n v="26"/>
    <n v="24"/>
    <n v="14"/>
    <n v="34"/>
    <n v="25"/>
    <n v="32"/>
    <n v="33"/>
  </r>
  <r>
    <x v="0"/>
    <s v="TINTURAS"/>
    <s v="L'OREAL"/>
    <s v="EXCELLENCE"/>
    <s v="7509552844498"/>
    <x v="3"/>
    <s v="LOREAL EXCELLENCE PERM.TUBO47GR T.817 RUBIO CLARO CENIZO KIT"/>
    <s v="Vtas Unds"/>
    <n v="111"/>
    <n v="50"/>
    <n v="53"/>
    <n v="69"/>
    <n v="71"/>
    <n v="49"/>
    <n v="67"/>
    <n v="60"/>
    <n v="45"/>
    <n v="51"/>
    <n v="30"/>
    <n v="22"/>
    <n v="35"/>
    <n v="21"/>
    <n v="21"/>
    <n v="23"/>
    <n v="17"/>
    <n v="21"/>
    <n v="42"/>
    <n v="25"/>
    <n v="21"/>
    <n v="43"/>
    <n v="33"/>
    <n v="17"/>
    <n v="36"/>
    <n v="27"/>
    <n v="38"/>
    <n v="27"/>
    <n v="22"/>
    <n v="23"/>
    <n v="27"/>
    <n v="18"/>
    <n v="16"/>
    <n v="22"/>
    <n v="19"/>
    <n v="24"/>
    <n v="32"/>
  </r>
  <r>
    <x v="0"/>
    <s v="TINTURAS"/>
    <s v="L'OREAL"/>
    <s v="EXCELLENCE"/>
    <s v="7509552844511"/>
    <x v="3"/>
    <s v="LOREAL EXCELLENCE PERM.TUBO 47GR T.9.17 RUB.M.CLARO CEN.KIT"/>
    <s v="Vtas Unds"/>
    <n v="205"/>
    <n v="85"/>
    <n v="86"/>
    <n v="123"/>
    <n v="111"/>
    <n v="72"/>
    <n v="131"/>
    <n v="88"/>
    <n v="74"/>
    <n v="108"/>
    <n v="49"/>
    <n v="58"/>
    <n v="86"/>
    <n v="40"/>
    <n v="52"/>
    <n v="53"/>
    <n v="51"/>
    <n v="53"/>
    <n v="71"/>
    <n v="37"/>
    <n v="50"/>
    <n v="68"/>
    <n v="38"/>
    <n v="40"/>
    <n v="65"/>
    <n v="36"/>
    <n v="67"/>
    <n v="66"/>
    <n v="54"/>
    <n v="29"/>
    <n v="53"/>
    <n v="40"/>
    <n v="47"/>
    <n v="46"/>
    <n v="46"/>
    <n v="55"/>
    <n v="74"/>
  </r>
  <r>
    <x v="0"/>
    <s v="TINTURAS"/>
    <s v="L'OREAL"/>
    <s v="EXCELLENCE"/>
    <s v="7509552850567"/>
    <x v="3"/>
    <s v="EXCELLENCE PERM. CREMA TUBO 47GR T.RUBIO CLARO KIT"/>
    <s v="Vtas Unds"/>
    <n v="65"/>
    <n v="43"/>
    <n v="33"/>
    <n v="49"/>
    <n v="36"/>
    <n v="31"/>
    <n v="45"/>
    <n v="30"/>
    <n v="18"/>
    <n v="32"/>
    <n v="32"/>
    <n v="17"/>
    <n v="32"/>
    <n v="21"/>
    <n v="27"/>
    <n v="27"/>
    <n v="25"/>
    <n v="39"/>
    <n v="45"/>
    <n v="33"/>
    <n v="48"/>
    <n v="41"/>
    <n v="29"/>
    <n v="26"/>
    <n v="28"/>
    <n v="33"/>
    <n v="27"/>
    <n v="9"/>
    <n v="11"/>
    <n v="34"/>
    <n v="48"/>
    <n v="22"/>
    <n v="35"/>
    <n v="37"/>
    <n v="44"/>
    <n v="32"/>
    <n v="47"/>
  </r>
  <r>
    <x v="0"/>
    <s v="TINTURAS"/>
    <s v="L'OREAL"/>
    <s v="EXCELLENCE"/>
    <s v="7509552878196"/>
    <x v="4"/>
    <s v="EXCELLENCE S.AMON.T.UNIVER.PER.CREMA KIT PM.45GR T.1U"/>
    <s v="Vtas Unds"/>
    <n v="0"/>
    <n v="0"/>
    <n v="0"/>
    <n v="0"/>
    <n v="0"/>
    <n v="0"/>
    <n v="0"/>
    <n v="0"/>
    <n v="0"/>
    <n v="0"/>
    <n v="0"/>
    <n v="0"/>
    <n v="0"/>
    <n v="4"/>
    <n v="11"/>
    <n v="16"/>
    <n v="18"/>
    <n v="20"/>
    <n v="23"/>
    <n v="24"/>
    <n v="18"/>
    <n v="31"/>
    <n v="26"/>
    <n v="23"/>
    <n v="31"/>
    <n v="16"/>
    <n v="21"/>
    <n v="38"/>
    <n v="27"/>
    <n v="42"/>
    <n v="42"/>
    <n v="35"/>
    <n v="35"/>
    <n v="65"/>
    <n v="54"/>
    <n v="23"/>
    <n v="31"/>
  </r>
  <r>
    <x v="0"/>
    <s v="TINTURAS"/>
    <s v="L'OREAL"/>
    <s v="EXCELLENCE"/>
    <s v="7509552878202"/>
    <x v="4"/>
    <s v="EXCELLENCE S.AM.T.UNIV.PER.CREMA KIT POMO 45GR T.7U"/>
    <s v="Vtas Unds"/>
    <n v="0"/>
    <n v="0"/>
    <n v="0"/>
    <n v="0"/>
    <n v="0"/>
    <n v="0"/>
    <n v="0"/>
    <n v="0"/>
    <n v="0"/>
    <n v="0"/>
    <n v="0"/>
    <n v="0"/>
    <n v="0"/>
    <n v="20"/>
    <n v="52"/>
    <n v="71"/>
    <n v="98"/>
    <n v="82"/>
    <n v="127"/>
    <n v="90"/>
    <n v="131"/>
    <n v="194"/>
    <n v="145"/>
    <n v="104"/>
    <n v="178"/>
    <n v="103"/>
    <n v="105"/>
    <n v="179"/>
    <n v="105"/>
    <n v="169"/>
    <n v="166"/>
    <n v="104"/>
    <n v="144"/>
    <n v="268"/>
    <n v="226"/>
    <n v="121"/>
    <n v="172"/>
  </r>
  <r>
    <x v="0"/>
    <s v="TINTURAS"/>
    <s v="L'OREAL"/>
    <s v="EXCELLENCE"/>
    <s v="7509552878219"/>
    <x v="4"/>
    <s v="EXCELLENCE S.AM.T.UNIV.PERM.CREMA KIT POMO 45GR T.4U"/>
    <s v="Vtas Unds"/>
    <n v="0"/>
    <n v="0"/>
    <n v="0"/>
    <n v="0"/>
    <n v="0"/>
    <n v="0"/>
    <n v="0"/>
    <n v="0"/>
    <n v="0"/>
    <n v="0"/>
    <n v="0"/>
    <n v="0"/>
    <n v="0"/>
    <n v="9"/>
    <n v="27"/>
    <n v="43"/>
    <n v="47"/>
    <n v="55"/>
    <n v="69"/>
    <n v="44"/>
    <n v="65"/>
    <n v="85"/>
    <n v="69"/>
    <n v="47"/>
    <n v="83"/>
    <n v="63"/>
    <n v="54"/>
    <n v="121"/>
    <n v="71"/>
    <n v="106"/>
    <n v="99"/>
    <n v="59"/>
    <n v="68"/>
    <n v="127"/>
    <n v="100"/>
    <n v="92"/>
    <n v="95"/>
  </r>
  <r>
    <x v="0"/>
    <s v="TINTURAS"/>
    <s v="L'OREAL"/>
    <s v="EXCELLENCE"/>
    <s v="7509552878226"/>
    <x v="4"/>
    <s v="COLORACION EXCELLENCE NUDES 2U SIN AMONI CJ 1.000 UN"/>
    <s v="Vtas Unds"/>
    <n v="0"/>
    <n v="0"/>
    <n v="0"/>
    <n v="0"/>
    <n v="0"/>
    <n v="0"/>
    <n v="0"/>
    <n v="0"/>
    <n v="0"/>
    <n v="0"/>
    <n v="0"/>
    <n v="0"/>
    <n v="0"/>
    <n v="0"/>
    <n v="3"/>
    <n v="3"/>
    <n v="4"/>
    <n v="1"/>
    <n v="9"/>
    <n v="6"/>
    <n v="6"/>
    <n v="15"/>
    <n v="7"/>
    <n v="4"/>
    <n v="10"/>
    <n v="3"/>
    <n v="5"/>
    <n v="4"/>
    <n v="9"/>
    <n v="13"/>
    <n v="23"/>
    <n v="21"/>
    <n v="25"/>
    <n v="29"/>
    <n v="33"/>
    <n v="11"/>
    <n v="18"/>
  </r>
  <r>
    <x v="0"/>
    <s v="TINTURAS"/>
    <s v="L'OREAL"/>
    <s v="EXCELLENCE"/>
    <s v="7509552878233"/>
    <x v="4"/>
    <s v="EXCELLENCE S.AMON.T.UNIV.PERM.CREMA KIT POMO 45GR T.6U"/>
    <s v="Vtas Unds"/>
    <n v="0"/>
    <n v="0"/>
    <n v="0"/>
    <n v="0"/>
    <n v="0"/>
    <n v="0"/>
    <n v="0"/>
    <n v="0"/>
    <n v="0"/>
    <n v="0"/>
    <n v="0"/>
    <n v="0"/>
    <n v="0"/>
    <n v="19"/>
    <n v="26"/>
    <n v="64"/>
    <n v="102"/>
    <n v="98"/>
    <n v="116"/>
    <n v="96"/>
    <n v="88"/>
    <n v="166"/>
    <n v="58"/>
    <n v="60"/>
    <n v="56"/>
    <n v="120"/>
    <n v="95"/>
    <n v="127"/>
    <n v="98"/>
    <n v="117"/>
    <n v="115"/>
    <n v="86"/>
    <n v="83"/>
    <n v="100"/>
    <n v="94"/>
    <n v="83"/>
    <n v="93"/>
  </r>
  <r>
    <x v="0"/>
    <s v="TINTURAS"/>
    <s v="L'OREAL"/>
    <s v="EXCELLENCE"/>
    <s v="7509552878240"/>
    <x v="4"/>
    <s v="EXCELLENCE S.AMO.T.UNIV.PERM.CREM.KIT PM.45GR T.3U"/>
    <s v="Vtas Unds"/>
    <n v="0"/>
    <n v="0"/>
    <n v="0"/>
    <n v="0"/>
    <n v="0"/>
    <n v="0"/>
    <n v="0"/>
    <n v="0"/>
    <n v="0"/>
    <n v="0"/>
    <n v="0"/>
    <n v="0"/>
    <n v="0"/>
    <n v="12"/>
    <n v="15"/>
    <n v="24"/>
    <n v="33"/>
    <n v="23"/>
    <n v="38"/>
    <n v="35"/>
    <n v="34"/>
    <n v="38"/>
    <n v="26"/>
    <n v="25"/>
    <n v="42"/>
    <n v="38"/>
    <n v="37"/>
    <n v="60"/>
    <n v="45"/>
    <n v="58"/>
    <n v="66"/>
    <n v="29"/>
    <n v="56"/>
    <n v="102"/>
    <n v="75"/>
    <n v="40"/>
    <n v="72"/>
  </r>
  <r>
    <x v="0"/>
    <s v="TINTURAS"/>
    <s v="L'OREAL"/>
    <s v="EXCELLENCE"/>
    <s v="7509552878257"/>
    <x v="4"/>
    <s v="EXCELLENCE S.AMON.T.UNIV.PER.CREM.KITPM.45GR T.5U"/>
    <s v="Vtas Unds"/>
    <n v="0"/>
    <n v="0"/>
    <n v="0"/>
    <n v="0"/>
    <n v="0"/>
    <n v="0"/>
    <n v="0"/>
    <n v="0"/>
    <n v="0"/>
    <n v="0"/>
    <n v="0"/>
    <n v="0"/>
    <n v="0"/>
    <n v="8"/>
    <n v="35"/>
    <n v="75"/>
    <n v="78"/>
    <n v="73"/>
    <n v="110"/>
    <n v="77"/>
    <n v="91"/>
    <n v="142"/>
    <n v="100"/>
    <n v="85"/>
    <n v="139"/>
    <n v="95"/>
    <n v="74"/>
    <n v="158"/>
    <n v="104"/>
    <n v="142"/>
    <n v="177"/>
    <n v="105"/>
    <n v="116"/>
    <n v="220"/>
    <n v="169"/>
    <n v="115"/>
    <n v="138"/>
  </r>
  <r>
    <x v="0"/>
    <s v="TINTURAS"/>
    <s v="L'OREAL"/>
    <s v="EXCELLENCE"/>
    <s v="7509552878264"/>
    <x v="4"/>
    <s v="EXCELLENCE S.AM.T.UNI.PER.CREMA KIT PM.45GR T.8U"/>
    <s v="Vtas Unds"/>
    <n v="0"/>
    <n v="0"/>
    <n v="0"/>
    <n v="0"/>
    <n v="0"/>
    <n v="0"/>
    <n v="0"/>
    <n v="0"/>
    <n v="0"/>
    <n v="0"/>
    <n v="0"/>
    <n v="0"/>
    <n v="0"/>
    <n v="17"/>
    <n v="39"/>
    <n v="61"/>
    <n v="96"/>
    <n v="71"/>
    <n v="82"/>
    <n v="66"/>
    <n v="80"/>
    <n v="136"/>
    <n v="90"/>
    <n v="76"/>
    <n v="111"/>
    <n v="85"/>
    <n v="82"/>
    <n v="127"/>
    <n v="100"/>
    <n v="134"/>
    <n v="121"/>
    <n v="78"/>
    <n v="70"/>
    <n v="188"/>
    <n v="133"/>
    <n v="99"/>
    <n v="129"/>
  </r>
  <r>
    <x v="0"/>
    <s v="TINTURAS"/>
    <s v="L'OREAL"/>
    <s v="EXCELLENCE"/>
    <s v="7509552878271"/>
    <x v="4"/>
    <s v="EXCELLEN.S.AM.T.UNIV.PER.CREM.KITPM.45GR T.9U"/>
    <s v="Vtas Unds"/>
    <n v="0"/>
    <n v="0"/>
    <n v="0"/>
    <n v="0"/>
    <n v="0"/>
    <n v="0"/>
    <n v="0"/>
    <n v="0"/>
    <n v="0"/>
    <n v="0"/>
    <n v="0"/>
    <n v="0"/>
    <n v="0"/>
    <n v="13"/>
    <n v="25"/>
    <n v="39"/>
    <n v="51"/>
    <n v="50"/>
    <n v="70.196700000000007"/>
    <n v="36"/>
    <n v="43"/>
    <n v="81"/>
    <n v="58"/>
    <n v="32"/>
    <n v="60"/>
    <n v="57"/>
    <n v="52"/>
    <n v="86"/>
    <n v="70"/>
    <n v="69"/>
    <n v="84"/>
    <n v="35"/>
    <n v="76"/>
    <n v="128"/>
    <n v="81"/>
    <n v="50"/>
    <n v="85"/>
  </r>
  <r>
    <x v="0"/>
    <s v="TINTURAS"/>
    <s v="L'OREAL"/>
    <s v="EXCELLENCE"/>
    <s v="7509552909531"/>
    <x v="3"/>
    <s v="EXCELLENCE CREMA PERM.T.9.3 POMO 47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38"/>
    <n v="50"/>
    <n v="64"/>
    <n v="55"/>
    <n v="69"/>
    <n v="83"/>
    <n v="41"/>
    <n v="38"/>
    <n v="68"/>
    <n v="8"/>
    <n v="8"/>
    <n v="33"/>
    <n v="31"/>
    <n v="15"/>
    <n v="13"/>
  </r>
  <r>
    <x v="0"/>
    <s v="TINTURAS"/>
    <s v="L'OREAL"/>
    <s v="EXCELLENCE"/>
    <s v="7509552910469"/>
    <x v="3"/>
    <s v="EXCELLENCE CREME CREMA POMO 47 GR KIT TONO 121"/>
    <s v="Vtas Unds"/>
    <n v="10"/>
    <n v="5"/>
    <n v="4"/>
    <n v="3"/>
    <n v="1"/>
    <n v="1"/>
    <n v="1"/>
    <n v="0"/>
    <n v="0"/>
    <n v="0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509552910841"/>
    <x v="5"/>
    <s v="EXCELLENCE EXTRA FROFUNDO TUBO 45 GR KIT TONO 810"/>
    <s v="Vtas Unds"/>
    <n v="8"/>
    <n v="10"/>
    <n v="6"/>
    <n v="14"/>
    <n v="6"/>
    <n v="8"/>
    <n v="11"/>
    <n v="2"/>
    <n v="9"/>
    <n v="14"/>
    <n v="2"/>
    <n v="2"/>
    <n v="11"/>
    <n v="5"/>
    <n v="2"/>
    <n v="12"/>
    <n v="4"/>
    <n v="7"/>
    <n v="6"/>
    <n v="6"/>
    <n v="4"/>
    <n v="11"/>
    <n v="2"/>
    <n v="1"/>
    <n v="4"/>
    <n v="1"/>
    <n v="1"/>
    <n v="7"/>
    <n v="0"/>
    <n v="0"/>
    <n v="0"/>
    <n v="0"/>
    <n v="0"/>
    <n v="0"/>
    <n v="0"/>
    <n v="0"/>
    <n v="0"/>
  </r>
  <r>
    <x v="0"/>
    <s v="TINTURAS"/>
    <s v="L'OREAL"/>
    <s v="EXCELLENCE"/>
    <s v="7509552910865"/>
    <x v="5"/>
    <s v="EXCELLENCE EXTRA FROFUNDO TUBO 45 GR KIT TONO 610"/>
    <s v="Vtas Unds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509552910889"/>
    <x v="5"/>
    <s v="EXCELLENCE EXTRA PROFUNDO TUBO 45 GR KIT TONO 470"/>
    <s v="Vtas Unds"/>
    <n v="9"/>
    <n v="8"/>
    <n v="10"/>
    <n v="14"/>
    <n v="8"/>
    <n v="9"/>
    <n v="13"/>
    <n v="17"/>
    <n v="17"/>
    <n v="18"/>
    <n v="7"/>
    <n v="5"/>
    <n v="9"/>
    <n v="3"/>
    <n v="4"/>
    <n v="3"/>
    <n v="3"/>
    <n v="4"/>
    <n v="11"/>
    <n v="4"/>
    <n v="2"/>
    <n v="3"/>
    <n v="3"/>
    <n v="0"/>
    <n v="1"/>
    <n v="0"/>
    <n v="0"/>
    <n v="0"/>
    <n v="0"/>
    <n v="0"/>
    <n v="0"/>
    <n v="0"/>
    <n v="1"/>
    <n v="0"/>
    <n v="0"/>
    <n v="0"/>
    <n v="0"/>
  </r>
  <r>
    <x v="0"/>
    <s v="TINTURAS"/>
    <s v="L'OREAL"/>
    <s v="EXCELLENCE"/>
    <s v="7509552910896"/>
    <x v="5"/>
    <s v="EXCELLENCE EXTRA FROFUNDO TUBO 45 GR KIT TONO 410"/>
    <s v="Vtas Unds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509552910902"/>
    <x v="5"/>
    <s v="EXCELLENCE EXTRA FROFUNDO TUBO 45 GR KIT TONO 280"/>
    <s v="Vtas Unds"/>
    <n v="10"/>
    <n v="5"/>
    <n v="2"/>
    <n v="7"/>
    <n v="3"/>
    <n v="2"/>
    <n v="7"/>
    <n v="3"/>
    <n v="3"/>
    <n v="2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509552910919"/>
    <x v="5"/>
    <s v="EXCELLENCE EXTRA PROFUNDO TUBO 45 GR KIT TONO 677"/>
    <s v="Vtas Unds"/>
    <n v="21"/>
    <n v="12"/>
    <n v="14"/>
    <n v="35"/>
    <n v="28"/>
    <n v="14"/>
    <n v="25"/>
    <n v="22"/>
    <n v="11"/>
    <n v="31"/>
    <n v="14"/>
    <n v="18"/>
    <n v="26"/>
    <n v="12"/>
    <n v="15"/>
    <n v="24"/>
    <n v="11"/>
    <n v="10"/>
    <n v="12"/>
    <n v="4"/>
    <n v="7"/>
    <n v="29"/>
    <n v="11"/>
    <n v="7"/>
    <n v="20"/>
    <n v="12"/>
    <n v="9"/>
    <n v="26"/>
    <n v="22"/>
    <n v="15"/>
    <n v="20"/>
    <n v="12"/>
    <n v="17"/>
    <n v="26"/>
    <n v="15"/>
    <n v="13"/>
    <n v="19"/>
  </r>
  <r>
    <x v="0"/>
    <s v="TINTURAS"/>
    <s v="L'OREAL"/>
    <s v="EXCELLENCE"/>
    <s v="7509552911077"/>
    <x v="3"/>
    <s v="EXCELLENCE CREME TUBO 45GR T. 120 RUB. ULTRA CLARO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61"/>
    <n v="67"/>
    <n v="113"/>
    <n v="88"/>
    <n v="98"/>
    <n v="136"/>
    <n v="76"/>
    <n v="87"/>
    <n v="126"/>
    <n v="78"/>
    <n v="73"/>
    <n v="96"/>
    <n v="71"/>
    <n v="32"/>
    <n v="51"/>
  </r>
  <r>
    <x v="0"/>
    <s v="TINTURAS"/>
    <s v="L'OREAL"/>
    <s v="EXCELLENCE"/>
    <s v="7509552911794"/>
    <x v="3"/>
    <s v="EXCELLENCE CREME CREMA POMO 47 GR KIT TONO 7.11"/>
    <s v="Vtas Unds"/>
    <n v="218"/>
    <n v="85"/>
    <n v="86"/>
    <n v="149"/>
    <n v="119"/>
    <n v="91"/>
    <n v="141"/>
    <n v="123"/>
    <n v="91"/>
    <n v="116"/>
    <n v="61"/>
    <n v="58"/>
    <n v="86"/>
    <n v="72"/>
    <n v="64"/>
    <n v="92"/>
    <n v="44"/>
    <n v="50"/>
    <n v="58"/>
    <n v="37"/>
    <n v="31"/>
    <n v="62"/>
    <n v="30"/>
    <n v="25"/>
    <n v="38"/>
    <n v="27"/>
    <n v="18"/>
    <n v="73"/>
    <n v="49"/>
    <n v="57"/>
    <n v="60"/>
    <n v="56"/>
    <n v="54"/>
    <n v="85"/>
    <n v="60"/>
    <n v="60"/>
    <n v="77"/>
  </r>
  <r>
    <x v="0"/>
    <s v="TINTURAS"/>
    <s v="L'OREAL"/>
    <s v="EXCELLENCE"/>
    <s v="7509552911800"/>
    <x v="3"/>
    <s v="EXCELLENCE CREME CREMA POMO 47 GR KIT TONO 8"/>
    <s v="Vtas Unds"/>
    <n v="414"/>
    <n v="215.15469999999999"/>
    <n v="184"/>
    <n v="338"/>
    <n v="261"/>
    <n v="231"/>
    <n v="340"/>
    <n v="237"/>
    <n v="195"/>
    <n v="290"/>
    <n v="165"/>
    <n v="163"/>
    <n v="197"/>
    <n v="160.7895"/>
    <n v="143"/>
    <n v="195"/>
    <n v="156"/>
    <n v="157"/>
    <n v="211.2276"/>
    <n v="121"/>
    <n v="141"/>
    <n v="241"/>
    <n v="149"/>
    <n v="109"/>
    <n v="213"/>
    <n v="149"/>
    <n v="177"/>
    <n v="249"/>
    <n v="150"/>
    <n v="141"/>
    <n v="195"/>
    <n v="116"/>
    <n v="124"/>
    <n v="183"/>
    <n v="173"/>
    <n v="131"/>
    <n v="204"/>
  </r>
  <r>
    <x v="0"/>
    <s v="TINTURAS"/>
    <s v="L'OREAL"/>
    <s v="EXCELLENCE"/>
    <s v="7509552911817"/>
    <x v="3"/>
    <s v="EXCELLENCE CREME CREMA POMO 47 GR KIT TONO 9"/>
    <s v="Vtas Unds"/>
    <n v="306"/>
    <n v="177"/>
    <n v="157"/>
    <n v="256"/>
    <n v="193"/>
    <n v="184"/>
    <n v="290"/>
    <n v="172"/>
    <n v="142"/>
    <n v="222"/>
    <n v="108"/>
    <n v="133"/>
    <n v="151"/>
    <n v="111"/>
    <n v="120"/>
    <n v="163"/>
    <n v="125"/>
    <n v="135"/>
    <n v="176"/>
    <n v="113"/>
    <n v="107"/>
    <n v="176"/>
    <n v="125"/>
    <n v="81"/>
    <n v="157"/>
    <n v="112"/>
    <n v="133"/>
    <n v="173"/>
    <n v="106"/>
    <n v="100"/>
    <n v="149"/>
    <n v="90"/>
    <n v="97"/>
    <n v="154"/>
    <n v="108"/>
    <n v="127"/>
    <n v="181"/>
  </r>
  <r>
    <x v="0"/>
    <s v="TINTURAS"/>
    <s v="L'OREAL"/>
    <s v="EXCELLENCE"/>
    <s v="7509552911831"/>
    <x v="3"/>
    <s v="EXCELLENCE CREME CREMA POMO 47 GR KIT TONO 8.11"/>
    <s v="Vtas Unds"/>
    <n v="154"/>
    <n v="99"/>
    <n v="89"/>
    <n v="142"/>
    <n v="123"/>
    <n v="115"/>
    <n v="155"/>
    <n v="105"/>
    <n v="83"/>
    <n v="120"/>
    <n v="79"/>
    <n v="58"/>
    <n v="97"/>
    <n v="51"/>
    <n v="68"/>
    <n v="69"/>
    <n v="67"/>
    <n v="57"/>
    <n v="68"/>
    <n v="58"/>
    <n v="53"/>
    <n v="84"/>
    <n v="46"/>
    <n v="40"/>
    <n v="50"/>
    <n v="33"/>
    <n v="35"/>
    <n v="78"/>
    <n v="54"/>
    <n v="48"/>
    <n v="83"/>
    <n v="67"/>
    <n v="53"/>
    <n v="66"/>
    <n v="62"/>
    <n v="46"/>
    <n v="67"/>
  </r>
  <r>
    <x v="0"/>
    <s v="TINTURAS"/>
    <s v="L'OREAL"/>
    <s v="EXCELLENCE"/>
    <s v="7509552911848"/>
    <x v="3"/>
    <s v="EXCELLENCE CREME CREMA POMO 47 GR KIT TONO 9.1"/>
    <s v="Vtas Unds"/>
    <n v="242"/>
    <n v="123"/>
    <n v="106"/>
    <n v="175"/>
    <n v="162"/>
    <n v="133"/>
    <n v="174"/>
    <n v="104"/>
    <n v="83"/>
    <n v="141"/>
    <n v="91"/>
    <n v="81"/>
    <n v="114"/>
    <n v="83.197400000000002"/>
    <n v="71"/>
    <n v="99"/>
    <n v="85"/>
    <n v="103"/>
    <n v="109"/>
    <n v="75"/>
    <n v="92"/>
    <n v="147"/>
    <n v="80"/>
    <n v="72"/>
    <n v="102"/>
    <n v="71"/>
    <n v="91"/>
    <n v="124"/>
    <n v="62"/>
    <n v="82"/>
    <n v="98"/>
    <n v="75"/>
    <n v="62"/>
    <n v="102"/>
    <n v="80"/>
    <n v="76"/>
    <n v="119"/>
  </r>
  <r>
    <x v="0"/>
    <s v="TINTURAS"/>
    <s v="L'OREAL"/>
    <s v="EXCELLENCE"/>
    <s v="7509552948158"/>
    <x v="3"/>
    <s v="EXCELLENCE CREMA PERM.T.9.3 POMO 47ML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33"/>
    <n v="16"/>
    <n v="11"/>
    <n v="7"/>
    <n v="4"/>
  </r>
  <r>
    <x v="0"/>
    <s v="TINTURAS"/>
    <s v="L'OREAL"/>
    <s v="EXCELLENCE"/>
    <s v="7509552948202"/>
    <x v="3"/>
    <s v="EXCELLENCE CREME RUBIO ULTRA CLARO NAT. TUBO 45GR KIT T.N120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8"/>
    <n v="17"/>
  </r>
  <r>
    <x v="0"/>
    <s v="TINTURAS"/>
    <s v="L'OREAL"/>
    <s v="EXCELLENCE"/>
    <s v="7730317008330BP2"/>
    <x v="3"/>
    <s v="EXCELLENCECREME T.93POMO 47 GRKITC/B.EXPNUTRID.LE.HID.PM200M"/>
    <s v="Vtas Unds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0"/>
    <s v="TINTURAS"/>
    <s v="L'OREAL"/>
    <s v="EXCELLENCE"/>
    <s v="7896014195053"/>
    <x v="3"/>
    <s v="EXCELLENCEKERAT RUB.OSC. DOR.T.6.30POMO 47 GRKIT"/>
    <s v="Vtas Unds"/>
    <n v="0"/>
    <n v="0"/>
    <n v="0"/>
    <n v="0"/>
    <n v="0"/>
    <n v="2"/>
    <n v="0"/>
    <n v="0"/>
    <n v="2"/>
    <n v="0"/>
    <n v="0"/>
    <n v="0"/>
    <n v="0"/>
    <n v="0"/>
    <n v="1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896014195176"/>
    <x v="3"/>
    <s v="EXCELLENCEKERAT TONO 6 POMO 47 GRKIT"/>
    <s v="Vtas Unds"/>
    <n v="1"/>
    <n v="0"/>
    <n v="0"/>
    <n v="0"/>
    <n v="0"/>
    <n v="1"/>
    <n v="5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899706126786"/>
    <x v="3"/>
    <s v="EXCELLENCE CREME CREMA POMO 47 GR KIT TONO 120"/>
    <s v="Vtas Unds"/>
    <n v="199"/>
    <n v="131"/>
    <n v="129"/>
    <n v="168"/>
    <n v="127"/>
    <n v="98"/>
    <n v="176"/>
    <n v="114"/>
    <n v="94"/>
    <n v="125"/>
    <n v="85"/>
    <n v="77"/>
    <n v="132"/>
    <n v="77"/>
    <n v="79"/>
    <n v="79"/>
    <n v="40"/>
    <n v="46"/>
    <n v="44"/>
    <n v="19"/>
    <n v="19"/>
    <n v="8"/>
    <n v="2"/>
    <n v="2"/>
    <n v="1"/>
    <n v="0"/>
    <n v="0"/>
    <n v="0"/>
    <n v="0"/>
    <n v="2"/>
    <n v="2"/>
    <n v="0"/>
    <n v="1"/>
    <n v="2"/>
    <n v="0"/>
    <n v="0"/>
    <n v="1"/>
  </r>
  <r>
    <x v="0"/>
    <s v="TINTURAS"/>
    <s v="L'OREAL"/>
    <s v="EXCELLENCE"/>
    <s v="7899706127059"/>
    <x v="3"/>
    <s v="EXCELLENCECREME T.RUB.OS.ROJ.POMO 47 GRKIT"/>
    <s v="Vtas Unds"/>
    <n v="18"/>
    <n v="19"/>
    <n v="13"/>
    <n v="23"/>
    <n v="16"/>
    <n v="13"/>
    <n v="31"/>
    <n v="16"/>
    <n v="20"/>
    <n v="15"/>
    <n v="16"/>
    <n v="20"/>
    <n v="28"/>
    <n v="13.1974"/>
    <n v="20"/>
    <n v="26"/>
    <n v="18"/>
    <n v="10"/>
    <n v="23"/>
    <n v="11"/>
    <n v="7"/>
    <n v="5"/>
    <n v="3"/>
    <n v="1"/>
    <n v="2"/>
    <n v="0"/>
    <n v="1"/>
    <n v="2"/>
    <n v="0"/>
    <n v="0"/>
    <n v="1"/>
    <n v="1"/>
    <n v="0"/>
    <n v="0"/>
    <n v="0"/>
    <n v="3"/>
    <n v="1"/>
  </r>
  <r>
    <x v="0"/>
    <s v="TINTURAS"/>
    <s v="L'OREAL"/>
    <s v="EXCELLENCE"/>
    <s v="7899706127080"/>
    <x v="3"/>
    <s v="EXCELLENCE CREME CREMA POMO 47 GR KIT TONO 7.1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899706127103"/>
    <x v="3"/>
    <s v="EXCELLENCE CREME CREMA POMO 47 GR KIT TONO 7.3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899706127165"/>
    <x v="3"/>
    <s v="EXCELLENCE CREME CREMA POMO 47 GR KIT TONO RUBIO C.DORADO"/>
    <s v="Vtas Unds"/>
    <n v="59"/>
    <n v="36"/>
    <n v="36"/>
    <n v="35"/>
    <n v="28"/>
    <n v="12"/>
    <n v="25"/>
    <n v="22"/>
    <n v="23"/>
    <n v="17"/>
    <n v="14"/>
    <n v="7"/>
    <n v="4"/>
    <n v="1"/>
    <n v="9"/>
    <n v="4"/>
    <n v="3"/>
    <n v="3"/>
    <n v="4"/>
    <n v="3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899706127172"/>
    <x v="3"/>
    <s v="EXCELLENCE CREME CREMA POMO 47 GR KIT TONO 9"/>
    <s v="Vtas Unds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ENCE"/>
    <s v="7899706127196"/>
    <x v="3"/>
    <s v="EXCELLENCE CREME CREMA POMO 47 GR KIT TONO 9.3"/>
    <s v="Vtas Unds"/>
    <n v="121"/>
    <n v="75"/>
    <n v="62"/>
    <n v="85"/>
    <n v="101"/>
    <n v="66"/>
    <n v="103"/>
    <n v="71"/>
    <n v="65"/>
    <n v="136"/>
    <n v="67"/>
    <n v="71"/>
    <n v="78"/>
    <n v="39"/>
    <n v="52"/>
    <n v="92"/>
    <n v="81"/>
    <n v="60"/>
    <n v="99"/>
    <n v="62"/>
    <n v="61"/>
    <n v="33"/>
    <n v="0"/>
    <n v="0"/>
    <n v="0"/>
    <n v="0"/>
    <n v="0"/>
    <n v="0"/>
    <n v="0"/>
    <n v="0"/>
    <n v="0"/>
    <n v="0"/>
    <n v="0"/>
    <n v="1"/>
    <n v="2"/>
    <n v="1"/>
    <n v="3"/>
  </r>
  <r>
    <x v="0"/>
    <s v="TINTURAS"/>
    <s v="L'OREAL"/>
    <s v="EXCELLENCE"/>
    <s v="7899706127219"/>
    <x v="3"/>
    <s v="EXCELLENCE CREME CREMA POMO 47GR T.7.7"/>
    <s v="Vtas Unds"/>
    <n v="49"/>
    <n v="20"/>
    <n v="25"/>
    <n v="27"/>
    <n v="28"/>
    <n v="26"/>
    <n v="41"/>
    <n v="28"/>
    <n v="25"/>
    <n v="39"/>
    <n v="19"/>
    <n v="23"/>
    <n v="41"/>
    <n v="27"/>
    <n v="26"/>
    <n v="21"/>
    <n v="19"/>
    <n v="33"/>
    <n v="44"/>
    <n v="23"/>
    <n v="14"/>
    <n v="11"/>
    <n v="6"/>
    <n v="2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EXCELL 5"/>
    <s v="7506078967786"/>
    <x v="6"/>
    <s v="EXCELL 5 MEN EXPERTGEL CREMA T.NEG.NAT.FP. 35 MLKIT"/>
    <s v="Vtas Unds"/>
    <n v="93"/>
    <n v="65"/>
    <n v="87"/>
    <n v="93"/>
    <n v="77"/>
    <n v="84"/>
    <n v="74"/>
    <n v="51"/>
    <n v="44"/>
    <n v="58"/>
    <n v="45"/>
    <n v="44"/>
    <n v="43"/>
    <n v="44.197400000000002"/>
    <n v="45"/>
    <n v="62"/>
    <n v="47"/>
    <n v="45"/>
    <n v="62"/>
    <n v="38"/>
    <n v="50"/>
    <n v="64"/>
    <n v="48"/>
    <n v="39"/>
    <n v="46"/>
    <n v="43"/>
    <n v="36"/>
    <n v="68"/>
    <n v="58"/>
    <n v="72"/>
    <n v="49"/>
    <n v="43"/>
    <n v="47"/>
    <n v="60"/>
    <n v="43"/>
    <n v="45"/>
    <n v="38"/>
  </r>
  <r>
    <x v="0"/>
    <s v="TINTURAS"/>
    <s v="L'OREAL"/>
    <s v="EXCELL 5"/>
    <s v="7506078967793"/>
    <x v="6"/>
    <s v="EXCELL 5 MEN EXPERTGEL CRE.T.CA.NE.NAT.FP. 35 MLKIT"/>
    <s v="Vtas Unds"/>
    <n v="51"/>
    <n v="35"/>
    <n v="38"/>
    <n v="51"/>
    <n v="33"/>
    <n v="41"/>
    <n v="46"/>
    <n v="34"/>
    <n v="39"/>
    <n v="49"/>
    <n v="35"/>
    <n v="18"/>
    <n v="49"/>
    <n v="28"/>
    <n v="26"/>
    <n v="51"/>
    <n v="41"/>
    <n v="34"/>
    <n v="53"/>
    <n v="40"/>
    <n v="42"/>
    <n v="79"/>
    <n v="40"/>
    <n v="49"/>
    <n v="53"/>
    <n v="40"/>
    <n v="33"/>
    <n v="80"/>
    <n v="89"/>
    <n v="111"/>
    <n v="117"/>
    <n v="93"/>
    <n v="49"/>
    <n v="80"/>
    <n v="46"/>
    <n v="44"/>
    <n v="59"/>
  </r>
  <r>
    <x v="0"/>
    <s v="TINTURAS"/>
    <s v="L'OREAL"/>
    <s v="EXCELL 5"/>
    <s v="7506078967809"/>
    <x v="6"/>
    <s v="EXCELL 5 MEN EXPERTGEL CRE.T.CA.OSC.NATFP. 35 MLKIT"/>
    <s v="Vtas Unds"/>
    <n v="83"/>
    <n v="65"/>
    <n v="56"/>
    <n v="83"/>
    <n v="63"/>
    <n v="67"/>
    <n v="84"/>
    <n v="78"/>
    <n v="73"/>
    <n v="81"/>
    <n v="71"/>
    <n v="62"/>
    <n v="69"/>
    <n v="82"/>
    <n v="58"/>
    <n v="83"/>
    <n v="77"/>
    <n v="63"/>
    <n v="105"/>
    <n v="73"/>
    <n v="80"/>
    <n v="94"/>
    <n v="76"/>
    <n v="65"/>
    <n v="103"/>
    <n v="74"/>
    <n v="66"/>
    <n v="96"/>
    <n v="38"/>
    <n v="13"/>
    <n v="129"/>
    <n v="79"/>
    <n v="67"/>
    <n v="83"/>
    <n v="61"/>
    <n v="51"/>
    <n v="84"/>
  </r>
  <r>
    <x v="0"/>
    <s v="TINTURAS"/>
    <s v="L'OREAL"/>
    <s v="EXCELL 5"/>
    <s v="7506078967816"/>
    <x v="6"/>
    <s v="EXCELL 5 MEN EXPERTGEL CRE.T.CA.MED.NATFP. 35 MLKIT"/>
    <s v="Vtas Unds"/>
    <n v="324"/>
    <n v="215"/>
    <n v="211"/>
    <n v="298"/>
    <n v="228"/>
    <n v="189"/>
    <n v="261"/>
    <n v="194"/>
    <n v="191"/>
    <n v="220"/>
    <n v="167"/>
    <n v="165"/>
    <n v="199"/>
    <n v="161.98679999999999"/>
    <n v="159"/>
    <n v="193"/>
    <n v="176"/>
    <n v="179"/>
    <n v="245"/>
    <n v="159"/>
    <n v="145"/>
    <n v="176"/>
    <n v="117"/>
    <n v="122"/>
    <n v="105"/>
    <n v="135"/>
    <n v="111"/>
    <n v="25"/>
    <n v="13"/>
    <n v="123"/>
    <n v="65"/>
    <n v="80"/>
    <n v="155"/>
    <n v="190"/>
    <n v="145"/>
    <n v="160"/>
    <n v="172"/>
  </r>
  <r>
    <x v="0"/>
    <s v="TINTURAS"/>
    <s v="L'OREAL"/>
    <s v="MAGIC RETOUCH"/>
    <s v="7509552841862"/>
    <x v="7"/>
    <s v="LOREAL MAGIC RETOUCH AERO. 75MLT.RUBIO CLARO"/>
    <s v="Vtas Unds"/>
    <n v="14"/>
    <n v="11"/>
    <n v="14"/>
    <n v="13"/>
    <n v="12"/>
    <n v="11"/>
    <n v="23"/>
    <n v="11"/>
    <n v="8"/>
    <n v="7"/>
    <n v="8"/>
    <n v="11"/>
    <n v="9"/>
    <n v="12"/>
    <n v="17"/>
    <n v="12"/>
    <n v="13"/>
    <n v="7"/>
    <n v="10"/>
    <n v="21"/>
    <n v="15"/>
    <n v="25"/>
    <n v="12"/>
    <n v="13"/>
    <n v="16"/>
    <n v="15"/>
    <n v="13"/>
    <n v="14"/>
    <n v="9"/>
    <n v="7"/>
    <n v="26"/>
    <n v="31"/>
    <n v="21"/>
    <n v="15"/>
    <n v="4"/>
    <n v="14"/>
    <n v="7"/>
  </r>
  <r>
    <x v="0"/>
    <s v="TINTURAS"/>
    <s v="L'OREAL"/>
    <s v="MAGIC RETOUCH"/>
    <s v="7509552841879"/>
    <x v="7"/>
    <s v="L'OREAL MAGIC RETOUCH RETOQUE DE RAIZ SPRAY 75 ML T.NEGRO"/>
    <s v="Vtas Unds"/>
    <n v="41"/>
    <n v="15"/>
    <n v="28"/>
    <n v="17"/>
    <n v="22"/>
    <n v="19"/>
    <n v="51"/>
    <n v="35"/>
    <n v="21"/>
    <n v="22"/>
    <n v="22"/>
    <n v="19"/>
    <n v="28"/>
    <n v="27"/>
    <n v="18"/>
    <n v="23"/>
    <n v="16"/>
    <n v="12"/>
    <n v="50"/>
    <n v="31"/>
    <n v="23"/>
    <n v="25"/>
    <n v="22"/>
    <n v="13"/>
    <n v="28"/>
    <n v="8"/>
    <n v="12"/>
    <n v="32"/>
    <n v="23"/>
    <n v="23"/>
    <n v="21"/>
    <n v="42"/>
    <n v="27"/>
    <n v="24"/>
    <n v="12"/>
    <n v="26"/>
    <n v="20"/>
  </r>
  <r>
    <x v="0"/>
    <s v="TINTURAS"/>
    <s v="L'OREAL"/>
    <s v="MAGIC RETOUCH"/>
    <s v="7509552917390"/>
    <x v="7"/>
    <s v="L'OREAL MAGIC RETOUCH RETOQUE DE RAIZ SPRAY 75 ML T.NEGRO"/>
    <s v="Vtas Unds"/>
    <n v="7"/>
    <n v="9"/>
    <n v="5"/>
    <n v="7"/>
    <n v="6"/>
    <n v="3"/>
    <n v="8"/>
    <n v="10"/>
    <n v="10"/>
    <n v="4"/>
    <n v="6"/>
    <n v="7"/>
    <n v="3"/>
    <n v="3"/>
    <n v="7"/>
    <n v="7"/>
    <n v="6"/>
    <n v="10"/>
    <n v="17"/>
    <n v="5"/>
    <n v="14"/>
    <n v="31"/>
    <n v="11"/>
    <n v="11"/>
    <n v="13"/>
    <n v="19"/>
    <n v="14"/>
    <n v="21"/>
    <n v="9"/>
    <n v="18"/>
    <n v="31"/>
    <n v="26"/>
    <n v="18"/>
    <n v="23"/>
    <n v="19"/>
    <n v="33"/>
    <n v="47"/>
  </r>
  <r>
    <x v="0"/>
    <s v="TINTURAS"/>
    <s v="L'OREAL"/>
    <s v="MAGIC RETOUCH"/>
    <s v="7509552917406"/>
    <x v="7"/>
    <s v="L'OREAL MAGIC RETOUCH RETOQUE DE RAIZ SPRAY 75 ML T.CAST.OSC"/>
    <s v="Vtas Unds"/>
    <n v="76"/>
    <n v="85.154700000000005"/>
    <n v="77"/>
    <n v="88"/>
    <n v="74"/>
    <n v="83"/>
    <n v="165"/>
    <n v="96"/>
    <n v="70"/>
    <n v="92"/>
    <n v="73"/>
    <n v="74"/>
    <n v="112"/>
    <n v="66"/>
    <n v="73"/>
    <n v="95"/>
    <n v="84"/>
    <n v="78"/>
    <n v="114"/>
    <n v="82"/>
    <n v="99"/>
    <n v="135"/>
    <n v="60"/>
    <n v="87"/>
    <n v="91"/>
    <n v="66"/>
    <n v="84"/>
    <n v="94"/>
    <n v="63"/>
    <n v="68"/>
    <n v="96"/>
    <n v="71"/>
    <n v="80"/>
    <n v="121"/>
    <n v="106"/>
    <n v="76"/>
    <n v="123"/>
  </r>
  <r>
    <x v="0"/>
    <s v="TINTURAS"/>
    <s v="L'OREAL"/>
    <s v="MAGIC RETOUCH"/>
    <s v="7509552917413"/>
    <x v="7"/>
    <s v="L'OREAL MAGIC RETOUCH RETOQUE RAIZ SPRAY 75 ML T.RUB.CLARO"/>
    <s v="Vtas Unds"/>
    <n v="29"/>
    <n v="18"/>
    <n v="18"/>
    <n v="31"/>
    <n v="15"/>
    <n v="19"/>
    <n v="51"/>
    <n v="32"/>
    <n v="33"/>
    <n v="27"/>
    <n v="27"/>
    <n v="27"/>
    <n v="24"/>
    <n v="13"/>
    <n v="24"/>
    <n v="39"/>
    <n v="17"/>
    <n v="7"/>
    <n v="30"/>
    <n v="27"/>
    <n v="20"/>
    <n v="17"/>
    <n v="20"/>
    <n v="19"/>
    <n v="13"/>
    <n v="16"/>
    <n v="24"/>
    <n v="22"/>
    <n v="27"/>
    <n v="21"/>
    <n v="23"/>
    <n v="44"/>
    <n v="12"/>
    <n v="16"/>
    <n v="22"/>
    <n v="27"/>
    <n v="39"/>
  </r>
  <r>
    <x v="0"/>
    <s v="TINTURAS"/>
    <s v="L'OREAL"/>
    <s v="MAGIC RETOUCH"/>
    <s v="7509552917420"/>
    <x v="7"/>
    <s v="L'OREAL MAGIC RETOUCH RETOQUE RAIZ SPRAY 75 ML T.RUB.OSCURO"/>
    <s v="Vtas Unds"/>
    <n v="81"/>
    <n v="74"/>
    <n v="83"/>
    <n v="89"/>
    <n v="92"/>
    <n v="70"/>
    <n v="134"/>
    <n v="84"/>
    <n v="87"/>
    <n v="81"/>
    <n v="97"/>
    <n v="59"/>
    <n v="97"/>
    <n v="66"/>
    <n v="63"/>
    <n v="90"/>
    <n v="97"/>
    <n v="68"/>
    <n v="113"/>
    <n v="90"/>
    <n v="94"/>
    <n v="127"/>
    <n v="56"/>
    <n v="71"/>
    <n v="71"/>
    <n v="73"/>
    <n v="59"/>
    <n v="54"/>
    <n v="42"/>
    <n v="71"/>
    <n v="102"/>
    <n v="62"/>
    <n v="81"/>
    <n v="53"/>
    <n v="53"/>
    <n v="31"/>
    <n v="69"/>
  </r>
  <r>
    <x v="0"/>
    <s v="TINTURAS"/>
    <s v="L'OREAL"/>
    <s v="MAGIC RETOUCH"/>
    <s v="7509552917437"/>
    <x v="7"/>
    <s v="L'OREAL MAGIC RETOUCH RETOQUE RAIZ SPRAY 75 ML T.CAST.CLARO"/>
    <s v="Vtas Unds"/>
    <n v="146"/>
    <n v="81.154700000000005"/>
    <n v="68"/>
    <n v="113"/>
    <n v="93"/>
    <n v="86"/>
    <n v="163"/>
    <n v="137"/>
    <n v="110"/>
    <n v="128"/>
    <n v="107"/>
    <n v="88"/>
    <n v="140"/>
    <n v="124.1974"/>
    <n v="92"/>
    <n v="148"/>
    <n v="109"/>
    <n v="141"/>
    <n v="173"/>
    <n v="151"/>
    <n v="155"/>
    <n v="163"/>
    <n v="103"/>
    <n v="119"/>
    <n v="165"/>
    <n v="134"/>
    <n v="75"/>
    <n v="208"/>
    <n v="101"/>
    <n v="99"/>
    <n v="194"/>
    <n v="158"/>
    <n v="183"/>
    <n v="186"/>
    <n v="128"/>
    <n v="127"/>
    <n v="193"/>
  </r>
  <r>
    <x v="0"/>
    <s v="TINTURAS"/>
    <s v="L'OREAL"/>
    <s v="MAGIC RETOUCH"/>
    <s v="7509552917550"/>
    <x v="7"/>
    <s v="L'OREAL MAGIC RETOUCH RETOQUE RAIZ SPRAY 75 ML T.ROJO"/>
    <s v="Vtas Unds"/>
    <n v="7"/>
    <n v="5"/>
    <n v="6"/>
    <n v="13"/>
    <n v="21"/>
    <n v="9"/>
    <n v="16"/>
    <n v="6"/>
    <n v="5"/>
    <n v="4"/>
    <n v="4"/>
    <n v="7"/>
    <n v="4"/>
    <n v="10"/>
    <n v="8"/>
    <n v="5"/>
    <n v="5"/>
    <n v="13"/>
    <n v="17"/>
    <n v="3"/>
    <n v="5"/>
    <n v="7"/>
    <n v="10"/>
    <n v="5"/>
    <n v="4"/>
    <n v="10"/>
    <n v="6"/>
    <n v="6"/>
    <n v="10"/>
    <n v="8"/>
    <n v="9"/>
    <n v="9"/>
    <n v="8"/>
    <n v="4"/>
    <n v="8"/>
    <n v="3"/>
    <n v="9"/>
  </r>
  <r>
    <x v="0"/>
    <s v="TINTURAS"/>
    <s v="L'OREAL"/>
    <s v="NUTRISSE"/>
    <s v="200063439928"/>
    <x v="8"/>
    <s v="NUTRISSE NUTRICOLORCRE.T.90 POMO KIT 45 GR+ PEINE GT"/>
    <s v="Vtas Unds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</r>
  <r>
    <x v="0"/>
    <s v="TINTURAS"/>
    <s v="L'OREAL"/>
    <s v="NUTRISSE"/>
    <s v="200063470986"/>
    <x v="8"/>
    <s v="NUTRISSE TONO 70 CHAMPAA A CREMA POMO 45 GRKIT"/>
    <s v="Vtas Unds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200063486833"/>
    <x v="8"/>
    <s v="NUTRISSE TONO 30 CREMA POMO 45 GRKIT IMP"/>
    <s v="Vtas Unds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3"/>
    <n v="0"/>
    <n v="0"/>
    <n v="1"/>
    <n v="0"/>
    <n v="0"/>
    <n v="0"/>
    <n v="0"/>
    <n v="0"/>
    <n v="4"/>
    <n v="0"/>
    <n v="0"/>
    <n v="1"/>
    <n v="1"/>
    <n v="0"/>
    <n v="0"/>
    <n v="0"/>
    <n v="0"/>
    <n v="0"/>
  </r>
  <r>
    <x v="0"/>
    <s v="TINTURAS"/>
    <s v="L'OREAL"/>
    <s v="NUTRISSE"/>
    <s v="200063570802"/>
    <x v="8"/>
    <s v="NUTRISSE TONO 60 CAPUCCINO CREMA POMO 45 GRKIT IMP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</r>
  <r>
    <x v="0"/>
    <s v="TINTURAS"/>
    <s v="L'OREAL"/>
    <s v="NUTRISSE"/>
    <s v="200063630854"/>
    <x v="8"/>
    <s v="NUTRISSE TONO 53 NUEZ CREMA POMO 45 GRKIT IMP"/>
    <s v="Vtas Unds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6"/>
    <n v="0"/>
    <n v="0"/>
    <n v="0"/>
    <n v="0"/>
    <n v="1"/>
    <n v="0"/>
    <n v="0"/>
    <n v="0"/>
    <n v="0"/>
    <n v="0"/>
    <n v="1"/>
    <n v="0"/>
    <n v="0"/>
    <n v="1"/>
    <n v="0"/>
    <n v="1"/>
    <n v="0"/>
    <n v="2"/>
  </r>
  <r>
    <x v="0"/>
    <s v="TINTURAS"/>
    <s v="L'OREAL"/>
    <s v="NUTRISSE"/>
    <s v="200069664499"/>
    <x v="8"/>
    <s v="NUTRISSE PERMANENTE TONO 10 POMO 45 GRKIT"/>
    <s v="Vtas Unds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200080955539"/>
    <x v="8"/>
    <s v="NUTRISSE PERM. CREM. TUBO 45GR T.CASTANO CLARO KIT"/>
    <s v="Vtas Unds"/>
    <n v="0"/>
    <n v="0"/>
    <n v="0"/>
    <n v="0"/>
    <n v="0"/>
    <n v="0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x v="0"/>
    <s v="TINTURAS"/>
    <s v="L'OREAL"/>
    <s v="NUTRISSE"/>
    <s v="200083870461"/>
    <x v="9"/>
    <s v="NUTRISSE COLORISSIMOS PERM.CREM.TUBO 45GR T.462 CIRUELA KIT"/>
    <s v="Vtas Unds"/>
    <n v="0"/>
    <n v="1"/>
    <n v="0"/>
    <n v="1"/>
    <n v="0"/>
    <n v="0"/>
    <n v="1"/>
    <n v="0"/>
    <n v="0"/>
    <n v="0"/>
    <n v="0"/>
    <n v="1"/>
    <n v="0"/>
    <n v="0"/>
    <n v="0"/>
    <n v="1"/>
    <n v="0"/>
    <n v="1"/>
    <n v="0"/>
    <n v="0"/>
    <n v="0"/>
    <n v="0"/>
    <n v="0"/>
    <n v="0"/>
    <n v="0"/>
    <n v="1"/>
    <n v="0"/>
    <n v="1"/>
    <n v="0"/>
    <n v="0"/>
    <n v="1"/>
    <n v="0"/>
    <n v="1"/>
    <n v="0"/>
    <n v="0"/>
    <n v="0"/>
    <n v="1"/>
  </r>
  <r>
    <x v="0"/>
    <s v="TINTURAS"/>
    <s v="L'OREAL"/>
    <s v="NUTRISSE"/>
    <s v="200084009343"/>
    <x v="8"/>
    <s v="NUTRISSE PERMA. CREM. TUBO 45GR T.91 KIT"/>
    <s v="Vtas Unds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501027209184"/>
    <x v="8"/>
    <s v="NUTRISSE NUTRICOLOR CREMA POMO 45 GR KIT TONO 70"/>
    <s v="Vtas Unds"/>
    <n v="250"/>
    <n v="126"/>
    <n v="150"/>
    <n v="121"/>
    <n v="46"/>
    <n v="102"/>
    <n v="125"/>
    <n v="102"/>
    <n v="117"/>
    <n v="150"/>
    <n v="108"/>
    <n v="117"/>
    <n v="116"/>
    <n v="88"/>
    <n v="86"/>
    <n v="126"/>
    <n v="93"/>
    <n v="101"/>
    <n v="169.23750000000001"/>
    <n v="101"/>
    <n v="143"/>
    <n v="117"/>
    <n v="97"/>
    <n v="75"/>
    <n v="149"/>
    <n v="86"/>
    <n v="88"/>
    <n v="114"/>
    <n v="73"/>
    <n v="57"/>
    <n v="105"/>
    <n v="77"/>
    <n v="65"/>
    <n v="99"/>
    <n v="79"/>
    <n v="75"/>
    <n v="140"/>
  </r>
  <r>
    <x v="0"/>
    <s v="TINTURAS"/>
    <s v="L'OREAL"/>
    <s v="NUTRISSE"/>
    <s v="7501027209214"/>
    <x v="8"/>
    <s v="NUTRISSE NUTRICOLOR CREMA POMO 45 GR KIT TONO 73"/>
    <s v="Vtas Unds"/>
    <n v="263"/>
    <n v="111"/>
    <n v="171"/>
    <n v="114"/>
    <n v="65"/>
    <n v="112"/>
    <n v="102"/>
    <n v="115"/>
    <n v="101"/>
    <n v="178"/>
    <n v="101"/>
    <n v="130"/>
    <n v="139"/>
    <n v="75"/>
    <n v="89"/>
    <n v="120"/>
    <n v="90"/>
    <n v="124"/>
    <n v="148.11869999999999"/>
    <n v="119"/>
    <n v="125"/>
    <n v="148"/>
    <n v="117"/>
    <n v="106"/>
    <n v="180"/>
    <n v="150"/>
    <n v="119"/>
    <n v="172"/>
    <n v="135"/>
    <n v="116"/>
    <n v="164"/>
    <n v="122"/>
    <n v="123"/>
    <n v="164"/>
    <n v="94"/>
    <n v="123"/>
    <n v="205"/>
  </r>
  <r>
    <x v="0"/>
    <s v="TINTURAS"/>
    <s v="L'OREAL"/>
    <s v="NUTRISSE"/>
    <s v="7501027209221"/>
    <x v="8"/>
    <s v="NUTRISSE NUTRICOLOR CREMA POMO 45 GR KIT TONO 60"/>
    <s v="Vtas Unds"/>
    <n v="223"/>
    <n v="99"/>
    <n v="158"/>
    <n v="111"/>
    <n v="44"/>
    <n v="86"/>
    <n v="100"/>
    <n v="113"/>
    <n v="127"/>
    <n v="141"/>
    <n v="141"/>
    <n v="91"/>
    <n v="131"/>
    <n v="87"/>
    <n v="64"/>
    <n v="96"/>
    <n v="98"/>
    <n v="99"/>
    <n v="118.1187"/>
    <n v="99"/>
    <n v="124"/>
    <n v="146"/>
    <n v="99"/>
    <n v="131"/>
    <n v="132"/>
    <n v="126"/>
    <n v="121"/>
    <n v="154"/>
    <n v="121"/>
    <n v="109"/>
    <n v="142"/>
    <n v="140"/>
    <n v="143"/>
    <n v="170"/>
    <n v="109"/>
    <n v="144"/>
    <n v="222"/>
  </r>
  <r>
    <x v="0"/>
    <s v="TINTURAS"/>
    <s v="L'OREAL"/>
    <s v="NUTRISSE"/>
    <s v="7501027209542"/>
    <x v="8"/>
    <s v="NUTRISSE NUTRICOLOR CREMA POMO 45 GR KIT TONO 50"/>
    <s v="Vtas Unds"/>
    <n v="198"/>
    <n v="102"/>
    <n v="157"/>
    <n v="97"/>
    <n v="70"/>
    <n v="98"/>
    <n v="150"/>
    <n v="94"/>
    <n v="85"/>
    <n v="109"/>
    <n v="101"/>
    <n v="85"/>
    <n v="93"/>
    <n v="69"/>
    <n v="67"/>
    <n v="105"/>
    <n v="87"/>
    <n v="104.91930000000001"/>
    <n v="118"/>
    <n v="73"/>
    <n v="104"/>
    <n v="115"/>
    <n v="111"/>
    <n v="58"/>
    <n v="102"/>
    <n v="73"/>
    <n v="78"/>
    <n v="175"/>
    <n v="85"/>
    <n v="88"/>
    <n v="130"/>
    <n v="95"/>
    <n v="102"/>
    <n v="137"/>
    <n v="122"/>
    <n v="139"/>
    <n v="204"/>
  </r>
  <r>
    <x v="0"/>
    <s v="TINTURAS"/>
    <s v="L'OREAL"/>
    <s v="NUTRISSE"/>
    <s v="7501027209566"/>
    <x v="8"/>
    <s v="NUTRISSE NUTRICOLOR CREMA POMO 45 GR KIT TONO 53"/>
    <s v="Vtas Unds"/>
    <n v="104"/>
    <n v="55"/>
    <n v="74"/>
    <n v="62"/>
    <n v="40"/>
    <n v="55"/>
    <n v="69"/>
    <n v="71"/>
    <n v="67"/>
    <n v="115"/>
    <n v="90"/>
    <n v="84"/>
    <n v="80"/>
    <n v="67"/>
    <n v="53"/>
    <n v="105"/>
    <n v="60"/>
    <n v="56.6526"/>
    <n v="87"/>
    <n v="60"/>
    <n v="87"/>
    <n v="104"/>
    <n v="82"/>
    <n v="79"/>
    <n v="85"/>
    <n v="64"/>
    <n v="46"/>
    <n v="87"/>
    <n v="41"/>
    <n v="36"/>
    <n v="77"/>
    <n v="49"/>
    <n v="41"/>
    <n v="46"/>
    <n v="49"/>
    <n v="31"/>
    <n v="70"/>
  </r>
  <r>
    <x v="0"/>
    <s v="TINTURAS"/>
    <s v="L'OREAL"/>
    <s v="NUTRISSE"/>
    <s v="7501027209580"/>
    <x v="8"/>
    <s v="NUTRISSE NUTRICOLOR CREMA POMO 45 GR KIT TONO 40"/>
    <s v="Vtas Unds"/>
    <n v="145"/>
    <n v="63"/>
    <n v="79"/>
    <n v="80"/>
    <n v="35"/>
    <n v="53"/>
    <n v="73"/>
    <n v="69"/>
    <n v="98"/>
    <n v="107"/>
    <n v="80"/>
    <n v="86"/>
    <n v="114"/>
    <n v="74"/>
    <n v="61"/>
    <n v="97"/>
    <n v="77"/>
    <n v="77.981800000000007"/>
    <n v="107"/>
    <n v="83"/>
    <n v="122"/>
    <n v="144"/>
    <n v="109"/>
    <n v="100"/>
    <n v="113"/>
    <n v="92"/>
    <n v="74"/>
    <n v="104"/>
    <n v="62"/>
    <n v="45"/>
    <n v="90"/>
    <n v="75"/>
    <n v="84"/>
    <n v="92"/>
    <n v="70"/>
    <n v="61"/>
    <n v="101"/>
  </r>
  <r>
    <x v="0"/>
    <s v="TINTURAS"/>
    <s v="L'OREAL"/>
    <s v="NUTRISSE"/>
    <s v="7501027209627"/>
    <x v="8"/>
    <s v="NUTRISSE NUTRICOLOR CREMA POMO 45 GR KIT TONO 30"/>
    <s v="Vtas Unds"/>
    <n v="168"/>
    <n v="81.154700000000005"/>
    <n v="118"/>
    <n v="89"/>
    <n v="36"/>
    <n v="51"/>
    <n v="79"/>
    <n v="64"/>
    <n v="82"/>
    <n v="72"/>
    <n v="83"/>
    <n v="70"/>
    <n v="112"/>
    <n v="71"/>
    <n v="98"/>
    <n v="98"/>
    <n v="71"/>
    <n v="56.005800000000001"/>
    <n v="74"/>
    <n v="48"/>
    <n v="90"/>
    <n v="99"/>
    <n v="79"/>
    <n v="60"/>
    <n v="77"/>
    <n v="51"/>
    <n v="46"/>
    <n v="86"/>
    <n v="38"/>
    <n v="42"/>
    <n v="71"/>
    <n v="54"/>
    <n v="21"/>
    <n v="32"/>
    <n v="39"/>
    <n v="37"/>
    <n v="65"/>
  </r>
  <r>
    <x v="0"/>
    <s v="TINTURAS"/>
    <s v="L'OREAL"/>
    <s v="NUTRISSE"/>
    <s v="7501027209658"/>
    <x v="8"/>
    <s v="NUTRISSE NUTRICOLOR CREMA POMO 45 GR KIT TONO 10"/>
    <s v="Vtas Unds"/>
    <n v="177"/>
    <n v="85"/>
    <n v="150"/>
    <n v="82"/>
    <n v="58"/>
    <n v="82"/>
    <n v="135"/>
    <n v="109"/>
    <n v="153"/>
    <n v="175"/>
    <n v="112"/>
    <n v="118"/>
    <n v="126"/>
    <n v="63.197400000000002"/>
    <n v="91"/>
    <n v="112"/>
    <n v="98"/>
    <n v="116.9153"/>
    <n v="175.34630000000001"/>
    <n v="113"/>
    <n v="123"/>
    <n v="139"/>
    <n v="112"/>
    <n v="89"/>
    <n v="154"/>
    <n v="80"/>
    <n v="93"/>
    <n v="148"/>
    <n v="80"/>
    <n v="72"/>
    <n v="141"/>
    <n v="92"/>
    <n v="105"/>
    <n v="143"/>
    <n v="86"/>
    <n v="100"/>
    <n v="143"/>
  </r>
  <r>
    <x v="0"/>
    <s v="TINTURAS"/>
    <s v="L'OREAL"/>
    <s v="NUTRISSE"/>
    <s v="7501027221780"/>
    <x v="8"/>
    <s v="NUTRISSE NUTRICOLOR CREMA POMO 45 GR KIT TONO 71"/>
    <s v="Vtas Unds"/>
    <n v="284"/>
    <n v="132"/>
    <n v="180"/>
    <n v="120"/>
    <n v="88"/>
    <n v="112"/>
    <n v="123"/>
    <n v="120"/>
    <n v="116"/>
    <n v="195"/>
    <n v="118"/>
    <n v="121"/>
    <n v="173"/>
    <n v="104"/>
    <n v="105"/>
    <n v="134"/>
    <n v="76"/>
    <n v="120.5531"/>
    <n v="155.2276"/>
    <n v="96"/>
    <n v="142"/>
    <n v="126"/>
    <n v="94"/>
    <n v="89"/>
    <n v="109"/>
    <n v="90"/>
    <n v="73"/>
    <n v="142"/>
    <n v="63"/>
    <n v="71"/>
    <n v="87"/>
    <n v="80"/>
    <n v="110"/>
    <n v="136"/>
    <n v="100"/>
    <n v="110"/>
    <n v="191"/>
  </r>
  <r>
    <x v="0"/>
    <s v="TINTURAS"/>
    <s v="L'OREAL"/>
    <s v="NUTRISSE"/>
    <s v="7501839100129"/>
    <x v="8"/>
    <s v="NUTRISSE NUTRICOLOR CREMA POMO 45 GR KIT TONO 57"/>
    <s v="Vtas Unds"/>
    <n v="176"/>
    <n v="86"/>
    <n v="116"/>
    <n v="103"/>
    <n v="68"/>
    <n v="91"/>
    <n v="96"/>
    <n v="81"/>
    <n v="88"/>
    <n v="139"/>
    <n v="99"/>
    <n v="100"/>
    <n v="143"/>
    <n v="96"/>
    <n v="95"/>
    <n v="105"/>
    <n v="94"/>
    <n v="92.938599999999994"/>
    <n v="140.19669999999999"/>
    <n v="91"/>
    <n v="120"/>
    <n v="162"/>
    <n v="122"/>
    <n v="126"/>
    <n v="158"/>
    <n v="107"/>
    <n v="93"/>
    <n v="138"/>
    <n v="100"/>
    <n v="73"/>
    <n v="146"/>
    <n v="113"/>
    <n v="106"/>
    <n v="121"/>
    <n v="106"/>
    <n v="93"/>
    <n v="175"/>
  </r>
  <r>
    <x v="0"/>
    <s v="TINTURAS"/>
    <s v="L'OREAL"/>
    <s v="NUTRISSE"/>
    <s v="7506078959934"/>
    <x v="9"/>
    <s v="NUTRISSE COLORISSI.CREMA TONO 121 POMO 45 GRKIT"/>
    <s v="Vtas Unds"/>
    <n v="174"/>
    <n v="93"/>
    <n v="77"/>
    <n v="68"/>
    <n v="45"/>
    <n v="125"/>
    <n v="133"/>
    <n v="78"/>
    <n v="79"/>
    <n v="85"/>
    <n v="59"/>
    <n v="64"/>
    <n v="81"/>
    <n v="46"/>
    <n v="72"/>
    <n v="76"/>
    <n v="72"/>
    <n v="76"/>
    <n v="122"/>
    <n v="59"/>
    <n v="66"/>
    <n v="67"/>
    <n v="76"/>
    <n v="71"/>
    <n v="81"/>
    <n v="51"/>
    <n v="58"/>
    <n v="124"/>
    <n v="49"/>
    <n v="51"/>
    <n v="80"/>
    <n v="95"/>
    <n v="84"/>
    <n v="107"/>
    <n v="81"/>
    <n v="94"/>
    <n v="144"/>
  </r>
  <r>
    <x v="0"/>
    <s v="TINTURAS"/>
    <s v="L'OREAL"/>
    <s v="NUTRISSE"/>
    <s v="7506078959972"/>
    <x v="9"/>
    <s v="NUTRISSE COLORISSI.CREMA TONO 554 POMO 45 GRKIT"/>
    <s v="Vtas Unds"/>
    <n v="2"/>
    <n v="1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506078959989"/>
    <x v="9"/>
    <s v="NUTRISSE COLORISSI.CREMA TONO 5562 POMO 45 GRKIT"/>
    <s v="Vtas Unds"/>
    <n v="94"/>
    <n v="47"/>
    <n v="54"/>
    <n v="37"/>
    <n v="42"/>
    <n v="105"/>
    <n v="119"/>
    <n v="54"/>
    <n v="45"/>
    <n v="57"/>
    <n v="52"/>
    <n v="37"/>
    <n v="45"/>
    <n v="30"/>
    <n v="33"/>
    <n v="50"/>
    <n v="30"/>
    <n v="46"/>
    <n v="73"/>
    <n v="33"/>
    <n v="46"/>
    <n v="64"/>
    <n v="32"/>
    <n v="25"/>
    <n v="74"/>
    <n v="41"/>
    <n v="36"/>
    <n v="74"/>
    <n v="49"/>
    <n v="27"/>
    <n v="45"/>
    <n v="35"/>
    <n v="53"/>
    <n v="43"/>
    <n v="56"/>
    <n v="59"/>
    <n v="111"/>
  </r>
  <r>
    <x v="0"/>
    <s v="TINTURAS"/>
    <s v="L'OREAL"/>
    <s v="NUTRISSE"/>
    <s v="7506078959996"/>
    <x v="9"/>
    <s v="NUTRISSE COLORISSI.CREMA TONO 6660 POMO 45 GRKIT"/>
    <s v="Vtas Unds"/>
    <n v="266"/>
    <n v="109"/>
    <n v="126"/>
    <n v="59"/>
    <n v="40"/>
    <n v="114"/>
    <n v="197"/>
    <n v="178"/>
    <n v="198"/>
    <n v="248"/>
    <n v="158"/>
    <n v="121"/>
    <n v="142"/>
    <n v="68"/>
    <n v="75"/>
    <n v="109"/>
    <n v="126"/>
    <n v="144.57210000000001"/>
    <n v="221.65889999999999"/>
    <n v="137"/>
    <n v="135"/>
    <n v="222"/>
    <n v="110"/>
    <n v="162"/>
    <n v="192"/>
    <n v="231"/>
    <n v="159"/>
    <n v="148"/>
    <n v="171"/>
    <n v="195"/>
    <n v="297"/>
    <n v="187"/>
    <n v="138"/>
    <n v="195"/>
    <n v="126"/>
    <n v="129"/>
    <n v="192"/>
  </r>
  <r>
    <x v="0"/>
    <s v="TINTURAS"/>
    <s v="L'OREAL"/>
    <s v="NUTRISSE"/>
    <s v="7509552812251"/>
    <x v="9"/>
    <s v="NUTRISSE COLORISSIMO PERMANA.CREMA. POMO 45GR T.93 KIT"/>
    <s v="Vtas Unds"/>
    <n v="0"/>
    <n v="0"/>
    <n v="0"/>
    <n v="0"/>
    <n v="0"/>
    <n v="0"/>
    <n v="0"/>
    <n v="0"/>
    <n v="0"/>
    <n v="0"/>
    <n v="0"/>
    <n v="0"/>
    <n v="13"/>
    <n v="11"/>
    <n v="16"/>
    <n v="22"/>
    <n v="18"/>
    <n v="34"/>
    <n v="33"/>
    <n v="23"/>
    <n v="30"/>
    <n v="14"/>
    <n v="0"/>
    <n v="0"/>
    <n v="0"/>
    <n v="0"/>
    <n v="0"/>
    <n v="0"/>
    <n v="0"/>
    <n v="0"/>
    <n v="0"/>
    <n v="0"/>
    <n v="0"/>
    <n v="1"/>
    <n v="1"/>
    <n v="4"/>
    <n v="2"/>
  </r>
  <r>
    <x v="0"/>
    <s v="TINTURAS"/>
    <s v="L'OREAL"/>
    <s v="NUTRISSE"/>
    <s v="7509552812268"/>
    <x v="8"/>
    <s v="NUTRISSE CREMA PERM. TUBO 45GR T.83 RUB.CLARO DORADO ORO KIT"/>
    <s v="Vtas Unds"/>
    <n v="0"/>
    <n v="0"/>
    <n v="0"/>
    <n v="0"/>
    <n v="0"/>
    <n v="0"/>
    <n v="0"/>
    <n v="0"/>
    <n v="0"/>
    <n v="0"/>
    <n v="7"/>
    <n v="23"/>
    <n v="38"/>
    <n v="28"/>
    <n v="24"/>
    <n v="43"/>
    <n v="39"/>
    <n v="27"/>
    <n v="40"/>
    <n v="26"/>
    <n v="28"/>
    <n v="19"/>
    <n v="0"/>
    <n v="0"/>
    <n v="0"/>
    <n v="0"/>
    <n v="0"/>
    <n v="0"/>
    <n v="0"/>
    <n v="0"/>
    <n v="0"/>
    <n v="0"/>
    <n v="1"/>
    <n v="0"/>
    <n v="2"/>
    <n v="4"/>
    <n v="1"/>
  </r>
  <r>
    <x v="0"/>
    <s v="TINTURAS"/>
    <s v="L'OREAL"/>
    <s v="NUTRISSE"/>
    <s v="7509552812275"/>
    <x v="9"/>
    <s v="NUTRISSE COLORISSIMO PERMA..CREMA TUBO 45GR T.90 KIT"/>
    <s v="Vtas Unds"/>
    <n v="0"/>
    <n v="0"/>
    <n v="0"/>
    <n v="0"/>
    <n v="0"/>
    <n v="0"/>
    <n v="0"/>
    <n v="0"/>
    <n v="0"/>
    <n v="6"/>
    <n v="7"/>
    <n v="8"/>
    <n v="34"/>
    <n v="26"/>
    <n v="27"/>
    <n v="42"/>
    <n v="24"/>
    <n v="23"/>
    <n v="31"/>
    <n v="20"/>
    <n v="16"/>
    <n v="19"/>
    <n v="3"/>
    <n v="3"/>
    <n v="1"/>
    <n v="0"/>
    <n v="0"/>
    <n v="0"/>
    <n v="0"/>
    <n v="0"/>
    <n v="0"/>
    <n v="0"/>
    <n v="0"/>
    <n v="0"/>
    <n v="2"/>
    <n v="3"/>
    <n v="4"/>
  </r>
  <r>
    <x v="0"/>
    <s v="TINTURAS"/>
    <s v="L'OREAL"/>
    <s v="NUTRISSE"/>
    <s v="7509552812428"/>
    <x v="9"/>
    <s v="NUTRISSE COLORISSIMO.PERM. CRE. TUBO 45GR T.63 KIT"/>
    <s v="Vtas Unds"/>
    <n v="0"/>
    <n v="0"/>
    <n v="0"/>
    <n v="0"/>
    <n v="0"/>
    <n v="0"/>
    <n v="0"/>
    <n v="0"/>
    <n v="0"/>
    <n v="0"/>
    <n v="0"/>
    <n v="13"/>
    <n v="46"/>
    <n v="38"/>
    <n v="43"/>
    <n v="64"/>
    <n v="27"/>
    <n v="32"/>
    <n v="57"/>
    <n v="42"/>
    <n v="40"/>
    <n v="18"/>
    <n v="0"/>
    <n v="0"/>
    <n v="0"/>
    <n v="0"/>
    <n v="0"/>
    <n v="0"/>
    <n v="0"/>
    <n v="0"/>
    <n v="2"/>
    <n v="6"/>
    <n v="1"/>
    <n v="4"/>
    <n v="0"/>
    <n v="5"/>
    <n v="10"/>
  </r>
  <r>
    <x v="0"/>
    <s v="TINTURAS"/>
    <s v="L'OREAL"/>
    <s v="NUTRISSE"/>
    <s v="7509552812442"/>
    <x v="9"/>
    <s v="NUTRISSE COLORISSIMO PERMA.CRE. TUBO 45GR T.91 KIT"/>
    <s v="Vtas Unds"/>
    <n v="0"/>
    <n v="0"/>
    <n v="0"/>
    <n v="0"/>
    <n v="0"/>
    <n v="0"/>
    <n v="0"/>
    <n v="0"/>
    <n v="0"/>
    <n v="18"/>
    <n v="36"/>
    <n v="33"/>
    <n v="71"/>
    <n v="39.197400000000002"/>
    <n v="35"/>
    <n v="56"/>
    <n v="55"/>
    <n v="70.011499999999998"/>
    <n v="106.9359"/>
    <n v="33"/>
    <n v="67"/>
    <n v="64"/>
    <n v="30"/>
    <n v="14"/>
    <n v="27"/>
    <n v="11"/>
    <n v="6"/>
    <n v="4"/>
    <n v="0"/>
    <n v="1"/>
    <n v="3"/>
    <n v="1"/>
    <n v="0"/>
    <n v="5"/>
    <n v="7"/>
    <n v="3"/>
    <n v="3"/>
  </r>
  <r>
    <x v="0"/>
    <s v="TINTURAS"/>
    <s v="L'OREAL"/>
    <s v="NUTRISSE"/>
    <s v="7509552812534"/>
    <x v="9"/>
    <s v="NUTRISSE COLORISSIMO PERM. CREM. TUBO 45GR T.80 KIT"/>
    <s v="Vtas Unds"/>
    <n v="0"/>
    <n v="0"/>
    <n v="0"/>
    <n v="0"/>
    <n v="0"/>
    <n v="2"/>
    <n v="27"/>
    <n v="31"/>
    <n v="30"/>
    <n v="61"/>
    <n v="30"/>
    <n v="55"/>
    <n v="84"/>
    <n v="52"/>
    <n v="54"/>
    <n v="99"/>
    <n v="82"/>
    <n v="82.781899999999993"/>
    <n v="94"/>
    <n v="60"/>
    <n v="96"/>
    <n v="72"/>
    <n v="34"/>
    <n v="34"/>
    <n v="14"/>
    <n v="12"/>
    <n v="8"/>
    <n v="8"/>
    <n v="1"/>
    <n v="5"/>
    <n v="11"/>
    <n v="6"/>
    <n v="7"/>
    <n v="3"/>
    <n v="8"/>
    <n v="10"/>
    <n v="1"/>
  </r>
  <r>
    <x v="0"/>
    <s v="TINTURAS"/>
    <s v="L'OREAL"/>
    <s v="NUTRISSE"/>
    <s v="7509552812718"/>
    <x v="9"/>
    <s v="NUTRISSE COLORISSIMO PERMA. CREM. TUBO 45GR T.81 KIT"/>
    <s v="Vtas Unds"/>
    <n v="0"/>
    <n v="0"/>
    <n v="0"/>
    <n v="0"/>
    <n v="0"/>
    <n v="1"/>
    <n v="56"/>
    <n v="57"/>
    <n v="90"/>
    <n v="113"/>
    <n v="61"/>
    <n v="60"/>
    <n v="76"/>
    <n v="39"/>
    <n v="39"/>
    <n v="53"/>
    <n v="31"/>
    <n v="35.860300000000002"/>
    <n v="34.227600000000002"/>
    <n v="29"/>
    <n v="33"/>
    <n v="27"/>
    <n v="20"/>
    <n v="14"/>
    <n v="14"/>
    <n v="16"/>
    <n v="6"/>
    <n v="11"/>
    <n v="1"/>
    <n v="4"/>
    <n v="4"/>
    <n v="3"/>
    <n v="1"/>
    <n v="1"/>
    <n v="1"/>
    <n v="0"/>
    <n v="5"/>
  </r>
  <r>
    <x v="0"/>
    <s v="TINTURAS"/>
    <s v="L'OREAL"/>
    <s v="NUTRISSE"/>
    <s v="7509552816686"/>
    <x v="9"/>
    <s v="NUTRISSE COLORISSIMOS CREM. POMO 45 GR KIT ROJ INTENS COBR."/>
    <s v="Vtas Unds"/>
    <n v="137"/>
    <n v="49"/>
    <n v="63"/>
    <n v="37"/>
    <n v="56"/>
    <n v="132"/>
    <n v="162"/>
    <n v="63"/>
    <n v="58"/>
    <n v="75"/>
    <n v="55"/>
    <n v="50"/>
    <n v="63"/>
    <n v="38"/>
    <n v="35"/>
    <n v="54"/>
    <n v="44"/>
    <n v="44"/>
    <n v="82"/>
    <n v="41"/>
    <n v="38"/>
    <n v="79"/>
    <n v="47"/>
    <n v="37"/>
    <n v="51"/>
    <n v="42"/>
    <n v="31"/>
    <n v="73"/>
    <n v="51"/>
    <n v="47"/>
    <n v="49"/>
    <n v="30"/>
    <n v="30"/>
    <n v="50"/>
    <n v="47"/>
    <n v="39"/>
    <n v="70"/>
  </r>
  <r>
    <x v="0"/>
    <s v="TINTURAS"/>
    <s v="L'OREAL"/>
    <s v="NUTRISSE"/>
    <s v="7509552826579"/>
    <x v="9"/>
    <s v="NUTRISSE COLORISSIMOS CREMA POMO 45 GR KIT NEGRO MAGN."/>
    <s v="Vtas Unds"/>
    <n v="79"/>
    <n v="43"/>
    <n v="39"/>
    <n v="29"/>
    <n v="28"/>
    <n v="86"/>
    <n v="95"/>
    <n v="59"/>
    <n v="36"/>
    <n v="44"/>
    <n v="28"/>
    <n v="40"/>
    <n v="34"/>
    <n v="26"/>
    <n v="24"/>
    <n v="40"/>
    <n v="24"/>
    <n v="33"/>
    <n v="48"/>
    <n v="24"/>
    <n v="25"/>
    <n v="48"/>
    <n v="24"/>
    <n v="24"/>
    <n v="30"/>
    <n v="29"/>
    <n v="20"/>
    <n v="49"/>
    <n v="27"/>
    <n v="29"/>
    <n v="28"/>
    <n v="16"/>
    <n v="18"/>
    <n v="32"/>
    <n v="26"/>
    <n v="25"/>
    <n v="95"/>
  </r>
  <r>
    <x v="0"/>
    <s v="TINTURAS"/>
    <s v="L'OREAL"/>
    <s v="NUTRISSE"/>
    <s v="7509552826593"/>
    <x v="9"/>
    <s v="NUTRISSE COLORISSIMOS CREMA CIRUELA POMO 45 GR KIT TONO462"/>
    <s v="Vtas Unds"/>
    <n v="182"/>
    <n v="79"/>
    <n v="150"/>
    <n v="72"/>
    <n v="28"/>
    <n v="110"/>
    <n v="159"/>
    <n v="103"/>
    <n v="107"/>
    <n v="156"/>
    <n v="127"/>
    <n v="86"/>
    <n v="108"/>
    <n v="39"/>
    <n v="83"/>
    <n v="145"/>
    <n v="106"/>
    <n v="101.79259999999999"/>
    <n v="197.04"/>
    <n v="127"/>
    <n v="104"/>
    <n v="173"/>
    <n v="106"/>
    <n v="106"/>
    <n v="179"/>
    <n v="147"/>
    <n v="100"/>
    <n v="162"/>
    <n v="104"/>
    <n v="73"/>
    <n v="144"/>
    <n v="68"/>
    <n v="84"/>
    <n v="99"/>
    <n v="75"/>
    <n v="76"/>
    <n v="130"/>
  </r>
  <r>
    <x v="0"/>
    <s v="TINTURAS"/>
    <s v="L'OREAL"/>
    <s v="NUTRISSE"/>
    <s v="7509552826920"/>
    <x v="9"/>
    <s v="NUTRISSE COLORISSIMOS CREMA POMO 45 GR KIT LAVANDA"/>
    <s v="Vtas Unds"/>
    <n v="38"/>
    <n v="23"/>
    <n v="18"/>
    <n v="20"/>
    <n v="24"/>
    <n v="57"/>
    <n v="77"/>
    <n v="43"/>
    <n v="43"/>
    <n v="50"/>
    <n v="34"/>
    <n v="22"/>
    <n v="32"/>
    <n v="13"/>
    <n v="14"/>
    <n v="20"/>
    <n v="15"/>
    <n v="16"/>
    <n v="31"/>
    <n v="9"/>
    <n v="25"/>
    <n v="18"/>
    <n v="18"/>
    <n v="19"/>
    <n v="17"/>
    <n v="13"/>
    <n v="12"/>
    <n v="30"/>
    <n v="13"/>
    <n v="11"/>
    <n v="19"/>
    <n v="24"/>
    <n v="23"/>
    <n v="33"/>
    <n v="31"/>
    <n v="17"/>
    <n v="60"/>
  </r>
  <r>
    <x v="0"/>
    <s v="TINTURAS"/>
    <s v="L'OREAL"/>
    <s v="NUTRISSE"/>
    <s v="7509552828863"/>
    <x v="9"/>
    <s v="NUTRISSE COLORISSIMOS SEXY BROWNIE 45GR KIT"/>
    <s v="Vtas Unds"/>
    <n v="39"/>
    <n v="13"/>
    <n v="14"/>
    <n v="11"/>
    <n v="9"/>
    <n v="5"/>
    <n v="14"/>
    <n v="2"/>
    <n v="3"/>
    <n v="7"/>
    <n v="10"/>
    <n v="5"/>
    <n v="3"/>
    <n v="3"/>
    <n v="3"/>
    <n v="7"/>
    <n v="2"/>
    <n v="2"/>
    <n v="1"/>
    <n v="3"/>
    <n v="0"/>
    <n v="4"/>
    <n v="1"/>
    <n v="1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509552836691"/>
    <x v="9"/>
    <s v="NUTRISSE COLORISSIMOS RUBIO IRISADO LYCHEE10.12 CJ.45GR KIT"/>
    <s v="Vtas Unds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509552836899"/>
    <x v="9"/>
    <s v="NUTRISSE COLORISSIMOS CREMA POMO 45 GR KIT RUBIO CENIZO"/>
    <s v="Vtas Unds"/>
    <n v="6"/>
    <n v="4"/>
    <n v="1"/>
    <n v="2"/>
    <n v="0"/>
    <n v="1"/>
    <n v="0"/>
    <n v="0"/>
    <n v="0"/>
    <n v="1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509552837094"/>
    <x v="9"/>
    <s v="NUTRISSE COLORISSIMOS CREM.POMO KIT T.10.13 45GR"/>
    <s v="Vtas Unds"/>
    <n v="9"/>
    <n v="1"/>
    <n v="5"/>
    <n v="7"/>
    <n v="6"/>
    <n v="11"/>
    <n v="14"/>
    <n v="13"/>
    <n v="2"/>
    <n v="4"/>
    <n v="6"/>
    <n v="10"/>
    <n v="6"/>
    <n v="6"/>
    <n v="10"/>
    <n v="10"/>
    <n v="2"/>
    <n v="1"/>
    <n v="3"/>
    <n v="1"/>
    <n v="3"/>
    <n v="3"/>
    <n v="0"/>
    <n v="1"/>
    <n v="0"/>
    <n v="0"/>
    <n v="0"/>
    <n v="1"/>
    <n v="0"/>
    <n v="1"/>
    <n v="0"/>
    <n v="0"/>
    <n v="1"/>
    <n v="1"/>
    <n v="0"/>
    <n v="0"/>
    <n v="0"/>
  </r>
  <r>
    <x v="0"/>
    <s v="TINTURAS"/>
    <s v="L'OREAL"/>
    <s v="NUTRISSE"/>
    <s v="7509552870572"/>
    <x v="10"/>
    <s v="NUTRISSE OLEOS COLOR.CR.PER.T.5.31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5"/>
    <n v="41"/>
    <n v="47"/>
    <n v="23"/>
    <n v="14"/>
    <n v="20"/>
    <n v="8"/>
    <n v="15"/>
    <n v="21"/>
    <n v="31"/>
    <n v="32"/>
    <n v="29"/>
    <n v="27"/>
    <n v="26"/>
    <n v="24"/>
  </r>
  <r>
    <x v="0"/>
    <s v="TINTURAS"/>
    <s v="L'OREAL"/>
    <s v="NUTRISSE"/>
    <s v="7509552870596"/>
    <x v="10"/>
    <s v="NUTRISSE OLEOS COL.CRE.PER.7.35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41"/>
    <n v="36"/>
    <n v="35"/>
    <n v="39"/>
    <n v="28"/>
    <n v="15"/>
    <n v="27"/>
    <n v="18"/>
    <n v="15"/>
    <n v="28"/>
    <n v="32"/>
    <n v="27"/>
    <n v="36"/>
    <n v="27"/>
    <n v="21"/>
    <n v="27"/>
  </r>
  <r>
    <x v="0"/>
    <s v="TINTURAS"/>
    <s v="L'OREAL"/>
    <s v="NUTRISSE"/>
    <s v="7509552870602"/>
    <x v="10"/>
    <s v="NUTRISSE OLEOS COL.CRE.PER.RUBIO CENIZO 9.1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3"/>
    <n v="22"/>
    <n v="31"/>
    <n v="19"/>
    <n v="11"/>
    <n v="19"/>
    <n v="8"/>
    <n v="11"/>
    <n v="29"/>
    <n v="17"/>
    <n v="15"/>
    <n v="22"/>
    <n v="24"/>
    <n v="21"/>
    <n v="15"/>
  </r>
  <r>
    <x v="0"/>
    <s v="TINTURAS"/>
    <s v="L'OREAL"/>
    <s v="NUTRISSE"/>
    <s v="7509552870619"/>
    <x v="10"/>
    <s v="NUTRISSE OLEOS COL.CR.PER.RUBIOCLARO 8.0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31"/>
    <n v="64"/>
    <n v="36"/>
    <n v="62"/>
    <n v="36"/>
    <n v="33"/>
    <n v="66"/>
    <n v="59"/>
    <n v="48"/>
    <n v="56"/>
    <n v="48"/>
    <n v="56"/>
    <n v="43"/>
  </r>
  <r>
    <x v="0"/>
    <s v="TINTURAS"/>
    <s v="L'OREAL"/>
    <s v="NUTRISSE"/>
    <s v="7509552870633"/>
    <x v="10"/>
    <s v="NUTRISSE OLEOS COLOR.CR.PER.RUB.CEN.NAC. 7.12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9"/>
    <n v="16"/>
    <n v="24"/>
    <n v="35"/>
    <n v="16"/>
    <n v="12"/>
    <n v="20"/>
    <n v="12"/>
    <n v="12"/>
    <n v="20"/>
    <n v="23"/>
    <n v="19"/>
    <n v="26"/>
    <n v="23"/>
    <n v="26"/>
    <n v="25"/>
  </r>
  <r>
    <x v="0"/>
    <s v="TINTURAS"/>
    <s v="L'OREAL"/>
    <s v="NUTRISSE"/>
    <s v="7509552870640"/>
    <x v="10"/>
    <s v="NUTRISSE OLEOS COLOR.CREMA PER.RUBIO 7.0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2"/>
    <n v="37"/>
    <n v="59"/>
    <n v="56"/>
    <n v="30"/>
    <n v="14"/>
    <n v="17"/>
    <n v="12"/>
    <n v="21"/>
    <n v="19"/>
    <n v="30"/>
    <n v="33"/>
    <n v="36"/>
    <n v="36"/>
    <n v="27"/>
    <n v="34"/>
  </r>
  <r>
    <x v="0"/>
    <s v="TINTURAS"/>
    <s v="L'OREAL"/>
    <s v="NUTRISSE"/>
    <s v="7509552870664"/>
    <x v="10"/>
    <s v="NUTRISSE OLEOS COL.CR.PER.RUB.ROJ.PR.6.66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2"/>
    <n v="45"/>
    <n v="32"/>
    <n v="53"/>
    <n v="30"/>
    <n v="23"/>
    <n v="21"/>
    <n v="11"/>
    <n v="26"/>
    <n v="56"/>
    <n v="52"/>
    <n v="45"/>
    <n v="40"/>
    <n v="38"/>
    <n v="33"/>
    <n v="49"/>
  </r>
  <r>
    <x v="0"/>
    <s v="TINTURAS"/>
    <s v="L'OREAL"/>
    <s v="NUTRISSE"/>
    <s v="7509552870688"/>
    <x v="10"/>
    <s v="NUTRISSE OLEOS COL.CREM.PER.RUB.OSC.6.0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54"/>
    <n v="43"/>
    <n v="69"/>
    <n v="56"/>
    <n v="41"/>
    <n v="20"/>
    <n v="36"/>
    <n v="22"/>
    <n v="42"/>
    <n v="38"/>
    <n v="66"/>
    <n v="50"/>
    <n v="71"/>
    <n v="74"/>
    <n v="79"/>
    <n v="63"/>
  </r>
  <r>
    <x v="0"/>
    <s v="TINTURAS"/>
    <s v="L'OREAL"/>
    <s v="NUTRISSE"/>
    <s v="7509552870695"/>
    <x v="10"/>
    <s v="NUTRISSE OLEOS COL.CREMA PER.CAST.CLARO 5.0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55"/>
    <n v="42"/>
    <n v="50"/>
    <n v="56"/>
    <n v="57"/>
    <n v="55"/>
    <n v="53"/>
    <n v="53"/>
    <n v="50"/>
    <n v="74"/>
    <n v="87"/>
    <n v="82"/>
    <n v="102"/>
    <n v="77"/>
    <n v="89"/>
    <n v="69"/>
  </r>
  <r>
    <x v="0"/>
    <s v="TINTURAS"/>
    <s v="L'OREAL"/>
    <s v="NUTRISSE"/>
    <s v="7509552870701"/>
    <x v="10"/>
    <s v="NUTRISSE OLEOS COLOR.CRE.PER.CASTANO 4.0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33"/>
    <n v="47"/>
    <n v="47"/>
    <n v="38"/>
    <n v="37"/>
    <n v="43"/>
    <n v="30"/>
    <n v="42"/>
    <n v="61"/>
    <n v="69"/>
    <n v="42"/>
    <n v="72"/>
    <n v="67"/>
    <n v="54"/>
    <n v="68"/>
  </r>
  <r>
    <x v="0"/>
    <s v="TINTURAS"/>
    <s v="L'OREAL"/>
    <s v="NUTRISSE"/>
    <s v="7509552870718"/>
    <x v="10"/>
    <s v="NUTRISSE OLEOS COL.CREM.PER.CAST.OSC.3.0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7"/>
    <n v="22"/>
    <n v="31"/>
    <n v="28"/>
    <n v="31"/>
    <n v="31"/>
    <n v="34"/>
    <n v="13"/>
    <n v="34"/>
    <n v="45"/>
    <n v="48"/>
    <n v="41"/>
    <n v="51"/>
    <n v="31"/>
    <n v="37"/>
    <n v="34"/>
  </r>
  <r>
    <x v="0"/>
    <s v="TINTURAS"/>
    <s v="L'OREAL"/>
    <s v="NUTRISSE"/>
    <s v="7509552870732"/>
    <x v="10"/>
    <s v="NUTRISSE OLEOS COLOR.CREM.PER.NEGRO 1.0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8"/>
    <n v="22"/>
    <n v="36"/>
    <n v="42"/>
    <n v="69"/>
    <n v="51"/>
    <n v="66"/>
    <n v="51"/>
    <n v="45"/>
    <n v="66"/>
    <n v="82"/>
    <n v="78"/>
    <n v="77"/>
    <n v="76"/>
    <n v="70"/>
    <n v="64"/>
  </r>
  <r>
    <x v="0"/>
    <s v="TINTURAS"/>
    <s v="L'OREAL"/>
    <s v="NUTRISSE"/>
    <s v="7509552870756"/>
    <x v="10"/>
    <s v="NUTRISSE OLEOS COL.CREMA PER.RUB.CLARO PLAT.8.12 45GR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1"/>
    <n v="22"/>
    <n v="18"/>
    <n v="24"/>
    <n v="16"/>
    <n v="9"/>
    <n v="11"/>
    <n v="12"/>
    <n v="11"/>
    <n v="16"/>
    <n v="20"/>
    <n v="19"/>
    <n v="20"/>
    <n v="24"/>
    <n v="14"/>
    <n v="20"/>
  </r>
  <r>
    <x v="0"/>
    <s v="TINTURAS"/>
    <s v="L'OREAL"/>
    <s v="NUTRISSE"/>
    <s v="7509552901092"/>
    <x v="9"/>
    <s v="NUTRISSE COLORISSI CRE.T.4460POMO 45 GR KIT"/>
    <s v="Vtas Unds"/>
    <n v="119"/>
    <n v="40"/>
    <n v="121"/>
    <n v="66"/>
    <n v="41"/>
    <n v="48"/>
    <n v="137"/>
    <n v="116"/>
    <n v="119"/>
    <n v="178"/>
    <n v="115"/>
    <n v="124"/>
    <n v="153"/>
    <n v="83"/>
    <n v="82"/>
    <n v="90"/>
    <n v="87"/>
    <n v="81.534300000000002"/>
    <n v="137"/>
    <n v="49"/>
    <n v="118"/>
    <n v="100"/>
    <n v="37"/>
    <n v="35"/>
    <n v="51"/>
    <n v="18"/>
    <n v="12"/>
    <n v="25"/>
    <n v="10"/>
    <n v="14"/>
    <n v="26"/>
    <n v="39"/>
    <n v="55"/>
    <n v="60"/>
    <n v="43"/>
    <n v="56"/>
    <n v="103"/>
  </r>
  <r>
    <x v="0"/>
    <s v="TINTURAS"/>
    <s v="L'OREAL"/>
    <s v="NUTRISSE"/>
    <s v="7509552910315"/>
    <x v="9"/>
    <s v="NUTRISSE COLORISSIMOS CREMA POMO 45 GR KIT TONO 4462"/>
    <s v="Vtas Unds"/>
    <n v="101"/>
    <n v="50"/>
    <n v="116"/>
    <n v="67"/>
    <n v="39"/>
    <n v="86"/>
    <n v="114"/>
    <n v="48"/>
    <n v="46"/>
    <n v="46"/>
    <n v="17"/>
    <n v="14"/>
    <n v="18"/>
    <n v="11"/>
    <n v="4"/>
    <n v="7"/>
    <n v="4"/>
    <n v="7"/>
    <n v="14"/>
    <n v="5"/>
    <n v="10"/>
    <n v="18"/>
    <n v="5"/>
    <n v="5"/>
    <n v="10"/>
    <n v="11"/>
    <n v="10"/>
    <n v="11"/>
    <n v="1"/>
    <n v="7"/>
    <n v="7"/>
    <n v="5"/>
    <n v="4"/>
    <n v="12"/>
    <n v="6"/>
    <n v="3"/>
    <n v="34"/>
  </r>
  <r>
    <x v="0"/>
    <s v="TINTURAS"/>
    <s v="L'OREAL"/>
    <s v="NUTRISSE"/>
    <s v="7509552916133"/>
    <x v="8"/>
    <s v="NUTRISSE EXTRA NUTRICION MASC.NUTRI. POMO 45 GR KIT T.6.34"/>
    <s v="Vtas Unds"/>
    <n v="53"/>
    <n v="19"/>
    <n v="13"/>
    <n v="26"/>
    <n v="11"/>
    <n v="7"/>
    <n v="6"/>
    <n v="9"/>
    <n v="6"/>
    <n v="12"/>
    <n v="3"/>
    <n v="3"/>
    <n v="4"/>
    <n v="2"/>
    <n v="2"/>
    <n v="5"/>
    <n v="1"/>
    <n v="3"/>
    <n v="4"/>
    <n v="1"/>
    <n v="2"/>
    <n v="3"/>
    <n v="0"/>
    <n v="0"/>
    <n v="1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509552916140"/>
    <x v="8"/>
    <s v="NUTRISSE EXTRA NUTRICION MASC.NUTRI.POMO 45 GR KIT T.7.34"/>
    <s v="Vtas Unds"/>
    <n v="0"/>
    <n v="0"/>
    <n v="0"/>
    <n v="0"/>
    <n v="0"/>
    <n v="10"/>
    <n v="13"/>
    <n v="11"/>
    <n v="16"/>
    <n v="20"/>
    <n v="15"/>
    <n v="15"/>
    <n v="27"/>
    <n v="10"/>
    <n v="16"/>
    <n v="7"/>
    <n v="6"/>
    <n v="7"/>
    <n v="13.2531"/>
    <n v="15"/>
    <n v="6"/>
    <n v="10"/>
    <n v="15"/>
    <n v="9"/>
    <n v="7"/>
    <n v="9"/>
    <n v="9"/>
    <n v="6"/>
    <n v="3"/>
    <n v="3"/>
    <n v="7"/>
    <n v="9"/>
    <n v="6"/>
    <n v="1"/>
    <n v="4"/>
    <n v="2"/>
    <n v="1"/>
  </r>
  <r>
    <x v="0"/>
    <s v="TINTURAS"/>
    <s v="L'OREAL"/>
    <s v="NUTRISSE"/>
    <s v="7509552923810"/>
    <x v="9"/>
    <s v="NUTRISSE COLORISSIMO PERMANA.CREMA. POMO 45GR T.93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2"/>
    <n v="17"/>
    <n v="19"/>
    <n v="18"/>
    <n v="7"/>
    <n v="31"/>
    <n v="22"/>
    <n v="23"/>
    <n v="20"/>
    <n v="22"/>
    <n v="18"/>
    <n v="17"/>
    <n v="13"/>
    <n v="24"/>
    <n v="28"/>
  </r>
  <r>
    <x v="0"/>
    <s v="TINTURAS"/>
    <s v="L'OREAL"/>
    <s v="NUTRISSE"/>
    <s v="7509552923827"/>
    <x v="8"/>
    <s v="NUTRISSE PERMA.CRE. TUBO 45GR T.91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27"/>
    <n v="22"/>
    <n v="17"/>
    <n v="22"/>
    <n v="26"/>
    <n v="38"/>
    <n v="22"/>
    <n v="18"/>
    <n v="31"/>
    <n v="18"/>
    <n v="25"/>
    <n v="35"/>
    <n v="22"/>
    <n v="21"/>
    <n v="38"/>
  </r>
  <r>
    <x v="0"/>
    <s v="TINTURAS"/>
    <s v="L'OREAL"/>
    <s v="NUTRISSE"/>
    <s v="7509552923834"/>
    <x v="9"/>
    <s v="NUTRISSE COLORISSIMO PERMA..CREMA TUBO 45GR T.90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35"/>
    <n v="29"/>
    <n v="39"/>
    <n v="25"/>
    <n v="27"/>
    <n v="53"/>
    <n v="22"/>
    <n v="27"/>
    <n v="40"/>
    <n v="32"/>
    <n v="34"/>
    <n v="44"/>
    <n v="31"/>
    <n v="24"/>
    <n v="71"/>
  </r>
  <r>
    <x v="0"/>
    <s v="TINTURAS"/>
    <s v="L'OREAL"/>
    <s v="NUTRISSE"/>
    <s v="7509552923841"/>
    <x v="8"/>
    <s v="NUTRISSE CREMA PERM. TUBO 45GR T.83 RUB.CLARO DORADO ORO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43"/>
    <n v="30"/>
    <n v="42"/>
    <n v="37"/>
    <n v="18"/>
    <n v="32"/>
    <n v="18"/>
    <n v="23"/>
    <n v="30"/>
    <n v="22"/>
    <n v="22"/>
    <n v="18"/>
    <n v="22"/>
    <n v="18"/>
    <n v="41"/>
  </r>
  <r>
    <x v="0"/>
    <s v="TINTURAS"/>
    <s v="L'OREAL"/>
    <s v="NUTRISSE"/>
    <s v="7509552923858"/>
    <x v="9"/>
    <s v="NUTRISSE COLORISSIMO PERMA. CREM. TUBO 45GR T.81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2"/>
    <n v="5"/>
    <n v="9"/>
    <n v="3"/>
    <n v="1"/>
    <n v="4"/>
    <n v="4"/>
    <n v="5"/>
    <n v="3"/>
    <n v="5"/>
    <n v="14"/>
    <n v="15"/>
    <n v="2"/>
    <n v="2"/>
    <n v="9"/>
  </r>
  <r>
    <x v="0"/>
    <s v="TINTURAS"/>
    <s v="L'OREAL"/>
    <s v="NUTRISSE"/>
    <s v="7509552923865"/>
    <x v="8"/>
    <s v="NUTRISSE TONO 80 NECTAR CREMA POMO 45 GRKIT IMP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41"/>
    <n v="50"/>
    <n v="37"/>
    <n v="21"/>
    <n v="41"/>
    <n v="68"/>
    <n v="33"/>
    <n v="34"/>
    <n v="48"/>
    <n v="35"/>
    <n v="53"/>
    <n v="29"/>
    <n v="26"/>
    <n v="24"/>
    <n v="59"/>
  </r>
  <r>
    <x v="0"/>
    <s v="TINTURAS"/>
    <s v="L'OREAL"/>
    <s v="NUTRISSE"/>
    <s v="7509552923919"/>
    <x v="9"/>
    <s v="NUTRISSE COLORISSIMO.PERM. CRE. TUBO 45GR T.63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4"/>
    <n v="8"/>
    <n v="17"/>
    <n v="8"/>
    <n v="6"/>
    <n v="38"/>
    <n v="21"/>
    <n v="24"/>
    <n v="15"/>
    <n v="16"/>
    <n v="7"/>
    <n v="29"/>
    <n v="18"/>
    <n v="15"/>
    <n v="10"/>
  </r>
  <r>
    <x v="0"/>
    <s v="TINTURAS"/>
    <s v="L'OREAL"/>
    <s v="NUTRISSE"/>
    <s v="7730317039075BP1"/>
    <x v="8"/>
    <s v="NUTRISSE NUTRICOLORCREMAT.81 P.45 GRKIT+MY-MBLIPS LABIAL GT"/>
    <s v="Vtas Unds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730317039143BP1"/>
    <x v="8"/>
    <s v="NUTRISSE NUTRICOLORCREMA T.60P.45 GRKIT+MY-MBLIPS LABIAL GT"/>
    <s v="Vtas Unds"/>
    <n v="34"/>
    <n v="20"/>
    <n v="19"/>
    <n v="32"/>
    <n v="28"/>
    <n v="20"/>
    <n v="25"/>
    <n v="19"/>
    <n v="19"/>
    <n v="31"/>
    <n v="18"/>
    <n v="18"/>
    <n v="19"/>
    <n v="13"/>
    <n v="13"/>
    <n v="40"/>
    <n v="17"/>
    <n v="20"/>
    <n v="28"/>
    <n v="19"/>
    <n v="22"/>
    <n v="45"/>
    <n v="23"/>
    <n v="16"/>
    <n v="26"/>
    <n v="22"/>
    <n v="11"/>
    <n v="37"/>
    <n v="14"/>
    <n v="20"/>
    <n v="20"/>
    <n v="40"/>
    <n v="38"/>
    <n v="44"/>
    <n v="22"/>
    <n v="31"/>
    <n v="31"/>
  </r>
  <r>
    <x v="0"/>
    <s v="TINTURAS"/>
    <s v="L'OREAL"/>
    <s v="NUTRISSE"/>
    <s v="7730317039808BP2"/>
    <x v="8"/>
    <s v="NUTRISSE NUTRICOLORCREMAT.70 P.45 GRKIT+MY-MBLIPS LABIAL GT"/>
    <s v="Vtas Unds"/>
    <n v="32"/>
    <n v="15"/>
    <n v="12"/>
    <n v="15"/>
    <n v="20"/>
    <n v="20"/>
    <n v="10"/>
    <n v="18"/>
    <n v="13"/>
    <n v="29"/>
    <n v="12"/>
    <n v="10"/>
    <n v="22"/>
    <n v="18"/>
    <n v="8"/>
    <n v="22"/>
    <n v="5"/>
    <n v="17"/>
    <n v="29"/>
    <n v="10"/>
    <n v="7"/>
    <n v="15"/>
    <n v="11"/>
    <n v="19"/>
    <n v="10"/>
    <n v="18"/>
    <n v="11"/>
    <n v="22"/>
    <n v="13"/>
    <n v="23"/>
    <n v="16"/>
    <n v="14"/>
    <n v="27"/>
    <n v="29"/>
    <n v="18"/>
    <n v="24"/>
    <n v="28"/>
  </r>
  <r>
    <x v="0"/>
    <s v="TINTURAS"/>
    <s v="L'OREAL"/>
    <s v="NUTRISSE"/>
    <s v="7730317039839BP1"/>
    <x v="8"/>
    <s v="NUTRISSE NUTRICOLORCREMA T.61P.45 GRKIT+MY-MBLIPS LABIAL GT"/>
    <s v="Vtas Unds"/>
    <n v="14"/>
    <n v="9"/>
    <n v="10"/>
    <n v="14"/>
    <n v="9"/>
    <n v="5"/>
    <n v="8"/>
    <n v="11"/>
    <n v="7"/>
    <n v="13"/>
    <n v="10"/>
    <n v="9"/>
    <n v="19"/>
    <n v="4"/>
    <n v="7"/>
    <n v="15"/>
    <n v="5"/>
    <n v="9"/>
    <n v="14"/>
    <n v="9"/>
    <n v="12"/>
    <n v="23"/>
    <n v="7"/>
    <n v="15"/>
    <n v="10"/>
    <n v="10"/>
    <n v="11"/>
    <n v="20"/>
    <n v="11"/>
    <n v="25"/>
    <n v="16"/>
    <n v="19"/>
    <n v="17"/>
    <n v="31"/>
    <n v="16"/>
    <n v="11"/>
    <n v="9"/>
  </r>
  <r>
    <x v="0"/>
    <s v="TINTURAS"/>
    <s v="L'OREAL"/>
    <s v="NUTRISSE"/>
    <s v="7730317039884BP1"/>
    <x v="8"/>
    <s v="NUTRISSE NUTRICOLORCREMA T.42P.45GRKIT+MY-MBLIPS LABIAL GT"/>
    <s v="Vtas Unds"/>
    <n v="1"/>
    <n v="0"/>
    <n v="0"/>
    <n v="1"/>
    <n v="0"/>
    <n v="0"/>
    <n v="0"/>
    <n v="1"/>
    <n v="0"/>
    <n v="0"/>
    <n v="0"/>
    <n v="0"/>
    <n v="4"/>
    <n v="7"/>
    <n v="1"/>
    <n v="11"/>
    <n v="5"/>
    <n v="3"/>
    <n v="11"/>
    <n v="3"/>
    <n v="8"/>
    <n v="8"/>
    <n v="4"/>
    <n v="5"/>
    <n v="8"/>
    <n v="2"/>
    <n v="3"/>
    <n v="10"/>
    <n v="3"/>
    <n v="11"/>
    <n v="9"/>
    <n v="7"/>
    <n v="11"/>
    <n v="13"/>
    <n v="4"/>
    <n v="9"/>
    <n v="7"/>
  </r>
  <r>
    <x v="0"/>
    <s v="TINTURAS"/>
    <s v="L'OREAL"/>
    <s v="NUTRISSE"/>
    <s v="7730317039891BP1"/>
    <x v="8"/>
    <s v="NUTRISSE NUTRICOLORCREMA T.40P.45 GRKIT+MY-MBLIPS LABIAL G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</r>
  <r>
    <x v="0"/>
    <s v="TINTURAS"/>
    <s v="L'OREAL"/>
    <s v="NUTRISSE"/>
    <s v="7730317039914BP1"/>
    <x v="8"/>
    <s v="NUTRISSE NUTRICOLORCREMA T.30P.45 GRKIT+MY-MBLIPS LABIAL GT"/>
    <s v="Vtas Unds"/>
    <n v="12"/>
    <n v="2"/>
    <n v="3"/>
    <n v="11"/>
    <n v="7"/>
    <n v="4"/>
    <n v="10"/>
    <n v="7"/>
    <n v="3"/>
    <n v="8"/>
    <n v="11"/>
    <n v="4"/>
    <n v="9"/>
    <n v="8"/>
    <n v="7"/>
    <n v="9"/>
    <n v="6"/>
    <n v="6"/>
    <n v="16"/>
    <n v="10"/>
    <n v="8"/>
    <n v="16"/>
    <n v="13"/>
    <n v="4"/>
    <n v="4"/>
    <n v="6"/>
    <n v="10"/>
    <n v="20"/>
    <n v="8"/>
    <n v="6"/>
    <n v="11"/>
    <n v="12"/>
    <n v="17"/>
    <n v="12"/>
    <n v="13"/>
    <n v="11"/>
    <n v="10"/>
  </r>
  <r>
    <x v="0"/>
    <s v="TINTURAS"/>
    <s v="L'OREAL"/>
    <s v="NUTRISSE"/>
    <s v="7730317071198BP1"/>
    <x v="8"/>
    <s v="NUTRISSE PER.CR.T.45GR T.121 KIT+FRUCTIS RECARGA NUTRITIVA H"/>
    <s v="Vtas Unds"/>
    <n v="0"/>
    <n v="0"/>
    <n v="3"/>
    <n v="34"/>
    <n v="53"/>
    <n v="49"/>
    <n v="113"/>
    <n v="85"/>
    <n v="94"/>
    <n v="133"/>
    <n v="71"/>
    <n v="38"/>
    <n v="38"/>
    <n v="26"/>
    <n v="14"/>
    <n v="15"/>
    <n v="6"/>
    <n v="8"/>
    <n v="22"/>
    <n v="11"/>
    <n v="6"/>
    <n v="5"/>
    <n v="2"/>
    <n v="0"/>
    <n v="7"/>
    <n v="2"/>
    <n v="1"/>
    <n v="4"/>
    <n v="3"/>
    <n v="1"/>
    <n v="0"/>
    <n v="0"/>
    <n v="0"/>
    <n v="0"/>
    <n v="0"/>
    <n v="0"/>
    <n v="0"/>
  </r>
  <r>
    <x v="0"/>
    <s v="TINTURAS"/>
    <s v="L'OREAL"/>
    <s v="NUTRISSE"/>
    <s v="7730317071259BP1"/>
    <x v="8"/>
    <s v="NUTRISSE PER.CR.T.45GR T.40 KIT+FRUCTIS RECARGA NUTRITIVA HI"/>
    <s v="Vtas Unds"/>
    <n v="0"/>
    <n v="0"/>
    <n v="2"/>
    <n v="28"/>
    <n v="46"/>
    <n v="32"/>
    <n v="67"/>
    <n v="47"/>
    <n v="44"/>
    <n v="72"/>
    <n v="44"/>
    <n v="51"/>
    <n v="33"/>
    <n v="25"/>
    <n v="21"/>
    <n v="29"/>
    <n v="16"/>
    <n v="19"/>
    <n v="14"/>
    <n v="11"/>
    <n v="5"/>
    <n v="5"/>
    <n v="5"/>
    <n v="3"/>
    <n v="2"/>
    <n v="2"/>
    <n v="3"/>
    <n v="1"/>
    <n v="3"/>
    <n v="1"/>
    <n v="0"/>
    <n v="0"/>
    <n v="1"/>
    <n v="1"/>
    <n v="0"/>
    <n v="0"/>
    <n v="0"/>
  </r>
  <r>
    <x v="0"/>
    <s v="TINTURAS"/>
    <s v="L'OREAL"/>
    <s v="NUTRISSE"/>
    <s v="7730317071266BP1"/>
    <x v="8"/>
    <s v="NUTRISSE PER.CR.T.45GR T.30 KIT+FRUCTIS RECARGA NUTRITIVA HI"/>
    <s v="Vtas Unds"/>
    <n v="0"/>
    <n v="0"/>
    <n v="0"/>
    <n v="28"/>
    <n v="16"/>
    <n v="13"/>
    <n v="31"/>
    <n v="20"/>
    <n v="12"/>
    <n v="12"/>
    <n v="17"/>
    <n v="7"/>
    <n v="10"/>
    <n v="8"/>
    <n v="4"/>
    <n v="3"/>
    <n v="1"/>
    <n v="4"/>
    <n v="4"/>
    <n v="1"/>
    <n v="3"/>
    <n v="4"/>
    <n v="2"/>
    <n v="0"/>
    <n v="3"/>
    <n v="5"/>
    <n v="2"/>
    <n v="2"/>
    <n v="2"/>
    <n v="0"/>
    <n v="0"/>
    <n v="0"/>
    <n v="0"/>
    <n v="0"/>
    <n v="0"/>
    <n v="0"/>
    <n v="0"/>
  </r>
  <r>
    <x v="0"/>
    <s v="TINTURAS"/>
    <s v="L'OREAL"/>
    <s v="NUTRISSE"/>
    <s v="7730317071273BP1"/>
    <x v="8"/>
    <s v="NUTRISSE PER.CR.T.45GR T.10 KIT+FRUCTIS RECARGA NUTRITIVA HI"/>
    <s v="Vtas Unds"/>
    <n v="0"/>
    <n v="0"/>
    <n v="2"/>
    <n v="42"/>
    <n v="59"/>
    <n v="29"/>
    <n v="72"/>
    <n v="70"/>
    <n v="55"/>
    <n v="76"/>
    <n v="45"/>
    <n v="44"/>
    <n v="33"/>
    <n v="15"/>
    <n v="12"/>
    <n v="15"/>
    <n v="5"/>
    <n v="4"/>
    <n v="9"/>
    <n v="5"/>
    <n v="7"/>
    <n v="9"/>
    <n v="3"/>
    <n v="6"/>
    <n v="7"/>
    <n v="3"/>
    <n v="0"/>
    <n v="1"/>
    <n v="0"/>
    <n v="1"/>
    <n v="1"/>
    <n v="2"/>
    <n v="3"/>
    <n v="0"/>
    <n v="0"/>
    <n v="0"/>
    <n v="0"/>
  </r>
  <r>
    <x v="0"/>
    <s v="TINTURAS"/>
    <s v="L'OREAL"/>
    <s v="NUTRISSE"/>
    <s v="7730317071280BP1"/>
    <x v="8"/>
    <s v="NUTRISSE PER.CR.T.45GR T.4460 KIT+FRUCTIS RECARGA NUTRITIVA"/>
    <s v="Vtas Unds"/>
    <n v="0"/>
    <n v="0"/>
    <n v="2"/>
    <n v="35"/>
    <n v="38"/>
    <n v="20"/>
    <n v="46"/>
    <n v="22"/>
    <n v="12"/>
    <n v="18"/>
    <n v="14"/>
    <n v="12"/>
    <n v="12"/>
    <n v="6"/>
    <n v="7"/>
    <n v="5"/>
    <n v="9"/>
    <n v="6"/>
    <n v="2"/>
    <n v="5"/>
    <n v="3"/>
    <n v="1"/>
    <n v="3"/>
    <n v="2"/>
    <n v="4"/>
    <n v="1"/>
    <n v="0"/>
    <n v="4"/>
    <n v="2"/>
    <n v="1"/>
    <n v="0"/>
    <n v="0"/>
    <n v="1"/>
    <n v="0"/>
    <n v="0"/>
    <n v="0"/>
    <n v="0"/>
  </r>
  <r>
    <x v="0"/>
    <s v="TINTURAS"/>
    <s v="L'OREAL"/>
    <s v="NUTRISSE"/>
    <s v="7730317071297BP1"/>
    <x v="8"/>
    <s v="NUTRISSE PER.CR.T.45GR T.6660 KIT+FRUCTIS RECARGA NUTRITIVA"/>
    <s v="Vtas Unds"/>
    <n v="0"/>
    <n v="0"/>
    <n v="2"/>
    <n v="88"/>
    <n v="127"/>
    <n v="92"/>
    <n v="128"/>
    <n v="76"/>
    <n v="66"/>
    <n v="104"/>
    <n v="78"/>
    <n v="32"/>
    <n v="40"/>
    <n v="20"/>
    <n v="9"/>
    <n v="16"/>
    <n v="19"/>
    <n v="19"/>
    <n v="13"/>
    <n v="8"/>
    <n v="9"/>
    <n v="9"/>
    <n v="4"/>
    <n v="7"/>
    <n v="8"/>
    <n v="9"/>
    <n v="3"/>
    <n v="2"/>
    <n v="4"/>
    <n v="3"/>
    <n v="6"/>
    <n v="3"/>
    <n v="2"/>
    <n v="0"/>
    <n v="0"/>
    <n v="0"/>
    <n v="0"/>
  </r>
  <r>
    <x v="0"/>
    <s v="TINTURAS"/>
    <s v="L'OREAL"/>
    <s v="NUTRISSE"/>
    <s v="7730317071303BP1"/>
    <x v="8"/>
    <s v="NUTRISSE PER.CR.T.45GR T.5562 KIT+FRUCTIS RECARGA NUTRITIVA"/>
    <s v="Vtas Unds"/>
    <n v="0"/>
    <n v="0"/>
    <n v="6"/>
    <n v="25"/>
    <n v="14"/>
    <n v="10"/>
    <n v="22"/>
    <n v="18"/>
    <n v="13"/>
    <n v="9"/>
    <n v="6"/>
    <n v="6"/>
    <n v="4"/>
    <n v="7"/>
    <n v="4"/>
    <n v="3"/>
    <n v="5"/>
    <n v="5"/>
    <n v="6"/>
    <n v="2"/>
    <n v="3"/>
    <n v="0"/>
    <n v="0"/>
    <n v="3"/>
    <n v="2"/>
    <n v="3"/>
    <n v="2"/>
    <n v="1"/>
    <n v="3"/>
    <n v="1"/>
    <n v="0"/>
    <n v="0"/>
    <n v="0"/>
    <n v="0"/>
    <n v="0"/>
    <n v="0"/>
    <n v="0"/>
  </r>
  <r>
    <x v="0"/>
    <s v="TINTURAS"/>
    <s v="L'OREAL"/>
    <s v="NUTRISSE"/>
    <s v="7730317071310BP1"/>
    <x v="8"/>
    <s v="NUTRISSE PER.CR.T.45GR T.61 KIT+FRUCTIS RECARGA NUTRITIVA HI"/>
    <s v="Vtas Unds"/>
    <n v="0"/>
    <n v="0"/>
    <n v="3"/>
    <n v="23"/>
    <n v="14"/>
    <n v="8"/>
    <n v="18"/>
    <n v="16"/>
    <n v="12"/>
    <n v="11"/>
    <n v="3"/>
    <n v="13"/>
    <n v="11"/>
    <n v="4"/>
    <n v="5"/>
    <n v="6"/>
    <n v="4"/>
    <n v="5"/>
    <n v="2"/>
    <n v="5"/>
    <n v="2"/>
    <n v="0"/>
    <n v="2"/>
    <n v="1"/>
    <n v="0"/>
    <n v="2"/>
    <n v="0"/>
    <n v="3"/>
    <n v="1"/>
    <n v="1"/>
    <n v="0"/>
    <n v="1"/>
    <n v="0"/>
    <n v="0"/>
    <n v="0"/>
    <n v="0"/>
    <n v="0"/>
  </r>
  <r>
    <x v="0"/>
    <s v="TINTURAS"/>
    <s v="L'OREAL"/>
    <s v="NUTRISSE"/>
    <s v="7730317071365BP1"/>
    <x v="8"/>
    <s v="NUTRISSE PER.CR.T.45GR T.46 KIT+FRUCTIS RECARGA NUTRITIVA HI"/>
    <s v="Vtas Unds"/>
    <n v="0"/>
    <n v="0"/>
    <n v="1"/>
    <n v="2"/>
    <n v="2"/>
    <n v="7"/>
    <n v="16"/>
    <n v="4"/>
    <n v="2"/>
    <n v="4"/>
    <n v="1"/>
    <n v="9"/>
    <n v="7"/>
    <n v="5"/>
    <n v="5"/>
    <n v="6"/>
    <n v="1"/>
    <n v="8"/>
    <n v="4"/>
    <n v="2"/>
    <n v="5"/>
    <n v="2"/>
    <n v="1"/>
    <n v="3"/>
    <n v="4"/>
    <n v="3"/>
    <n v="0"/>
    <n v="6"/>
    <n v="4"/>
    <n v="1"/>
    <n v="2"/>
    <n v="1"/>
    <n v="0"/>
    <n v="0"/>
    <n v="0"/>
    <n v="0"/>
    <n v="0"/>
  </r>
  <r>
    <x v="0"/>
    <s v="TINTURAS"/>
    <s v="L'OREAL"/>
    <s v="NUTRISSE"/>
    <s v="7730317071372BP1"/>
    <x v="8"/>
    <s v="NUTRISSE PER.CR.T.45GR T.10.13 KIT+FRUCTIS RECARGA NUTRITIVA"/>
    <s v="Vtas Unds"/>
    <n v="0"/>
    <n v="0"/>
    <n v="0"/>
    <n v="10"/>
    <n v="4"/>
    <n v="10"/>
    <n v="10"/>
    <n v="9"/>
    <n v="11"/>
    <n v="14"/>
    <n v="6"/>
    <n v="11"/>
    <n v="10"/>
    <n v="2"/>
    <n v="6"/>
    <n v="5"/>
    <n v="6"/>
    <n v="0"/>
    <n v="7"/>
    <n v="1"/>
    <n v="7"/>
    <n v="4"/>
    <n v="1"/>
    <n v="3"/>
    <n v="1"/>
    <n v="4"/>
    <n v="2"/>
    <n v="3"/>
    <n v="3"/>
    <n v="1"/>
    <n v="0"/>
    <n v="0"/>
    <n v="0"/>
    <n v="0"/>
    <n v="0"/>
    <n v="0"/>
    <n v="0"/>
  </r>
  <r>
    <x v="0"/>
    <s v="TINTURAS"/>
    <s v="L'OREAL"/>
    <s v="NUTRISSE"/>
    <s v="7730317071396BP1"/>
    <x v="8"/>
    <s v="NUTRISSE PER.CR.T.45GR T.77 KIT+FRUCTIS RECARGA NUTRITIVA HI"/>
    <s v="Vtas Unds"/>
    <n v="0"/>
    <n v="0"/>
    <n v="4"/>
    <n v="17"/>
    <n v="13"/>
    <n v="7"/>
    <n v="14"/>
    <n v="6"/>
    <n v="7"/>
    <n v="13"/>
    <n v="8"/>
    <n v="11"/>
    <n v="9"/>
    <n v="2"/>
    <n v="3"/>
    <n v="3"/>
    <n v="7"/>
    <n v="2"/>
    <n v="3"/>
    <n v="3"/>
    <n v="3"/>
    <n v="4"/>
    <n v="3"/>
    <n v="5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730317071402BP1"/>
    <x v="8"/>
    <s v="NUTRISSE PER.CR.T.45GR T.416 KIT+FRUCTIS RECARGA NUTRITIVA H"/>
    <s v="Vtas Unds"/>
    <n v="0"/>
    <n v="0"/>
    <n v="0"/>
    <n v="12"/>
    <n v="6"/>
    <n v="8"/>
    <n v="24"/>
    <n v="13"/>
    <n v="6"/>
    <n v="5"/>
    <n v="6"/>
    <n v="7"/>
    <n v="4"/>
    <n v="0"/>
    <n v="5"/>
    <n v="6"/>
    <n v="3"/>
    <n v="2"/>
    <n v="6"/>
    <n v="1"/>
    <n v="1"/>
    <n v="3"/>
    <n v="2"/>
    <n v="3"/>
    <n v="4"/>
    <n v="0"/>
    <n v="0"/>
    <n v="2"/>
    <n v="1"/>
    <n v="0"/>
    <n v="3"/>
    <n v="0"/>
    <n v="0"/>
    <n v="0"/>
    <n v="0"/>
    <n v="0"/>
    <n v="0"/>
  </r>
  <r>
    <x v="0"/>
    <s v="TINTURAS"/>
    <s v="L'OREAL"/>
    <s v="NUTRISSE"/>
    <s v="7730317071419BP1"/>
    <x v="8"/>
    <s v="NUTRISSE PER.CR.T.45GR T.462 KIT+FRUCTIS RECARGA NUTRITIVA H"/>
    <s v="Vtas Unds"/>
    <n v="0"/>
    <n v="0"/>
    <n v="4"/>
    <n v="49"/>
    <n v="42"/>
    <n v="29"/>
    <n v="45"/>
    <n v="25"/>
    <n v="9"/>
    <n v="12"/>
    <n v="12"/>
    <n v="5"/>
    <n v="7"/>
    <n v="4"/>
    <n v="1"/>
    <n v="1"/>
    <n v="3"/>
    <n v="4"/>
    <n v="3"/>
    <n v="1"/>
    <n v="5"/>
    <n v="2"/>
    <n v="2"/>
    <n v="3"/>
    <n v="3"/>
    <n v="1"/>
    <n v="1"/>
    <n v="1"/>
    <n v="1"/>
    <n v="0"/>
    <n v="0"/>
    <n v="0"/>
    <n v="0"/>
    <n v="0"/>
    <n v="0"/>
    <n v="0"/>
    <n v="0"/>
  </r>
  <r>
    <x v="0"/>
    <s v="TINTURAS"/>
    <s v="L'OREAL"/>
    <s v="NUTRISSE"/>
    <s v="7730317071426BP1"/>
    <x v="8"/>
    <s v="NUTRISSE PER.CR.T.45GR T.110 KIT+FRUCTIS RECARGA NUTRITIVA H"/>
    <s v="Vtas Unds"/>
    <n v="0"/>
    <n v="0"/>
    <n v="1"/>
    <n v="38"/>
    <n v="13"/>
    <n v="7"/>
    <n v="21"/>
    <n v="7"/>
    <n v="7"/>
    <n v="10"/>
    <n v="7"/>
    <n v="6"/>
    <n v="4"/>
    <n v="1"/>
    <n v="2"/>
    <n v="2"/>
    <n v="6"/>
    <n v="2"/>
    <n v="2"/>
    <n v="1"/>
    <n v="3"/>
    <n v="2"/>
    <n v="0"/>
    <n v="2"/>
    <n v="0"/>
    <n v="2"/>
    <n v="1"/>
    <n v="2"/>
    <n v="1"/>
    <n v="0"/>
    <n v="1"/>
    <n v="0"/>
    <n v="0"/>
    <n v="0"/>
    <n v="0"/>
    <n v="0"/>
    <n v="0"/>
  </r>
  <r>
    <x v="0"/>
    <s v="TINTURAS"/>
    <s v="L'OREAL"/>
    <s v="NUTRISSE"/>
    <s v="7730317071457BP1"/>
    <x v="8"/>
    <s v="NUTRISSE PER.CR.T.45GR T.6646 KIT+FRUCTIS RECARGA NUTRITIVA"/>
    <s v="Vtas Unds"/>
    <n v="0"/>
    <n v="0"/>
    <n v="3"/>
    <n v="29"/>
    <n v="18"/>
    <n v="11"/>
    <n v="23"/>
    <n v="10"/>
    <n v="12"/>
    <n v="18"/>
    <n v="8"/>
    <n v="6"/>
    <n v="2"/>
    <n v="4"/>
    <n v="1"/>
    <n v="5"/>
    <n v="4"/>
    <n v="2"/>
    <n v="3"/>
    <n v="1"/>
    <n v="3"/>
    <n v="3"/>
    <n v="5"/>
    <n v="0"/>
    <n v="4"/>
    <n v="0"/>
    <n v="0"/>
    <n v="3"/>
    <n v="1"/>
    <n v="2"/>
    <n v="1"/>
    <n v="2"/>
    <n v="0"/>
    <n v="0"/>
    <n v="0"/>
    <n v="0"/>
    <n v="0"/>
  </r>
  <r>
    <x v="0"/>
    <s v="TINTURAS"/>
    <s v="L'OREAL"/>
    <s v="NUTRISSE"/>
    <s v="7730317071464BP1"/>
    <x v="8"/>
    <s v="NUTRISSE PER.CR.T.45GR T.734 KIT+FRUCTIS RECARGA NUTRITIVA H"/>
    <s v="Vtas Unds"/>
    <n v="0"/>
    <n v="0"/>
    <n v="0"/>
    <n v="8"/>
    <n v="6"/>
    <n v="8"/>
    <n v="11"/>
    <n v="7"/>
    <n v="13"/>
    <n v="16"/>
    <n v="4"/>
    <n v="5"/>
    <n v="6"/>
    <n v="2"/>
    <n v="2"/>
    <n v="6"/>
    <n v="6"/>
    <n v="5"/>
    <n v="5"/>
    <n v="0"/>
    <n v="2"/>
    <n v="4"/>
    <n v="4"/>
    <n v="0"/>
    <n v="2"/>
    <n v="1"/>
    <n v="2"/>
    <n v="1"/>
    <n v="0"/>
    <n v="0"/>
    <n v="0"/>
    <n v="0"/>
    <n v="0"/>
    <n v="0"/>
    <n v="0"/>
    <n v="0"/>
    <n v="0"/>
  </r>
  <r>
    <x v="0"/>
    <s v="TINTURAS"/>
    <s v="L'OREAL"/>
    <s v="NUTRISSE"/>
    <s v="7730317071471BP1"/>
    <x v="8"/>
    <s v="NUTRISSE PER.CR.T.45GR T.4462 KIT+FRUCTIS RECARGA NUTRITIVA"/>
    <s v="Vtas Unds"/>
    <n v="0"/>
    <n v="0"/>
    <n v="1"/>
    <n v="51"/>
    <n v="41"/>
    <n v="22"/>
    <n v="39"/>
    <n v="25"/>
    <n v="10"/>
    <n v="25"/>
    <n v="14"/>
    <n v="15"/>
    <n v="12"/>
    <n v="2"/>
    <n v="5"/>
    <n v="6"/>
    <n v="4"/>
    <n v="6"/>
    <n v="6"/>
    <n v="5"/>
    <n v="2"/>
    <n v="4"/>
    <n v="1"/>
    <n v="2"/>
    <n v="4"/>
    <n v="1"/>
    <n v="1"/>
    <n v="0"/>
    <n v="1"/>
    <n v="0"/>
    <n v="1"/>
    <n v="0"/>
    <n v="0"/>
    <n v="0"/>
    <n v="0"/>
    <n v="0"/>
    <n v="0"/>
  </r>
  <r>
    <x v="0"/>
    <s v="TINTURAS"/>
    <s v="L'OREAL"/>
    <s v="NUTRISSE"/>
    <s v="7730317071488BP1"/>
    <x v="8"/>
    <s v="NUTRISSE PER.CR.T.45GR T.120 KIT+FRUCTIS RECARGA NUTRITIVA H"/>
    <s v="Vtas Unds"/>
    <n v="0"/>
    <n v="0"/>
    <n v="1"/>
    <n v="18"/>
    <n v="16"/>
    <n v="14"/>
    <n v="13"/>
    <n v="13"/>
    <n v="7"/>
    <n v="6"/>
    <n v="10"/>
    <n v="10"/>
    <n v="11"/>
    <n v="5"/>
    <n v="4"/>
    <n v="4"/>
    <n v="2"/>
    <n v="0"/>
    <n v="1"/>
    <n v="3"/>
    <n v="3"/>
    <n v="0"/>
    <n v="0"/>
    <n v="2"/>
    <n v="1"/>
    <n v="0"/>
    <n v="0"/>
    <n v="1"/>
    <n v="2"/>
    <n v="1"/>
    <n v="1"/>
    <n v="0"/>
    <n v="0"/>
    <n v="0"/>
    <n v="0"/>
    <n v="0"/>
    <n v="0"/>
  </r>
  <r>
    <x v="0"/>
    <s v="TINTURAS"/>
    <s v="L'OREAL"/>
    <s v="NUTRISSE"/>
    <s v="7730317071495BP1"/>
    <x v="8"/>
    <s v="NUTRISSE PER.CR.T.45GR T.93 KIT+FRUCTIS RECARGA NUTRITIVA HI"/>
    <s v="Vtas Unds"/>
    <n v="0"/>
    <n v="0"/>
    <n v="5"/>
    <n v="16"/>
    <n v="11"/>
    <n v="13"/>
    <n v="17"/>
    <n v="19"/>
    <n v="18"/>
    <n v="13"/>
    <n v="9"/>
    <n v="15"/>
    <n v="7"/>
    <n v="3"/>
    <n v="7"/>
    <n v="9"/>
    <n v="6"/>
    <n v="0"/>
    <n v="4"/>
    <n v="1"/>
    <n v="2"/>
    <n v="1"/>
    <n v="0"/>
    <n v="0"/>
    <n v="1"/>
    <n v="5"/>
    <n v="1"/>
    <n v="4"/>
    <n v="2"/>
    <n v="0"/>
    <n v="2"/>
    <n v="2"/>
    <n v="0"/>
    <n v="0"/>
    <n v="0"/>
    <n v="0"/>
    <n v="0"/>
  </r>
  <r>
    <x v="0"/>
    <s v="TINTURAS"/>
    <s v="L'OREAL"/>
    <s v="NUTRISSE"/>
    <s v="7730317071501BP1"/>
    <x v="8"/>
    <s v="NUTRISSE PER.CR.T.45GR T.90 KIT+FRUCTIS RECARGA NUTRITIVA HI"/>
    <s v="Vtas Unds"/>
    <n v="0"/>
    <n v="0"/>
    <n v="4"/>
    <n v="40"/>
    <n v="63"/>
    <n v="46"/>
    <n v="87"/>
    <n v="50"/>
    <n v="30"/>
    <n v="70"/>
    <n v="24"/>
    <n v="30"/>
    <n v="18"/>
    <n v="12"/>
    <n v="7"/>
    <n v="15"/>
    <n v="4"/>
    <n v="5"/>
    <n v="6"/>
    <n v="4"/>
    <n v="2"/>
    <n v="2"/>
    <n v="4"/>
    <n v="0"/>
    <n v="2"/>
    <n v="4"/>
    <n v="1"/>
    <n v="3"/>
    <n v="4"/>
    <n v="0"/>
    <n v="0"/>
    <n v="0"/>
    <n v="0"/>
    <n v="0"/>
    <n v="0"/>
    <n v="0"/>
    <n v="0"/>
  </r>
  <r>
    <x v="0"/>
    <s v="TINTURAS"/>
    <s v="L'OREAL"/>
    <s v="NUTRISSE"/>
    <s v="7730317071518BP1"/>
    <x v="8"/>
    <s v="NUTRISSE PER.CR.T.45GR T.83 KIT+FRUCTIS RECARGA NUTRITIVA HI"/>
    <s v="Vtas Unds"/>
    <n v="0"/>
    <n v="0"/>
    <n v="3"/>
    <n v="28"/>
    <n v="18"/>
    <n v="16"/>
    <n v="21"/>
    <n v="12"/>
    <n v="7"/>
    <n v="11"/>
    <n v="10"/>
    <n v="13"/>
    <n v="6"/>
    <n v="9"/>
    <n v="2"/>
    <n v="2"/>
    <n v="6"/>
    <n v="3"/>
    <n v="3"/>
    <n v="1"/>
    <n v="1"/>
    <n v="1"/>
    <n v="1"/>
    <n v="2"/>
    <n v="1"/>
    <n v="3"/>
    <n v="0"/>
    <n v="8"/>
    <n v="3"/>
    <n v="0"/>
    <n v="2"/>
    <n v="1"/>
    <n v="0"/>
    <n v="1"/>
    <n v="0"/>
    <n v="0"/>
    <n v="0"/>
  </r>
  <r>
    <x v="0"/>
    <s v="TINTURAS"/>
    <s v="L'OREAL"/>
    <s v="NUTRISSE"/>
    <s v="7730317071525BP1"/>
    <x v="8"/>
    <s v="NUTRISSE PER.CR.T.45GR T.80 KIT+FRUCTIS RECARGA NUTRITIVA HI"/>
    <s v="Vtas Unds"/>
    <n v="0"/>
    <n v="0"/>
    <n v="4"/>
    <n v="27"/>
    <n v="26"/>
    <n v="33"/>
    <n v="29"/>
    <n v="32"/>
    <n v="13"/>
    <n v="16"/>
    <n v="12"/>
    <n v="11"/>
    <n v="6"/>
    <n v="7"/>
    <n v="5"/>
    <n v="4"/>
    <n v="0"/>
    <n v="4"/>
    <n v="4"/>
    <n v="2"/>
    <n v="5"/>
    <n v="1"/>
    <n v="1"/>
    <n v="2"/>
    <n v="1"/>
    <n v="1"/>
    <n v="1"/>
    <n v="2"/>
    <n v="0"/>
    <n v="3"/>
    <n v="0"/>
    <n v="1"/>
    <n v="0"/>
    <n v="0"/>
    <n v="0"/>
    <n v="0"/>
    <n v="0"/>
  </r>
  <r>
    <x v="0"/>
    <s v="TINTURAS"/>
    <s v="L'OREAL"/>
    <s v="NUTRISSE"/>
    <s v="7730317071532BP1"/>
    <x v="8"/>
    <s v="NUTRISSE PER.CR.T.45GR T.63 KIT+FRUCTIS RECARGA NUTRITIVA HI"/>
    <s v="Vtas Unds"/>
    <n v="0"/>
    <n v="0"/>
    <n v="6"/>
    <n v="17"/>
    <n v="13"/>
    <n v="14"/>
    <n v="22"/>
    <n v="16"/>
    <n v="15"/>
    <n v="18"/>
    <n v="9"/>
    <n v="10"/>
    <n v="7"/>
    <n v="9"/>
    <n v="0"/>
    <n v="4"/>
    <n v="1"/>
    <n v="5"/>
    <n v="3"/>
    <n v="4"/>
    <n v="2"/>
    <n v="3"/>
    <n v="1"/>
    <n v="1"/>
    <n v="3"/>
    <n v="0"/>
    <n v="4"/>
    <n v="5"/>
    <n v="2"/>
    <n v="2"/>
    <n v="0"/>
    <n v="1"/>
    <n v="0"/>
    <n v="0"/>
    <n v="0"/>
    <n v="0"/>
    <n v="0"/>
  </r>
  <r>
    <x v="0"/>
    <s v="TINTURAS"/>
    <s v="L'OREAL"/>
    <s v="NUTRISSE"/>
    <s v="7730317071556BP1"/>
    <x v="8"/>
    <s v="NUTRISSE PER.CR.T.45GR T.57 KIT+FRUCTIS RECARGA NUTRITIVA HI"/>
    <s v="Vtas Unds"/>
    <n v="0"/>
    <n v="0"/>
    <n v="7"/>
    <n v="35"/>
    <n v="24"/>
    <n v="22"/>
    <n v="14"/>
    <n v="19"/>
    <n v="19"/>
    <n v="17"/>
    <n v="5"/>
    <n v="5"/>
    <n v="9"/>
    <n v="4"/>
    <n v="4"/>
    <n v="7"/>
    <n v="2"/>
    <n v="0"/>
    <n v="2"/>
    <n v="3"/>
    <n v="2"/>
    <n v="0"/>
    <n v="2"/>
    <n v="0"/>
    <n v="0"/>
    <n v="1"/>
    <n v="1"/>
    <n v="3"/>
    <n v="0"/>
    <n v="2"/>
    <n v="0"/>
    <n v="1"/>
    <n v="0"/>
    <n v="0"/>
    <n v="0"/>
    <n v="0"/>
    <n v="0"/>
  </r>
  <r>
    <x v="0"/>
    <s v="TINTURAS"/>
    <s v="L'OREAL"/>
    <s v="NUTRISSE"/>
    <s v="7730317071563BP1"/>
    <x v="8"/>
    <s v="NUTRISSE PER.CR.T.45GR T.53 KIT+FRUCTIS RECARGA NUTRITIVA HI"/>
    <s v="Vtas Unds"/>
    <n v="0"/>
    <n v="0"/>
    <n v="1"/>
    <n v="20"/>
    <n v="10"/>
    <n v="17"/>
    <n v="38"/>
    <n v="17"/>
    <n v="25"/>
    <n v="13"/>
    <n v="19"/>
    <n v="11"/>
    <n v="18"/>
    <n v="6"/>
    <n v="6"/>
    <n v="8"/>
    <n v="4"/>
    <n v="3"/>
    <n v="3"/>
    <n v="3"/>
    <n v="4"/>
    <n v="3"/>
    <n v="4"/>
    <n v="0"/>
    <n v="0"/>
    <n v="2"/>
    <n v="2"/>
    <n v="0"/>
    <n v="0"/>
    <n v="0"/>
    <n v="0"/>
    <n v="0"/>
    <n v="0"/>
    <n v="0"/>
    <n v="0"/>
    <n v="0"/>
    <n v="0"/>
  </r>
  <r>
    <x v="0"/>
    <s v="TINTURAS"/>
    <s v="L'OREAL"/>
    <s v="NUTRISSE"/>
    <s v="7730317071570BP1"/>
    <x v="8"/>
    <s v="NUTRISSE PER.CR.T.45GR T.50 KIT+FRUCTIS RECARGA NUTRITIVA HI"/>
    <s v="Vtas Unds"/>
    <n v="0"/>
    <n v="0"/>
    <n v="4"/>
    <n v="60"/>
    <n v="55"/>
    <n v="57"/>
    <n v="94"/>
    <n v="62"/>
    <n v="46"/>
    <n v="74"/>
    <n v="51"/>
    <n v="32"/>
    <n v="24"/>
    <n v="10"/>
    <n v="15"/>
    <n v="18"/>
    <n v="17"/>
    <n v="11"/>
    <n v="11"/>
    <n v="9"/>
    <n v="5"/>
    <n v="8"/>
    <n v="1"/>
    <n v="1"/>
    <n v="2"/>
    <n v="2"/>
    <n v="0"/>
    <n v="1"/>
    <n v="2"/>
    <n v="1"/>
    <n v="1"/>
    <n v="0"/>
    <n v="0"/>
    <n v="0"/>
    <n v="0"/>
    <n v="0"/>
    <n v="0"/>
  </r>
  <r>
    <x v="0"/>
    <s v="TINTURAS"/>
    <s v="L'OREAL"/>
    <s v="NUTRISSE"/>
    <s v="7730317071716BP1"/>
    <x v="8"/>
    <s v="NUTRISSE PER.CR.T.45GR T.91 KIT+FRUCTIS RECARGA NUTRITIVA HI"/>
    <s v="Vtas Unds"/>
    <n v="0"/>
    <n v="0"/>
    <n v="5"/>
    <n v="26"/>
    <n v="22"/>
    <n v="19"/>
    <n v="26"/>
    <n v="21"/>
    <n v="13"/>
    <n v="7"/>
    <n v="9"/>
    <n v="4"/>
    <n v="4"/>
    <n v="5"/>
    <n v="2"/>
    <n v="3"/>
    <n v="4"/>
    <n v="2"/>
    <n v="3"/>
    <n v="0"/>
    <n v="1"/>
    <n v="1"/>
    <n v="3"/>
    <n v="3"/>
    <n v="2"/>
    <n v="1"/>
    <n v="0"/>
    <n v="3"/>
    <n v="0"/>
    <n v="0"/>
    <n v="1"/>
    <n v="1"/>
    <n v="4"/>
    <n v="0"/>
    <n v="0"/>
    <n v="0"/>
    <n v="0"/>
  </r>
  <r>
    <x v="0"/>
    <s v="TINTURAS"/>
    <s v="L'OREAL"/>
    <s v="NUTRISSE"/>
    <s v="7730317071723BP1"/>
    <x v="8"/>
    <s v="NUTRISSE PER.CR.T.45GR T.81 KIT+FRUCTIS RECARGA NUTRITIVA HI"/>
    <s v="Vtas Unds"/>
    <n v="0"/>
    <n v="0"/>
    <n v="2"/>
    <n v="34"/>
    <n v="23"/>
    <n v="26"/>
    <n v="27"/>
    <n v="28"/>
    <n v="8"/>
    <n v="15"/>
    <n v="5"/>
    <n v="8"/>
    <n v="5"/>
    <n v="4"/>
    <n v="5"/>
    <n v="7"/>
    <n v="4"/>
    <n v="1"/>
    <n v="4"/>
    <n v="3"/>
    <n v="0"/>
    <n v="3"/>
    <n v="4"/>
    <n v="0"/>
    <n v="1"/>
    <n v="0"/>
    <n v="1"/>
    <n v="3"/>
    <n v="0"/>
    <n v="1"/>
    <n v="4"/>
    <n v="0"/>
    <n v="2"/>
    <n v="0"/>
    <n v="0"/>
    <n v="0"/>
    <n v="0"/>
  </r>
  <r>
    <x v="0"/>
    <s v="TINTURAS"/>
    <s v="L'OREAL"/>
    <s v="NUTRISSE"/>
    <s v="7730317071730BP1"/>
    <x v="8"/>
    <s v="NUTRISSE PER.CR.T.45GR T.73 KIT+FRUCTIS RECARGA NUTRITIVA HI"/>
    <s v="Vtas Unds"/>
    <n v="0"/>
    <n v="0"/>
    <n v="3"/>
    <n v="66"/>
    <n v="68"/>
    <n v="51"/>
    <n v="95"/>
    <n v="77"/>
    <n v="53"/>
    <n v="149"/>
    <n v="86"/>
    <n v="54"/>
    <n v="65"/>
    <n v="37"/>
    <n v="36"/>
    <n v="27"/>
    <n v="23"/>
    <n v="14"/>
    <n v="14"/>
    <n v="9"/>
    <n v="11"/>
    <n v="8"/>
    <n v="5"/>
    <n v="3"/>
    <n v="6"/>
    <n v="4"/>
    <n v="5"/>
    <n v="4"/>
    <n v="3"/>
    <n v="1"/>
    <n v="1"/>
    <n v="0"/>
    <n v="0"/>
    <n v="0"/>
    <n v="0"/>
    <n v="0"/>
    <n v="0"/>
  </r>
  <r>
    <x v="0"/>
    <s v="TINTURAS"/>
    <s v="L'OREAL"/>
    <s v="NUTRISSE"/>
    <s v="7730317071747BP1"/>
    <x v="8"/>
    <s v="NUTRISSE PER.CR.T.45GR T.71 KIT+FRUCTIS RECARGA NUTRITIVA HI"/>
    <s v="Vtas Unds"/>
    <n v="0"/>
    <n v="0"/>
    <n v="8"/>
    <n v="44"/>
    <n v="59"/>
    <n v="44"/>
    <n v="68"/>
    <n v="75"/>
    <n v="69"/>
    <n v="115"/>
    <n v="80"/>
    <n v="60"/>
    <n v="73"/>
    <n v="38"/>
    <n v="37"/>
    <n v="32"/>
    <n v="28"/>
    <n v="32"/>
    <n v="16"/>
    <n v="19"/>
    <n v="19"/>
    <n v="13"/>
    <n v="9"/>
    <n v="4"/>
    <n v="7"/>
    <n v="4"/>
    <n v="2"/>
    <n v="2"/>
    <n v="4"/>
    <n v="2"/>
    <n v="1"/>
    <n v="0"/>
    <n v="2"/>
    <n v="4"/>
    <n v="3"/>
    <n v="0"/>
    <n v="0"/>
  </r>
  <r>
    <x v="0"/>
    <s v="TINTURAS"/>
    <s v="L'OREAL"/>
    <s v="NUTRISSE"/>
    <s v="7730317071754BP1"/>
    <x v="8"/>
    <s v="NUTRISSE PER.CR.T.45GR T.70 KIT+FRUCTIS RECARGA NUTRITIVA HI"/>
    <s v="Vtas Unds"/>
    <n v="0"/>
    <n v="0"/>
    <n v="6"/>
    <n v="65"/>
    <n v="75"/>
    <n v="72"/>
    <n v="96"/>
    <n v="91"/>
    <n v="42"/>
    <n v="95"/>
    <n v="40"/>
    <n v="44"/>
    <n v="39"/>
    <n v="24"/>
    <n v="28"/>
    <n v="35"/>
    <n v="21"/>
    <n v="18"/>
    <n v="21"/>
    <n v="9"/>
    <n v="16"/>
    <n v="16"/>
    <n v="9"/>
    <n v="4"/>
    <n v="7"/>
    <n v="4"/>
    <n v="3"/>
    <n v="10"/>
    <n v="2"/>
    <n v="2"/>
    <n v="1"/>
    <n v="0"/>
    <n v="3"/>
    <n v="2"/>
    <n v="0"/>
    <n v="0"/>
    <n v="0"/>
  </r>
  <r>
    <x v="0"/>
    <s v="TINTURAS"/>
    <s v="L'OREAL"/>
    <s v="NUTRISSE"/>
    <s v="7730317071761BP1"/>
    <x v="8"/>
    <s v="NUTRISSE PER.CR.T.45GR T.60 KIT+FRUCTIS RECARGA NUTRITIVA HI"/>
    <s v="Vtas Unds"/>
    <n v="0"/>
    <n v="0"/>
    <n v="2"/>
    <n v="58"/>
    <n v="59"/>
    <n v="60"/>
    <n v="96"/>
    <n v="80"/>
    <n v="49"/>
    <n v="105"/>
    <n v="55"/>
    <n v="36"/>
    <n v="54"/>
    <n v="38"/>
    <n v="26"/>
    <n v="24"/>
    <n v="19"/>
    <n v="21"/>
    <n v="18"/>
    <n v="18"/>
    <n v="11"/>
    <n v="21"/>
    <n v="7"/>
    <n v="3"/>
    <n v="5"/>
    <n v="2"/>
    <n v="2"/>
    <n v="3"/>
    <n v="2"/>
    <n v="2"/>
    <n v="2"/>
    <n v="0"/>
    <n v="0"/>
    <n v="0"/>
    <n v="0"/>
    <n v="0"/>
    <n v="0"/>
  </r>
  <r>
    <x v="0"/>
    <s v="TINTURAS"/>
    <s v="L'OREAL"/>
    <s v="NUTRISSE"/>
    <s v="7804960970846"/>
    <x v="8"/>
    <s v="NUTRISSE TONO 46 BORGONA CREMA POMO 45 GRKIT IMP"/>
    <s v="Vtas Unds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896014151301"/>
    <x v="8"/>
    <s v="NUTRISSE TONO 70 CREMA POMO 45 GRKIT IMP"/>
    <s v="Vtas Unds"/>
    <n v="0"/>
    <n v="0"/>
    <n v="0"/>
    <n v="0"/>
    <n v="0"/>
    <n v="24"/>
    <n v="168"/>
    <n v="159"/>
    <n v="155"/>
    <n v="227"/>
    <n v="160"/>
    <n v="129"/>
    <n v="170"/>
    <n v="126"/>
    <n v="92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896014162406"/>
    <x v="8"/>
    <s v="NUTRISSE TONO 93 CREMA POMO 45 GRKIT IMP"/>
    <s v="Vtas Unds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896014191512"/>
    <x v="8"/>
    <s v="NUTRISSE NUTRICOLORTONO 40 POMO 45 GR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</r>
  <r>
    <x v="0"/>
    <s v="TINTURAS"/>
    <s v="L'OREAL"/>
    <s v="NUTRISSE"/>
    <s v="7896014191598"/>
    <x v="8"/>
    <s v="NUTRISSE NUTRICOLORTONO 53 POMO 45 GR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0"/>
    <s v="TINTURAS"/>
    <s v="L'OREAL"/>
    <s v="NUTRISSE"/>
    <s v="7896014191635"/>
    <x v="8"/>
    <s v="NUTRISSE NUTRICOLORTONO 57 POMO 45 GR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896014191666"/>
    <x v="8"/>
    <s v="NUTRISSE NUTRICOLORTONO 61 POMO 45 GRKIT"/>
    <s v="Vtas Unds"/>
    <n v="170"/>
    <n v="97"/>
    <n v="134"/>
    <n v="90"/>
    <n v="60"/>
    <n v="88"/>
    <n v="91"/>
    <n v="85"/>
    <n v="119"/>
    <n v="144"/>
    <n v="93"/>
    <n v="93"/>
    <n v="123"/>
    <n v="75.3947"/>
    <n v="83"/>
    <n v="111"/>
    <n v="57"/>
    <n v="90.966399999999993"/>
    <n v="127.4807"/>
    <n v="90"/>
    <n v="129"/>
    <n v="143"/>
    <n v="78"/>
    <n v="79"/>
    <n v="98"/>
    <n v="68"/>
    <n v="56"/>
    <n v="120"/>
    <n v="53"/>
    <n v="54"/>
    <n v="78"/>
    <n v="78"/>
    <n v="81"/>
    <n v="67"/>
    <n v="57"/>
    <n v="69"/>
    <n v="113"/>
  </r>
  <r>
    <x v="0"/>
    <s v="TINTURAS"/>
    <s v="L'OREAL"/>
    <s v="NUTRISSE"/>
    <s v="7896014191734"/>
    <x v="8"/>
    <s v="NUTRISSE NUTRICOLORTONO 71 POMO 45 GRKIT"/>
    <s v="Vtas Unds"/>
    <n v="0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896014191758"/>
    <x v="8"/>
    <s v="NUTRISSE CRE. PERMANEN. TUBO 45GR T.73 RUBIO DORADO 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</r>
  <r>
    <x v="0"/>
    <s v="TINTURAS"/>
    <s v="L'OREAL"/>
    <s v="NUTRISSE"/>
    <s v="7896014191789"/>
    <x v="8"/>
    <s v="NUTRISSE NUTRICOLORTONO 80 POMO 45 GRKIT"/>
    <s v="Vtas Unds"/>
    <n v="0"/>
    <n v="2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0"/>
    <n v="0"/>
    <n v="0"/>
  </r>
  <r>
    <x v="0"/>
    <s v="TINTURAS"/>
    <s v="L'OREAL"/>
    <s v="NUTRISSE"/>
    <s v="7896014191796"/>
    <x v="8"/>
    <s v="NUTRISSE NUTRICOLORTONO 81 POMO 45 GRKIT"/>
    <s v="Vtas Unds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896014191819"/>
    <x v="8"/>
    <s v="NUTRISSE NUTRICOLORTONO 83 POMO 45 GRKIT"/>
    <s v="Vtas Unds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896014191840"/>
    <x v="8"/>
    <s v="NUTRISSE NUTRICOLORTONO 91 POMO 45 GRKIT"/>
    <s v="Vtas Unds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899706115001"/>
    <x v="8"/>
    <s v="NUTRISSE NUTRICOLORTONO 30 POMO 45 GR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0"/>
    <s v="TINTURAS"/>
    <s v="L'OREAL"/>
    <s v="NUTRISSE"/>
    <s v="7899706115179"/>
    <x v="8"/>
    <s v="NUTRISSE NUTRICOLORCREMA T.57POMO 45 GRKIT"/>
    <s v="Vtas Und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</r>
  <r>
    <x v="0"/>
    <s v="TINTURAS"/>
    <s v="L'OREAL"/>
    <s v="NUTRISSE"/>
    <s v="7899706115193"/>
    <x v="8"/>
    <s v="NUTRISSE NUTRICOLORTONO 61 POMO 45 GRKIT"/>
    <s v="Vtas Unds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2"/>
    <n v="0"/>
    <n v="0"/>
  </r>
  <r>
    <x v="0"/>
    <s v="TINTURAS"/>
    <s v="L'OREAL"/>
    <s v="NUTRISSE"/>
    <s v="7899706115216"/>
    <x v="8"/>
    <s v="NUTRISSE NUTRICOLORCREMA T.63POMO 45 GRKIT"/>
    <s v="Vtas Unds"/>
    <n v="71"/>
    <n v="44"/>
    <n v="39"/>
    <n v="29"/>
    <n v="20"/>
    <n v="48"/>
    <n v="76"/>
    <n v="53"/>
    <n v="55"/>
    <n v="47"/>
    <n v="37"/>
    <n v="23"/>
    <n v="29"/>
    <n v="6"/>
    <n v="12"/>
    <n v="7"/>
    <n v="4"/>
    <n v="4"/>
    <n v="9"/>
    <n v="3"/>
    <n v="2"/>
    <n v="8"/>
    <n v="1"/>
    <n v="2"/>
    <n v="1"/>
    <n v="3"/>
    <n v="1"/>
    <n v="6"/>
    <n v="0"/>
    <n v="1"/>
    <n v="1"/>
    <n v="0"/>
    <n v="0"/>
    <n v="3"/>
    <n v="2"/>
    <n v="0"/>
    <n v="0"/>
  </r>
  <r>
    <x v="0"/>
    <s v="TINTURAS"/>
    <s v="L'OREAL"/>
    <s v="NUTRISSE"/>
    <s v="7899706115223"/>
    <x v="8"/>
    <s v="NUTRISSE NUTRICOLORTONO 66 POMO 45 GRKIT"/>
    <s v="Vtas Unds"/>
    <n v="6"/>
    <n v="4"/>
    <n v="2"/>
    <n v="3"/>
    <n v="5"/>
    <n v="0"/>
    <n v="0"/>
    <n v="1"/>
    <n v="1"/>
    <n v="1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899706115391"/>
    <x v="8"/>
    <s v="NUTRISSE NUTRICOLORT.RUBIO T.80 JAZMIN POMO 45 GRKIT"/>
    <s v="Vtas Unds"/>
    <n v="181"/>
    <n v="94"/>
    <n v="136"/>
    <n v="123"/>
    <n v="87"/>
    <n v="112"/>
    <n v="85"/>
    <n v="82"/>
    <n v="62"/>
    <n v="58"/>
    <n v="35"/>
    <n v="25"/>
    <n v="25"/>
    <n v="19"/>
    <n v="7"/>
    <n v="16"/>
    <n v="7"/>
    <n v="7"/>
    <n v="8"/>
    <n v="5"/>
    <n v="9"/>
    <n v="5"/>
    <n v="6"/>
    <n v="7"/>
    <n v="7"/>
    <n v="1"/>
    <n v="0"/>
    <n v="6"/>
    <n v="0"/>
    <n v="2"/>
    <n v="0"/>
    <n v="0"/>
    <n v="1"/>
    <n v="3"/>
    <n v="0"/>
    <n v="0"/>
    <n v="0"/>
  </r>
  <r>
    <x v="0"/>
    <s v="TINTURAS"/>
    <s v="L'OREAL"/>
    <s v="NUTRISSE"/>
    <s v="7899706115407"/>
    <x v="8"/>
    <s v="NUTRISSE NUTRICOLORCREMA T.81POMO 45 GRKIT"/>
    <s v="Vtas Unds"/>
    <n v="107"/>
    <n v="57"/>
    <n v="79"/>
    <n v="45"/>
    <n v="18"/>
    <n v="27"/>
    <n v="30"/>
    <n v="22"/>
    <n v="10"/>
    <n v="26"/>
    <n v="15"/>
    <n v="9"/>
    <n v="10"/>
    <n v="7"/>
    <n v="11"/>
    <n v="12"/>
    <n v="11"/>
    <n v="9.7360000000000007"/>
    <n v="5"/>
    <n v="10"/>
    <n v="7"/>
    <n v="11"/>
    <n v="11"/>
    <n v="11"/>
    <n v="14"/>
    <n v="6"/>
    <n v="4"/>
    <n v="7"/>
    <n v="2"/>
    <n v="1"/>
    <n v="1"/>
    <n v="5"/>
    <n v="13"/>
    <n v="1"/>
    <n v="0"/>
    <n v="0"/>
    <n v="0"/>
  </r>
  <r>
    <x v="0"/>
    <s v="TINTURAS"/>
    <s v="L'OREAL"/>
    <s v="NUTRISSE"/>
    <s v="7899706115414"/>
    <x v="8"/>
    <s v="NUTRISSE NUTRICOLOR CREMA POMO 45 GR KIT TONO 82"/>
    <s v="Vtas Unds"/>
    <n v="22"/>
    <n v="5"/>
    <n v="6"/>
    <n v="15"/>
    <n v="8"/>
    <n v="4"/>
    <n v="3"/>
    <n v="1"/>
    <n v="4"/>
    <n v="3"/>
    <n v="2"/>
    <n v="3"/>
    <n v="3"/>
    <n v="2"/>
    <n v="3"/>
    <n v="0"/>
    <n v="1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INTURAS"/>
    <s v="L'OREAL"/>
    <s v="NUTRISSE"/>
    <s v="7899706115421"/>
    <x v="8"/>
    <s v="NUTRISSE NUTRICOLORCRE.T.83 POMO 45 GRKIT"/>
    <s v="Vtas Unds"/>
    <n v="75"/>
    <n v="48"/>
    <n v="38"/>
    <n v="20"/>
    <n v="15"/>
    <n v="53"/>
    <n v="71"/>
    <n v="60"/>
    <n v="55"/>
    <n v="58"/>
    <n v="35"/>
    <n v="24"/>
    <n v="27"/>
    <n v="9"/>
    <n v="16"/>
    <n v="6"/>
    <n v="5"/>
    <n v="6"/>
    <n v="12.227600000000001"/>
    <n v="5"/>
    <n v="2"/>
    <n v="6"/>
    <n v="5"/>
    <n v="13"/>
    <n v="6"/>
    <n v="2"/>
    <n v="2"/>
    <n v="0"/>
    <n v="0"/>
    <n v="2"/>
    <n v="0"/>
    <n v="0"/>
    <n v="0"/>
    <n v="0"/>
    <n v="1"/>
    <n v="2"/>
    <n v="0"/>
  </r>
  <r>
    <x v="0"/>
    <s v="TINTURAS"/>
    <s v="L'OREAL"/>
    <s v="NUTRISSE"/>
    <s v="7899706115445"/>
    <x v="8"/>
    <s v="NUTRISSE NUTRICOLORCR.T.RU.CL.T.90 POMO 45 GRKIT"/>
    <s v="Vtas Unds"/>
    <n v="136"/>
    <n v="69"/>
    <n v="117"/>
    <n v="69"/>
    <n v="42"/>
    <n v="69"/>
    <n v="86"/>
    <n v="67"/>
    <n v="87"/>
    <n v="84"/>
    <n v="48"/>
    <n v="41"/>
    <n v="41"/>
    <n v="22"/>
    <n v="25"/>
    <n v="32"/>
    <n v="21"/>
    <n v="12"/>
    <n v="20"/>
    <n v="15"/>
    <n v="18"/>
    <n v="19"/>
    <n v="10"/>
    <n v="5"/>
    <n v="5"/>
    <n v="6"/>
    <n v="4"/>
    <n v="4"/>
    <n v="3"/>
    <n v="3"/>
    <n v="3"/>
    <n v="2"/>
    <n v="1"/>
    <n v="3"/>
    <n v="0"/>
    <n v="0"/>
    <n v="0"/>
  </r>
  <r>
    <x v="0"/>
    <s v="TINTURAS"/>
    <s v="L'OREAL"/>
    <s v="NUTRISSE"/>
    <s v="7899706115452"/>
    <x v="8"/>
    <s v="NUTRISSE NUTRICOLORTONO 91 POMO 45 GRKIT"/>
    <s v="Vtas Unds"/>
    <n v="144"/>
    <n v="64"/>
    <n v="91"/>
    <n v="50"/>
    <n v="38"/>
    <n v="53"/>
    <n v="108"/>
    <n v="72"/>
    <n v="66"/>
    <n v="57"/>
    <n v="39"/>
    <n v="46"/>
    <n v="20"/>
    <n v="8"/>
    <n v="9"/>
    <n v="9"/>
    <n v="7"/>
    <n v="9"/>
    <n v="5"/>
    <n v="4"/>
    <n v="14"/>
    <n v="13"/>
    <n v="10"/>
    <n v="7"/>
    <n v="6"/>
    <n v="0"/>
    <n v="1"/>
    <n v="1"/>
    <n v="0"/>
    <n v="0"/>
    <n v="2"/>
    <n v="0"/>
    <n v="0"/>
    <n v="1"/>
    <n v="0"/>
    <n v="0"/>
    <n v="0"/>
  </r>
  <r>
    <x v="0"/>
    <s v="TINTURAS"/>
    <s v="L'OREAL"/>
    <s v="NUTRISSE"/>
    <s v="7899706115469"/>
    <x v="8"/>
    <s v="NUTRISSE NUTRICOLORCRE.T.93 POMO 45 GRKIT"/>
    <s v="Vtas Unds"/>
    <n v="79"/>
    <n v="35"/>
    <n v="59"/>
    <n v="40"/>
    <n v="22"/>
    <n v="55"/>
    <n v="84"/>
    <n v="70"/>
    <n v="62"/>
    <n v="71"/>
    <n v="61"/>
    <n v="41"/>
    <n v="43"/>
    <n v="20"/>
    <n v="12"/>
    <n v="22"/>
    <n v="12"/>
    <n v="12.9664"/>
    <n v="13"/>
    <n v="4"/>
    <n v="8"/>
    <n v="8"/>
    <n v="3"/>
    <n v="3"/>
    <n v="2"/>
    <n v="3"/>
    <n v="3"/>
    <n v="5"/>
    <n v="1"/>
    <n v="3"/>
    <n v="1"/>
    <n v="2"/>
    <n v="1"/>
    <n v="5"/>
    <n v="2"/>
    <n v="0"/>
    <n v="2"/>
  </r>
  <r>
    <x v="0"/>
    <s v="TINTURAS"/>
    <s v="L'OREAL"/>
    <s v="NUTRISSE"/>
    <s v="7899706119931"/>
    <x v="9"/>
    <s v="NUTRISSE COLORISSI. CREMA POMO 45 GR KIT TONO COCO"/>
    <s v="Vtas Unds"/>
    <n v="107"/>
    <n v="71"/>
    <n v="68"/>
    <n v="56"/>
    <n v="29"/>
    <n v="44"/>
    <n v="39"/>
    <n v="18"/>
    <n v="13"/>
    <n v="27"/>
    <n v="13"/>
    <n v="6"/>
    <n v="9"/>
    <n v="7"/>
    <n v="8"/>
    <n v="7"/>
    <n v="4"/>
    <n v="10.907999999999999"/>
    <n v="6"/>
    <n v="5"/>
    <n v="10"/>
    <n v="4"/>
    <n v="2"/>
    <n v="2"/>
    <n v="0"/>
    <n v="4"/>
    <n v="0"/>
    <n v="0"/>
    <n v="0"/>
    <n v="2"/>
    <n v="1"/>
    <n v="0"/>
    <n v="0"/>
    <n v="0"/>
    <n v="0"/>
    <n v="0"/>
    <n v="0"/>
  </r>
  <r>
    <x v="0"/>
    <s v="TINTURAS"/>
    <s v="L'OREAL"/>
    <s v="NUTRISSE"/>
    <s v="7899706119955"/>
    <x v="9"/>
    <s v="NUTRISSE COLORISSI. CREMA POMO 45 GR KIT TONO MANZANA"/>
    <s v="Vtas Unds"/>
    <n v="0"/>
    <n v="0"/>
    <n v="0"/>
    <n v="0"/>
    <n v="1"/>
    <n v="0"/>
    <n v="0"/>
    <n v="0"/>
    <n v="0"/>
    <n v="0"/>
    <n v="1"/>
    <n v="0"/>
    <n v="12"/>
    <n v="2"/>
    <n v="10"/>
    <n v="5"/>
    <n v="9"/>
    <n v="12"/>
    <n v="15"/>
    <n v="7"/>
    <n v="6"/>
    <n v="10"/>
    <n v="6"/>
    <n v="4"/>
    <n v="6"/>
    <n v="8"/>
    <n v="5"/>
    <n v="23"/>
    <n v="8"/>
    <n v="13"/>
    <n v="23"/>
    <n v="21"/>
    <n v="27"/>
    <n v="19"/>
    <n v="9"/>
    <n v="8"/>
    <n v="18"/>
  </r>
  <r>
    <x v="0"/>
    <s v="TINTURAS"/>
    <s v="L'OREAL"/>
    <s v="NUTRISSE"/>
    <s v="8901526566013"/>
    <x v="11"/>
    <s v="NUTRISSE RETOCA RAIZ PERM.CRE.SACHET 20GR T.10 NEG.INTENSO"/>
    <s v="Vtas Unds"/>
    <n v="591"/>
    <n v="457.15469999999999"/>
    <n v="470"/>
    <n v="536"/>
    <n v="451"/>
    <n v="408"/>
    <n v="589"/>
    <n v="398"/>
    <n v="464"/>
    <n v="611"/>
    <n v="476"/>
    <n v="398"/>
    <n v="465"/>
    <n v="411"/>
    <n v="457"/>
    <n v="586"/>
    <n v="470"/>
    <n v="465.4778"/>
    <n v="651.75919999999996"/>
    <n v="413"/>
    <n v="465"/>
    <n v="430"/>
    <n v="349"/>
    <n v="318"/>
    <n v="802"/>
    <n v="521"/>
    <n v="308"/>
    <n v="321"/>
    <n v="636"/>
    <n v="529"/>
    <n v="650"/>
    <n v="398"/>
    <n v="750"/>
    <n v="694"/>
    <n v="185"/>
    <n v="436"/>
    <n v="748"/>
  </r>
  <r>
    <x v="0"/>
    <s v="TINTURAS"/>
    <s v="L'OREAL"/>
    <s v="NUTRISSE"/>
    <s v="8901526566020"/>
    <x v="11"/>
    <s v="NUTRISSE RETOCA RAIZ PERM.CREMA SACHET 20GR T.NEGRO KIT"/>
    <s v="Vtas Unds"/>
    <n v="427"/>
    <n v="459"/>
    <n v="422"/>
    <n v="578"/>
    <n v="467"/>
    <n v="498"/>
    <n v="605"/>
    <n v="458"/>
    <n v="481"/>
    <n v="670"/>
    <n v="573"/>
    <n v="479"/>
    <n v="606"/>
    <n v="467.59210000000002"/>
    <n v="410"/>
    <n v="558"/>
    <n v="426"/>
    <n v="434.63350000000003"/>
    <n v="567.45519999999999"/>
    <n v="358"/>
    <n v="304"/>
    <n v="348"/>
    <n v="318"/>
    <n v="255"/>
    <n v="180"/>
    <n v="295"/>
    <n v="318"/>
    <n v="156"/>
    <n v="92"/>
    <n v="303"/>
    <n v="378"/>
    <n v="255"/>
    <n v="261"/>
    <n v="177"/>
    <n v="276"/>
    <n v="304"/>
    <n v="403"/>
  </r>
  <r>
    <x v="0"/>
    <s v="TINTURAS"/>
    <s v="L'OREAL"/>
    <s v="NUTRISSE"/>
    <s v="8901526566037"/>
    <x v="11"/>
    <s v="NUTRISSE RETOCA RAIZ PER.CREMA SACHET 20GRT.30 CAST.OSC."/>
    <s v="Vtas Unds"/>
    <n v="687"/>
    <n v="603.15470000000005"/>
    <n v="546"/>
    <n v="765"/>
    <n v="585"/>
    <n v="538"/>
    <n v="792"/>
    <n v="545"/>
    <n v="578"/>
    <n v="783"/>
    <n v="702"/>
    <n v="596"/>
    <n v="616"/>
    <n v="440.3947"/>
    <n v="491"/>
    <n v="794"/>
    <n v="561"/>
    <n v="538.35760000000005"/>
    <n v="824.61699999999996"/>
    <n v="435"/>
    <n v="710"/>
    <n v="822"/>
    <n v="368"/>
    <n v="568"/>
    <n v="312"/>
    <n v="391"/>
    <n v="353"/>
    <n v="623"/>
    <n v="356"/>
    <n v="163"/>
    <n v="191"/>
    <n v="207"/>
    <n v="442"/>
    <n v="467"/>
    <n v="527"/>
    <n v="455"/>
    <n v="488"/>
  </r>
  <r>
    <x v="0"/>
    <s v="TINTURAS"/>
    <s v="L'OREAL"/>
    <s v="NUTRISSE"/>
    <s v="8901526566044"/>
    <x v="11"/>
    <s v="NUTRISSE RETOCA RAIZ PERM.CR SACHET 20GR T.50 CAST.CL.KIT"/>
    <s v="Vtas Unds"/>
    <n v="536"/>
    <n v="413.15469999999999"/>
    <n v="602"/>
    <n v="722"/>
    <n v="518"/>
    <n v="582"/>
    <n v="743"/>
    <n v="554"/>
    <n v="537"/>
    <n v="785"/>
    <n v="647"/>
    <n v="578"/>
    <n v="740"/>
    <n v="586.19740000000002"/>
    <n v="556"/>
    <n v="802"/>
    <n v="555"/>
    <n v="551.49530000000004"/>
    <n v="812.0104"/>
    <n v="522"/>
    <n v="568"/>
    <n v="570"/>
    <n v="466"/>
    <n v="287"/>
    <n v="128"/>
    <n v="565"/>
    <n v="644"/>
    <n v="633"/>
    <n v="248"/>
    <n v="154"/>
    <n v="298"/>
    <n v="167"/>
    <n v="127"/>
    <n v="49"/>
    <n v="256"/>
    <n v="403"/>
    <n v="442"/>
  </r>
  <r>
    <x v="0"/>
    <s v="TINTURAS"/>
    <s v="L'OREAL"/>
    <s v="NUTRISSE"/>
    <s v="8901526566051"/>
    <x v="11"/>
    <s v="NUTRISSE RETOCA RAIZ CREMA PERM.SAC.20GR T.60 RUBIO OS.KIT"/>
    <s v="Vtas Unds"/>
    <n v="294"/>
    <n v="476.15469999999999"/>
    <n v="520"/>
    <n v="601"/>
    <n v="420"/>
    <n v="578"/>
    <n v="613"/>
    <n v="503"/>
    <n v="533"/>
    <n v="701"/>
    <n v="568"/>
    <n v="496"/>
    <n v="551"/>
    <n v="363.19740000000002"/>
    <n v="446"/>
    <n v="716"/>
    <n v="500"/>
    <n v="486.66059999999999"/>
    <n v="660.31209999999999"/>
    <n v="535"/>
    <n v="604"/>
    <n v="699"/>
    <n v="320"/>
    <n v="202"/>
    <n v="162"/>
    <n v="412"/>
    <n v="500"/>
    <n v="457"/>
    <n v="198"/>
    <n v="233"/>
    <n v="219"/>
    <n v="276"/>
    <n v="669"/>
    <n v="625"/>
    <n v="504"/>
    <n v="465"/>
    <n v="652"/>
  </r>
  <r>
    <x v="0"/>
    <s v="TINTURAS"/>
    <s v="L'OREAL"/>
    <s v="NUTRISSE"/>
    <s v="8901526566068"/>
    <x v="11"/>
    <s v="NUTRISSE RETOCA RAIZ PERM.CR.SACHET 20GR T.67CAST.CHOCO"/>
    <s v="Vtas Unds"/>
    <n v="473"/>
    <n v="336.30939999999998"/>
    <n v="395"/>
    <n v="455"/>
    <n v="371"/>
    <n v="388"/>
    <n v="464"/>
    <n v="322"/>
    <n v="327"/>
    <n v="483"/>
    <n v="395"/>
    <n v="332"/>
    <n v="480"/>
    <n v="321"/>
    <n v="283"/>
    <n v="399"/>
    <n v="314"/>
    <n v="333.68020000000001"/>
    <n v="461.39170000000001"/>
    <n v="341"/>
    <n v="382"/>
    <n v="568"/>
    <n v="577"/>
    <n v="646"/>
    <n v="1030"/>
    <n v="594"/>
    <n v="466"/>
    <n v="731"/>
    <n v="556"/>
    <n v="572"/>
    <n v="728"/>
    <n v="492"/>
    <n v="636"/>
    <n v="874"/>
    <n v="659"/>
    <n v="713"/>
    <n v="882"/>
  </r>
  <r>
    <x v="0"/>
    <s v="TINTURAS"/>
    <s v="L'OREAL"/>
    <s v="NUTRISSE"/>
    <s v="8901526566075"/>
    <x v="11"/>
    <s v="NUTRISSE RETOCA RAIZ PERMA.CRE.SACHET 20GR T.40 CASTANO"/>
    <s v="Vtas Unds"/>
    <n v="604"/>
    <n v="557.30939999999998"/>
    <n v="579"/>
    <n v="717"/>
    <n v="587"/>
    <n v="603"/>
    <n v="738"/>
    <n v="531"/>
    <n v="665"/>
    <n v="736"/>
    <n v="633"/>
    <n v="534"/>
    <n v="749"/>
    <n v="538"/>
    <n v="545"/>
    <n v="703"/>
    <n v="506"/>
    <n v="489.01530000000002"/>
    <n v="649.7029"/>
    <n v="369"/>
    <n v="287"/>
    <n v="141"/>
    <n v="197"/>
    <n v="215"/>
    <n v="59"/>
    <n v="338"/>
    <n v="275"/>
    <n v="261"/>
    <n v="118"/>
    <n v="134"/>
    <n v="644"/>
    <n v="511"/>
    <n v="447"/>
    <n v="538"/>
    <n v="185"/>
    <n v="388"/>
    <n v="635"/>
  </r>
  <r>
    <x v="0"/>
    <s v="TINTURAS"/>
    <s v="L'OREAL"/>
    <s v="NUTRISSE"/>
    <s v="8901526566082"/>
    <x v="11"/>
    <s v="NUITRISSE RETOCA RAIZ CR.PERM.SACHET 20GR T.70 RUBIOS KIT"/>
    <s v="Vtas Unds"/>
    <n v="366"/>
    <n v="556"/>
    <n v="706"/>
    <n v="612"/>
    <n v="595"/>
    <n v="622"/>
    <n v="737"/>
    <n v="620"/>
    <n v="581"/>
    <n v="812"/>
    <n v="657"/>
    <n v="509"/>
    <n v="598"/>
    <n v="507.19740000000002"/>
    <n v="477"/>
    <n v="725"/>
    <n v="506"/>
    <n v="566.8759"/>
    <n v="720.04920000000004"/>
    <n v="507"/>
    <n v="522"/>
    <n v="601"/>
    <n v="364"/>
    <n v="526"/>
    <n v="724"/>
    <n v="556"/>
    <n v="471"/>
    <n v="627"/>
    <n v="436"/>
    <n v="431"/>
    <n v="605"/>
    <n v="502"/>
    <n v="532"/>
    <n v="661"/>
    <n v="569"/>
    <n v="577"/>
    <n v="707"/>
  </r>
  <r>
    <x v="0"/>
    <s v="TINTURAS"/>
    <s v="L'OREAL"/>
    <s v="NUTRISSE"/>
    <s v="8901526566099"/>
    <x v="11"/>
    <s v="NUTRISSE RETOCA RAIZ PER.CR.SACH.20GR T.71RUBIO CEN."/>
    <s v="Vtas Unds"/>
    <n v="587"/>
    <n v="176"/>
    <n v="81"/>
    <n v="209"/>
    <n v="293"/>
    <n v="314"/>
    <n v="414"/>
    <n v="324"/>
    <n v="404"/>
    <n v="555"/>
    <n v="415"/>
    <n v="363"/>
    <n v="407"/>
    <n v="313"/>
    <n v="372"/>
    <n v="487"/>
    <n v="354"/>
    <n v="347.12369999999999"/>
    <n v="455.63099999999997"/>
    <n v="349"/>
    <n v="403"/>
    <n v="611"/>
    <n v="386"/>
    <n v="251"/>
    <n v="175"/>
    <n v="320"/>
    <n v="378"/>
    <n v="552"/>
    <n v="539"/>
    <n v="584"/>
    <n v="753"/>
    <n v="596"/>
    <n v="613"/>
    <n v="666"/>
    <n v="453"/>
    <n v="389"/>
    <n v="269"/>
  </r>
  <r>
    <x v="0"/>
    <s v="TINTURAS"/>
    <s v="L'OREAL"/>
    <s v="NUTRISSE"/>
    <s v="8901526606061"/>
    <x v="11"/>
    <s v="NUTRISSE RET.RAIZ PERMA.CRE.SACHET 20GR T.80 RUBIO CEN."/>
    <s v="Vtas Unds"/>
    <n v="0"/>
    <n v="0"/>
    <n v="0"/>
    <n v="0"/>
    <n v="0"/>
    <n v="0"/>
    <n v="0"/>
    <n v="0"/>
    <n v="0"/>
    <n v="0"/>
    <n v="0"/>
    <n v="0"/>
    <n v="0"/>
    <n v="9"/>
    <n v="23"/>
    <n v="42"/>
    <n v="33"/>
    <n v="32"/>
    <n v="50"/>
    <n v="17"/>
    <n v="40"/>
    <n v="67"/>
    <n v="56"/>
    <n v="51"/>
    <n v="83"/>
    <n v="48"/>
    <n v="52"/>
    <n v="66"/>
    <n v="57"/>
    <n v="49"/>
    <n v="74"/>
    <n v="66"/>
    <n v="74"/>
    <n v="96"/>
    <n v="68"/>
    <n v="65"/>
    <n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151D2-0358-4C90-B193-2BED95A5BD22}" name="TablaDinámica1" cacheId="2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AF6" firstHeaderRow="0" firstDataRow="1" firstDataCol="2" rowPageCount="1" colPageCount="1"/>
  <pivotFields count="51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6">
        <item x="1"/>
        <item x="0"/>
        <item x="3"/>
        <item x="2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3">
        <item h="1" x="6"/>
        <item h="1" x="7"/>
        <item h="1" x="0"/>
        <item h="1" x="1"/>
        <item h="1" x="2"/>
        <item h="1" x="8"/>
        <item h="1" x="3"/>
        <item h="1" x="4"/>
        <item x="9"/>
        <item h="1" x="10"/>
        <item h="1" x="11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3">
    <i>
      <x v="1"/>
      <x v="8"/>
    </i>
    <i t="default">
      <x v="1"/>
    </i>
    <i t="grand">
      <x/>
    </i>
  </rowItems>
  <colFields count="1">
    <field x="-2"/>
  </colFields>
  <colItems count="3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</colItems>
  <pageFields count="1">
    <pageField fld="1" hier="-1"/>
  </pageFields>
  <dataFields count="30">
    <dataField name="Suma de ene-23" fld="21" baseField="0" baseItem="0" numFmtId="3"/>
    <dataField name="Suma de feb-23" fld="22" baseField="0" baseItem="0" numFmtId="3"/>
    <dataField name="Suma de mar-23" fld="23" baseField="0" baseItem="0" numFmtId="3"/>
    <dataField name="Suma de abr-23" fld="24" baseField="0" baseItem="0" numFmtId="3"/>
    <dataField name="Suma de may-23" fld="25" baseField="0" baseItem="0" numFmtId="3"/>
    <dataField name="Suma de jun-23" fld="26" baseField="0" baseItem="0" numFmtId="3"/>
    <dataField name="Suma de jul-23" fld="27" baseField="0" baseItem="0" numFmtId="3"/>
    <dataField name="Suma de ago-23" fld="28" baseField="0" baseItem="0" numFmtId="3"/>
    <dataField name="Suma de sep-23" fld="29" baseField="0" baseItem="0" numFmtId="3"/>
    <dataField name="Suma de oct-23" fld="30" baseField="0" baseItem="0" numFmtId="3"/>
    <dataField name="Suma de nov-23" fld="31" baseField="0" baseItem="0" numFmtId="3"/>
    <dataField name="Suma de dic-23" fld="32" baseField="0" baseItem="0" numFmtId="3"/>
    <dataField name="Suma de ene-24" fld="33" baseField="0" baseItem="0" numFmtId="3"/>
    <dataField name="Suma de feb-24" fld="34" baseField="0" baseItem="0" numFmtId="3"/>
    <dataField name="Suma de mar-24" fld="35" baseField="0" baseItem="0" numFmtId="3"/>
    <dataField name="Suma de abr-24" fld="36" baseField="0" baseItem="0" numFmtId="3"/>
    <dataField name="Suma de may-24" fld="37" baseField="0" baseItem="0" numFmtId="3"/>
    <dataField name="Suma de jun-24" fld="38" baseField="0" baseItem="0" numFmtId="3"/>
    <dataField name="Suma de jul-24" fld="39" baseField="0" baseItem="0" numFmtId="3"/>
    <dataField name="Suma de ago-24" fld="40" baseField="0" baseItem="0" numFmtId="3"/>
    <dataField name="Suma de sep-24" fld="41" baseField="0" baseItem="0" numFmtId="3"/>
    <dataField name="Suma de oct-24" fld="42" baseField="0" baseItem="0" numFmtId="3"/>
    <dataField name="Suma de nov-24" fld="43" baseField="0" baseItem="0" numFmtId="3"/>
    <dataField name="Suma de dic-24" fld="44" baseField="0" baseItem="0" numFmtId="3"/>
    <dataField name="Suma de ene-25" fld="45" baseField="0" baseItem="0" numFmtId="3"/>
    <dataField name="Suma de feb-25" fld="46" baseField="0" baseItem="0" numFmtId="3"/>
    <dataField name="Suma de mar-25" fld="47" baseField="0" baseItem="0" numFmtId="3"/>
    <dataField name="Suma de abr-25" fld="48" baseField="0" baseItem="0" numFmtId="3"/>
    <dataField name="Suma de may-25" fld="49" baseField="0" baseItem="0" numFmtId="3"/>
    <dataField name="Suma de jun-25" fld="50" baseField="0" baseItem="0" numFmtId="3"/>
  </dataFields>
  <formats count="12">
    <format dxfId="12">
      <pivotArea dataOnly="0" labelOnly="1" outline="0" fieldPosition="0">
        <references count="2">
          <reference field="3" count="1" selected="0">
            <x v="0"/>
          </reference>
          <reference field="4" count="1">
            <x v="2"/>
          </reference>
        </references>
      </pivotArea>
    </format>
    <format dxfId="11">
      <pivotArea dataOnly="0" labelOnly="1" outline="0" fieldPosition="0">
        <references count="2">
          <reference field="3" count="1" selected="0">
            <x v="0"/>
          </reference>
          <reference field="4" count="1">
            <x v="4"/>
          </reference>
        </references>
      </pivotArea>
    </format>
    <format dxfId="10">
      <pivotArea dataOnly="0" labelOnly="1" outline="0" fieldPosition="0">
        <references count="2">
          <reference field="3" count="1" selected="0">
            <x v="0"/>
          </reference>
          <reference field="4" count="1">
            <x v="7"/>
          </reference>
        </references>
      </pivotArea>
    </format>
    <format dxfId="9">
      <pivotArea dataOnly="0" labelOnly="1" outline="0" fieldPosition="0">
        <references count="2">
          <reference field="3" count="1" selected="0">
            <x v="0"/>
          </reference>
          <reference field="4" count="1">
            <x v="11"/>
          </reference>
        </references>
      </pivotArea>
    </format>
    <format dxfId="8">
      <pivotArea dataOnly="0" labelOnly="1" outline="0" fieldPosition="0">
        <references count="2">
          <reference field="3" count="1" selected="0">
            <x v="0"/>
          </reference>
          <reference field="4" count="1">
            <x v="3"/>
          </reference>
        </references>
      </pivotArea>
    </format>
    <format dxfId="7">
      <pivotArea dataOnly="0" labelOnly="1" outline="0" fieldPosition="0">
        <references count="2">
          <reference field="3" count="1" selected="0">
            <x v="0"/>
          </reference>
          <reference field="4" count="1">
            <x v="6"/>
          </reference>
        </references>
      </pivotArea>
    </format>
    <format dxfId="6">
      <pivotArea dataOnly="0" labelOnly="1" outline="0" fieldPosition="0">
        <references count="2">
          <reference field="3" count="1" selected="0">
            <x v="1"/>
          </reference>
          <reference field="4" count="1">
            <x v="0"/>
          </reference>
        </references>
      </pivotArea>
    </format>
    <format dxfId="5">
      <pivotArea dataOnly="0" labelOnly="1" outline="0" fieldPosition="0">
        <references count="2">
          <reference field="3" count="1" selected="0">
            <x v="1"/>
          </reference>
          <reference field="4" count="1">
            <x v="5"/>
          </reference>
        </references>
      </pivotArea>
    </format>
    <format dxfId="4">
      <pivotArea dataOnly="0" labelOnly="1" outline="0" fieldPosition="0">
        <references count="2">
          <reference field="3" count="1" selected="0">
            <x v="1"/>
          </reference>
          <reference field="4" count="1">
            <x v="8"/>
          </reference>
        </references>
      </pivotArea>
    </format>
    <format dxfId="3">
      <pivotArea dataOnly="0" labelOnly="1" outline="0" fieldPosition="0">
        <references count="2">
          <reference field="3" count="1" selected="0">
            <x v="1"/>
          </reference>
          <reference field="4" count="1">
            <x v="10"/>
          </reference>
        </references>
      </pivotArea>
    </format>
    <format dxfId="2">
      <pivotArea dataOnly="0" labelOnly="1" outline="0" fieldPosition="0">
        <references count="2">
          <reference field="3" count="1" selected="0">
            <x v="1"/>
          </reference>
          <reference field="4" count="1">
            <x v="1"/>
          </reference>
        </references>
      </pivotArea>
    </format>
    <format dxfId="1">
      <pivotArea dataOnly="0" labelOnly="1" outline="0" fieldPosition="0">
        <references count="2">
          <reference field="3" count="1" selected="0">
            <x v="1"/>
          </reference>
          <reference field="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3F942-4D9C-42C8-891E-29DDDB2ED683}" name="TablaDinámica5" cacheId="2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4">
  <location ref="A214:AQ238" firstHeaderRow="0" firstDataRow="1" firstDataCol="1" rowPageCount="3" colPageCount="1"/>
  <pivotFields count="51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1"/>
        <item h="1" x="0"/>
        <item h="1" x="2"/>
        <item x="3"/>
      </items>
    </pivotField>
    <pivotField axis="axisPage" compact="0" outline="0" multipleItemSelectionAllowed="1" showAll="0" defaultSubtotal="0">
      <items count="2">
        <item x="0"/>
        <item h="1" x="1"/>
      </items>
    </pivotField>
    <pivotField axis="axisPage" compact="0" outline="0" multipleItemSelectionAllowed="1" showAll="0" defaultSubtotal="0">
      <items count="12">
        <item h="1" x="6"/>
        <item h="1" x="7"/>
        <item h="1" x="0"/>
        <item x="1"/>
        <item h="1" x="2"/>
        <item h="1" x="8"/>
        <item h="1" x="3"/>
        <item h="1" x="4"/>
        <item h="1" x="9"/>
        <item h="1" x="10"/>
        <item h="1" x="11"/>
        <item h="1" x="5"/>
      </items>
    </pivotField>
    <pivotField compact="0" numFmtId="1" outline="0" showAll="0" defaultSubtotal="0"/>
    <pivotField axis="axisRow" compact="0" outline="0" showAll="0" defaultSubtotal="0">
      <items count="58">
        <item x="47"/>
        <item x="44"/>
        <item x="5"/>
        <item x="8"/>
        <item x="2"/>
        <item x="22"/>
        <item x="11"/>
        <item x="3"/>
        <item x="21"/>
        <item x="10"/>
        <item x="12"/>
        <item x="20"/>
        <item x="17"/>
        <item x="13"/>
        <item x="9"/>
        <item x="14"/>
        <item x="16"/>
        <item x="7"/>
        <item x="6"/>
        <item x="18"/>
        <item x="19"/>
        <item x="1"/>
        <item x="15"/>
        <item x="4"/>
        <item x="23"/>
        <item x="25"/>
        <item x="24"/>
        <item x="53"/>
        <item x="49"/>
        <item x="51"/>
        <item x="50"/>
        <item x="35"/>
        <item x="34"/>
        <item x="39"/>
        <item x="36"/>
        <item x="38"/>
        <item x="30"/>
        <item x="27"/>
        <item x="31"/>
        <item x="32"/>
        <item x="40"/>
        <item x="33"/>
        <item x="41"/>
        <item x="26"/>
        <item x="28"/>
        <item x="37"/>
        <item x="29"/>
        <item x="46"/>
        <item x="43"/>
        <item x="45"/>
        <item x="0"/>
        <item x="42"/>
        <item x="52"/>
        <item x="54"/>
        <item x="55"/>
        <item x="48"/>
        <item x="56"/>
        <item x="57"/>
      </items>
    </pivotField>
    <pivotField compact="0" outline="0" showAll="0" defaultSubtotal="0">
      <items count="470">
        <item m="1" x="459"/>
        <item m="1" x="421"/>
        <item m="1" x="424"/>
        <item m="1" x="418"/>
        <item m="1" x="438"/>
        <item m="1" x="427"/>
        <item m="1" x="419"/>
        <item m="1" x="437"/>
        <item m="1" x="426"/>
        <item m="1" x="428"/>
        <item m="1" x="436"/>
        <item m="1" x="433"/>
        <item m="1" x="429"/>
        <item m="1" x="425"/>
        <item m="1" x="430"/>
        <item m="1" x="432"/>
        <item m="1" x="423"/>
        <item m="1" x="422"/>
        <item m="1" x="434"/>
        <item m="1" x="435"/>
        <item m="1" x="417"/>
        <item m="1" x="431"/>
        <item m="1" x="420"/>
        <item m="1" x="439"/>
        <item m="1" x="441"/>
        <item m="1" x="440"/>
        <item m="1" x="465"/>
        <item m="1" x="461"/>
        <item m="1" x="463"/>
        <item m="1" x="462"/>
        <item m="1" x="451"/>
        <item m="1" x="450"/>
        <item m="1" x="455"/>
        <item m="1" x="452"/>
        <item m="1" x="454"/>
        <item m="1" x="446"/>
        <item m="1" x="443"/>
        <item m="1" x="447"/>
        <item m="1" x="448"/>
        <item m="1" x="456"/>
        <item m="1" x="449"/>
        <item m="1" x="457"/>
        <item m="1" x="442"/>
        <item m="1" x="444"/>
        <item m="1" x="453"/>
        <item m="1" x="445"/>
        <item m="1" x="458"/>
        <item m="1" x="464"/>
        <item m="1" x="466"/>
        <item m="1" x="467"/>
        <item m="1" x="460"/>
        <item m="1" x="468"/>
        <item m="1" x="469"/>
        <item m="1" x="4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</items>
    </pivotField>
    <pivotField compact="0" outline="0" showAll="0" defaultSubtotal="0">
      <items count="24">
        <item x="11"/>
        <item x="17"/>
        <item x="15"/>
        <item x="22"/>
        <item x="19"/>
        <item x="20"/>
        <item x="10"/>
        <item x="14"/>
        <item x="21"/>
        <item x="23"/>
        <item x="9"/>
        <item x="3"/>
        <item x="2"/>
        <item x="13"/>
        <item x="1"/>
        <item x="12"/>
        <item x="18"/>
        <item x="5"/>
        <item x="8"/>
        <item x="7"/>
        <item x="4"/>
        <item x="16"/>
        <item x="6"/>
        <item x="0"/>
      </items>
    </pivotField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</pivotFields>
  <rowFields count="1">
    <field x="6"/>
  </rowFields>
  <rowItems count="24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colItems>
  <pageFields count="3">
    <pageField fld="2" hier="-1"/>
    <pageField fld="3" hier="-1"/>
    <pageField fld="4" hier="-1"/>
  </pageFields>
  <dataFields count="42">
    <dataField name="Suma de ene-22" fld="9" baseField="0" baseItem="0" numFmtId="3"/>
    <dataField name="Suma de feb-22" fld="10" baseField="0" baseItem="0" numFmtId="3"/>
    <dataField name="Suma de mar-22" fld="11" baseField="0" baseItem="0" numFmtId="3"/>
    <dataField name="Suma de abr-22" fld="12" baseField="0" baseItem="0" numFmtId="3"/>
    <dataField name="Suma de may-22" fld="13" baseField="0" baseItem="0" numFmtId="3"/>
    <dataField name="Suma de jun-22" fld="14" baseField="0" baseItem="0" numFmtId="3"/>
    <dataField name="Suma de jul-22" fld="15" baseField="0" baseItem="0" numFmtId="3"/>
    <dataField name="Suma de ago-22" fld="16" baseField="0" baseItem="0" numFmtId="3"/>
    <dataField name="Suma de sep-22" fld="17" baseField="0" baseItem="0" numFmtId="3"/>
    <dataField name="Suma de oct-22" fld="18" baseField="0" baseItem="0" numFmtId="3"/>
    <dataField name="Suma de nov-22" fld="19" baseField="0" baseItem="0" numFmtId="3"/>
    <dataField name="Suma de dic-22" fld="20" baseField="0" baseItem="0" numFmtId="3"/>
    <dataField name="Suma de ene-23" fld="21" baseField="0" baseItem="0" numFmtId="3"/>
    <dataField name="Suma de feb-23" fld="22" baseField="0" baseItem="0" numFmtId="3"/>
    <dataField name="Suma de mar-23" fld="23" baseField="0" baseItem="0" numFmtId="3"/>
    <dataField name="Suma de abr-23" fld="24" baseField="0" baseItem="0" numFmtId="3"/>
    <dataField name="Suma de may-23" fld="25" baseField="0" baseItem="0" numFmtId="3"/>
    <dataField name="Suma de jun-23" fld="26" baseField="0" baseItem="0" numFmtId="3"/>
    <dataField name="Suma de jul-23" fld="27" baseField="0" baseItem="0" numFmtId="3"/>
    <dataField name="Suma de ago-23" fld="28" baseField="0" baseItem="0" numFmtId="3"/>
    <dataField name="Suma de sep-23" fld="29" baseField="0" baseItem="0" numFmtId="3"/>
    <dataField name="Suma de oct-23" fld="30" baseField="0" baseItem="0" numFmtId="3"/>
    <dataField name="Suma de nov-23" fld="31" baseField="0" baseItem="0" numFmtId="3"/>
    <dataField name="Suma de dic-23" fld="32" baseField="0" baseItem="0" numFmtId="3"/>
    <dataField name="Suma de ene-24" fld="33" baseField="0" baseItem="0" numFmtId="3"/>
    <dataField name="Suma de feb-24" fld="34" baseField="0" baseItem="0" numFmtId="3"/>
    <dataField name="Suma de mar-24" fld="35" baseField="0" baseItem="0" numFmtId="3"/>
    <dataField name="Suma de abr-24" fld="36" baseField="0" baseItem="0" numFmtId="3"/>
    <dataField name="Suma de may-24" fld="37" baseField="0" baseItem="0" numFmtId="3"/>
    <dataField name="Suma de jun-24" fld="38" baseField="0" baseItem="0" numFmtId="3"/>
    <dataField name="Suma de jul-24" fld="39" baseField="0" baseItem="0" numFmtId="3"/>
    <dataField name="Suma de ago-24" fld="40" baseField="0" baseItem="0" numFmtId="3"/>
    <dataField name="Suma de sep-24" fld="41" baseField="0" baseItem="0" numFmtId="3"/>
    <dataField name="Suma de oct-24" fld="42" baseField="0" baseItem="0" numFmtId="3"/>
    <dataField name="Suma de nov-24" fld="43" baseField="0" baseItem="0" numFmtId="3"/>
    <dataField name="Suma de dic-24" fld="44" baseField="0" baseItem="0" numFmtId="3"/>
    <dataField name="Suma de ene-25" fld="45" baseField="0" baseItem="0" numFmtId="3"/>
    <dataField name="Suma de feb-25" fld="46" baseField="0" baseItem="0" numFmtId="3"/>
    <dataField name="Suma de mar-25" fld="47" baseField="0" baseItem="0" numFmtId="3"/>
    <dataField name="Suma de abr-25" fld="48" baseField="0" baseItem="0" numFmtId="3"/>
    <dataField name="Suma de may-25" fld="49" baseField="0" baseItem="0" numFmtId="3"/>
    <dataField name="Suma de jun-25" fld="50" baseField="0" baseItem="0" numFmtId="3"/>
  </dataFields>
  <chartFormats count="42">
    <chartFormat chart="3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4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4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48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49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50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3" format="51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3" format="52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3" format="53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3" format="54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3" format="55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3" format="56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3" format="57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3" format="58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3" format="59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3" format="60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3" format="61" series="1">
      <pivotArea type="data" outline="0" fieldPosition="0">
        <references count="1">
          <reference field="4294967294" count="1" selected="0">
            <x v="19"/>
          </reference>
        </references>
      </pivotArea>
    </chartFormat>
    <chartFormat chart="3" format="62" series="1">
      <pivotArea type="data" outline="0" fieldPosition="0">
        <references count="1">
          <reference field="4294967294" count="1" selected="0">
            <x v="20"/>
          </reference>
        </references>
      </pivotArea>
    </chartFormat>
    <chartFormat chart="3" format="63" series="1">
      <pivotArea type="data" outline="0" fieldPosition="0">
        <references count="1">
          <reference field="4294967294" count="1" selected="0">
            <x v="21"/>
          </reference>
        </references>
      </pivotArea>
    </chartFormat>
    <chartFormat chart="3" format="64" series="1">
      <pivotArea type="data" outline="0" fieldPosition="0">
        <references count="1">
          <reference field="4294967294" count="1" selected="0">
            <x v="22"/>
          </reference>
        </references>
      </pivotArea>
    </chartFormat>
    <chartFormat chart="3" format="65" series="1">
      <pivotArea type="data" outline="0" fieldPosition="0">
        <references count="1">
          <reference field="4294967294" count="1" selected="0">
            <x v="23"/>
          </reference>
        </references>
      </pivotArea>
    </chartFormat>
    <chartFormat chart="3" format="66" series="1">
      <pivotArea type="data" outline="0" fieldPosition="0">
        <references count="1">
          <reference field="4294967294" count="1" selected="0">
            <x v="24"/>
          </reference>
        </references>
      </pivotArea>
    </chartFormat>
    <chartFormat chart="3" format="67" series="1">
      <pivotArea type="data" outline="0" fieldPosition="0">
        <references count="1">
          <reference field="4294967294" count="1" selected="0">
            <x v="25"/>
          </reference>
        </references>
      </pivotArea>
    </chartFormat>
    <chartFormat chart="3" format="68" series="1">
      <pivotArea type="data" outline="0" fieldPosition="0">
        <references count="1">
          <reference field="4294967294" count="1" selected="0">
            <x v="26"/>
          </reference>
        </references>
      </pivotArea>
    </chartFormat>
    <chartFormat chart="3" format="69" series="1">
      <pivotArea type="data" outline="0" fieldPosition="0">
        <references count="1">
          <reference field="4294967294" count="1" selected="0">
            <x v="27"/>
          </reference>
        </references>
      </pivotArea>
    </chartFormat>
    <chartFormat chart="3" format="70" series="1">
      <pivotArea type="data" outline="0" fieldPosition="0">
        <references count="1">
          <reference field="4294967294" count="1" selected="0">
            <x v="28"/>
          </reference>
        </references>
      </pivotArea>
    </chartFormat>
    <chartFormat chart="3" format="71" series="1">
      <pivotArea type="data" outline="0" fieldPosition="0">
        <references count="1">
          <reference field="4294967294" count="1" selected="0">
            <x v="29"/>
          </reference>
        </references>
      </pivotArea>
    </chartFormat>
    <chartFormat chart="3" format="72" series="1">
      <pivotArea type="data" outline="0" fieldPosition="0">
        <references count="1">
          <reference field="4294967294" count="1" selected="0">
            <x v="30"/>
          </reference>
        </references>
      </pivotArea>
    </chartFormat>
    <chartFormat chart="3" format="73" series="1">
      <pivotArea type="data" outline="0" fieldPosition="0">
        <references count="1">
          <reference field="4294967294" count="1" selected="0">
            <x v="31"/>
          </reference>
        </references>
      </pivotArea>
    </chartFormat>
    <chartFormat chart="3" format="74" series="1">
      <pivotArea type="data" outline="0" fieldPosition="0">
        <references count="1">
          <reference field="4294967294" count="1" selected="0">
            <x v="32"/>
          </reference>
        </references>
      </pivotArea>
    </chartFormat>
    <chartFormat chart="3" format="75" series="1">
      <pivotArea type="data" outline="0" fieldPosition="0">
        <references count="1">
          <reference field="4294967294" count="1" selected="0">
            <x v="33"/>
          </reference>
        </references>
      </pivotArea>
    </chartFormat>
    <chartFormat chart="3" format="76" series="1">
      <pivotArea type="data" outline="0" fieldPosition="0">
        <references count="1">
          <reference field="4294967294" count="1" selected="0">
            <x v="34"/>
          </reference>
        </references>
      </pivotArea>
    </chartFormat>
    <chartFormat chart="3" format="77" series="1">
      <pivotArea type="data" outline="0" fieldPosition="0">
        <references count="1">
          <reference field="4294967294" count="1" selected="0">
            <x v="35"/>
          </reference>
        </references>
      </pivotArea>
    </chartFormat>
    <chartFormat chart="3" format="78" series="1">
      <pivotArea type="data" outline="0" fieldPosition="0">
        <references count="1">
          <reference field="4294967294" count="1" selected="0">
            <x v="36"/>
          </reference>
        </references>
      </pivotArea>
    </chartFormat>
    <chartFormat chart="3" format="79" series="1">
      <pivotArea type="data" outline="0" fieldPosition="0">
        <references count="1">
          <reference field="4294967294" count="1" selected="0">
            <x v="37"/>
          </reference>
        </references>
      </pivotArea>
    </chartFormat>
    <chartFormat chart="3" format="80" series="1">
      <pivotArea type="data" outline="0" fieldPosition="0">
        <references count="1">
          <reference field="4294967294" count="1" selected="0">
            <x v="38"/>
          </reference>
        </references>
      </pivotArea>
    </chartFormat>
    <chartFormat chart="3" format="81" series="1">
      <pivotArea type="data" outline="0" fieldPosition="0">
        <references count="1">
          <reference field="4294967294" count="1" selected="0">
            <x v="39"/>
          </reference>
        </references>
      </pivotArea>
    </chartFormat>
    <chartFormat chart="3" format="82" series="1">
      <pivotArea type="data" outline="0" fieldPosition="0">
        <references count="1">
          <reference field="4294967294" count="1" selected="0">
            <x v="40"/>
          </reference>
        </references>
      </pivotArea>
    </chartFormat>
    <chartFormat chart="3" format="83" series="1">
      <pivotArea type="data" outline="0" fieldPosition="0">
        <references count="1">
          <reference field="4294967294" count="1" selected="0">
            <x v="4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77A1D-373B-469E-90F1-70E99413CD06}" name="TablaDinámica1" cacheId="2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4">
  <location ref="A6:AQ18" firstHeaderRow="0" firstDataRow="1" firstDataCol="1" rowPageCount="3" colPageCount="1"/>
  <pivotFields count="51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1"/>
        <item h="1" x="0"/>
        <item h="1" x="2"/>
        <item x="3"/>
      </items>
    </pivotField>
    <pivotField axis="axisPage" compact="0" outline="0" multipleItemSelectionAllowed="1" showAll="0" defaultSubtotal="0">
      <items count="2">
        <item h="1" x="0"/>
        <item x="1"/>
      </items>
    </pivotField>
    <pivotField axis="axisPage" compact="0" outline="0" multipleItemSelectionAllowed="1" showAll="0" defaultSubtotal="0">
      <items count="12">
        <item x="6"/>
        <item x="7"/>
        <item x="0"/>
        <item x="1"/>
        <item x="2"/>
        <item x="8"/>
        <item x="3"/>
        <item x="4"/>
        <item x="9"/>
        <item x="10"/>
        <item x="11"/>
        <item x="5"/>
      </items>
    </pivotField>
    <pivotField compact="0" numFmtId="1" outline="0" showAll="0" defaultSubtotal="0"/>
    <pivotField axis="axisRow" compact="0" outline="0" showAll="0" defaultSubtotal="0">
      <items count="58">
        <item x="47"/>
        <item x="44"/>
        <item x="5"/>
        <item x="8"/>
        <item x="2"/>
        <item x="22"/>
        <item x="11"/>
        <item x="3"/>
        <item x="21"/>
        <item x="10"/>
        <item x="12"/>
        <item x="20"/>
        <item x="17"/>
        <item x="13"/>
        <item x="9"/>
        <item x="14"/>
        <item x="16"/>
        <item x="7"/>
        <item x="6"/>
        <item x="18"/>
        <item x="19"/>
        <item x="1"/>
        <item x="15"/>
        <item x="4"/>
        <item x="23"/>
        <item x="25"/>
        <item x="24"/>
        <item x="53"/>
        <item x="49"/>
        <item x="51"/>
        <item x="50"/>
        <item x="35"/>
        <item x="34"/>
        <item x="39"/>
        <item x="36"/>
        <item x="38"/>
        <item x="30"/>
        <item x="27"/>
        <item x="31"/>
        <item x="32"/>
        <item x="40"/>
        <item x="33"/>
        <item x="41"/>
        <item x="26"/>
        <item x="28"/>
        <item x="37"/>
        <item x="29"/>
        <item x="46"/>
        <item x="43"/>
        <item x="45"/>
        <item x="0"/>
        <item x="42"/>
        <item x="52"/>
        <item x="54"/>
        <item x="55"/>
        <item x="48"/>
        <item x="56"/>
        <item x="57"/>
      </items>
    </pivotField>
    <pivotField compact="0" outline="0" showAll="0" defaultSubtotal="0">
      <items count="470">
        <item m="1" x="459"/>
        <item m="1" x="421"/>
        <item m="1" x="424"/>
        <item m="1" x="418"/>
        <item m="1" x="438"/>
        <item m="1" x="427"/>
        <item m="1" x="419"/>
        <item m="1" x="437"/>
        <item m="1" x="426"/>
        <item m="1" x="428"/>
        <item m="1" x="436"/>
        <item m="1" x="433"/>
        <item m="1" x="429"/>
        <item m="1" x="425"/>
        <item m="1" x="430"/>
        <item m="1" x="432"/>
        <item m="1" x="423"/>
        <item m="1" x="422"/>
        <item m="1" x="434"/>
        <item m="1" x="435"/>
        <item m="1" x="417"/>
        <item m="1" x="431"/>
        <item m="1" x="420"/>
        <item m="1" x="439"/>
        <item m="1" x="441"/>
        <item m="1" x="440"/>
        <item m="1" x="465"/>
        <item m="1" x="461"/>
        <item m="1" x="463"/>
        <item m="1" x="462"/>
        <item m="1" x="451"/>
        <item m="1" x="450"/>
        <item m="1" x="455"/>
        <item m="1" x="452"/>
        <item m="1" x="454"/>
        <item m="1" x="446"/>
        <item m="1" x="443"/>
        <item m="1" x="447"/>
        <item m="1" x="448"/>
        <item m="1" x="456"/>
        <item m="1" x="449"/>
        <item m="1" x="457"/>
        <item m="1" x="442"/>
        <item m="1" x="444"/>
        <item m="1" x="453"/>
        <item m="1" x="445"/>
        <item m="1" x="458"/>
        <item m="1" x="464"/>
        <item m="1" x="466"/>
        <item m="1" x="467"/>
        <item m="1" x="460"/>
        <item m="1" x="468"/>
        <item m="1" x="469"/>
        <item m="1" x="4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</items>
    </pivotField>
    <pivotField compact="0" outline="0" showAll="0" defaultSubtotal="0">
      <items count="24">
        <item x="11"/>
        <item x="17"/>
        <item x="15"/>
        <item x="22"/>
        <item x="19"/>
        <item x="20"/>
        <item x="10"/>
        <item x="14"/>
        <item x="21"/>
        <item x="23"/>
        <item x="9"/>
        <item x="3"/>
        <item x="2"/>
        <item x="13"/>
        <item x="1"/>
        <item x="12"/>
        <item x="18"/>
        <item x="5"/>
        <item x="8"/>
        <item x="7"/>
        <item x="4"/>
        <item x="16"/>
        <item x="6"/>
        <item x="0"/>
      </items>
    </pivotField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  <pivotField dataField="1" compact="0" numFmtId="3" outline="0" showAll="0" defaultSubtotal="0"/>
  </pivotFields>
  <rowFields count="1">
    <field x="6"/>
  </rowFields>
  <rowItems count="12">
    <i>
      <x/>
    </i>
    <i>
      <x v="27"/>
    </i>
    <i>
      <x v="28"/>
    </i>
    <i>
      <x v="29"/>
    </i>
    <i>
      <x v="30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-2"/>
  </colFields>
  <col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colItems>
  <pageFields count="3">
    <pageField fld="2" hier="-1"/>
    <pageField fld="3" hier="-1"/>
    <pageField fld="4" hier="-1"/>
  </pageFields>
  <dataFields count="42">
    <dataField name="Suma de ene-22" fld="9" baseField="0" baseItem="0" numFmtId="3"/>
    <dataField name="Suma de feb-22" fld="10" baseField="0" baseItem="0" numFmtId="3"/>
    <dataField name="Suma de mar-22" fld="11" baseField="0" baseItem="0" numFmtId="3"/>
    <dataField name="Suma de abr-22" fld="12" baseField="0" baseItem="0" numFmtId="3"/>
    <dataField name="Suma de may-22" fld="13" baseField="0" baseItem="0" numFmtId="3"/>
    <dataField name="Suma de jun-22" fld="14" baseField="0" baseItem="0" numFmtId="3"/>
    <dataField name="Suma de jul-22" fld="15" baseField="0" baseItem="0" numFmtId="3"/>
    <dataField name="Suma de ago-22" fld="16" baseField="0" baseItem="0" numFmtId="3"/>
    <dataField name="Suma de sep-22" fld="17" baseField="0" baseItem="0" numFmtId="3"/>
    <dataField name="Suma de oct-22" fld="18" baseField="0" baseItem="0" numFmtId="3"/>
    <dataField name="Suma de nov-22" fld="19" baseField="0" baseItem="0" numFmtId="3"/>
    <dataField name="Suma de dic-22" fld="20" baseField="0" baseItem="0" numFmtId="3"/>
    <dataField name="Suma de ene-23" fld="21" baseField="0" baseItem="0" numFmtId="3"/>
    <dataField name="Suma de feb-23" fld="22" baseField="0" baseItem="0" numFmtId="3"/>
    <dataField name="Suma de mar-23" fld="23" baseField="0" baseItem="0" numFmtId="3"/>
    <dataField name="Suma de abr-23" fld="24" baseField="0" baseItem="0" numFmtId="3"/>
    <dataField name="Suma de may-23" fld="25" baseField="0" baseItem="0" numFmtId="3"/>
    <dataField name="Suma de jun-23" fld="26" baseField="0" baseItem="0" numFmtId="3"/>
    <dataField name="Suma de jul-23" fld="27" baseField="0" baseItem="0" numFmtId="3"/>
    <dataField name="Suma de ago-23" fld="28" baseField="0" baseItem="0" numFmtId="3"/>
    <dataField name="Suma de sep-23" fld="29" baseField="0" baseItem="0" numFmtId="3"/>
    <dataField name="Suma de oct-23" fld="30" baseField="0" baseItem="0" numFmtId="3"/>
    <dataField name="Suma de nov-23" fld="31" baseField="0" baseItem="0" numFmtId="3"/>
    <dataField name="Suma de dic-23" fld="32" baseField="0" baseItem="0" numFmtId="3"/>
    <dataField name="Suma de ene-24" fld="33" baseField="0" baseItem="0" numFmtId="3"/>
    <dataField name="Suma de feb-24" fld="34" baseField="0" baseItem="0" numFmtId="3"/>
    <dataField name="Suma de mar-24" fld="35" baseField="0" baseItem="0" numFmtId="3"/>
    <dataField name="Suma de abr-24" fld="36" baseField="0" baseItem="0" numFmtId="3"/>
    <dataField name="Suma de may-24" fld="37" baseField="0" baseItem="0" numFmtId="3"/>
    <dataField name="Suma de jun-24" fld="38" baseField="0" baseItem="0" numFmtId="3"/>
    <dataField name="Suma de jul-24" fld="39" baseField="0" baseItem="0" numFmtId="3"/>
    <dataField name="Suma de ago-24" fld="40" baseField="0" baseItem="0" numFmtId="3"/>
    <dataField name="Suma de sep-24" fld="41" baseField="0" baseItem="0" numFmtId="3"/>
    <dataField name="Suma de oct-24" fld="42" baseField="0" baseItem="0" numFmtId="3"/>
    <dataField name="Suma de nov-24" fld="43" baseField="0" baseItem="0" numFmtId="3"/>
    <dataField name="Suma de dic-24" fld="44" baseField="0" baseItem="0" numFmtId="3"/>
    <dataField name="Suma de ene-25" fld="45" baseField="0" baseItem="0" numFmtId="3"/>
    <dataField name="Suma de feb-25" fld="46" baseField="0" baseItem="0" numFmtId="3"/>
    <dataField name="Suma de mar-25" fld="47" baseField="0" baseItem="0" numFmtId="3"/>
    <dataField name="Suma de abr-25" fld="48" baseField="0" baseItem="0" numFmtId="3"/>
    <dataField name="Suma de may-25" fld="49" baseField="0" baseItem="0" numFmtId="3"/>
    <dataField name="Suma de jun-25" fld="50" baseField="0" baseItem="0" numFmtId="3"/>
  </dataFields>
  <chartFormats count="42">
    <chartFormat chart="3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4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4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48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49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50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3" format="51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3" format="52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3" format="53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3" format="54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3" format="55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3" format="56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3" format="57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3" format="58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3" format="59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3" format="60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3" format="61" series="1">
      <pivotArea type="data" outline="0" fieldPosition="0">
        <references count="1">
          <reference field="4294967294" count="1" selected="0">
            <x v="19"/>
          </reference>
        </references>
      </pivotArea>
    </chartFormat>
    <chartFormat chart="3" format="62" series="1">
      <pivotArea type="data" outline="0" fieldPosition="0">
        <references count="1">
          <reference field="4294967294" count="1" selected="0">
            <x v="20"/>
          </reference>
        </references>
      </pivotArea>
    </chartFormat>
    <chartFormat chart="3" format="63" series="1">
      <pivotArea type="data" outline="0" fieldPosition="0">
        <references count="1">
          <reference field="4294967294" count="1" selected="0">
            <x v="21"/>
          </reference>
        </references>
      </pivotArea>
    </chartFormat>
    <chartFormat chart="3" format="64" series="1">
      <pivotArea type="data" outline="0" fieldPosition="0">
        <references count="1">
          <reference field="4294967294" count="1" selected="0">
            <x v="22"/>
          </reference>
        </references>
      </pivotArea>
    </chartFormat>
    <chartFormat chart="3" format="65" series="1">
      <pivotArea type="data" outline="0" fieldPosition="0">
        <references count="1">
          <reference field="4294967294" count="1" selected="0">
            <x v="23"/>
          </reference>
        </references>
      </pivotArea>
    </chartFormat>
    <chartFormat chart="3" format="66" series="1">
      <pivotArea type="data" outline="0" fieldPosition="0">
        <references count="1">
          <reference field="4294967294" count="1" selected="0">
            <x v="24"/>
          </reference>
        </references>
      </pivotArea>
    </chartFormat>
    <chartFormat chart="3" format="67" series="1">
      <pivotArea type="data" outline="0" fieldPosition="0">
        <references count="1">
          <reference field="4294967294" count="1" selected="0">
            <x v="25"/>
          </reference>
        </references>
      </pivotArea>
    </chartFormat>
    <chartFormat chart="3" format="68" series="1">
      <pivotArea type="data" outline="0" fieldPosition="0">
        <references count="1">
          <reference field="4294967294" count="1" selected="0">
            <x v="26"/>
          </reference>
        </references>
      </pivotArea>
    </chartFormat>
    <chartFormat chart="3" format="69" series="1">
      <pivotArea type="data" outline="0" fieldPosition="0">
        <references count="1">
          <reference field="4294967294" count="1" selected="0">
            <x v="27"/>
          </reference>
        </references>
      </pivotArea>
    </chartFormat>
    <chartFormat chart="3" format="70" series="1">
      <pivotArea type="data" outline="0" fieldPosition="0">
        <references count="1">
          <reference field="4294967294" count="1" selected="0">
            <x v="28"/>
          </reference>
        </references>
      </pivotArea>
    </chartFormat>
    <chartFormat chart="3" format="71" series="1">
      <pivotArea type="data" outline="0" fieldPosition="0">
        <references count="1">
          <reference field="4294967294" count="1" selected="0">
            <x v="29"/>
          </reference>
        </references>
      </pivotArea>
    </chartFormat>
    <chartFormat chart="3" format="72" series="1">
      <pivotArea type="data" outline="0" fieldPosition="0">
        <references count="1">
          <reference field="4294967294" count="1" selected="0">
            <x v="30"/>
          </reference>
        </references>
      </pivotArea>
    </chartFormat>
    <chartFormat chart="3" format="73" series="1">
      <pivotArea type="data" outline="0" fieldPosition="0">
        <references count="1">
          <reference field="4294967294" count="1" selected="0">
            <x v="31"/>
          </reference>
        </references>
      </pivotArea>
    </chartFormat>
    <chartFormat chart="3" format="74" series="1">
      <pivotArea type="data" outline="0" fieldPosition="0">
        <references count="1">
          <reference field="4294967294" count="1" selected="0">
            <x v="32"/>
          </reference>
        </references>
      </pivotArea>
    </chartFormat>
    <chartFormat chart="3" format="75" series="1">
      <pivotArea type="data" outline="0" fieldPosition="0">
        <references count="1">
          <reference field="4294967294" count="1" selected="0">
            <x v="33"/>
          </reference>
        </references>
      </pivotArea>
    </chartFormat>
    <chartFormat chart="3" format="76" series="1">
      <pivotArea type="data" outline="0" fieldPosition="0">
        <references count="1">
          <reference field="4294967294" count="1" selected="0">
            <x v="34"/>
          </reference>
        </references>
      </pivotArea>
    </chartFormat>
    <chartFormat chart="3" format="77" series="1">
      <pivotArea type="data" outline="0" fieldPosition="0">
        <references count="1">
          <reference field="4294967294" count="1" selected="0">
            <x v="35"/>
          </reference>
        </references>
      </pivotArea>
    </chartFormat>
    <chartFormat chart="3" format="78" series="1">
      <pivotArea type="data" outline="0" fieldPosition="0">
        <references count="1">
          <reference field="4294967294" count="1" selected="0">
            <x v="36"/>
          </reference>
        </references>
      </pivotArea>
    </chartFormat>
    <chartFormat chart="3" format="79" series="1">
      <pivotArea type="data" outline="0" fieldPosition="0">
        <references count="1">
          <reference field="4294967294" count="1" selected="0">
            <x v="37"/>
          </reference>
        </references>
      </pivotArea>
    </chartFormat>
    <chartFormat chart="3" format="80" series="1">
      <pivotArea type="data" outline="0" fieldPosition="0">
        <references count="1">
          <reference field="4294967294" count="1" selected="0">
            <x v="38"/>
          </reference>
        </references>
      </pivotArea>
    </chartFormat>
    <chartFormat chart="3" format="81" series="1">
      <pivotArea type="data" outline="0" fieldPosition="0">
        <references count="1">
          <reference field="4294967294" count="1" selected="0">
            <x v="39"/>
          </reference>
        </references>
      </pivotArea>
    </chartFormat>
    <chartFormat chart="3" format="82" series="1">
      <pivotArea type="data" outline="0" fieldPosition="0">
        <references count="1">
          <reference field="4294967294" count="1" selected="0">
            <x v="40"/>
          </reference>
        </references>
      </pivotArea>
    </chartFormat>
    <chartFormat chart="3" format="83" series="1">
      <pivotArea type="data" outline="0" fieldPosition="0">
        <references count="1">
          <reference field="4294967294" count="1" selected="0">
            <x v="4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4AA6C-069C-4A44-B6E9-CA64ADAC5E1B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K34" firstHeaderRow="0" firstDataRow="1" firstDataCol="1" rowPageCount="1" colPageCount="1"/>
  <pivotFields count="45">
    <pivotField showAll="0"/>
    <pivotField showAll="0"/>
    <pivotField showAll="0"/>
    <pivotField axis="axisPage" multipleItemSelectionAllowed="1" showAll="0">
      <items count="5">
        <item x="0"/>
        <item h="1" x="3"/>
        <item h="1" x="1"/>
        <item h="1" x="2"/>
        <item t="default"/>
      </items>
    </pivotField>
    <pivotField showAll="0"/>
    <pivotField axis="axisRow" showAll="0">
      <items count="54">
        <item x="8"/>
        <item x="10"/>
        <item x="4"/>
        <item x="28"/>
        <item x="27"/>
        <item x="13"/>
        <item x="7"/>
        <item x="26"/>
        <item x="12"/>
        <item x="0"/>
        <item x="23"/>
        <item x="25"/>
        <item x="19"/>
        <item x="14"/>
        <item x="11"/>
        <item x="3"/>
        <item x="21"/>
        <item x="5"/>
        <item x="15"/>
        <item x="18"/>
        <item x="17"/>
        <item x="1"/>
        <item x="9"/>
        <item x="20"/>
        <item x="22"/>
        <item x="6"/>
        <item x="16"/>
        <item x="2"/>
        <item x="29"/>
        <item x="24"/>
        <item x="32"/>
        <item x="30"/>
        <item x="46"/>
        <item x="45"/>
        <item x="50"/>
        <item x="47"/>
        <item x="42"/>
        <item x="49"/>
        <item x="35"/>
        <item x="41"/>
        <item x="39"/>
        <item x="43"/>
        <item x="37"/>
        <item x="51"/>
        <item x="44"/>
        <item x="52"/>
        <item x="34"/>
        <item x="40"/>
        <item x="48"/>
        <item x="36"/>
        <item x="31"/>
        <item x="33"/>
        <item x="38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5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</colItems>
  <pageFields count="1">
    <pageField fld="3" hier="-1"/>
  </pageFields>
  <dataFields count="36">
    <dataField name="Suma de Jun 22 - 5 Sem/Fin 03/07/22" fld="8" baseField="0" baseItem="0"/>
    <dataField name="Suma de Jul 22 - 4 Sem/Fin 31/07/22" fld="9" baseField="0" baseItem="0"/>
    <dataField name="Suma de Agosto 22 - 4 Sem/Fin 28/08/22" fld="10" baseField="0" baseItem="0"/>
    <dataField name="Suma de Set 22 - 5 Sem/Fin 02/10/22" fld="11" baseField="0" baseItem="0"/>
    <dataField name="Suma de Oct 22 - 4 Sem/Fin 30/10/22" fld="12" baseField="0" baseItem="0"/>
    <dataField name="Suma de Nov 22 - 4 Sem/Fin 27/11/22" fld="13" baseField="0" baseItem="0"/>
    <dataField name="Suma de Dic 22 - 5 Sem/Fin 01/01/23" fld="14" baseField="0" baseItem="0"/>
    <dataField name="Suma de Enero 23 - 4 Sem/Fin 29/01/23" fld="15" baseField="0" baseItem="0"/>
    <dataField name="Suma de Feb 23 - 4 Sem/Fin 26/02/23" fld="16" baseField="0" baseItem="0"/>
    <dataField name="Suma de Marzo 23 - 5 Sem/Fin 02/04/23" fld="17" baseField="0" baseItem="0"/>
    <dataField name="Suma de Abr 23 - 4 Sem/Fin 30/04/23" fld="18" baseField="0" baseItem="0"/>
    <dataField name="Suma de Mayo 23 - 4 Sem/Fin 28/05/23" fld="19" baseField="0" baseItem="0"/>
    <dataField name="Suma de Jun 23 - 5 Sem/Fin 02/07/23" fld="20" baseField="0" baseItem="0"/>
    <dataField name="Suma de Jul 23 - 4 Sem/Fin 30/07/23" fld="21" baseField="0" baseItem="0"/>
    <dataField name="Suma de Agosto 23 - 4 Sem/Fin 27/08/23" fld="22" baseField="0" baseItem="0"/>
    <dataField name="Suma de Set 23 - 5 Sem/Fin 01/10/23" fld="23" baseField="0" baseItem="0"/>
    <dataField name="Suma de Oct 23 - 4 Sem/Fin 29/10/23" fld="24" baseField="0" baseItem="0"/>
    <dataField name="Suma de Nov 23 - 4 Sem/Fin 26/11/23" fld="25" baseField="0" baseItem="0"/>
    <dataField name="Suma de Dic 23 - 5 Sem/Fin 31/12/23" fld="26" baseField="0" baseItem="0"/>
    <dataField name="Suma de Enero 24 - 4 Sem/Fin 28/01/24" fld="27" baseField="0" baseItem="0"/>
    <dataField name="Suma de Feb 24 - 4 Sem/Fin 25/02/24" fld="28" baseField="0" baseItem="0"/>
    <dataField name="Suma de Marzo 24 - 5 Sem/Fin 31/03/24" fld="29" baseField="0" baseItem="0"/>
    <dataField name="Suma de Abr 24 - 4 Sem/Fin 28/04/24" fld="30" baseField="0" baseItem="0"/>
    <dataField name="Suma de Mayo 24 - 4 Sem/Fin 26/05/24" fld="31" baseField="0" baseItem="0"/>
    <dataField name="Suma de Jun 24 - 5 Sem/Fin 30/06/24" fld="32" baseField="0" baseItem="0"/>
    <dataField name="Suma de Jul 24 - 4 Sem/Fin 28/07/24" fld="33" baseField="0" baseItem="0"/>
    <dataField name="Suma de Agosto 24 - 4 Sem/Fin 25/08/24" fld="34" baseField="0" baseItem="0"/>
    <dataField name="Suma de Set 24 - 5 Sem/Fin 29/09/24" fld="35" baseField="0" baseItem="0"/>
    <dataField name="Suma de Oct 24 - 4 Sem/Fin 27/10/24" fld="36" baseField="0" baseItem="0"/>
    <dataField name="Suma de Nov 24 - 4 Sem/Fin 24/11/24" fld="37" baseField="0" baseItem="0"/>
    <dataField name="Suma de Dic 24 - 5 Sem/Fin 29/12/24" fld="38" baseField="0" baseItem="0"/>
    <dataField name="Suma de Enero 25 - 4 Sem/Fin 26/01/25" fld="39" baseField="0" baseItem="0"/>
    <dataField name="Suma de Feb 25 - 4 Sem/Fin 23/02/25" fld="40" baseField="0" baseItem="0"/>
    <dataField name="Suma de Marzo 25 - 5 Sem/Fin 30/03/25" fld="41" baseField="0" baseItem="0"/>
    <dataField name="Suma de Abr 25 - 4 Sem/Fin 27/04/25" fld="42" baseField="0" baseItem="0"/>
    <dataField name="Suma de Mayo 25 - 4 Sem/Fin 25/05/25" fld="43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02ADC-A68B-4BF3-A70E-9914135BD22B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K16" firstHeaderRow="0" firstDataRow="1" firstDataCol="1" rowPageCount="1" colPageCount="1"/>
  <pivotFields count="45"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1"/>
        <item x="6"/>
        <item x="3"/>
        <item x="5"/>
        <item x="4"/>
        <item x="7"/>
        <item x="8"/>
        <item x="9"/>
        <item x="2"/>
        <item x="10"/>
        <item x="11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</colItems>
  <pageFields count="1">
    <pageField fld="0" hier="-1"/>
  </pageFields>
  <dataFields count="36">
    <dataField name="Suma de Jun 22 - 5 Sem/Fin 03/07/22" fld="8" baseField="0" baseItem="0"/>
    <dataField name="Suma de Jul 22 - 4 Sem/Fin 31/07/22" fld="9" baseField="0" baseItem="0"/>
    <dataField name="Suma de Agosto 22 - 4 Sem/Fin 28/08/22" fld="10" baseField="0" baseItem="0"/>
    <dataField name="Suma de Set 22 - 5 Sem/Fin 02/10/22" fld="11" baseField="0" baseItem="0"/>
    <dataField name="Suma de Oct 22 - 4 Sem/Fin 30/10/22" fld="12" baseField="0" baseItem="0"/>
    <dataField name="Suma de Nov 22 - 4 Sem/Fin 27/11/22" fld="13" baseField="0" baseItem="0"/>
    <dataField name="Suma de Dic 22 - 5 Sem/Fin 01/01/23" fld="14" baseField="0" baseItem="0"/>
    <dataField name="Suma de Enero 23 - 4 Sem/Fin 29/01/23" fld="15" baseField="0" baseItem="0"/>
    <dataField name="Suma de Feb 23 - 4 Sem/Fin 26/02/23" fld="16" baseField="0" baseItem="0"/>
    <dataField name="Suma de Marzo 23 - 5 Sem/Fin 02/04/23" fld="17" baseField="0" baseItem="0"/>
    <dataField name="Suma de Abr 23 - 4 Sem/Fin 30/04/23" fld="18" baseField="0" baseItem="0"/>
    <dataField name="Suma de Mayo 23 - 4 Sem/Fin 28/05/23" fld="19" baseField="0" baseItem="0"/>
    <dataField name="Suma de Jun 23 - 5 Sem/Fin 02/07/23" fld="20" baseField="0" baseItem="0"/>
    <dataField name="Suma de Jul 23 - 4 Sem/Fin 30/07/23" fld="21" baseField="0" baseItem="0"/>
    <dataField name="Suma de Agosto 23 - 4 Sem/Fin 27/08/23" fld="22" baseField="0" baseItem="0"/>
    <dataField name="Suma de Set 23 - 5 Sem/Fin 01/10/23" fld="23" baseField="0" baseItem="0"/>
    <dataField name="Suma de Oct 23 - 4 Sem/Fin 29/10/23" fld="24" baseField="0" baseItem="0"/>
    <dataField name="Suma de Nov 23 - 4 Sem/Fin 26/11/23" fld="25" baseField="0" baseItem="0"/>
    <dataField name="Suma de Dic 23 - 5 Sem/Fin 31/12/23" fld="26" baseField="0" baseItem="0"/>
    <dataField name="Suma de Enero 24 - 4 Sem/Fin 28/01/24" fld="27" baseField="0" baseItem="0"/>
    <dataField name="Suma de Feb 24 - 4 Sem/Fin 25/02/24" fld="28" baseField="0" baseItem="0"/>
    <dataField name="Suma de Marzo 24 - 5 Sem/Fin 31/03/24" fld="29" baseField="0" baseItem="0"/>
    <dataField name="Suma de Abr 24 - 4 Sem/Fin 28/04/24" fld="30" baseField="0" baseItem="0"/>
    <dataField name="Suma de Mayo 24 - 4 Sem/Fin 26/05/24" fld="31" baseField="0" baseItem="0"/>
    <dataField name="Suma de Jun 24 - 5 Sem/Fin 30/06/24" fld="32" baseField="0" baseItem="0"/>
    <dataField name="Suma de Jul 24 - 4 Sem/Fin 28/07/24" fld="33" baseField="0" baseItem="0"/>
    <dataField name="Suma de Agosto 24 - 4 Sem/Fin 25/08/24" fld="34" baseField="0" baseItem="0"/>
    <dataField name="Suma de Set 24 - 5 Sem/Fin 29/09/24" fld="35" baseField="0" baseItem="0"/>
    <dataField name="Suma de Oct 24 - 4 Sem/Fin 27/10/24" fld="36" baseField="0" baseItem="0"/>
    <dataField name="Suma de Nov 24 - 4 Sem/Fin 24/11/24" fld="37" baseField="0" baseItem="0"/>
    <dataField name="Suma de Dic 24 - 5 Sem/Fin 29/12/24" fld="38" baseField="0" baseItem="0"/>
    <dataField name="Suma de Enero 25 - 4 Sem/Fin 26/01/25" fld="39" baseField="0" baseItem="0"/>
    <dataField name="Suma de Feb 25 - 4 Sem/Fin 23/02/25" fld="40" baseField="0" baseItem="0"/>
    <dataField name="Suma de Marzo 25 - 5 Sem/Fin 30/03/25" fld="41" baseField="0" baseItem="0"/>
    <dataField name="Suma de Abr 25 - 4 Sem/Fin 27/04/25" fld="42" baseField="0" baseItem="0"/>
    <dataField name="Suma de Mayo 25 - 4 Sem/Fin 25/05/25" fld="4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4A9A-F1D4-4B3C-AA72-1ADCDEA8FF72}">
  <sheetPr filterMode="1"/>
  <dimension ref="A1:AF31"/>
  <sheetViews>
    <sheetView zoomScale="80" zoomScaleNormal="80" workbookViewId="0">
      <selection activeCell="B1" sqref="B1"/>
    </sheetView>
  </sheetViews>
  <sheetFormatPr defaultColWidth="11.42578125" defaultRowHeight="15"/>
  <cols>
    <col min="1" max="1" width="19.42578125" bestFit="1" customWidth="1"/>
    <col min="2" max="2" width="15.5703125" bestFit="1" customWidth="1"/>
    <col min="3" max="3" width="15.140625" bestFit="1" customWidth="1"/>
    <col min="4" max="4" width="14.7109375" bestFit="1" customWidth="1"/>
    <col min="5" max="5" width="15.140625" bestFit="1" customWidth="1"/>
    <col min="6" max="6" width="14.5703125" bestFit="1" customWidth="1"/>
    <col min="7" max="7" width="15.42578125" bestFit="1" customWidth="1"/>
    <col min="8" max="8" width="14.5703125" bestFit="1" customWidth="1"/>
    <col min="9" max="9" width="14" bestFit="1" customWidth="1"/>
    <col min="10" max="11" width="14.85546875" bestFit="1" customWidth="1"/>
    <col min="12" max="12" width="14.42578125" bestFit="1" customWidth="1"/>
    <col min="13" max="13" width="15" bestFit="1" customWidth="1"/>
    <col min="14" max="14" width="14.28515625" bestFit="1" customWidth="1"/>
    <col min="15" max="15" width="15.140625" bestFit="1" customWidth="1"/>
    <col min="16" max="16" width="14.7109375" bestFit="1" customWidth="1"/>
    <col min="17" max="17" width="15.140625" bestFit="1" customWidth="1"/>
    <col min="18" max="18" width="14.5703125" bestFit="1" customWidth="1"/>
    <col min="19" max="19" width="15.42578125" bestFit="1" customWidth="1"/>
    <col min="20" max="20" width="14.5703125" bestFit="1" customWidth="1"/>
    <col min="21" max="21" width="14" bestFit="1" customWidth="1"/>
    <col min="22" max="23" width="14.85546875" bestFit="1" customWidth="1"/>
    <col min="24" max="24" width="14.42578125" bestFit="1" customWidth="1"/>
    <col min="25" max="25" width="15" bestFit="1" customWidth="1"/>
    <col min="26" max="26" width="14.28515625" bestFit="1" customWidth="1"/>
    <col min="27" max="27" width="15.140625" bestFit="1" customWidth="1"/>
    <col min="28" max="28" width="14.7109375" bestFit="1" customWidth="1"/>
    <col min="29" max="29" width="15.140625" bestFit="1" customWidth="1"/>
    <col min="30" max="30" width="14.5703125" bestFit="1" customWidth="1"/>
    <col min="31" max="31" width="15.42578125" bestFit="1" customWidth="1"/>
    <col min="32" max="44" width="14.5703125" bestFit="1" customWidth="1"/>
  </cols>
  <sheetData>
    <row r="1" spans="1:32">
      <c r="A1" s="6" t="s">
        <v>0</v>
      </c>
      <c r="B1" t="s">
        <v>1</v>
      </c>
    </row>
    <row r="2" spans="1:32">
      <c r="A2" t="s">
        <v>2</v>
      </c>
    </row>
    <row r="3" spans="1:32">
      <c r="A3" s="6" t="s">
        <v>3</v>
      </c>
      <c r="B3" s="6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</row>
    <row r="4" spans="1:32">
      <c r="A4" t="s">
        <v>35</v>
      </c>
      <c r="B4" s="8" t="s">
        <v>36</v>
      </c>
      <c r="C4" s="7">
        <v>2418</v>
      </c>
      <c r="D4" s="7">
        <v>2160</v>
      </c>
      <c r="E4" s="7">
        <v>3372</v>
      </c>
      <c r="F4" s="7">
        <v>1884</v>
      </c>
      <c r="G4" s="7">
        <v>3870</v>
      </c>
      <c r="H4" s="7">
        <v>2449</v>
      </c>
      <c r="I4" s="7">
        <v>2352</v>
      </c>
      <c r="J4" s="7">
        <v>2955</v>
      </c>
      <c r="K4" s="7">
        <v>3426</v>
      </c>
      <c r="L4" s="7">
        <v>1344</v>
      </c>
      <c r="M4" s="7">
        <v>3366</v>
      </c>
      <c r="N4" s="7">
        <v>2796</v>
      </c>
      <c r="O4" s="7">
        <v>3330</v>
      </c>
      <c r="P4" s="7">
        <v>2184</v>
      </c>
      <c r="Q4" s="7">
        <v>852</v>
      </c>
      <c r="R4" s="7">
        <v>3390</v>
      </c>
      <c r="S4" s="7">
        <v>2916</v>
      </c>
      <c r="T4" s="7">
        <v>1692</v>
      </c>
      <c r="U4" s="7">
        <v>3114</v>
      </c>
      <c r="V4" s="7">
        <v>2766</v>
      </c>
      <c r="W4" s="7">
        <v>3288</v>
      </c>
      <c r="X4" s="7">
        <v>516</v>
      </c>
      <c r="Y4" s="7">
        <v>5586</v>
      </c>
      <c r="Z4" s="7">
        <v>3396</v>
      </c>
      <c r="AA4" s="7">
        <v>4872</v>
      </c>
      <c r="AB4" s="7">
        <v>2910</v>
      </c>
      <c r="AC4" s="7">
        <v>2622</v>
      </c>
      <c r="AD4" s="7">
        <v>3486</v>
      </c>
      <c r="AE4" s="7">
        <v>4536</v>
      </c>
      <c r="AF4" s="7">
        <v>2826</v>
      </c>
    </row>
    <row r="5" spans="1:32">
      <c r="A5" t="s">
        <v>37</v>
      </c>
      <c r="C5" s="7">
        <v>2418</v>
      </c>
      <c r="D5" s="7">
        <v>2160</v>
      </c>
      <c r="E5" s="7">
        <v>3372</v>
      </c>
      <c r="F5" s="7">
        <v>1884</v>
      </c>
      <c r="G5" s="7">
        <v>3870</v>
      </c>
      <c r="H5" s="7">
        <v>2449</v>
      </c>
      <c r="I5" s="7">
        <v>2352</v>
      </c>
      <c r="J5" s="7">
        <v>2955</v>
      </c>
      <c r="K5" s="7">
        <v>3426</v>
      </c>
      <c r="L5" s="7">
        <v>1344</v>
      </c>
      <c r="M5" s="7">
        <v>3366</v>
      </c>
      <c r="N5" s="7">
        <v>2796</v>
      </c>
      <c r="O5" s="7">
        <v>3330</v>
      </c>
      <c r="P5" s="7">
        <v>2184</v>
      </c>
      <c r="Q5" s="7">
        <v>852</v>
      </c>
      <c r="R5" s="7">
        <v>3390</v>
      </c>
      <c r="S5" s="7">
        <v>2916</v>
      </c>
      <c r="T5" s="7">
        <v>1692</v>
      </c>
      <c r="U5" s="7">
        <v>3114</v>
      </c>
      <c r="V5" s="7">
        <v>2766</v>
      </c>
      <c r="W5" s="7">
        <v>3288</v>
      </c>
      <c r="X5" s="7">
        <v>516</v>
      </c>
      <c r="Y5" s="7">
        <v>5586</v>
      </c>
      <c r="Z5" s="7">
        <v>3396</v>
      </c>
      <c r="AA5" s="7">
        <v>4872</v>
      </c>
      <c r="AB5" s="7">
        <v>2910</v>
      </c>
      <c r="AC5" s="7">
        <v>2622</v>
      </c>
      <c r="AD5" s="7">
        <v>3486</v>
      </c>
      <c r="AE5" s="7">
        <v>4536</v>
      </c>
      <c r="AF5" s="7">
        <v>2826</v>
      </c>
    </row>
    <row r="6" spans="1:32">
      <c r="A6" t="s">
        <v>38</v>
      </c>
      <c r="C6" s="7">
        <v>2418</v>
      </c>
      <c r="D6" s="7">
        <v>2160</v>
      </c>
      <c r="E6" s="7">
        <v>3372</v>
      </c>
      <c r="F6" s="7">
        <v>1884</v>
      </c>
      <c r="G6" s="7">
        <v>3870</v>
      </c>
      <c r="H6" s="7">
        <v>2449</v>
      </c>
      <c r="I6" s="7">
        <v>2352</v>
      </c>
      <c r="J6" s="7">
        <v>2955</v>
      </c>
      <c r="K6" s="7">
        <v>3426</v>
      </c>
      <c r="L6" s="7">
        <v>1344</v>
      </c>
      <c r="M6" s="7">
        <v>3366</v>
      </c>
      <c r="N6" s="7">
        <v>2796</v>
      </c>
      <c r="O6" s="7">
        <v>3330</v>
      </c>
      <c r="P6" s="7">
        <v>2184</v>
      </c>
      <c r="Q6" s="7">
        <v>852</v>
      </c>
      <c r="R6" s="7">
        <v>3390</v>
      </c>
      <c r="S6" s="7">
        <v>2916</v>
      </c>
      <c r="T6" s="7">
        <v>1692</v>
      </c>
      <c r="U6" s="7">
        <v>3114</v>
      </c>
      <c r="V6" s="7">
        <v>2766</v>
      </c>
      <c r="W6" s="7">
        <v>3288</v>
      </c>
      <c r="X6" s="7">
        <v>516</v>
      </c>
      <c r="Y6" s="7">
        <v>5586</v>
      </c>
      <c r="Z6" s="7">
        <v>3396</v>
      </c>
      <c r="AA6" s="7">
        <v>4872</v>
      </c>
      <c r="AB6" s="7">
        <v>2910</v>
      </c>
      <c r="AC6" s="7">
        <v>2622</v>
      </c>
      <c r="AD6" s="7">
        <v>3486</v>
      </c>
      <c r="AE6" s="7">
        <v>4536</v>
      </c>
      <c r="AF6" s="7">
        <v>2826</v>
      </c>
    </row>
    <row r="8" spans="1:32" hidden="1"/>
    <row r="9" spans="1:32" hidden="1"/>
    <row r="10" spans="1:32" hidden="1"/>
    <row r="11" spans="1:32" hidden="1"/>
    <row r="12" spans="1:32" hidden="1"/>
    <row r="13" spans="1:32" hidden="1"/>
    <row r="14" spans="1:32" hidden="1"/>
    <row r="15" spans="1:32" hidden="1"/>
    <row r="16" spans="1:32" hidden="1"/>
    <row r="17" spans="1:32" hidden="1"/>
    <row r="18" spans="1:32" hidden="1"/>
    <row r="19" spans="1:32" hidden="1"/>
    <row r="20" spans="1:32" hidden="1">
      <c r="A20" t="s">
        <v>39</v>
      </c>
      <c r="C20" s="9">
        <v>44927</v>
      </c>
      <c r="D20" s="9">
        <v>44958</v>
      </c>
      <c r="E20" s="9">
        <v>44986</v>
      </c>
      <c r="F20" s="9">
        <v>45017</v>
      </c>
      <c r="G20" s="9">
        <v>45047</v>
      </c>
      <c r="H20" s="9">
        <v>45078</v>
      </c>
      <c r="I20" s="9">
        <v>45108</v>
      </c>
      <c r="J20" s="9">
        <v>45139</v>
      </c>
      <c r="K20" s="9">
        <v>45170</v>
      </c>
      <c r="L20" s="9">
        <v>45200</v>
      </c>
      <c r="M20" s="9">
        <v>45231</v>
      </c>
      <c r="N20" s="9">
        <v>45261</v>
      </c>
      <c r="O20" s="9">
        <v>45292</v>
      </c>
      <c r="P20" s="9">
        <v>45323</v>
      </c>
      <c r="Q20" s="9">
        <v>45352</v>
      </c>
      <c r="R20" s="9">
        <v>45383</v>
      </c>
      <c r="S20" s="9">
        <v>45413</v>
      </c>
      <c r="T20" s="9">
        <v>45444</v>
      </c>
      <c r="U20" s="9">
        <v>45474</v>
      </c>
      <c r="V20" s="9">
        <v>45505</v>
      </c>
      <c r="W20" s="9">
        <v>45536</v>
      </c>
      <c r="X20" s="9">
        <v>45566</v>
      </c>
      <c r="Y20" s="9">
        <v>45597</v>
      </c>
      <c r="Z20" s="9">
        <v>45627</v>
      </c>
      <c r="AA20" s="9">
        <v>45658</v>
      </c>
      <c r="AB20" s="9">
        <v>45689</v>
      </c>
      <c r="AC20" s="9">
        <v>45717</v>
      </c>
      <c r="AD20" s="9">
        <v>45748</v>
      </c>
      <c r="AE20" s="9">
        <v>45778</v>
      </c>
      <c r="AF20" s="9">
        <v>45809</v>
      </c>
    </row>
    <row r="21" spans="1:32" hidden="1">
      <c r="A21" t="s">
        <v>40</v>
      </c>
      <c r="B21" t="s">
        <v>41</v>
      </c>
      <c r="C21" s="10">
        <v>2829896</v>
      </c>
      <c r="D21" s="10">
        <v>2974070</v>
      </c>
      <c r="E21" s="10">
        <v>2800421</v>
      </c>
      <c r="F21" s="10">
        <v>3345033</v>
      </c>
      <c r="G21" s="10">
        <v>2781159</v>
      </c>
      <c r="H21" s="10">
        <v>1898617</v>
      </c>
      <c r="I21" s="10">
        <v>2620697</v>
      </c>
      <c r="J21" s="10">
        <v>2660694</v>
      </c>
      <c r="K21" s="10">
        <v>2901994</v>
      </c>
      <c r="L21" s="10">
        <v>2541554</v>
      </c>
      <c r="M21" s="10">
        <v>2467070</v>
      </c>
      <c r="N21" s="10">
        <v>1107315</v>
      </c>
      <c r="O21" s="10">
        <v>1895217</v>
      </c>
      <c r="P21" s="10">
        <v>2533138</v>
      </c>
      <c r="Q21" s="10">
        <v>2840302</v>
      </c>
      <c r="R21" s="10">
        <v>2544391</v>
      </c>
      <c r="S21" s="10">
        <v>2323404</v>
      </c>
      <c r="T21" s="10">
        <v>2706554</v>
      </c>
      <c r="U21" s="10">
        <v>3194668</v>
      </c>
      <c r="V21" s="10">
        <v>4402246</v>
      </c>
      <c r="W21" s="10">
        <v>1763368</v>
      </c>
      <c r="X21" s="10">
        <v>2457071</v>
      </c>
      <c r="Y21" s="10">
        <v>2851985</v>
      </c>
      <c r="Z21" s="10">
        <v>1779058</v>
      </c>
      <c r="AA21" s="10">
        <v>2617788</v>
      </c>
      <c r="AB21" s="10">
        <v>3289004</v>
      </c>
      <c r="AC21" s="10">
        <v>2328598</v>
      </c>
      <c r="AD21" s="10">
        <v>2766507</v>
      </c>
      <c r="AE21" s="10">
        <v>2852087</v>
      </c>
      <c r="AF21" s="10">
        <v>2481087</v>
      </c>
    </row>
    <row r="22" spans="1:32" hidden="1">
      <c r="A22" t="s">
        <v>40</v>
      </c>
      <c r="B22" t="s">
        <v>42</v>
      </c>
      <c r="C22" s="10">
        <v>800544</v>
      </c>
      <c r="D22" s="10">
        <v>833754</v>
      </c>
      <c r="E22" s="10">
        <v>822394</v>
      </c>
      <c r="F22" s="10">
        <v>784149</v>
      </c>
      <c r="G22" s="10">
        <v>641226</v>
      </c>
      <c r="H22" s="10">
        <v>519195</v>
      </c>
      <c r="I22" s="10">
        <v>806225</v>
      </c>
      <c r="J22" s="10">
        <v>574962</v>
      </c>
      <c r="K22" s="10">
        <v>669587</v>
      </c>
      <c r="L22" s="10">
        <v>916383</v>
      </c>
      <c r="M22" s="10">
        <v>706134</v>
      </c>
      <c r="N22" s="10">
        <v>395310</v>
      </c>
      <c r="O22" s="10">
        <v>774354</v>
      </c>
      <c r="P22" s="10">
        <v>743296</v>
      </c>
      <c r="Q22" s="10">
        <v>954899</v>
      </c>
      <c r="R22" s="10">
        <v>888889</v>
      </c>
      <c r="S22" s="10">
        <v>793305</v>
      </c>
      <c r="T22" s="10">
        <v>783747</v>
      </c>
      <c r="U22" s="10">
        <v>677882</v>
      </c>
      <c r="V22" s="10">
        <v>1135721</v>
      </c>
      <c r="W22" s="10">
        <v>398321</v>
      </c>
      <c r="X22" s="10">
        <v>515652</v>
      </c>
      <c r="Y22" s="10">
        <v>643644</v>
      </c>
      <c r="Z22" s="10">
        <v>558031</v>
      </c>
      <c r="AA22" s="10">
        <v>901218</v>
      </c>
      <c r="AB22" s="10">
        <v>1062341</v>
      </c>
      <c r="AC22" s="10">
        <v>930821</v>
      </c>
      <c r="AD22" s="10">
        <v>839095</v>
      </c>
      <c r="AE22" s="10">
        <v>1062434</v>
      </c>
      <c r="AF22" s="10">
        <v>639320</v>
      </c>
    </row>
    <row r="23" spans="1:32" hidden="1">
      <c r="A23" t="s">
        <v>40</v>
      </c>
      <c r="B23" t="s">
        <v>43</v>
      </c>
      <c r="C23" s="11">
        <f>+SUM(C21:C22)</f>
        <v>3630440</v>
      </c>
      <c r="D23" s="11">
        <f t="shared" ref="D23:AF23" si="0">+SUM(D21:D22)</f>
        <v>3807824</v>
      </c>
      <c r="E23" s="11">
        <f t="shared" si="0"/>
        <v>3622815</v>
      </c>
      <c r="F23" s="11">
        <f t="shared" si="0"/>
        <v>4129182</v>
      </c>
      <c r="G23" s="11">
        <f t="shared" si="0"/>
        <v>3422385</v>
      </c>
      <c r="H23" s="11">
        <f t="shared" si="0"/>
        <v>2417812</v>
      </c>
      <c r="I23" s="11">
        <f t="shared" si="0"/>
        <v>3426922</v>
      </c>
      <c r="J23" s="11">
        <f t="shared" si="0"/>
        <v>3235656</v>
      </c>
      <c r="K23" s="11">
        <f t="shared" si="0"/>
        <v>3571581</v>
      </c>
      <c r="L23" s="11">
        <f t="shared" si="0"/>
        <v>3457937</v>
      </c>
      <c r="M23" s="11">
        <f t="shared" si="0"/>
        <v>3173204</v>
      </c>
      <c r="N23" s="11">
        <f t="shared" si="0"/>
        <v>1502625</v>
      </c>
      <c r="O23" s="11">
        <f t="shared" si="0"/>
        <v>2669571</v>
      </c>
      <c r="P23" s="11">
        <f t="shared" si="0"/>
        <v>3276434</v>
      </c>
      <c r="Q23" s="11">
        <f t="shared" si="0"/>
        <v>3795201</v>
      </c>
      <c r="R23" s="11">
        <f t="shared" si="0"/>
        <v>3433280</v>
      </c>
      <c r="S23" s="11">
        <f t="shared" si="0"/>
        <v>3116709</v>
      </c>
      <c r="T23" s="11">
        <f t="shared" si="0"/>
        <v>3490301</v>
      </c>
      <c r="U23" s="11">
        <f t="shared" si="0"/>
        <v>3872550</v>
      </c>
      <c r="V23" s="11">
        <f t="shared" si="0"/>
        <v>5537967</v>
      </c>
      <c r="W23" s="11">
        <f t="shared" si="0"/>
        <v>2161689</v>
      </c>
      <c r="X23" s="11">
        <f t="shared" si="0"/>
        <v>2972723</v>
      </c>
      <c r="Y23" s="11">
        <f t="shared" si="0"/>
        <v>3495629</v>
      </c>
      <c r="Z23" s="11">
        <f t="shared" si="0"/>
        <v>2337089</v>
      </c>
      <c r="AA23" s="11">
        <f t="shared" si="0"/>
        <v>3519006</v>
      </c>
      <c r="AB23" s="11">
        <f t="shared" si="0"/>
        <v>4351345</v>
      </c>
      <c r="AC23" s="11">
        <f t="shared" si="0"/>
        <v>3259419</v>
      </c>
      <c r="AD23" s="11">
        <f t="shared" si="0"/>
        <v>3605602</v>
      </c>
      <c r="AE23" s="11">
        <f t="shared" si="0"/>
        <v>3914521</v>
      </c>
      <c r="AF23" s="11">
        <f t="shared" si="0"/>
        <v>3120407</v>
      </c>
    </row>
    <row r="24" spans="1:32" hidden="1"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>
      <c r="A25" t="s">
        <v>39</v>
      </c>
      <c r="C25" s="9">
        <v>44927</v>
      </c>
      <c r="D25" s="9">
        <v>44958</v>
      </c>
      <c r="E25" s="9">
        <v>44986</v>
      </c>
      <c r="F25" s="9">
        <v>45017</v>
      </c>
      <c r="G25" s="9">
        <v>45047</v>
      </c>
      <c r="H25" s="9">
        <v>45078</v>
      </c>
      <c r="I25" s="9">
        <v>45108</v>
      </c>
      <c r="J25" s="9">
        <v>45139</v>
      </c>
      <c r="K25" s="9">
        <v>45170</v>
      </c>
      <c r="L25" s="9">
        <v>45200</v>
      </c>
      <c r="M25" s="9">
        <v>45231</v>
      </c>
      <c r="N25" s="9">
        <v>45261</v>
      </c>
      <c r="O25" s="9">
        <v>45292</v>
      </c>
      <c r="P25" s="9">
        <v>45323</v>
      </c>
      <c r="Q25" s="9">
        <v>45352</v>
      </c>
      <c r="R25" s="9">
        <v>45383</v>
      </c>
      <c r="S25" s="9">
        <v>45413</v>
      </c>
      <c r="T25" s="9">
        <v>45444</v>
      </c>
      <c r="U25" s="9">
        <v>45474</v>
      </c>
      <c r="V25" s="9">
        <v>45505</v>
      </c>
      <c r="W25" s="9">
        <v>45536</v>
      </c>
      <c r="X25" s="9">
        <v>45566</v>
      </c>
      <c r="Y25" s="9">
        <v>45597</v>
      </c>
      <c r="Z25" s="9">
        <v>45627</v>
      </c>
      <c r="AA25" s="9">
        <v>45658</v>
      </c>
      <c r="AB25" s="9">
        <v>45689</v>
      </c>
      <c r="AC25" s="9">
        <v>45717</v>
      </c>
      <c r="AD25" s="9">
        <v>45748</v>
      </c>
      <c r="AE25" s="9">
        <v>45778</v>
      </c>
      <c r="AF25" s="9">
        <v>45809</v>
      </c>
    </row>
    <row r="26" spans="1:32" hidden="1">
      <c r="A26" t="s">
        <v>35</v>
      </c>
      <c r="B26" t="s">
        <v>44</v>
      </c>
      <c r="C26" s="10">
        <v>1320</v>
      </c>
      <c r="D26" s="10">
        <v>852</v>
      </c>
      <c r="E26" s="10">
        <v>6</v>
      </c>
      <c r="F26" s="10">
        <v>150</v>
      </c>
      <c r="G26" s="10">
        <v>90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</row>
    <row r="27" spans="1:32" hidden="1">
      <c r="A27" t="s">
        <v>35</v>
      </c>
      <c r="B27" t="s">
        <v>45</v>
      </c>
      <c r="C27" s="10">
        <v>253696</v>
      </c>
      <c r="D27" s="10">
        <v>317195</v>
      </c>
      <c r="E27" s="10">
        <v>288185</v>
      </c>
      <c r="F27" s="10">
        <v>302666</v>
      </c>
      <c r="G27" s="10">
        <v>251313</v>
      </c>
      <c r="H27" s="10">
        <v>257259</v>
      </c>
      <c r="I27" s="10">
        <v>267331</v>
      </c>
      <c r="J27" s="10">
        <v>433752</v>
      </c>
      <c r="K27" s="10">
        <v>481763</v>
      </c>
      <c r="L27" s="10">
        <v>192036</v>
      </c>
      <c r="M27" s="10">
        <v>258610</v>
      </c>
      <c r="N27" s="10">
        <v>95829</v>
      </c>
      <c r="O27" s="10">
        <v>187746</v>
      </c>
      <c r="P27" s="10">
        <v>285603</v>
      </c>
      <c r="Q27" s="10">
        <v>125688</v>
      </c>
      <c r="R27" s="10">
        <v>244856</v>
      </c>
      <c r="S27" s="10">
        <v>168599</v>
      </c>
      <c r="T27" s="10">
        <v>234726</v>
      </c>
      <c r="U27" s="10">
        <v>295497</v>
      </c>
      <c r="V27" s="10">
        <v>326878</v>
      </c>
      <c r="W27" s="10">
        <v>91234</v>
      </c>
      <c r="X27" s="10">
        <v>155946</v>
      </c>
      <c r="Y27" s="10">
        <v>253590</v>
      </c>
      <c r="Z27" s="10">
        <v>156705</v>
      </c>
      <c r="AA27" s="10">
        <v>296373</v>
      </c>
      <c r="AB27" s="10">
        <v>228785</v>
      </c>
      <c r="AC27" s="10">
        <v>188228</v>
      </c>
      <c r="AD27" s="10">
        <v>133654</v>
      </c>
      <c r="AE27" s="10">
        <v>305901</v>
      </c>
      <c r="AF27" s="10">
        <v>247094</v>
      </c>
    </row>
    <row r="28" spans="1:32" hidden="1">
      <c r="A28" t="s">
        <v>35</v>
      </c>
      <c r="B28" t="s">
        <v>46</v>
      </c>
      <c r="C28" s="10">
        <v>208992</v>
      </c>
      <c r="D28" s="10">
        <v>187671</v>
      </c>
      <c r="E28" s="10">
        <v>225308</v>
      </c>
      <c r="F28" s="10">
        <v>307043</v>
      </c>
      <c r="G28" s="10">
        <v>244299</v>
      </c>
      <c r="H28" s="10">
        <v>179797</v>
      </c>
      <c r="I28" s="10">
        <v>219486</v>
      </c>
      <c r="J28" s="10">
        <v>214523</v>
      </c>
      <c r="K28" s="10">
        <v>221487</v>
      </c>
      <c r="L28" s="10">
        <v>357155</v>
      </c>
      <c r="M28" s="10">
        <v>206549</v>
      </c>
      <c r="N28" s="10">
        <v>108319</v>
      </c>
      <c r="O28" s="10">
        <v>288703</v>
      </c>
      <c r="P28" s="10">
        <v>212604</v>
      </c>
      <c r="Q28" s="10">
        <v>108397</v>
      </c>
      <c r="R28" s="10">
        <v>134311</v>
      </c>
      <c r="S28" s="10">
        <v>105519</v>
      </c>
      <c r="T28" s="10">
        <v>143403</v>
      </c>
      <c r="U28" s="10">
        <v>179153</v>
      </c>
      <c r="V28" s="10">
        <v>296164</v>
      </c>
      <c r="W28" s="10">
        <v>88795</v>
      </c>
      <c r="X28" s="10">
        <v>68591</v>
      </c>
      <c r="Y28" s="10">
        <v>113870</v>
      </c>
      <c r="Z28" s="10">
        <v>99903</v>
      </c>
      <c r="AA28" s="10">
        <v>173101</v>
      </c>
      <c r="AB28" s="10">
        <v>214995</v>
      </c>
      <c r="AC28" s="10">
        <v>199735</v>
      </c>
      <c r="AD28" s="10">
        <v>351806</v>
      </c>
      <c r="AE28" s="10">
        <v>195842</v>
      </c>
      <c r="AF28" s="10">
        <v>205462</v>
      </c>
    </row>
    <row r="29" spans="1:32">
      <c r="A29" t="s">
        <v>35</v>
      </c>
      <c r="B29" t="s">
        <v>36</v>
      </c>
      <c r="C29" s="10">
        <v>-72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20844</v>
      </c>
      <c r="V29" s="10">
        <v>408</v>
      </c>
      <c r="W29" s="10">
        <v>50814</v>
      </c>
      <c r="X29" s="10">
        <v>16986</v>
      </c>
      <c r="Y29" s="10">
        <v>7926</v>
      </c>
      <c r="Z29" s="10">
        <v>-6</v>
      </c>
      <c r="AA29" s="10">
        <v>28716</v>
      </c>
      <c r="AB29" s="10">
        <v>154386</v>
      </c>
      <c r="AC29" s="10">
        <v>62454</v>
      </c>
      <c r="AD29" s="10">
        <v>40656</v>
      </c>
      <c r="AE29" s="10">
        <v>39414</v>
      </c>
      <c r="AF29" s="10">
        <v>23364</v>
      </c>
    </row>
    <row r="30" spans="1:32" hidden="1">
      <c r="A30" t="s">
        <v>35</v>
      </c>
      <c r="B30" t="s">
        <v>47</v>
      </c>
      <c r="C30" s="10">
        <v>271854</v>
      </c>
      <c r="D30" s="10">
        <v>316085</v>
      </c>
      <c r="E30" s="10">
        <v>408502</v>
      </c>
      <c r="F30" s="10">
        <v>341286</v>
      </c>
      <c r="G30" s="10">
        <v>297162</v>
      </c>
      <c r="H30" s="10">
        <v>199005</v>
      </c>
      <c r="I30" s="10">
        <v>102208</v>
      </c>
      <c r="J30" s="10">
        <v>41728</v>
      </c>
      <c r="K30" s="10">
        <v>-230</v>
      </c>
      <c r="L30" s="10">
        <v>180825</v>
      </c>
      <c r="M30" s="10">
        <v>385471</v>
      </c>
      <c r="N30" s="10">
        <v>110460</v>
      </c>
      <c r="O30" s="10">
        <v>361394</v>
      </c>
      <c r="P30" s="10">
        <v>247825</v>
      </c>
      <c r="Q30" s="10">
        <v>161524</v>
      </c>
      <c r="R30" s="10">
        <v>156637</v>
      </c>
      <c r="S30" s="10">
        <v>143110</v>
      </c>
      <c r="T30" s="10">
        <v>217789</v>
      </c>
      <c r="U30" s="10">
        <v>147237</v>
      </c>
      <c r="V30" s="10">
        <v>307165</v>
      </c>
      <c r="W30" s="10">
        <v>97555</v>
      </c>
      <c r="X30" s="10">
        <v>147822</v>
      </c>
      <c r="Y30" s="10">
        <v>171022</v>
      </c>
      <c r="Z30" s="10">
        <v>117433</v>
      </c>
      <c r="AA30" s="10">
        <v>312518</v>
      </c>
      <c r="AB30" s="10">
        <v>187610</v>
      </c>
      <c r="AC30" s="10">
        <v>122323</v>
      </c>
      <c r="AD30" s="10">
        <v>239674</v>
      </c>
      <c r="AE30" s="10">
        <v>251495</v>
      </c>
      <c r="AF30" s="10">
        <v>200861</v>
      </c>
    </row>
    <row r="31" spans="1:32" hidden="1">
      <c r="A31" t="s">
        <v>35</v>
      </c>
      <c r="B31" t="s">
        <v>37</v>
      </c>
      <c r="C31" s="10">
        <f>+SUM(C26:C30)</f>
        <v>735790</v>
      </c>
      <c r="D31" s="10">
        <f t="shared" ref="D31:AF31" si="1">+SUM(D26:D30)</f>
        <v>821803</v>
      </c>
      <c r="E31" s="10">
        <f t="shared" si="1"/>
        <v>922001</v>
      </c>
      <c r="F31" s="10">
        <f t="shared" si="1"/>
        <v>951145</v>
      </c>
      <c r="G31" s="10">
        <f t="shared" si="1"/>
        <v>792864</v>
      </c>
      <c r="H31" s="10">
        <f t="shared" si="1"/>
        <v>636061</v>
      </c>
      <c r="I31" s="10">
        <f t="shared" si="1"/>
        <v>589025</v>
      </c>
      <c r="J31" s="10">
        <f t="shared" si="1"/>
        <v>690003</v>
      </c>
      <c r="K31" s="10">
        <f t="shared" si="1"/>
        <v>703020</v>
      </c>
      <c r="L31" s="10">
        <f t="shared" si="1"/>
        <v>730016</v>
      </c>
      <c r="M31" s="10">
        <f t="shared" si="1"/>
        <v>850630</v>
      </c>
      <c r="N31" s="10">
        <f t="shared" si="1"/>
        <v>314608</v>
      </c>
      <c r="O31" s="10">
        <f t="shared" si="1"/>
        <v>837843</v>
      </c>
      <c r="P31" s="10">
        <f t="shared" si="1"/>
        <v>746032</v>
      </c>
      <c r="Q31" s="10">
        <f t="shared" si="1"/>
        <v>395609</v>
      </c>
      <c r="R31" s="10">
        <f t="shared" si="1"/>
        <v>535804</v>
      </c>
      <c r="S31" s="10">
        <f t="shared" si="1"/>
        <v>417228</v>
      </c>
      <c r="T31" s="10">
        <f t="shared" si="1"/>
        <v>595918</v>
      </c>
      <c r="U31" s="10">
        <f t="shared" si="1"/>
        <v>642731</v>
      </c>
      <c r="V31" s="10">
        <f t="shared" si="1"/>
        <v>930615</v>
      </c>
      <c r="W31" s="10">
        <f t="shared" si="1"/>
        <v>328398</v>
      </c>
      <c r="X31" s="10">
        <f t="shared" si="1"/>
        <v>389345</v>
      </c>
      <c r="Y31" s="10">
        <f t="shared" si="1"/>
        <v>546408</v>
      </c>
      <c r="Z31" s="10">
        <f t="shared" si="1"/>
        <v>374035</v>
      </c>
      <c r="AA31" s="10">
        <f t="shared" si="1"/>
        <v>810708</v>
      </c>
      <c r="AB31" s="10">
        <f t="shared" si="1"/>
        <v>785776</v>
      </c>
      <c r="AC31" s="10">
        <f t="shared" si="1"/>
        <v>572740</v>
      </c>
      <c r="AD31" s="10">
        <f t="shared" si="1"/>
        <v>765790</v>
      </c>
      <c r="AE31" s="10">
        <f t="shared" si="1"/>
        <v>792652</v>
      </c>
      <c r="AF31" s="10">
        <f t="shared" si="1"/>
        <v>676781</v>
      </c>
    </row>
  </sheetData>
  <autoFilter ref="A25:AF31" xr:uid="{084D4A9A-F1D4-4B3C-AA72-1ADCDEA8FF72}">
    <filterColumn colId="1">
      <filters>
        <filter val="Magic Retouc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C069-6A7C-4601-AAA7-BB9D12E57FD5}">
  <dimension ref="A2:AY398"/>
  <sheetViews>
    <sheetView topLeftCell="A237" zoomScale="85" zoomScaleNormal="85" workbookViewId="0">
      <selection activeCell="E365" sqref="E365"/>
    </sheetView>
  </sheetViews>
  <sheetFormatPr defaultColWidth="11.42578125" defaultRowHeight="15"/>
  <cols>
    <col min="1" max="1" width="43" bestFit="1" customWidth="1"/>
    <col min="2" max="2" width="15.5703125" bestFit="1" customWidth="1"/>
    <col min="3" max="3" width="15.140625" bestFit="1" customWidth="1"/>
    <col min="4" max="4" width="15.85546875" bestFit="1" customWidth="1"/>
    <col min="5" max="5" width="15.140625" bestFit="1" customWidth="1"/>
    <col min="6" max="6" width="16.28515625" bestFit="1" customWidth="1"/>
    <col min="7" max="7" width="15" bestFit="1" customWidth="1"/>
    <col min="8" max="8" width="14.42578125" bestFit="1" customWidth="1"/>
    <col min="9" max="9" width="15.5703125" bestFit="1" customWidth="1"/>
    <col min="10" max="10" width="15.28515625" bestFit="1" customWidth="1"/>
    <col min="11" max="11" width="15" bestFit="1" customWidth="1"/>
    <col min="12" max="12" width="15.5703125" bestFit="1" customWidth="1"/>
    <col min="13" max="13" width="14.85546875" bestFit="1" customWidth="1"/>
    <col min="14" max="14" width="15.5703125" bestFit="1" customWidth="1"/>
    <col min="15" max="15" width="15.140625" bestFit="1" customWidth="1"/>
    <col min="16" max="16" width="15.85546875" bestFit="1" customWidth="1"/>
    <col min="17" max="17" width="15.140625" bestFit="1" customWidth="1"/>
    <col min="18" max="18" width="16.28515625" bestFit="1" customWidth="1"/>
    <col min="19" max="19" width="15" bestFit="1" customWidth="1"/>
    <col min="20" max="20" width="14.42578125" bestFit="1" customWidth="1"/>
    <col min="21" max="21" width="15.5703125" bestFit="1" customWidth="1"/>
    <col min="22" max="22" width="15.28515625" bestFit="1" customWidth="1"/>
    <col min="23" max="23" width="15" bestFit="1" customWidth="1"/>
    <col min="24" max="24" width="15.5703125" bestFit="1" customWidth="1"/>
    <col min="25" max="25" width="14.85546875" bestFit="1" customWidth="1"/>
    <col min="26" max="26" width="15.5703125" bestFit="1" customWidth="1"/>
    <col min="27" max="27" width="15.140625" bestFit="1" customWidth="1"/>
    <col min="28" max="28" width="15.85546875" bestFit="1" customWidth="1"/>
    <col min="29" max="29" width="15.140625" bestFit="1" customWidth="1"/>
    <col min="30" max="30" width="16.28515625" bestFit="1" customWidth="1"/>
    <col min="31" max="31" width="15" bestFit="1" customWidth="1"/>
    <col min="32" max="32" width="14.42578125" bestFit="1" customWidth="1"/>
    <col min="33" max="33" width="15.5703125" bestFit="1" customWidth="1"/>
    <col min="34" max="34" width="15.28515625" bestFit="1" customWidth="1"/>
    <col min="35" max="35" width="15" bestFit="1" customWidth="1"/>
    <col min="36" max="36" width="15.5703125" bestFit="1" customWidth="1"/>
    <col min="37" max="37" width="14.85546875" bestFit="1" customWidth="1"/>
    <col min="38" max="38" width="15.5703125" bestFit="1" customWidth="1"/>
    <col min="39" max="39" width="15.140625" bestFit="1" customWidth="1"/>
    <col min="40" max="40" width="15.85546875" bestFit="1" customWidth="1"/>
    <col min="41" max="41" width="15.140625" bestFit="1" customWidth="1"/>
    <col min="42" max="42" width="16.28515625" bestFit="1" customWidth="1"/>
    <col min="43" max="43" width="15" bestFit="1" customWidth="1"/>
    <col min="44" max="44" width="13.85546875" bestFit="1" customWidth="1"/>
  </cols>
  <sheetData>
    <row r="2" spans="1:45">
      <c r="A2" s="6" t="s">
        <v>48</v>
      </c>
      <c r="B2" t="s">
        <v>49</v>
      </c>
    </row>
    <row r="3" spans="1:45">
      <c r="A3" s="6" t="s">
        <v>3</v>
      </c>
      <c r="B3" t="s">
        <v>35</v>
      </c>
    </row>
    <row r="4" spans="1:45">
      <c r="A4" s="6" t="s">
        <v>4</v>
      </c>
      <c r="B4" t="s">
        <v>1</v>
      </c>
    </row>
    <row r="6" spans="1:45">
      <c r="A6" s="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5</v>
      </c>
      <c r="O6" t="s">
        <v>6</v>
      </c>
      <c r="P6" t="s">
        <v>7</v>
      </c>
      <c r="Q6" t="s">
        <v>8</v>
      </c>
      <c r="R6" t="s">
        <v>9</v>
      </c>
      <c r="S6" t="s">
        <v>10</v>
      </c>
      <c r="T6" t="s">
        <v>11</v>
      </c>
      <c r="U6" t="s">
        <v>12</v>
      </c>
      <c r="V6" t="s">
        <v>13</v>
      </c>
      <c r="W6" t="s">
        <v>14</v>
      </c>
      <c r="X6" t="s">
        <v>15</v>
      </c>
      <c r="Y6" t="s">
        <v>16</v>
      </c>
      <c r="Z6" t="s">
        <v>17</v>
      </c>
      <c r="AA6" t="s">
        <v>18</v>
      </c>
      <c r="AB6" t="s">
        <v>19</v>
      </c>
      <c r="AC6" t="s">
        <v>20</v>
      </c>
      <c r="AD6" t="s">
        <v>21</v>
      </c>
      <c r="AE6" t="s">
        <v>22</v>
      </c>
      <c r="AF6" t="s">
        <v>23</v>
      </c>
      <c r="AG6" t="s">
        <v>24</v>
      </c>
      <c r="AH6" t="s">
        <v>25</v>
      </c>
      <c r="AI6" t="s">
        <v>26</v>
      </c>
      <c r="AJ6" t="s">
        <v>27</v>
      </c>
      <c r="AK6" t="s">
        <v>28</v>
      </c>
      <c r="AL6" t="s">
        <v>29</v>
      </c>
      <c r="AM6" t="s">
        <v>30</v>
      </c>
      <c r="AN6" t="s">
        <v>31</v>
      </c>
      <c r="AO6" t="s">
        <v>32</v>
      </c>
      <c r="AP6" t="s">
        <v>33</v>
      </c>
      <c r="AQ6" t="s">
        <v>34</v>
      </c>
      <c r="AR6" t="s">
        <v>63</v>
      </c>
      <c r="AS6" t="s">
        <v>64</v>
      </c>
    </row>
    <row r="7" spans="1:45">
      <c r="A7" t="s">
        <v>65</v>
      </c>
      <c r="B7" s="7">
        <v>3881</v>
      </c>
      <c r="C7" s="7">
        <v>5415</v>
      </c>
      <c r="D7" s="7">
        <v>3303</v>
      </c>
      <c r="E7" s="7">
        <v>3366</v>
      </c>
      <c r="F7" s="7">
        <v>4013</v>
      </c>
      <c r="G7" s="7">
        <v>7128</v>
      </c>
      <c r="H7" s="7">
        <v>3531</v>
      </c>
      <c r="I7" s="7">
        <v>4171</v>
      </c>
      <c r="J7" s="7">
        <v>4734</v>
      </c>
      <c r="K7" s="7">
        <v>3363</v>
      </c>
      <c r="L7" s="7">
        <v>5604</v>
      </c>
      <c r="M7" s="7">
        <v>3384</v>
      </c>
      <c r="N7" s="7">
        <v>4689</v>
      </c>
      <c r="O7" s="7">
        <v>1890</v>
      </c>
      <c r="P7" s="7">
        <v>4509</v>
      </c>
      <c r="Q7" s="7">
        <v>2216</v>
      </c>
      <c r="R7" s="7">
        <v>4833</v>
      </c>
      <c r="S7" s="7">
        <v>5391</v>
      </c>
      <c r="T7" s="7">
        <v>2334</v>
      </c>
      <c r="U7" s="7">
        <v>3081</v>
      </c>
      <c r="V7" s="7">
        <v>4485</v>
      </c>
      <c r="W7" s="7">
        <v>1503</v>
      </c>
      <c r="X7" s="7">
        <v>3062</v>
      </c>
      <c r="Y7" s="7">
        <v>3658</v>
      </c>
      <c r="Z7" s="7">
        <v>3345</v>
      </c>
      <c r="AA7" s="7">
        <v>4737</v>
      </c>
      <c r="AB7" s="7">
        <v>1897</v>
      </c>
      <c r="AC7" s="7">
        <v>2957</v>
      </c>
      <c r="AD7" s="7">
        <v>1991</v>
      </c>
      <c r="AE7" s="7">
        <v>4962</v>
      </c>
      <c r="AF7" s="7">
        <v>3041</v>
      </c>
      <c r="AG7" s="7">
        <v>3135</v>
      </c>
      <c r="AH7" s="7">
        <v>4083</v>
      </c>
      <c r="AI7" s="7">
        <v>3264</v>
      </c>
      <c r="AJ7" s="7">
        <v>5142</v>
      </c>
      <c r="AK7" s="7">
        <v>5097</v>
      </c>
      <c r="AL7" s="7">
        <v>3255</v>
      </c>
      <c r="AM7" s="7">
        <v>2345</v>
      </c>
      <c r="AN7" s="7">
        <v>2110</v>
      </c>
      <c r="AO7" s="7">
        <v>3761</v>
      </c>
      <c r="AP7" s="7">
        <v>4642</v>
      </c>
      <c r="AQ7" s="7">
        <v>2872</v>
      </c>
    </row>
    <row r="8" spans="1:45">
      <c r="A8" t="s">
        <v>66</v>
      </c>
      <c r="B8" s="7">
        <v>900</v>
      </c>
      <c r="C8" s="7">
        <v>1044</v>
      </c>
      <c r="D8" s="7">
        <v>657</v>
      </c>
      <c r="E8" s="7">
        <v>849</v>
      </c>
      <c r="F8" s="7">
        <v>687</v>
      </c>
      <c r="G8" s="7">
        <v>1191</v>
      </c>
      <c r="H8" s="7">
        <v>669</v>
      </c>
      <c r="I8" s="7">
        <v>699</v>
      </c>
      <c r="J8" s="7">
        <v>1008</v>
      </c>
      <c r="K8" s="7">
        <v>579</v>
      </c>
      <c r="L8" s="7">
        <v>1110</v>
      </c>
      <c r="M8" s="7">
        <v>666</v>
      </c>
      <c r="N8" s="7">
        <v>864</v>
      </c>
      <c r="O8" s="7">
        <v>678</v>
      </c>
      <c r="P8" s="7">
        <v>1052</v>
      </c>
      <c r="Q8" s="7">
        <v>636</v>
      </c>
      <c r="R8" s="7">
        <v>789</v>
      </c>
      <c r="S8" s="7">
        <v>579</v>
      </c>
      <c r="T8" s="7">
        <v>597</v>
      </c>
      <c r="U8" s="7">
        <v>723</v>
      </c>
      <c r="V8" s="7">
        <v>1260</v>
      </c>
      <c r="W8" s="7">
        <v>171</v>
      </c>
      <c r="X8" s="7">
        <v>564</v>
      </c>
      <c r="Y8" s="7">
        <v>702</v>
      </c>
      <c r="Z8" s="7">
        <v>948</v>
      </c>
      <c r="AA8" s="7">
        <v>768</v>
      </c>
      <c r="AB8" s="7">
        <v>285</v>
      </c>
      <c r="AC8" s="7">
        <v>729</v>
      </c>
      <c r="AD8" s="7">
        <v>513</v>
      </c>
      <c r="AE8" s="7">
        <v>708</v>
      </c>
      <c r="AF8" s="7">
        <v>831</v>
      </c>
      <c r="AG8" s="7">
        <v>600</v>
      </c>
      <c r="AH8" s="7">
        <v>111</v>
      </c>
      <c r="AI8" s="7">
        <v>363</v>
      </c>
      <c r="AJ8" s="7">
        <v>1551</v>
      </c>
      <c r="AK8" s="7">
        <v>513</v>
      </c>
      <c r="AL8" s="7">
        <v>1698</v>
      </c>
      <c r="AM8" s="7">
        <v>795</v>
      </c>
      <c r="AN8" s="7">
        <v>636</v>
      </c>
      <c r="AO8" s="7">
        <v>1323</v>
      </c>
      <c r="AP8" s="7">
        <v>456</v>
      </c>
      <c r="AQ8" s="7">
        <v>465</v>
      </c>
    </row>
    <row r="9" spans="1:45">
      <c r="A9" t="s">
        <v>67</v>
      </c>
      <c r="B9" s="7">
        <v>18852</v>
      </c>
      <c r="C9" s="7">
        <v>20342</v>
      </c>
      <c r="D9" s="7">
        <v>19422</v>
      </c>
      <c r="E9" s="7">
        <v>15728</v>
      </c>
      <c r="F9" s="7">
        <v>16022</v>
      </c>
      <c r="G9" s="7">
        <v>24135</v>
      </c>
      <c r="H9" s="7">
        <v>11153</v>
      </c>
      <c r="I9" s="7">
        <v>19407</v>
      </c>
      <c r="J9" s="7">
        <v>15143</v>
      </c>
      <c r="K9" s="7">
        <v>12983</v>
      </c>
      <c r="L9" s="7">
        <v>23148</v>
      </c>
      <c r="M9" s="7">
        <v>10392</v>
      </c>
      <c r="N9" s="7">
        <v>11394</v>
      </c>
      <c r="O9" s="7">
        <v>13830</v>
      </c>
      <c r="P9" s="7">
        <v>26508</v>
      </c>
      <c r="Q9" s="7">
        <v>15047</v>
      </c>
      <c r="R9" s="7">
        <v>10990</v>
      </c>
      <c r="S9" s="7">
        <v>26075</v>
      </c>
      <c r="T9" s="7">
        <v>4272</v>
      </c>
      <c r="U9" s="7">
        <v>9474</v>
      </c>
      <c r="V9" s="7">
        <v>23257</v>
      </c>
      <c r="W9" s="7">
        <v>6061</v>
      </c>
      <c r="X9" s="7">
        <v>9591</v>
      </c>
      <c r="Y9" s="7">
        <v>6882</v>
      </c>
      <c r="Z9" s="7">
        <v>6672</v>
      </c>
      <c r="AA9" s="7">
        <v>11657</v>
      </c>
      <c r="AB9" s="7">
        <v>14134</v>
      </c>
      <c r="AC9" s="7">
        <v>9241</v>
      </c>
      <c r="AD9" s="7">
        <v>7406</v>
      </c>
      <c r="AE9" s="7">
        <v>18086</v>
      </c>
      <c r="AF9" s="7">
        <v>5987</v>
      </c>
      <c r="AG9" s="7">
        <v>8752</v>
      </c>
      <c r="AH9" s="7">
        <v>9754</v>
      </c>
      <c r="AI9" s="7">
        <v>10564</v>
      </c>
      <c r="AJ9" s="7">
        <v>18403</v>
      </c>
      <c r="AK9" s="7">
        <v>13205</v>
      </c>
      <c r="AL9" s="7">
        <v>12590</v>
      </c>
      <c r="AM9" s="7">
        <v>9845</v>
      </c>
      <c r="AN9" s="7">
        <v>7227</v>
      </c>
      <c r="AO9" s="7">
        <v>16731</v>
      </c>
      <c r="AP9" s="7">
        <v>11601</v>
      </c>
      <c r="AQ9" s="7">
        <v>9388</v>
      </c>
    </row>
    <row r="10" spans="1:45">
      <c r="A10" t="s">
        <v>68</v>
      </c>
      <c r="B10" s="7">
        <v>402</v>
      </c>
      <c r="C10" s="7">
        <v>759</v>
      </c>
      <c r="D10" s="7">
        <v>297</v>
      </c>
      <c r="E10" s="7">
        <v>609</v>
      </c>
      <c r="F10" s="7">
        <v>465</v>
      </c>
      <c r="G10" s="7">
        <v>798</v>
      </c>
      <c r="H10" s="7">
        <v>369</v>
      </c>
      <c r="I10" s="7">
        <v>582</v>
      </c>
      <c r="J10" s="7">
        <v>567</v>
      </c>
      <c r="K10" s="7">
        <v>360</v>
      </c>
      <c r="L10" s="7">
        <v>675</v>
      </c>
      <c r="M10" s="7">
        <v>196</v>
      </c>
      <c r="N10" s="7">
        <v>300</v>
      </c>
      <c r="O10" s="7">
        <v>363</v>
      </c>
      <c r="P10" s="7">
        <v>390</v>
      </c>
      <c r="Q10" s="7">
        <v>216</v>
      </c>
      <c r="R10" s="7">
        <v>120</v>
      </c>
      <c r="S10" s="7">
        <v>165</v>
      </c>
      <c r="T10" s="7">
        <v>120</v>
      </c>
      <c r="U10" s="7">
        <v>150</v>
      </c>
      <c r="V10" s="7">
        <v>357</v>
      </c>
      <c r="W10" s="7">
        <v>126</v>
      </c>
      <c r="X10" s="7">
        <v>144</v>
      </c>
      <c r="Y10" s="7">
        <v>126</v>
      </c>
      <c r="Z10" s="7">
        <v>123</v>
      </c>
      <c r="AA10" s="7">
        <v>138</v>
      </c>
      <c r="AB10" s="7">
        <v>243</v>
      </c>
      <c r="AC10" s="7">
        <v>246</v>
      </c>
      <c r="AD10" s="7">
        <v>180</v>
      </c>
      <c r="AE10" s="7">
        <v>237</v>
      </c>
      <c r="AF10" s="7">
        <v>165</v>
      </c>
      <c r="AG10" s="7">
        <v>171</v>
      </c>
      <c r="AH10" s="7">
        <v>237</v>
      </c>
      <c r="AI10" s="7">
        <v>252</v>
      </c>
      <c r="AJ10" s="7">
        <v>237</v>
      </c>
      <c r="AK10" s="7">
        <v>213</v>
      </c>
      <c r="AL10" s="7">
        <v>132</v>
      </c>
      <c r="AM10" s="7">
        <v>135</v>
      </c>
      <c r="AN10" s="7">
        <v>129</v>
      </c>
      <c r="AO10" s="7">
        <v>306</v>
      </c>
      <c r="AP10" s="7">
        <v>288</v>
      </c>
      <c r="AQ10" s="7">
        <v>129</v>
      </c>
    </row>
    <row r="11" spans="1:45">
      <c r="A11" t="s">
        <v>69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11571</v>
      </c>
      <c r="U11" s="7">
        <v>3328</v>
      </c>
      <c r="V11" s="7">
        <v>3479</v>
      </c>
      <c r="W11" s="7">
        <v>2184</v>
      </c>
      <c r="X11" s="7">
        <v>2317</v>
      </c>
      <c r="Y11" s="7">
        <v>1316</v>
      </c>
      <c r="Z11" s="7">
        <v>1843</v>
      </c>
      <c r="AA11" s="7">
        <v>2137</v>
      </c>
      <c r="AB11" s="7">
        <v>2370</v>
      </c>
      <c r="AC11" s="7">
        <v>2023</v>
      </c>
      <c r="AD11" s="7">
        <v>1170</v>
      </c>
      <c r="AE11" s="7">
        <v>4576</v>
      </c>
      <c r="AF11" s="7">
        <v>2706</v>
      </c>
      <c r="AG11" s="7">
        <v>1425</v>
      </c>
      <c r="AH11" s="7">
        <v>1448</v>
      </c>
      <c r="AI11" s="7">
        <v>2191</v>
      </c>
      <c r="AJ11" s="7">
        <v>3636</v>
      </c>
      <c r="AK11" s="7">
        <v>2826</v>
      </c>
      <c r="AL11" s="7">
        <v>2456</v>
      </c>
      <c r="AM11" s="7">
        <v>2979</v>
      </c>
      <c r="AN11" s="7">
        <v>2620</v>
      </c>
      <c r="AO11" s="7">
        <v>4082</v>
      </c>
      <c r="AP11" s="7">
        <v>2775</v>
      </c>
      <c r="AQ11" s="7">
        <v>2255</v>
      </c>
    </row>
    <row r="12" spans="1:45">
      <c r="A12" t="s">
        <v>70</v>
      </c>
      <c r="B12" s="7">
        <v>720</v>
      </c>
      <c r="C12" s="7">
        <v>516</v>
      </c>
      <c r="D12" s="7">
        <v>3828</v>
      </c>
      <c r="E12" s="7">
        <v>1920</v>
      </c>
      <c r="F12" s="7">
        <v>1584</v>
      </c>
      <c r="G12" s="7">
        <v>4668</v>
      </c>
      <c r="H12" s="7">
        <v>1614</v>
      </c>
      <c r="I12" s="7">
        <v>1746</v>
      </c>
      <c r="J12" s="7">
        <v>2616</v>
      </c>
      <c r="K12" s="7">
        <v>2136</v>
      </c>
      <c r="L12" s="7">
        <v>2142</v>
      </c>
      <c r="M12" s="7">
        <v>1266</v>
      </c>
      <c r="N12" s="7">
        <v>1692</v>
      </c>
      <c r="O12" s="7">
        <v>1458</v>
      </c>
      <c r="P12" s="7">
        <v>2736</v>
      </c>
      <c r="Q12" s="7">
        <v>1380</v>
      </c>
      <c r="R12" s="7">
        <v>3168</v>
      </c>
      <c r="S12" s="7">
        <v>1950</v>
      </c>
      <c r="T12" s="7">
        <v>1920</v>
      </c>
      <c r="U12" s="7">
        <v>2481</v>
      </c>
      <c r="V12" s="7">
        <v>2922</v>
      </c>
      <c r="W12" s="7">
        <v>894</v>
      </c>
      <c r="X12" s="7">
        <v>2898</v>
      </c>
      <c r="Y12" s="7">
        <v>2382</v>
      </c>
      <c r="Z12" s="7">
        <v>2730</v>
      </c>
      <c r="AA12" s="7">
        <v>1800</v>
      </c>
      <c r="AB12" s="7">
        <v>678</v>
      </c>
      <c r="AC12" s="7">
        <v>2802</v>
      </c>
      <c r="AD12" s="7">
        <v>2538</v>
      </c>
      <c r="AE12" s="7">
        <v>1374</v>
      </c>
      <c r="AF12" s="7">
        <v>2490</v>
      </c>
      <c r="AG12" s="7">
        <v>2334</v>
      </c>
      <c r="AH12" s="7">
        <v>2622</v>
      </c>
      <c r="AI12" s="7">
        <v>414</v>
      </c>
      <c r="AJ12" s="7">
        <v>4656</v>
      </c>
      <c r="AK12" s="7">
        <v>3018</v>
      </c>
      <c r="AL12" s="7">
        <v>4086</v>
      </c>
      <c r="AM12" s="7">
        <v>2292</v>
      </c>
      <c r="AN12" s="7">
        <v>1884</v>
      </c>
      <c r="AO12" s="7">
        <v>2946</v>
      </c>
      <c r="AP12" s="7">
        <v>4026</v>
      </c>
      <c r="AQ12" s="7">
        <v>2262</v>
      </c>
    </row>
    <row r="13" spans="1:45">
      <c r="A13" t="s">
        <v>71</v>
      </c>
      <c r="B13" s="7">
        <v>11470</v>
      </c>
      <c r="C13" s="7">
        <v>11151</v>
      </c>
      <c r="D13" s="7">
        <v>9948</v>
      </c>
      <c r="E13" s="7">
        <v>14666</v>
      </c>
      <c r="F13" s="7">
        <v>8805</v>
      </c>
      <c r="G13" s="7">
        <v>15076</v>
      </c>
      <c r="H13" s="7">
        <v>5900</v>
      </c>
      <c r="I13" s="7">
        <v>14118</v>
      </c>
      <c r="J13" s="7">
        <v>11045</v>
      </c>
      <c r="K13" s="7">
        <v>6600</v>
      </c>
      <c r="L13" s="7">
        <v>7632</v>
      </c>
      <c r="M13" s="7">
        <v>6777</v>
      </c>
      <c r="N13" s="7">
        <v>5856</v>
      </c>
      <c r="O13" s="7">
        <v>5442</v>
      </c>
      <c r="P13" s="7">
        <v>8064</v>
      </c>
      <c r="Q13" s="7">
        <v>4812</v>
      </c>
      <c r="R13" s="7">
        <v>6029</v>
      </c>
      <c r="S13" s="7">
        <v>8031</v>
      </c>
      <c r="T13" s="7">
        <v>2811</v>
      </c>
      <c r="U13" s="7">
        <v>4305</v>
      </c>
      <c r="V13" s="7">
        <v>8475</v>
      </c>
      <c r="W13" s="7">
        <v>3240</v>
      </c>
      <c r="X13" s="7">
        <v>6675</v>
      </c>
      <c r="Y13" s="7">
        <v>3388</v>
      </c>
      <c r="Z13" s="7">
        <v>3486</v>
      </c>
      <c r="AA13" s="7">
        <v>2390</v>
      </c>
      <c r="AB13" s="7">
        <v>2325</v>
      </c>
      <c r="AC13" s="7">
        <v>7433</v>
      </c>
      <c r="AD13" s="7">
        <v>4143</v>
      </c>
      <c r="AE13" s="7">
        <v>7470</v>
      </c>
      <c r="AF13" s="7">
        <v>3872</v>
      </c>
      <c r="AG13" s="7">
        <v>5963</v>
      </c>
      <c r="AH13" s="7">
        <v>6591</v>
      </c>
      <c r="AI13" s="7">
        <v>3827</v>
      </c>
      <c r="AJ13" s="7">
        <v>8541</v>
      </c>
      <c r="AK13" s="7">
        <v>5660</v>
      </c>
      <c r="AL13" s="7">
        <v>7065</v>
      </c>
      <c r="AM13" s="7">
        <v>5500</v>
      </c>
      <c r="AN13" s="7">
        <v>6539</v>
      </c>
      <c r="AO13" s="7">
        <v>2771</v>
      </c>
      <c r="AP13" s="7">
        <v>5321</v>
      </c>
      <c r="AQ13" s="7">
        <v>4024</v>
      </c>
    </row>
    <row r="14" spans="1:45">
      <c r="A14" t="s">
        <v>72</v>
      </c>
      <c r="B14" s="7">
        <v>5883</v>
      </c>
      <c r="C14" s="7">
        <v>5226</v>
      </c>
      <c r="D14" s="7">
        <v>4116</v>
      </c>
      <c r="E14" s="7">
        <v>5091</v>
      </c>
      <c r="F14" s="7">
        <v>4029</v>
      </c>
      <c r="G14" s="7">
        <v>5859</v>
      </c>
      <c r="H14" s="7">
        <v>2606</v>
      </c>
      <c r="I14" s="7">
        <v>5598</v>
      </c>
      <c r="J14" s="7">
        <v>5901</v>
      </c>
      <c r="K14" s="7">
        <v>4106</v>
      </c>
      <c r="L14" s="7">
        <v>5203</v>
      </c>
      <c r="M14" s="7">
        <v>4734</v>
      </c>
      <c r="N14" s="7">
        <v>6139</v>
      </c>
      <c r="O14" s="7">
        <v>6577</v>
      </c>
      <c r="P14" s="7">
        <v>7760</v>
      </c>
      <c r="Q14" s="7">
        <v>5531</v>
      </c>
      <c r="R14" s="7">
        <v>7023</v>
      </c>
      <c r="S14" s="7">
        <v>8271</v>
      </c>
      <c r="T14" s="7">
        <v>3069</v>
      </c>
      <c r="U14" s="7">
        <v>4317</v>
      </c>
      <c r="V14" s="7">
        <v>8115</v>
      </c>
      <c r="W14" s="7">
        <v>2304</v>
      </c>
      <c r="X14" s="7">
        <v>4545</v>
      </c>
      <c r="Y14" s="7">
        <v>2519</v>
      </c>
      <c r="Z14" s="7">
        <v>3892</v>
      </c>
      <c r="AA14" s="7">
        <v>4269</v>
      </c>
      <c r="AB14" s="7">
        <v>822</v>
      </c>
      <c r="AC14" s="7">
        <v>7600</v>
      </c>
      <c r="AD14" s="7">
        <v>3130</v>
      </c>
      <c r="AE14" s="7">
        <v>4290</v>
      </c>
      <c r="AF14" s="7">
        <v>3981</v>
      </c>
      <c r="AG14" s="7">
        <v>4517</v>
      </c>
      <c r="AH14" s="7">
        <v>4788</v>
      </c>
      <c r="AI14" s="7">
        <v>3941</v>
      </c>
      <c r="AJ14" s="7">
        <v>6693</v>
      </c>
      <c r="AK14" s="7">
        <v>3339</v>
      </c>
      <c r="AL14" s="7">
        <v>5346</v>
      </c>
      <c r="AM14" s="7">
        <v>4116</v>
      </c>
      <c r="AN14" s="7">
        <v>4348</v>
      </c>
      <c r="AO14" s="7">
        <v>2279</v>
      </c>
      <c r="AP14" s="7">
        <v>4529</v>
      </c>
      <c r="AQ14" s="7">
        <v>3779</v>
      </c>
    </row>
    <row r="15" spans="1:45">
      <c r="A15" t="s">
        <v>73</v>
      </c>
      <c r="B15" s="7">
        <v>61001</v>
      </c>
      <c r="C15" s="7">
        <v>45442</v>
      </c>
      <c r="D15" s="7">
        <v>74280</v>
      </c>
      <c r="E15" s="7">
        <v>25652</v>
      </c>
      <c r="F15" s="7">
        <v>44787</v>
      </c>
      <c r="G15" s="7">
        <v>89265</v>
      </c>
      <c r="H15" s="7">
        <v>20347</v>
      </c>
      <c r="I15" s="7">
        <v>63660</v>
      </c>
      <c r="J15" s="7">
        <v>32686</v>
      </c>
      <c r="K15" s="7">
        <v>32122</v>
      </c>
      <c r="L15" s="7">
        <v>51534</v>
      </c>
      <c r="M15" s="7">
        <v>43512</v>
      </c>
      <c r="N15" s="7">
        <v>48426</v>
      </c>
      <c r="O15" s="7">
        <v>26141</v>
      </c>
      <c r="P15" s="7">
        <v>78663</v>
      </c>
      <c r="Q15" s="7">
        <v>20874</v>
      </c>
      <c r="R15" s="7">
        <v>49685</v>
      </c>
      <c r="S15" s="7">
        <v>86832</v>
      </c>
      <c r="T15" s="7">
        <v>17376</v>
      </c>
      <c r="U15" s="7">
        <v>27396</v>
      </c>
      <c r="V15" s="7">
        <v>59118</v>
      </c>
      <c r="W15" s="7">
        <v>11176</v>
      </c>
      <c r="X15" s="7">
        <v>36426</v>
      </c>
      <c r="Y15" s="7">
        <v>37950</v>
      </c>
      <c r="Z15" s="7">
        <v>45220</v>
      </c>
      <c r="AA15" s="7">
        <v>30738</v>
      </c>
      <c r="AB15" s="7">
        <v>18498</v>
      </c>
      <c r="AC15" s="7">
        <v>51980</v>
      </c>
      <c r="AD15" s="7">
        <v>28062</v>
      </c>
      <c r="AE15" s="7">
        <v>64218</v>
      </c>
      <c r="AF15" s="7">
        <v>21828</v>
      </c>
      <c r="AG15" s="7">
        <v>40990</v>
      </c>
      <c r="AH15" s="7">
        <v>36020</v>
      </c>
      <c r="AI15" s="7">
        <v>34674</v>
      </c>
      <c r="AJ15" s="7">
        <v>35802</v>
      </c>
      <c r="AK15" s="7">
        <v>54186</v>
      </c>
      <c r="AL15" s="7">
        <v>49356</v>
      </c>
      <c r="AM15" s="7">
        <v>27076</v>
      </c>
      <c r="AN15" s="7">
        <v>76206</v>
      </c>
      <c r="AO15" s="7">
        <v>23748</v>
      </c>
      <c r="AP15" s="7">
        <v>46185</v>
      </c>
      <c r="AQ15" s="7">
        <v>27168</v>
      </c>
    </row>
    <row r="16" spans="1:45">
      <c r="A16" t="s">
        <v>74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12266</v>
      </c>
      <c r="AB16" s="7">
        <v>4582</v>
      </c>
      <c r="AC16" s="7">
        <v>744</v>
      </c>
      <c r="AD16" s="7">
        <v>600</v>
      </c>
      <c r="AE16" s="7">
        <v>1477</v>
      </c>
      <c r="AF16" s="7">
        <v>2039</v>
      </c>
      <c r="AG16" s="7">
        <v>1323</v>
      </c>
      <c r="AH16" s="7">
        <v>1665</v>
      </c>
      <c r="AI16" s="7">
        <v>1353</v>
      </c>
      <c r="AJ16" s="7">
        <v>1540</v>
      </c>
      <c r="AK16" s="7">
        <v>3467</v>
      </c>
      <c r="AL16" s="7">
        <v>1344</v>
      </c>
      <c r="AM16" s="7">
        <v>1788</v>
      </c>
      <c r="AN16" s="7">
        <v>1889</v>
      </c>
      <c r="AO16" s="7">
        <v>2950</v>
      </c>
      <c r="AP16" s="7">
        <v>1812</v>
      </c>
      <c r="AQ16" s="7">
        <v>1604</v>
      </c>
    </row>
    <row r="17" spans="1:47">
      <c r="A17" t="s">
        <v>75</v>
      </c>
      <c r="B17" s="7">
        <v>8358</v>
      </c>
      <c r="C17" s="7">
        <v>9492</v>
      </c>
      <c r="D17" s="7">
        <v>8978</v>
      </c>
      <c r="E17" s="7">
        <v>14874</v>
      </c>
      <c r="F17" s="7">
        <v>8339</v>
      </c>
      <c r="G17" s="7">
        <v>18462</v>
      </c>
      <c r="H17" s="7">
        <v>9606</v>
      </c>
      <c r="I17" s="7">
        <v>8159</v>
      </c>
      <c r="J17" s="7">
        <v>15630</v>
      </c>
      <c r="K17" s="7">
        <v>9924</v>
      </c>
      <c r="L17" s="7">
        <v>18852</v>
      </c>
      <c r="M17" s="7">
        <v>12792</v>
      </c>
      <c r="N17" s="7">
        <v>11406</v>
      </c>
      <c r="O17" s="7">
        <v>8118</v>
      </c>
      <c r="P17" s="7">
        <v>18095</v>
      </c>
      <c r="Q17" s="7">
        <v>10056</v>
      </c>
      <c r="R17" s="7">
        <v>10128</v>
      </c>
      <c r="S17" s="7">
        <v>15096</v>
      </c>
      <c r="T17" s="7">
        <v>10584</v>
      </c>
      <c r="U17" s="7">
        <v>11238</v>
      </c>
      <c r="V17" s="7">
        <v>21864</v>
      </c>
      <c r="W17" s="7">
        <v>7458</v>
      </c>
      <c r="X17" s="7">
        <v>9542</v>
      </c>
      <c r="Y17" s="7">
        <v>10297</v>
      </c>
      <c r="Z17" s="7">
        <v>8172</v>
      </c>
      <c r="AA17" s="7">
        <v>5082</v>
      </c>
      <c r="AB17" s="7">
        <v>5429</v>
      </c>
      <c r="AC17" s="7">
        <v>14202</v>
      </c>
      <c r="AD17" s="7">
        <v>5039</v>
      </c>
      <c r="AE17" s="7">
        <v>5652</v>
      </c>
      <c r="AF17" s="7">
        <v>29838</v>
      </c>
      <c r="AG17" s="7">
        <v>15018</v>
      </c>
      <c r="AH17" s="7">
        <v>9300</v>
      </c>
      <c r="AI17" s="7">
        <v>6599</v>
      </c>
      <c r="AJ17" s="7">
        <v>25812</v>
      </c>
      <c r="AK17" s="7">
        <v>6900</v>
      </c>
      <c r="AL17" s="7">
        <v>19848</v>
      </c>
      <c r="AM17" s="7">
        <v>9174</v>
      </c>
      <c r="AN17" s="7">
        <v>7002</v>
      </c>
      <c r="AO17" s="7">
        <v>15852</v>
      </c>
      <c r="AP17" s="7">
        <v>19548</v>
      </c>
      <c r="AQ17" s="7">
        <v>11160</v>
      </c>
    </row>
    <row r="18" spans="1:47">
      <c r="A18" t="s">
        <v>38</v>
      </c>
      <c r="B18" s="7">
        <v>111467</v>
      </c>
      <c r="C18" s="7">
        <v>99387</v>
      </c>
      <c r="D18" s="7">
        <v>124829</v>
      </c>
      <c r="E18" s="7">
        <v>82755</v>
      </c>
      <c r="F18" s="7">
        <v>88731</v>
      </c>
      <c r="G18" s="7">
        <v>166582</v>
      </c>
      <c r="H18" s="7">
        <v>55795</v>
      </c>
      <c r="I18" s="7">
        <v>118140</v>
      </c>
      <c r="J18" s="7">
        <v>89330</v>
      </c>
      <c r="K18" s="7">
        <v>72173</v>
      </c>
      <c r="L18" s="7">
        <v>115900</v>
      </c>
      <c r="M18" s="7">
        <v>83719</v>
      </c>
      <c r="N18" s="7">
        <v>90766</v>
      </c>
      <c r="O18" s="7">
        <v>64497</v>
      </c>
      <c r="P18" s="7">
        <v>147777</v>
      </c>
      <c r="Q18" s="7">
        <v>60768</v>
      </c>
      <c r="R18" s="7">
        <v>92765</v>
      </c>
      <c r="S18" s="7">
        <v>152390</v>
      </c>
      <c r="T18" s="7">
        <v>54654</v>
      </c>
      <c r="U18" s="7">
        <v>66493</v>
      </c>
      <c r="V18" s="7">
        <v>133332</v>
      </c>
      <c r="W18" s="7">
        <v>35117</v>
      </c>
      <c r="X18" s="7">
        <v>75764</v>
      </c>
      <c r="Y18" s="7">
        <v>69220</v>
      </c>
      <c r="Z18" s="7">
        <v>76431</v>
      </c>
      <c r="AA18" s="7">
        <v>75982</v>
      </c>
      <c r="AB18" s="7">
        <v>51263</v>
      </c>
      <c r="AC18" s="7">
        <v>99957</v>
      </c>
      <c r="AD18" s="7">
        <v>54772</v>
      </c>
      <c r="AE18" s="7">
        <v>113050</v>
      </c>
      <c r="AF18" s="7">
        <v>76778</v>
      </c>
      <c r="AG18" s="7">
        <v>84228</v>
      </c>
      <c r="AH18" s="7">
        <v>76619</v>
      </c>
      <c r="AI18" s="7">
        <v>67442</v>
      </c>
      <c r="AJ18" s="7">
        <v>112013</v>
      </c>
      <c r="AK18" s="7">
        <v>98424</v>
      </c>
      <c r="AL18" s="7">
        <v>107176</v>
      </c>
      <c r="AM18" s="7">
        <v>66045</v>
      </c>
      <c r="AN18" s="7">
        <v>110590</v>
      </c>
      <c r="AO18" s="7">
        <v>76749</v>
      </c>
      <c r="AP18" s="7">
        <v>101183</v>
      </c>
      <c r="AQ18" s="7">
        <v>65106</v>
      </c>
    </row>
    <row r="20" spans="1:47">
      <c r="A20" s="15" t="s">
        <v>50</v>
      </c>
      <c r="B20" s="37">
        <v>44562</v>
      </c>
      <c r="C20" s="37">
        <v>44593</v>
      </c>
      <c r="D20" s="37">
        <v>44621</v>
      </c>
      <c r="E20" s="37">
        <v>44652</v>
      </c>
      <c r="F20" s="37">
        <v>44682</v>
      </c>
      <c r="G20" s="37">
        <v>44713</v>
      </c>
      <c r="H20" s="37">
        <v>44743</v>
      </c>
      <c r="I20" s="37">
        <v>44774</v>
      </c>
      <c r="J20" s="37">
        <v>44805</v>
      </c>
      <c r="K20" s="37">
        <v>44835</v>
      </c>
      <c r="L20" s="37">
        <v>44866</v>
      </c>
      <c r="M20" s="37">
        <v>44896</v>
      </c>
      <c r="N20" s="37">
        <v>44927</v>
      </c>
      <c r="O20" s="37">
        <v>44958</v>
      </c>
      <c r="P20" s="37">
        <v>44986</v>
      </c>
      <c r="Q20" s="37">
        <v>45017</v>
      </c>
      <c r="R20" s="37">
        <v>45047</v>
      </c>
      <c r="S20" s="37">
        <v>45078</v>
      </c>
      <c r="T20" s="37">
        <v>45108</v>
      </c>
      <c r="U20" s="37">
        <v>45139</v>
      </c>
      <c r="V20" s="37">
        <v>45170</v>
      </c>
      <c r="W20" s="37">
        <v>45200</v>
      </c>
      <c r="X20" s="37">
        <v>45231</v>
      </c>
      <c r="Y20" s="37">
        <v>45261</v>
      </c>
      <c r="Z20" s="37">
        <v>45292</v>
      </c>
      <c r="AA20" s="37">
        <v>45323</v>
      </c>
      <c r="AB20" s="37">
        <v>45352</v>
      </c>
      <c r="AC20" s="37">
        <v>45383</v>
      </c>
      <c r="AD20" s="37">
        <v>45413</v>
      </c>
      <c r="AE20" s="37">
        <v>45444</v>
      </c>
      <c r="AF20" s="37">
        <v>45474</v>
      </c>
      <c r="AG20" s="37">
        <v>45505</v>
      </c>
      <c r="AH20" s="37">
        <v>45536</v>
      </c>
      <c r="AI20" s="37">
        <v>45566</v>
      </c>
      <c r="AJ20" s="37">
        <v>45597</v>
      </c>
      <c r="AK20" s="37">
        <v>45627</v>
      </c>
      <c r="AL20" s="37">
        <v>45658</v>
      </c>
      <c r="AM20" s="37">
        <v>45689</v>
      </c>
      <c r="AN20" s="37">
        <v>45717</v>
      </c>
      <c r="AO20" s="37">
        <v>45748</v>
      </c>
      <c r="AP20" s="37">
        <v>45778</v>
      </c>
      <c r="AQ20" t="s">
        <v>63</v>
      </c>
      <c r="AR20" t="s">
        <v>64</v>
      </c>
      <c r="AS20" t="s">
        <v>76</v>
      </c>
      <c r="AT20" t="s">
        <v>77</v>
      </c>
      <c r="AU20" t="s">
        <v>78</v>
      </c>
    </row>
    <row r="21" spans="1:47">
      <c r="A21" t="s">
        <v>65</v>
      </c>
      <c r="B21" s="7">
        <v>807</v>
      </c>
      <c r="C21" s="7">
        <v>861</v>
      </c>
      <c r="D21" s="7">
        <v>621</v>
      </c>
      <c r="E21" s="7">
        <v>500</v>
      </c>
      <c r="F21" s="7">
        <v>684</v>
      </c>
      <c r="G21" s="7">
        <v>930</v>
      </c>
      <c r="H21" s="7">
        <v>549</v>
      </c>
      <c r="I21" s="7">
        <v>537</v>
      </c>
      <c r="J21" s="7">
        <v>1230</v>
      </c>
      <c r="K21" s="7">
        <v>1038</v>
      </c>
      <c r="L21" s="7">
        <v>588</v>
      </c>
      <c r="M21" s="7">
        <v>642</v>
      </c>
      <c r="N21" s="7">
        <v>834</v>
      </c>
      <c r="O21" s="7">
        <v>786</v>
      </c>
      <c r="P21" s="7">
        <v>574</v>
      </c>
      <c r="Q21" s="7">
        <v>543</v>
      </c>
      <c r="R21" s="7">
        <v>876</v>
      </c>
      <c r="S21" s="7">
        <v>510</v>
      </c>
      <c r="T21" s="7">
        <v>924</v>
      </c>
      <c r="U21" s="7">
        <v>888</v>
      </c>
      <c r="V21" s="7">
        <v>1377</v>
      </c>
      <c r="W21" s="7">
        <v>612</v>
      </c>
      <c r="X21" s="7">
        <v>492</v>
      </c>
      <c r="Y21" s="7">
        <v>843</v>
      </c>
      <c r="Z21" s="7">
        <v>963</v>
      </c>
      <c r="AA21" s="7">
        <v>699</v>
      </c>
      <c r="AB21" s="7">
        <v>1191</v>
      </c>
      <c r="AC21" s="7">
        <v>672</v>
      </c>
      <c r="AD21" s="7">
        <v>855</v>
      </c>
      <c r="AE21" s="7">
        <v>648</v>
      </c>
      <c r="AF21" s="7">
        <v>450</v>
      </c>
      <c r="AG21" s="7">
        <v>1233</v>
      </c>
      <c r="AH21" s="7">
        <v>822</v>
      </c>
      <c r="AI21" s="7">
        <v>813</v>
      </c>
      <c r="AJ21" s="7">
        <v>939</v>
      </c>
      <c r="AK21" s="7">
        <v>663</v>
      </c>
      <c r="AL21" s="7">
        <v>546</v>
      </c>
      <c r="AM21" s="7">
        <v>516</v>
      </c>
      <c r="AN21" s="7">
        <v>471</v>
      </c>
      <c r="AO21" s="7">
        <v>651</v>
      </c>
      <c r="AP21" s="7">
        <v>558</v>
      </c>
      <c r="AQ21" s="7">
        <f>+SUM(K21:V21)</f>
        <v>9580</v>
      </c>
      <c r="AR21" s="7">
        <f>+SUM(W21:AH21)</f>
        <v>9480</v>
      </c>
      <c r="AS21" s="17">
        <f>+AR21/$AR$32</f>
        <v>3.0238077011406263E-2</v>
      </c>
      <c r="AT21" s="17">
        <f>+AR21/AQ21-1</f>
        <v>-1.043841336116913E-2</v>
      </c>
      <c r="AU21" s="17">
        <f>+(AR21-AQ21)/$AQ$32</f>
        <v>-2.3456613474886177E-4</v>
      </c>
    </row>
    <row r="22" spans="1:47">
      <c r="A22" t="s">
        <v>66</v>
      </c>
      <c r="B22" s="7">
        <v>627</v>
      </c>
      <c r="C22" s="7">
        <v>564</v>
      </c>
      <c r="D22" s="7">
        <v>468</v>
      </c>
      <c r="E22" s="7">
        <v>411</v>
      </c>
      <c r="F22" s="7">
        <v>468</v>
      </c>
      <c r="G22" s="7">
        <v>546</v>
      </c>
      <c r="H22" s="7">
        <v>420</v>
      </c>
      <c r="I22" s="7">
        <v>417</v>
      </c>
      <c r="J22" s="7">
        <v>504</v>
      </c>
      <c r="K22" s="7">
        <v>603</v>
      </c>
      <c r="L22" s="7">
        <v>321</v>
      </c>
      <c r="M22" s="7">
        <v>423</v>
      </c>
      <c r="N22" s="7">
        <v>381</v>
      </c>
      <c r="O22" s="7">
        <v>645</v>
      </c>
      <c r="P22" s="7">
        <v>345</v>
      </c>
      <c r="Q22" s="7">
        <v>321</v>
      </c>
      <c r="R22" s="7">
        <v>378</v>
      </c>
      <c r="S22" s="7">
        <v>588</v>
      </c>
      <c r="T22" s="7">
        <v>357</v>
      </c>
      <c r="U22" s="7">
        <v>357</v>
      </c>
      <c r="V22" s="7">
        <v>552</v>
      </c>
      <c r="W22" s="7">
        <v>357</v>
      </c>
      <c r="X22" s="7">
        <v>273</v>
      </c>
      <c r="Y22" s="7">
        <v>420</v>
      </c>
      <c r="Z22" s="7">
        <v>384</v>
      </c>
      <c r="AA22" s="7">
        <v>285</v>
      </c>
      <c r="AB22" s="7">
        <v>255</v>
      </c>
      <c r="AC22" s="7">
        <v>324</v>
      </c>
      <c r="AD22" s="7">
        <v>345</v>
      </c>
      <c r="AE22" s="7">
        <v>195</v>
      </c>
      <c r="AF22" s="7">
        <v>405</v>
      </c>
      <c r="AG22" s="7">
        <v>354</v>
      </c>
      <c r="AH22" s="7">
        <v>174</v>
      </c>
      <c r="AI22" s="7">
        <v>111</v>
      </c>
      <c r="AJ22" s="7">
        <v>687</v>
      </c>
      <c r="AK22" s="7">
        <v>306</v>
      </c>
      <c r="AL22" s="7">
        <v>624</v>
      </c>
      <c r="AM22" s="7">
        <v>429</v>
      </c>
      <c r="AN22" s="7">
        <v>258</v>
      </c>
      <c r="AO22" s="7">
        <v>330</v>
      </c>
      <c r="AP22" s="7">
        <v>270</v>
      </c>
      <c r="AQ22" s="7">
        <f t="shared" ref="AQ22:AQ32" si="0">+SUM(K22:V22)</f>
        <v>5271</v>
      </c>
      <c r="AR22" s="7">
        <f t="shared" ref="AR22:AR32" si="1">+SUM(W22:AH22)</f>
        <v>3771</v>
      </c>
      <c r="AS22" s="17">
        <f t="shared" ref="AS22:AS32" si="2">+AR22/$AR$32</f>
        <v>1.2028247722575212E-2</v>
      </c>
      <c r="AT22" s="17">
        <f t="shared" ref="AT22:AT32" si="3">+AR22/AQ22-1</f>
        <v>-0.28457598178713717</v>
      </c>
      <c r="AU22" s="17">
        <f t="shared" ref="AU22:AU32" si="4">+(AR22-AQ22)/$AQ$32</f>
        <v>-3.5184920212329267E-3</v>
      </c>
    </row>
    <row r="23" spans="1:47">
      <c r="A23" t="s">
        <v>67</v>
      </c>
      <c r="B23" s="7">
        <v>6039</v>
      </c>
      <c r="C23" s="7">
        <v>6531</v>
      </c>
      <c r="D23" s="7">
        <v>4956</v>
      </c>
      <c r="E23" s="7">
        <v>7416</v>
      </c>
      <c r="F23" s="7">
        <v>5259</v>
      </c>
      <c r="G23" s="7">
        <v>4788</v>
      </c>
      <c r="H23" s="7">
        <v>7074</v>
      </c>
      <c r="I23" s="7">
        <v>4035</v>
      </c>
      <c r="J23" s="7">
        <v>4599</v>
      </c>
      <c r="K23" s="7">
        <v>5865</v>
      </c>
      <c r="L23" s="7">
        <v>3135</v>
      </c>
      <c r="M23" s="7">
        <v>3024</v>
      </c>
      <c r="N23" s="7">
        <v>3813</v>
      </c>
      <c r="O23" s="7">
        <v>4482</v>
      </c>
      <c r="P23" s="7">
        <v>3330</v>
      </c>
      <c r="Q23" s="7">
        <v>2724</v>
      </c>
      <c r="R23" s="7">
        <v>6206</v>
      </c>
      <c r="S23" s="7">
        <v>3774</v>
      </c>
      <c r="T23" s="7">
        <v>2481</v>
      </c>
      <c r="U23" s="7">
        <v>2859</v>
      </c>
      <c r="V23" s="7">
        <v>4784</v>
      </c>
      <c r="W23" s="7">
        <v>1731</v>
      </c>
      <c r="X23" s="7">
        <v>2355</v>
      </c>
      <c r="Y23" s="7">
        <v>2277</v>
      </c>
      <c r="Z23" s="7">
        <v>2433</v>
      </c>
      <c r="AA23" s="7">
        <v>2049</v>
      </c>
      <c r="AB23" s="7">
        <v>2924</v>
      </c>
      <c r="AC23" s="7">
        <v>2756</v>
      </c>
      <c r="AD23" s="7">
        <v>3439</v>
      </c>
      <c r="AE23" s="7">
        <v>2514</v>
      </c>
      <c r="AF23" s="7">
        <v>2481</v>
      </c>
      <c r="AG23" s="7">
        <v>4431</v>
      </c>
      <c r="AH23" s="7">
        <v>2833</v>
      </c>
      <c r="AI23" s="7">
        <v>3171</v>
      </c>
      <c r="AJ23" s="7">
        <v>4916</v>
      </c>
      <c r="AK23" s="7">
        <v>2747</v>
      </c>
      <c r="AL23" s="7">
        <v>3012</v>
      </c>
      <c r="AM23" s="7">
        <v>2238</v>
      </c>
      <c r="AN23" s="7">
        <v>2998</v>
      </c>
      <c r="AO23" s="7">
        <v>3765</v>
      </c>
      <c r="AP23" s="7">
        <v>2964</v>
      </c>
      <c r="AQ23" s="7">
        <f t="shared" si="0"/>
        <v>46477</v>
      </c>
      <c r="AR23" s="7">
        <f t="shared" si="1"/>
        <v>32223</v>
      </c>
      <c r="AS23" s="17">
        <f t="shared" si="2"/>
        <v>0.10278075480364388</v>
      </c>
      <c r="AT23" s="17">
        <f t="shared" si="3"/>
        <v>-0.3066893302063386</v>
      </c>
      <c r="AU23" s="17">
        <f t="shared" si="4"/>
        <v>-3.3435056847102754E-2</v>
      </c>
    </row>
    <row r="24" spans="1:47">
      <c r="A24" t="s">
        <v>68</v>
      </c>
      <c r="B24" s="7">
        <v>78</v>
      </c>
      <c r="C24" s="7">
        <v>204</v>
      </c>
      <c r="D24" s="7">
        <v>30</v>
      </c>
      <c r="E24" s="7">
        <v>102</v>
      </c>
      <c r="F24" s="7">
        <v>63</v>
      </c>
      <c r="G24" s="7">
        <v>129</v>
      </c>
      <c r="H24" s="7">
        <v>27</v>
      </c>
      <c r="I24" s="7">
        <v>39</v>
      </c>
      <c r="J24" s="7">
        <v>132</v>
      </c>
      <c r="K24" s="7">
        <v>216</v>
      </c>
      <c r="L24" s="7">
        <v>81</v>
      </c>
      <c r="M24" s="7">
        <v>60</v>
      </c>
      <c r="N24" s="7">
        <v>30</v>
      </c>
      <c r="O24" s="7">
        <v>105</v>
      </c>
      <c r="P24" s="7">
        <v>27</v>
      </c>
      <c r="Q24" s="7">
        <v>15</v>
      </c>
      <c r="R24" s="7">
        <v>111</v>
      </c>
      <c r="S24" s="7">
        <v>39</v>
      </c>
      <c r="T24" s="7">
        <v>57</v>
      </c>
      <c r="U24" s="7">
        <v>30</v>
      </c>
      <c r="V24" s="7">
        <v>66</v>
      </c>
      <c r="W24" s="7">
        <v>15</v>
      </c>
      <c r="X24" s="7">
        <v>12</v>
      </c>
      <c r="Y24" s="7">
        <v>12</v>
      </c>
      <c r="Z24" s="7">
        <v>18</v>
      </c>
      <c r="AA24" s="7">
        <v>36</v>
      </c>
      <c r="AB24" s="7">
        <v>12</v>
      </c>
      <c r="AC24" s="7">
        <v>24</v>
      </c>
      <c r="AD24" s="7">
        <v>0</v>
      </c>
      <c r="AE24" s="7">
        <v>0</v>
      </c>
      <c r="AF24" s="7">
        <v>36</v>
      </c>
      <c r="AG24" s="7">
        <v>0</v>
      </c>
      <c r="AH24" s="7">
        <v>36</v>
      </c>
      <c r="AI24" s="7">
        <v>60</v>
      </c>
      <c r="AJ24" s="7">
        <v>69</v>
      </c>
      <c r="AK24" s="7">
        <v>0</v>
      </c>
      <c r="AL24" s="7">
        <v>0</v>
      </c>
      <c r="AM24" s="7">
        <v>12</v>
      </c>
      <c r="AN24" s="7">
        <v>39</v>
      </c>
      <c r="AO24" s="7">
        <v>24</v>
      </c>
      <c r="AP24" s="7">
        <v>12</v>
      </c>
      <c r="AQ24" s="7">
        <f t="shared" si="0"/>
        <v>837</v>
      </c>
      <c r="AR24" s="7">
        <f t="shared" si="1"/>
        <v>201</v>
      </c>
      <c r="AS24" s="17">
        <f t="shared" si="2"/>
        <v>6.4112378473551253E-4</v>
      </c>
      <c r="AT24" s="17">
        <f t="shared" si="3"/>
        <v>-0.75985663082437283</v>
      </c>
      <c r="AU24" s="17">
        <f t="shared" si="4"/>
        <v>-1.4918406170027609E-3</v>
      </c>
    </row>
    <row r="25" spans="1:47">
      <c r="A25" t="s">
        <v>69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4041</v>
      </c>
      <c r="U25" s="7">
        <v>1722</v>
      </c>
      <c r="V25" s="7">
        <v>507</v>
      </c>
      <c r="W25" s="7">
        <v>297</v>
      </c>
      <c r="X25" s="7">
        <v>660</v>
      </c>
      <c r="Y25" s="7">
        <v>2304</v>
      </c>
      <c r="Z25" s="7">
        <v>780</v>
      </c>
      <c r="AA25" s="7">
        <v>525</v>
      </c>
      <c r="AB25" s="7">
        <v>682</v>
      </c>
      <c r="AC25" s="7">
        <v>726</v>
      </c>
      <c r="AD25" s="7">
        <v>1170</v>
      </c>
      <c r="AE25" s="7">
        <v>681</v>
      </c>
      <c r="AF25" s="7">
        <v>710</v>
      </c>
      <c r="AG25" s="7">
        <v>881</v>
      </c>
      <c r="AH25" s="7">
        <v>522</v>
      </c>
      <c r="AI25" s="7">
        <v>903</v>
      </c>
      <c r="AJ25" s="7">
        <v>1783</v>
      </c>
      <c r="AK25" s="7">
        <v>588</v>
      </c>
      <c r="AL25" s="7">
        <v>909</v>
      </c>
      <c r="AM25" s="7">
        <v>546</v>
      </c>
      <c r="AN25" s="7">
        <v>804</v>
      </c>
      <c r="AO25" s="7">
        <v>1221</v>
      </c>
      <c r="AP25" s="7">
        <v>555</v>
      </c>
      <c r="AQ25" s="7">
        <f t="shared" si="0"/>
        <v>6270</v>
      </c>
      <c r="AR25" s="7">
        <f t="shared" si="1"/>
        <v>9938</v>
      </c>
      <c r="AS25" s="17">
        <f t="shared" si="2"/>
        <v>3.1698946132843402E-2</v>
      </c>
      <c r="AT25" s="17">
        <f t="shared" si="3"/>
        <v>0.58500797448165875</v>
      </c>
      <c r="AU25" s="17">
        <f t="shared" si="4"/>
        <v>8.6038858225882496E-3</v>
      </c>
    </row>
    <row r="26" spans="1:47">
      <c r="A26" t="s">
        <v>70</v>
      </c>
      <c r="B26" s="7">
        <v>306</v>
      </c>
      <c r="C26" s="7">
        <v>90</v>
      </c>
      <c r="D26" s="7">
        <v>870</v>
      </c>
      <c r="E26" s="7">
        <v>474</v>
      </c>
      <c r="F26" s="7">
        <v>210</v>
      </c>
      <c r="G26" s="7">
        <v>930</v>
      </c>
      <c r="H26" s="7">
        <v>318</v>
      </c>
      <c r="I26" s="7">
        <v>174</v>
      </c>
      <c r="J26" s="7">
        <v>756</v>
      </c>
      <c r="K26" s="7">
        <v>567</v>
      </c>
      <c r="L26" s="7">
        <v>534</v>
      </c>
      <c r="M26" s="7">
        <v>648</v>
      </c>
      <c r="N26" s="7">
        <v>726</v>
      </c>
      <c r="O26" s="7">
        <v>702</v>
      </c>
      <c r="P26" s="7">
        <v>636</v>
      </c>
      <c r="Q26" s="7">
        <v>504</v>
      </c>
      <c r="R26" s="7">
        <v>702</v>
      </c>
      <c r="S26" s="7">
        <v>456</v>
      </c>
      <c r="T26" s="7">
        <v>432</v>
      </c>
      <c r="U26" s="7">
        <v>474</v>
      </c>
      <c r="V26" s="7">
        <v>504</v>
      </c>
      <c r="W26" s="7">
        <v>450</v>
      </c>
      <c r="X26" s="7">
        <v>462</v>
      </c>
      <c r="Y26" s="7">
        <v>414</v>
      </c>
      <c r="Z26" s="7">
        <v>600</v>
      </c>
      <c r="AA26" s="7">
        <v>384</v>
      </c>
      <c r="AB26" s="7">
        <v>174</v>
      </c>
      <c r="AC26" s="7">
        <v>588</v>
      </c>
      <c r="AD26" s="7">
        <v>372</v>
      </c>
      <c r="AE26" s="7">
        <v>318</v>
      </c>
      <c r="AF26" s="7">
        <v>624</v>
      </c>
      <c r="AG26" s="7">
        <v>432</v>
      </c>
      <c r="AH26" s="7">
        <v>666</v>
      </c>
      <c r="AI26" s="7">
        <v>102</v>
      </c>
      <c r="AJ26" s="7">
        <v>930</v>
      </c>
      <c r="AK26" s="7">
        <v>378</v>
      </c>
      <c r="AL26" s="7">
        <v>786</v>
      </c>
      <c r="AM26" s="7">
        <v>618</v>
      </c>
      <c r="AN26" s="7">
        <v>738</v>
      </c>
      <c r="AO26" s="7">
        <v>540</v>
      </c>
      <c r="AP26" s="7">
        <v>510</v>
      </c>
      <c r="AQ26" s="7">
        <f t="shared" si="0"/>
        <v>6885</v>
      </c>
      <c r="AR26" s="7">
        <f t="shared" si="1"/>
        <v>5484</v>
      </c>
      <c r="AS26" s="17">
        <f t="shared" si="2"/>
        <v>1.7492153410395773E-2</v>
      </c>
      <c r="AT26" s="17">
        <f t="shared" si="3"/>
        <v>-0.20348583877995641</v>
      </c>
      <c r="AU26" s="17">
        <f t="shared" si="4"/>
        <v>-3.2862715478315535E-3</v>
      </c>
    </row>
    <row r="27" spans="1:47">
      <c r="A27" t="s">
        <v>71</v>
      </c>
      <c r="B27" s="7">
        <v>3561</v>
      </c>
      <c r="C27" s="7">
        <v>3018</v>
      </c>
      <c r="D27" s="7">
        <v>2229</v>
      </c>
      <c r="E27" s="7">
        <v>2643</v>
      </c>
      <c r="F27" s="7">
        <v>2229</v>
      </c>
      <c r="G27" s="7">
        <v>3435</v>
      </c>
      <c r="H27" s="7">
        <v>4383</v>
      </c>
      <c r="I27" s="7">
        <v>8514</v>
      </c>
      <c r="J27" s="7">
        <v>4119</v>
      </c>
      <c r="K27" s="7">
        <v>4479</v>
      </c>
      <c r="L27" s="7">
        <v>1587</v>
      </c>
      <c r="M27" s="7">
        <v>2535</v>
      </c>
      <c r="N27" s="7">
        <v>9717</v>
      </c>
      <c r="O27" s="7">
        <v>1626</v>
      </c>
      <c r="P27" s="7">
        <v>831</v>
      </c>
      <c r="Q27" s="7">
        <v>744</v>
      </c>
      <c r="R27" s="7">
        <v>-1215</v>
      </c>
      <c r="S27" s="7">
        <v>1032</v>
      </c>
      <c r="T27" s="7">
        <v>786</v>
      </c>
      <c r="U27" s="7">
        <v>759</v>
      </c>
      <c r="V27" s="7">
        <v>2964</v>
      </c>
      <c r="W27" s="7">
        <v>1401</v>
      </c>
      <c r="X27" s="7">
        <v>1203</v>
      </c>
      <c r="Y27" s="7">
        <v>1266</v>
      </c>
      <c r="Z27" s="7">
        <v>1398</v>
      </c>
      <c r="AA27" s="7">
        <v>456</v>
      </c>
      <c r="AB27" s="7">
        <v>570</v>
      </c>
      <c r="AC27" s="7">
        <v>1653</v>
      </c>
      <c r="AD27" s="7">
        <v>1245</v>
      </c>
      <c r="AE27" s="7">
        <v>1209</v>
      </c>
      <c r="AF27" s="7">
        <v>1146</v>
      </c>
      <c r="AG27" s="7">
        <v>1238</v>
      </c>
      <c r="AH27" s="7">
        <v>1926</v>
      </c>
      <c r="AI27" s="7">
        <v>1266</v>
      </c>
      <c r="AJ27" s="7">
        <v>2034</v>
      </c>
      <c r="AK27" s="7">
        <v>1455</v>
      </c>
      <c r="AL27" s="7">
        <v>1605</v>
      </c>
      <c r="AM27" s="7">
        <v>922</v>
      </c>
      <c r="AN27" s="7">
        <v>1575</v>
      </c>
      <c r="AO27" s="7">
        <v>1668</v>
      </c>
      <c r="AP27" s="7">
        <v>1320</v>
      </c>
      <c r="AQ27" s="7">
        <f t="shared" si="0"/>
        <v>25845</v>
      </c>
      <c r="AR27" s="7">
        <f t="shared" si="1"/>
        <v>14711</v>
      </c>
      <c r="AS27" s="17">
        <f t="shared" si="2"/>
        <v>4.6923243767383702E-2</v>
      </c>
      <c r="AT27" s="17">
        <f t="shared" si="3"/>
        <v>-0.43079899400270849</v>
      </c>
      <c r="AU27" s="17">
        <f t="shared" si="4"/>
        <v>-2.611659344293827E-2</v>
      </c>
    </row>
    <row r="28" spans="1:47">
      <c r="A28" t="s">
        <v>72</v>
      </c>
      <c r="B28" s="7">
        <v>1542</v>
      </c>
      <c r="C28" s="7">
        <v>1026</v>
      </c>
      <c r="D28" s="7">
        <v>912</v>
      </c>
      <c r="E28" s="7">
        <v>1116</v>
      </c>
      <c r="F28" s="7">
        <v>936</v>
      </c>
      <c r="G28" s="7">
        <v>1272</v>
      </c>
      <c r="H28" s="7">
        <v>1056</v>
      </c>
      <c r="I28" s="7">
        <v>3510</v>
      </c>
      <c r="J28" s="7">
        <v>1785</v>
      </c>
      <c r="K28" s="7">
        <v>3501</v>
      </c>
      <c r="L28" s="7">
        <v>1317</v>
      </c>
      <c r="M28" s="7">
        <v>1218</v>
      </c>
      <c r="N28" s="7">
        <v>1909</v>
      </c>
      <c r="O28" s="7">
        <v>1107</v>
      </c>
      <c r="P28" s="7">
        <v>864</v>
      </c>
      <c r="Q28" s="7">
        <v>615</v>
      </c>
      <c r="R28" s="7">
        <v>1494</v>
      </c>
      <c r="S28" s="7">
        <v>990</v>
      </c>
      <c r="T28" s="7">
        <v>717</v>
      </c>
      <c r="U28" s="7">
        <v>1363</v>
      </c>
      <c r="V28" s="7">
        <v>1890</v>
      </c>
      <c r="W28" s="7">
        <v>786</v>
      </c>
      <c r="X28" s="7">
        <v>546</v>
      </c>
      <c r="Y28" s="7">
        <v>468</v>
      </c>
      <c r="Z28" s="7">
        <v>1362</v>
      </c>
      <c r="AA28" s="7">
        <v>519</v>
      </c>
      <c r="AB28" s="7">
        <v>228</v>
      </c>
      <c r="AC28" s="7">
        <v>1101</v>
      </c>
      <c r="AD28" s="7">
        <v>936</v>
      </c>
      <c r="AE28" s="7">
        <v>657</v>
      </c>
      <c r="AF28" s="7">
        <v>837</v>
      </c>
      <c r="AG28" s="7">
        <v>726</v>
      </c>
      <c r="AH28" s="7">
        <v>996</v>
      </c>
      <c r="AI28" s="7">
        <v>1236</v>
      </c>
      <c r="AJ28" s="7">
        <v>762</v>
      </c>
      <c r="AK28" s="7">
        <v>1704</v>
      </c>
      <c r="AL28" s="7">
        <v>1395</v>
      </c>
      <c r="AM28" s="7">
        <v>783</v>
      </c>
      <c r="AN28" s="7">
        <v>684</v>
      </c>
      <c r="AO28" s="7">
        <v>921</v>
      </c>
      <c r="AP28" s="7">
        <v>729</v>
      </c>
      <c r="AQ28" s="7">
        <f t="shared" si="0"/>
        <v>16985</v>
      </c>
      <c r="AR28" s="7">
        <f t="shared" si="1"/>
        <v>9162</v>
      </c>
      <c r="AS28" s="17">
        <f t="shared" si="2"/>
        <v>2.9223761769884407E-2</v>
      </c>
      <c r="AT28" s="17">
        <f t="shared" si="3"/>
        <v>-0.46058286723579633</v>
      </c>
      <c r="AU28" s="17">
        <f t="shared" si="4"/>
        <v>-1.8350108721403455E-2</v>
      </c>
    </row>
    <row r="29" spans="1:47">
      <c r="A29" t="s">
        <v>73</v>
      </c>
      <c r="B29" s="7">
        <v>13986</v>
      </c>
      <c r="C29" s="7">
        <v>24300</v>
      </c>
      <c r="D29" s="7">
        <v>27888</v>
      </c>
      <c r="E29" s="7">
        <v>18600</v>
      </c>
      <c r="F29" s="7">
        <v>20117</v>
      </c>
      <c r="G29" s="7">
        <v>24894</v>
      </c>
      <c r="H29" s="7">
        <v>29454</v>
      </c>
      <c r="I29" s="7">
        <v>18168</v>
      </c>
      <c r="J29" s="7">
        <v>16440</v>
      </c>
      <c r="K29" s="7">
        <v>28296</v>
      </c>
      <c r="L29" s="7">
        <v>14507</v>
      </c>
      <c r="M29" s="7">
        <v>17448</v>
      </c>
      <c r="N29" s="7">
        <v>23873</v>
      </c>
      <c r="O29" s="7">
        <v>23052</v>
      </c>
      <c r="P29" s="7">
        <v>16901</v>
      </c>
      <c r="Q29" s="7">
        <v>11730</v>
      </c>
      <c r="R29" s="7">
        <v>28410</v>
      </c>
      <c r="S29" s="7">
        <v>15822</v>
      </c>
      <c r="T29" s="7">
        <v>22290</v>
      </c>
      <c r="U29" s="7">
        <v>17688</v>
      </c>
      <c r="V29" s="7">
        <v>21504</v>
      </c>
      <c r="W29" s="7">
        <v>11676</v>
      </c>
      <c r="X29" s="7">
        <v>10708</v>
      </c>
      <c r="Y29" s="7">
        <v>21498</v>
      </c>
      <c r="Z29" s="7">
        <v>26211</v>
      </c>
      <c r="AA29" s="7">
        <v>10290</v>
      </c>
      <c r="AB29" s="7">
        <v>5406</v>
      </c>
      <c r="AC29" s="7">
        <v>19794</v>
      </c>
      <c r="AD29" s="7">
        <v>16519</v>
      </c>
      <c r="AE29" s="7">
        <v>13656</v>
      </c>
      <c r="AF29" s="7">
        <v>7014</v>
      </c>
      <c r="AG29" s="7">
        <v>10751</v>
      </c>
      <c r="AH29" s="7">
        <v>16308</v>
      </c>
      <c r="AI29" s="7">
        <v>17958</v>
      </c>
      <c r="AJ29" s="7">
        <v>19128</v>
      </c>
      <c r="AK29" s="7">
        <v>21239</v>
      </c>
      <c r="AL29" s="7">
        <v>16127</v>
      </c>
      <c r="AM29" s="7">
        <v>15441</v>
      </c>
      <c r="AN29" s="7">
        <v>17520</v>
      </c>
      <c r="AO29" s="7">
        <v>32692</v>
      </c>
      <c r="AP29" s="7">
        <v>21264</v>
      </c>
      <c r="AQ29" s="7">
        <f t="shared" si="0"/>
        <v>241521</v>
      </c>
      <c r="AR29" s="7">
        <f t="shared" si="1"/>
        <v>169831</v>
      </c>
      <c r="AS29" s="17">
        <f t="shared" si="2"/>
        <v>0.54170494271351655</v>
      </c>
      <c r="AT29" s="17">
        <f t="shared" si="3"/>
        <v>-0.29682719101030552</v>
      </c>
      <c r="AU29" s="17">
        <f t="shared" si="4"/>
        <v>-0.16816046200145901</v>
      </c>
    </row>
    <row r="30" spans="1:47">
      <c r="A30" t="s">
        <v>74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4548</v>
      </c>
      <c r="AB30" s="7">
        <v>1551</v>
      </c>
      <c r="AC30" s="7">
        <v>854</v>
      </c>
      <c r="AD30" s="7">
        <v>1761</v>
      </c>
      <c r="AE30" s="7">
        <v>2994</v>
      </c>
      <c r="AF30" s="7">
        <v>546</v>
      </c>
      <c r="AG30" s="7">
        <v>275</v>
      </c>
      <c r="AH30" s="7">
        <v>378</v>
      </c>
      <c r="AI30" s="7">
        <v>438</v>
      </c>
      <c r="AJ30" s="7">
        <v>411</v>
      </c>
      <c r="AK30" s="7">
        <v>534</v>
      </c>
      <c r="AL30" s="7">
        <v>687</v>
      </c>
      <c r="AM30" s="7">
        <v>546</v>
      </c>
      <c r="AN30" s="7">
        <v>771</v>
      </c>
      <c r="AO30" s="7">
        <v>591</v>
      </c>
      <c r="AP30" s="7">
        <v>636</v>
      </c>
      <c r="AQ30" s="7">
        <f t="shared" si="0"/>
        <v>0</v>
      </c>
      <c r="AR30" s="7">
        <f t="shared" si="1"/>
        <v>12907</v>
      </c>
      <c r="AS30" s="17">
        <f t="shared" si="2"/>
        <v>4.1169078057618207E-2</v>
      </c>
      <c r="AT30" s="17" t="e">
        <f t="shared" si="3"/>
        <v>#DIV/0!</v>
      </c>
      <c r="AU30" s="17">
        <f t="shared" si="4"/>
        <v>3.027545101203559E-2</v>
      </c>
    </row>
    <row r="31" spans="1:47">
      <c r="A31" t="s">
        <v>75</v>
      </c>
      <c r="B31" s="7">
        <v>5514</v>
      </c>
      <c r="C31" s="7">
        <v>2586</v>
      </c>
      <c r="D31" s="7">
        <v>4482</v>
      </c>
      <c r="E31" s="7">
        <v>4152</v>
      </c>
      <c r="F31" s="7">
        <v>5796</v>
      </c>
      <c r="G31" s="7">
        <v>8148</v>
      </c>
      <c r="H31" s="7">
        <v>7515</v>
      </c>
      <c r="I31" s="7">
        <v>5472</v>
      </c>
      <c r="J31" s="7">
        <v>6624</v>
      </c>
      <c r="K31" s="7">
        <v>4434</v>
      </c>
      <c r="L31" s="7">
        <v>4176</v>
      </c>
      <c r="M31" s="7">
        <v>5268</v>
      </c>
      <c r="N31" s="7">
        <v>6060</v>
      </c>
      <c r="O31" s="7">
        <v>6996</v>
      </c>
      <c r="P31" s="7">
        <v>3780</v>
      </c>
      <c r="Q31" s="7">
        <v>3078</v>
      </c>
      <c r="R31" s="7">
        <v>6564</v>
      </c>
      <c r="S31" s="7">
        <v>3138</v>
      </c>
      <c r="T31" s="7">
        <v>13086</v>
      </c>
      <c r="U31" s="7">
        <v>4140</v>
      </c>
      <c r="V31" s="7">
        <v>5928</v>
      </c>
      <c r="W31" s="7">
        <v>3726</v>
      </c>
      <c r="X31" s="7">
        <v>3418</v>
      </c>
      <c r="Y31" s="7">
        <v>4408</v>
      </c>
      <c r="Z31" s="7">
        <v>4714</v>
      </c>
      <c r="AA31" s="7">
        <v>2252</v>
      </c>
      <c r="AB31" s="7">
        <v>2380</v>
      </c>
      <c r="AC31" s="7">
        <v>4716</v>
      </c>
      <c r="AD31" s="7">
        <v>2334</v>
      </c>
      <c r="AE31" s="7">
        <v>2592</v>
      </c>
      <c r="AF31" s="7">
        <v>7800</v>
      </c>
      <c r="AG31" s="7">
        <v>4536</v>
      </c>
      <c r="AH31" s="7">
        <v>2928</v>
      </c>
      <c r="AI31" s="7">
        <v>3396</v>
      </c>
      <c r="AJ31" s="7">
        <v>5274</v>
      </c>
      <c r="AK31" s="7">
        <v>2250</v>
      </c>
      <c r="AL31" s="7">
        <v>7170</v>
      </c>
      <c r="AM31" s="7">
        <v>4494</v>
      </c>
      <c r="AN31" s="7">
        <v>4026</v>
      </c>
      <c r="AO31" s="7">
        <v>4698</v>
      </c>
      <c r="AP31" s="7">
        <v>3816</v>
      </c>
      <c r="AQ31" s="7">
        <f t="shared" si="0"/>
        <v>66648</v>
      </c>
      <c r="AR31" s="7">
        <f t="shared" si="1"/>
        <v>45804</v>
      </c>
      <c r="AS31" s="17">
        <f t="shared" si="2"/>
        <v>0.14609967082599709</v>
      </c>
      <c r="AT31" s="17">
        <f t="shared" si="3"/>
        <v>-0.31274756931940939</v>
      </c>
      <c r="AU31" s="17">
        <f t="shared" si="4"/>
        <v>-4.8892965127052747E-2</v>
      </c>
    </row>
    <row r="32" spans="1:47">
      <c r="A32" s="16" t="s">
        <v>38</v>
      </c>
      <c r="B32" s="18">
        <v>32460</v>
      </c>
      <c r="C32" s="18">
        <v>39180</v>
      </c>
      <c r="D32" s="18">
        <v>42456</v>
      </c>
      <c r="E32" s="18">
        <v>35414</v>
      </c>
      <c r="F32" s="18">
        <v>35762</v>
      </c>
      <c r="G32" s="18">
        <v>45072</v>
      </c>
      <c r="H32" s="18">
        <v>50796</v>
      </c>
      <c r="I32" s="18">
        <v>40866</v>
      </c>
      <c r="J32" s="18">
        <v>36189</v>
      </c>
      <c r="K32" s="18">
        <v>48999</v>
      </c>
      <c r="L32" s="18">
        <v>26246</v>
      </c>
      <c r="M32" s="18">
        <v>31266</v>
      </c>
      <c r="N32" s="18">
        <v>47343</v>
      </c>
      <c r="O32" s="18">
        <v>39501</v>
      </c>
      <c r="P32" s="18">
        <v>27288</v>
      </c>
      <c r="Q32" s="18">
        <v>20274</v>
      </c>
      <c r="R32" s="18">
        <v>43526</v>
      </c>
      <c r="S32" s="18">
        <v>26349</v>
      </c>
      <c r="T32" s="18">
        <v>45171</v>
      </c>
      <c r="U32" s="18">
        <v>30280</v>
      </c>
      <c r="V32" s="18">
        <v>40076</v>
      </c>
      <c r="W32" s="18">
        <v>21051</v>
      </c>
      <c r="X32" s="18">
        <v>20129</v>
      </c>
      <c r="Y32" s="18">
        <v>33910</v>
      </c>
      <c r="Z32" s="18">
        <v>38863</v>
      </c>
      <c r="AA32" s="18">
        <v>22043</v>
      </c>
      <c r="AB32" s="18">
        <v>15373</v>
      </c>
      <c r="AC32" s="18">
        <v>33208</v>
      </c>
      <c r="AD32" s="18">
        <v>28976</v>
      </c>
      <c r="AE32" s="18">
        <v>25464</v>
      </c>
      <c r="AF32" s="18">
        <v>22049</v>
      </c>
      <c r="AG32" s="18">
        <v>24857</v>
      </c>
      <c r="AH32" s="18">
        <v>27589</v>
      </c>
      <c r="AI32" s="18">
        <v>29454</v>
      </c>
      <c r="AJ32" s="18">
        <v>36933</v>
      </c>
      <c r="AK32" s="18">
        <v>31864</v>
      </c>
      <c r="AL32" s="18">
        <v>32861</v>
      </c>
      <c r="AM32" s="18">
        <v>26545</v>
      </c>
      <c r="AN32" s="18">
        <v>29884</v>
      </c>
      <c r="AO32" s="18">
        <v>47101</v>
      </c>
      <c r="AP32" s="18">
        <v>32634</v>
      </c>
      <c r="AQ32" s="7">
        <f t="shared" si="0"/>
        <v>426319</v>
      </c>
      <c r="AR32" s="7">
        <f t="shared" si="1"/>
        <v>313512</v>
      </c>
      <c r="AS32" s="17">
        <f t="shared" si="2"/>
        <v>1</v>
      </c>
      <c r="AT32" s="17">
        <f t="shared" si="3"/>
        <v>-0.26460701962614852</v>
      </c>
      <c r="AU32" s="17">
        <f t="shared" si="4"/>
        <v>-0.26460701962614852</v>
      </c>
    </row>
    <row r="59" spans="1:49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17"/>
      <c r="AU59" s="17"/>
      <c r="AV59" s="17"/>
      <c r="AW59" s="17"/>
    </row>
    <row r="60" spans="1:49">
      <c r="A60" t="s">
        <v>79</v>
      </c>
      <c r="B60" s="9">
        <v>44562</v>
      </c>
      <c r="C60" s="9">
        <v>44593</v>
      </c>
      <c r="D60" s="9">
        <v>44621</v>
      </c>
      <c r="E60" s="9">
        <v>44652</v>
      </c>
      <c r="F60" s="9">
        <v>44682</v>
      </c>
      <c r="G60" s="9">
        <v>44713</v>
      </c>
      <c r="H60" s="9">
        <v>44743</v>
      </c>
      <c r="I60" s="9">
        <v>44774</v>
      </c>
      <c r="J60" s="9">
        <v>44805</v>
      </c>
      <c r="K60" s="9">
        <v>44835</v>
      </c>
      <c r="L60" s="9">
        <v>44866</v>
      </c>
      <c r="M60" s="9">
        <v>44896</v>
      </c>
      <c r="N60" s="9">
        <v>44927</v>
      </c>
      <c r="O60" s="9">
        <v>44958</v>
      </c>
      <c r="P60" s="9">
        <v>44986</v>
      </c>
      <c r="Q60" s="9">
        <v>45017</v>
      </c>
      <c r="R60" s="9">
        <v>45047</v>
      </c>
      <c r="S60" s="9">
        <v>45078</v>
      </c>
      <c r="T60" s="9">
        <v>45108</v>
      </c>
      <c r="U60" s="9">
        <v>45139</v>
      </c>
      <c r="V60" s="9">
        <v>45170</v>
      </c>
      <c r="W60" s="9">
        <v>45200</v>
      </c>
      <c r="X60" s="9">
        <v>45231</v>
      </c>
      <c r="Y60" s="9">
        <v>45261</v>
      </c>
      <c r="Z60" s="9">
        <v>45292</v>
      </c>
      <c r="AA60" s="9">
        <v>45323</v>
      </c>
      <c r="AB60" s="9">
        <v>45352</v>
      </c>
      <c r="AC60" s="9">
        <v>45383</v>
      </c>
      <c r="AD60" s="9">
        <v>45413</v>
      </c>
      <c r="AE60" s="9">
        <v>45444</v>
      </c>
      <c r="AF60" s="9">
        <v>45474</v>
      </c>
      <c r="AG60" s="9">
        <v>45505</v>
      </c>
      <c r="AH60" s="9">
        <v>45536</v>
      </c>
      <c r="AI60" s="9">
        <v>45566</v>
      </c>
      <c r="AJ60" s="9">
        <v>45597</v>
      </c>
      <c r="AK60" s="9">
        <v>45627</v>
      </c>
      <c r="AL60" s="9">
        <v>45658</v>
      </c>
      <c r="AM60" s="9">
        <v>45689</v>
      </c>
      <c r="AN60" s="9">
        <v>45717</v>
      </c>
      <c r="AO60" s="9">
        <v>45748</v>
      </c>
      <c r="AP60" s="9">
        <v>45778</v>
      </c>
      <c r="AQ60" t="s">
        <v>63</v>
      </c>
      <c r="AR60" t="s">
        <v>64</v>
      </c>
      <c r="AS60" t="s">
        <v>80</v>
      </c>
      <c r="AT60" t="s">
        <v>81</v>
      </c>
      <c r="AU60" t="s">
        <v>82</v>
      </c>
      <c r="AV60" t="s">
        <v>78</v>
      </c>
    </row>
    <row r="61" spans="1:49">
      <c r="A61" t="s">
        <v>83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12</v>
      </c>
      <c r="J61" s="7">
        <v>12</v>
      </c>
      <c r="K61" s="7">
        <v>36</v>
      </c>
      <c r="L61" s="7">
        <v>150</v>
      </c>
      <c r="M61" s="7">
        <v>204</v>
      </c>
      <c r="N61" s="7">
        <v>330</v>
      </c>
      <c r="O61" s="7">
        <v>384</v>
      </c>
      <c r="P61" s="7">
        <v>306</v>
      </c>
      <c r="Q61" s="7">
        <v>720</v>
      </c>
      <c r="R61" s="7">
        <v>828</v>
      </c>
      <c r="S61" s="7">
        <v>504</v>
      </c>
      <c r="T61" s="7">
        <v>492</v>
      </c>
      <c r="U61" s="7">
        <v>270</v>
      </c>
      <c r="V61" s="7">
        <v>804</v>
      </c>
      <c r="W61" s="7">
        <v>684</v>
      </c>
      <c r="X61" s="7">
        <v>516</v>
      </c>
      <c r="Y61" s="7">
        <v>534</v>
      </c>
      <c r="Z61" s="7">
        <v>108</v>
      </c>
      <c r="AA61" s="7">
        <v>144</v>
      </c>
      <c r="AB61" s="7">
        <v>84</v>
      </c>
      <c r="AC61" s="7">
        <v>72</v>
      </c>
      <c r="AD61" s="7">
        <v>12</v>
      </c>
      <c r="AE61" s="7">
        <v>72</v>
      </c>
      <c r="AF61" s="7">
        <v>48</v>
      </c>
      <c r="AG61" s="7">
        <v>36</v>
      </c>
      <c r="AH61" s="7">
        <v>36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f t="shared" ref="AQ61:AQ84" si="5">+SUM(S61:AD61)</f>
        <v>4224</v>
      </c>
      <c r="AR61" s="7">
        <f t="shared" ref="AR61:AR84" si="6">+SUM(AE61:AP61)</f>
        <v>192</v>
      </c>
      <c r="AS61" s="17">
        <f>+AQ61/$AQ$84</f>
        <v>7.8729590695593831E-3</v>
      </c>
      <c r="AT61" s="17">
        <f>+AR61/$AR$84</f>
        <v>2.720587193402576E-4</v>
      </c>
      <c r="AU61" s="17">
        <f>+AR61/AQ61-1</f>
        <v>-0.95454545454545459</v>
      </c>
      <c r="AV61" s="17">
        <f>+(AR61-AQ61)/$AQ$84</f>
        <v>-7.5150972936703199E-3</v>
      </c>
    </row>
    <row r="62" spans="1:49">
      <c r="A62" t="s">
        <v>84</v>
      </c>
      <c r="B62" s="7">
        <v>3452</v>
      </c>
      <c r="C62" s="7">
        <v>5282</v>
      </c>
      <c r="D62" s="7">
        <v>2376</v>
      </c>
      <c r="E62" s="7">
        <v>2286</v>
      </c>
      <c r="F62" s="7">
        <v>2844</v>
      </c>
      <c r="G62" s="7">
        <v>3240</v>
      </c>
      <c r="H62" s="7">
        <v>2076</v>
      </c>
      <c r="I62" s="7">
        <v>1836</v>
      </c>
      <c r="J62" s="7">
        <v>2388</v>
      </c>
      <c r="K62" s="7">
        <v>1728</v>
      </c>
      <c r="L62" s="7">
        <v>942</v>
      </c>
      <c r="M62" s="7">
        <v>780</v>
      </c>
      <c r="N62" s="7">
        <v>1350</v>
      </c>
      <c r="O62" s="7">
        <v>828</v>
      </c>
      <c r="P62" s="7">
        <v>678</v>
      </c>
      <c r="Q62" s="7">
        <v>636</v>
      </c>
      <c r="R62" s="7">
        <v>864</v>
      </c>
      <c r="S62" s="7">
        <v>732</v>
      </c>
      <c r="T62" s="7">
        <v>492</v>
      </c>
      <c r="U62" s="7">
        <v>366</v>
      </c>
      <c r="V62" s="7">
        <v>1032</v>
      </c>
      <c r="W62" s="7">
        <v>888</v>
      </c>
      <c r="X62" s="7">
        <v>480</v>
      </c>
      <c r="Y62" s="7">
        <v>654</v>
      </c>
      <c r="Z62" s="7">
        <v>444</v>
      </c>
      <c r="AA62" s="7">
        <v>180</v>
      </c>
      <c r="AB62" s="7">
        <v>192</v>
      </c>
      <c r="AC62" s="7">
        <v>444</v>
      </c>
      <c r="AD62" s="7">
        <v>12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f t="shared" si="5"/>
        <v>5916</v>
      </c>
      <c r="AR62" s="7">
        <f t="shared" si="6"/>
        <v>0</v>
      </c>
      <c r="AS62" s="17">
        <f t="shared" ref="AS62:AS84" si="7">+AQ62/$AQ$84</f>
        <v>1.1026615969581748E-2</v>
      </c>
      <c r="AT62" s="17">
        <f t="shared" ref="AT62:AT84" si="8">+AR62/$AR$84</f>
        <v>0</v>
      </c>
      <c r="AU62" s="17">
        <f t="shared" ref="AU62:AU84" si="9">+AR62/AQ62-1</f>
        <v>-1</v>
      </c>
      <c r="AV62" s="17">
        <f t="shared" ref="AV62:AV84" si="10">+(AR62-AQ62)/$AQ$84</f>
        <v>-1.1026615969581748E-2</v>
      </c>
    </row>
    <row r="63" spans="1:49">
      <c r="A63" t="s">
        <v>85</v>
      </c>
      <c r="B63" s="7">
        <v>336</v>
      </c>
      <c r="C63" s="7">
        <v>636</v>
      </c>
      <c r="D63" s="7">
        <v>1776</v>
      </c>
      <c r="E63" s="7">
        <v>324</v>
      </c>
      <c r="F63" s="7">
        <v>324</v>
      </c>
      <c r="G63" s="7">
        <v>216</v>
      </c>
      <c r="H63" s="7">
        <v>444</v>
      </c>
      <c r="I63" s="7">
        <v>336</v>
      </c>
      <c r="J63" s="7">
        <v>792</v>
      </c>
      <c r="K63" s="7">
        <v>432</v>
      </c>
      <c r="L63" s="7">
        <v>408</v>
      </c>
      <c r="M63" s="7">
        <v>552</v>
      </c>
      <c r="N63" s="7">
        <v>408</v>
      </c>
      <c r="O63" s="7">
        <v>348</v>
      </c>
      <c r="P63" s="7">
        <v>480</v>
      </c>
      <c r="Q63" s="7">
        <v>348</v>
      </c>
      <c r="R63" s="7">
        <v>300</v>
      </c>
      <c r="S63" s="7">
        <v>12</v>
      </c>
      <c r="T63" s="7">
        <v>0</v>
      </c>
      <c r="U63" s="7">
        <v>0</v>
      </c>
      <c r="V63" s="7">
        <v>0</v>
      </c>
      <c r="W63" s="7">
        <v>0</v>
      </c>
      <c r="X63" s="7">
        <v>5844</v>
      </c>
      <c r="Y63" s="7">
        <v>5223</v>
      </c>
      <c r="Z63" s="7">
        <v>3270</v>
      </c>
      <c r="AA63" s="7">
        <v>2105</v>
      </c>
      <c r="AB63" s="7">
        <v>1070</v>
      </c>
      <c r="AC63" s="7">
        <v>2781</v>
      </c>
      <c r="AD63" s="7">
        <v>1104</v>
      </c>
      <c r="AE63" s="7">
        <v>2124</v>
      </c>
      <c r="AF63" s="7">
        <v>2109</v>
      </c>
      <c r="AG63" s="7">
        <v>1116</v>
      </c>
      <c r="AH63" s="7">
        <v>1068</v>
      </c>
      <c r="AI63" s="7">
        <v>1147</v>
      </c>
      <c r="AJ63" s="7">
        <v>960</v>
      </c>
      <c r="AK63" s="7">
        <v>954</v>
      </c>
      <c r="AL63" s="7">
        <v>1333</v>
      </c>
      <c r="AM63" s="7">
        <v>2610</v>
      </c>
      <c r="AN63" s="7">
        <v>1473</v>
      </c>
      <c r="AO63" s="7">
        <v>846</v>
      </c>
      <c r="AP63" s="7">
        <v>900</v>
      </c>
      <c r="AQ63" s="7">
        <f t="shared" si="5"/>
        <v>21409</v>
      </c>
      <c r="AR63" s="7">
        <f t="shared" si="6"/>
        <v>16640</v>
      </c>
      <c r="AS63" s="17">
        <f t="shared" si="7"/>
        <v>3.9903451875046597E-2</v>
      </c>
      <c r="AT63" s="17">
        <f t="shared" si="8"/>
        <v>2.3578422342822324E-2</v>
      </c>
      <c r="AU63" s="17">
        <f t="shared" si="9"/>
        <v>-0.22275678452987058</v>
      </c>
      <c r="AV63" s="17">
        <f t="shared" si="10"/>
        <v>-8.8887646313278168E-3</v>
      </c>
    </row>
    <row r="64" spans="1:49">
      <c r="A64" t="s">
        <v>86</v>
      </c>
      <c r="B64" s="7">
        <v>936</v>
      </c>
      <c r="C64" s="7">
        <v>780</v>
      </c>
      <c r="D64" s="7">
        <v>504</v>
      </c>
      <c r="E64" s="7">
        <v>480</v>
      </c>
      <c r="F64" s="7">
        <v>84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f t="shared" si="5"/>
        <v>0</v>
      </c>
      <c r="AR64" s="7">
        <f t="shared" si="6"/>
        <v>0</v>
      </c>
      <c r="AS64" s="17">
        <f t="shared" si="7"/>
        <v>0</v>
      </c>
      <c r="AT64" s="17">
        <f t="shared" si="8"/>
        <v>0</v>
      </c>
      <c r="AU64" s="17" t="e">
        <f t="shared" si="9"/>
        <v>#DIV/0!</v>
      </c>
      <c r="AV64" s="17">
        <f t="shared" si="10"/>
        <v>0</v>
      </c>
    </row>
    <row r="65" spans="1:48">
      <c r="A65" t="s">
        <v>87</v>
      </c>
      <c r="B65" s="7">
        <v>1080</v>
      </c>
      <c r="C65" s="7">
        <v>1512</v>
      </c>
      <c r="D65" s="7">
        <v>1698</v>
      </c>
      <c r="E65" s="7">
        <v>2073</v>
      </c>
      <c r="F65" s="7">
        <v>2496</v>
      </c>
      <c r="G65" s="7">
        <v>1230</v>
      </c>
      <c r="H65" s="7">
        <v>1218</v>
      </c>
      <c r="I65" s="7">
        <v>2322</v>
      </c>
      <c r="J65" s="7">
        <v>1440</v>
      </c>
      <c r="K65" s="7">
        <v>1320</v>
      </c>
      <c r="L65" s="7">
        <v>1386</v>
      </c>
      <c r="M65" s="7">
        <v>1602</v>
      </c>
      <c r="N65" s="7">
        <v>2100</v>
      </c>
      <c r="O65" s="7">
        <v>1992</v>
      </c>
      <c r="P65" s="7">
        <v>1458</v>
      </c>
      <c r="Q65" s="7">
        <v>1284</v>
      </c>
      <c r="R65" s="7">
        <v>3318</v>
      </c>
      <c r="S65" s="7">
        <v>4626</v>
      </c>
      <c r="T65" s="7">
        <v>690</v>
      </c>
      <c r="U65" s="7">
        <v>468</v>
      </c>
      <c r="V65" s="7">
        <v>714</v>
      </c>
      <c r="W65" s="7">
        <v>288</v>
      </c>
      <c r="X65" s="7">
        <v>624</v>
      </c>
      <c r="Y65" s="7">
        <v>1248</v>
      </c>
      <c r="Z65" s="7">
        <v>852</v>
      </c>
      <c r="AA65" s="7">
        <v>1920</v>
      </c>
      <c r="AB65" s="7">
        <v>1038</v>
      </c>
      <c r="AC65" s="7">
        <v>4050</v>
      </c>
      <c r="AD65" s="7">
        <v>744</v>
      </c>
      <c r="AE65" s="7">
        <v>252</v>
      </c>
      <c r="AF65" s="7">
        <v>96</v>
      </c>
      <c r="AG65" s="7">
        <v>-144</v>
      </c>
      <c r="AH65" s="7">
        <v>144</v>
      </c>
      <c r="AI65" s="7">
        <v>180</v>
      </c>
      <c r="AJ65" s="7">
        <v>240</v>
      </c>
      <c r="AK65" s="7">
        <v>180</v>
      </c>
      <c r="AL65" s="7">
        <v>276</v>
      </c>
      <c r="AM65" s="7">
        <v>408</v>
      </c>
      <c r="AN65" s="7">
        <v>1584</v>
      </c>
      <c r="AO65" s="7">
        <v>0</v>
      </c>
      <c r="AP65" s="7">
        <v>0</v>
      </c>
      <c r="AQ65" s="7">
        <f t="shared" si="5"/>
        <v>17262</v>
      </c>
      <c r="AR65" s="7">
        <f t="shared" si="6"/>
        <v>3216</v>
      </c>
      <c r="AS65" s="17">
        <f t="shared" si="7"/>
        <v>3.217401028852606E-2</v>
      </c>
      <c r="AT65" s="17">
        <f t="shared" si="8"/>
        <v>4.5569835489493145E-3</v>
      </c>
      <c r="AU65" s="17">
        <f t="shared" si="9"/>
        <v>-0.81369482099409107</v>
      </c>
      <c r="AV65" s="17">
        <f t="shared" si="10"/>
        <v>-2.6179825542384252E-2</v>
      </c>
    </row>
    <row r="66" spans="1:48">
      <c r="A66" s="19" t="s">
        <v>88</v>
      </c>
      <c r="B66" s="7">
        <v>10059</v>
      </c>
      <c r="C66" s="7">
        <v>7998</v>
      </c>
      <c r="D66" s="7">
        <v>12408</v>
      </c>
      <c r="E66" s="7">
        <v>4941</v>
      </c>
      <c r="F66" s="7">
        <v>7275</v>
      </c>
      <c r="G66" s="7">
        <v>6090</v>
      </c>
      <c r="H66" s="7">
        <v>6366</v>
      </c>
      <c r="I66" s="7">
        <v>7458</v>
      </c>
      <c r="J66" s="7">
        <v>7971</v>
      </c>
      <c r="K66" s="7">
        <v>9066</v>
      </c>
      <c r="L66" s="7">
        <v>7113</v>
      </c>
      <c r="M66" s="7">
        <v>7014</v>
      </c>
      <c r="N66" s="7">
        <v>12963</v>
      </c>
      <c r="O66" s="7">
        <v>6963</v>
      </c>
      <c r="P66" s="7">
        <v>7386</v>
      </c>
      <c r="Q66" s="7">
        <v>6693</v>
      </c>
      <c r="R66" s="7">
        <v>5184</v>
      </c>
      <c r="S66" s="7">
        <v>5610</v>
      </c>
      <c r="T66" s="7">
        <v>4380</v>
      </c>
      <c r="U66" s="7">
        <v>6111</v>
      </c>
      <c r="V66" s="7">
        <v>10812</v>
      </c>
      <c r="W66" s="7">
        <v>4167</v>
      </c>
      <c r="X66" s="7">
        <v>4773</v>
      </c>
      <c r="Y66" s="7">
        <v>6837</v>
      </c>
      <c r="Z66" s="7">
        <v>9663</v>
      </c>
      <c r="AA66" s="7">
        <v>3558</v>
      </c>
      <c r="AB66" s="7">
        <v>3681</v>
      </c>
      <c r="AC66" s="7">
        <v>7715</v>
      </c>
      <c r="AD66" s="7">
        <v>8604</v>
      </c>
      <c r="AE66" s="7">
        <v>8997</v>
      </c>
      <c r="AF66" s="7">
        <v>4902</v>
      </c>
      <c r="AG66" s="7">
        <v>7800</v>
      </c>
      <c r="AH66" s="7">
        <v>4581</v>
      </c>
      <c r="AI66" s="7">
        <v>12295</v>
      </c>
      <c r="AJ66" s="7">
        <v>5463</v>
      </c>
      <c r="AK66" s="7">
        <v>7800</v>
      </c>
      <c r="AL66" s="7">
        <v>11991</v>
      </c>
      <c r="AM66" s="7">
        <v>10524</v>
      </c>
      <c r="AN66" s="7">
        <v>10692</v>
      </c>
      <c r="AO66" s="7">
        <v>11103</v>
      </c>
      <c r="AP66" s="7">
        <v>7110</v>
      </c>
      <c r="AQ66" s="7">
        <f t="shared" si="5"/>
        <v>75911</v>
      </c>
      <c r="AR66" s="7">
        <f t="shared" si="6"/>
        <v>103258</v>
      </c>
      <c r="AS66" s="17">
        <f t="shared" si="7"/>
        <v>0.14148773577872215</v>
      </c>
      <c r="AT66" s="17">
        <f t="shared" si="8"/>
        <v>0.14631374605018915</v>
      </c>
      <c r="AU66" s="17">
        <f t="shared" si="9"/>
        <v>0.36025082003925646</v>
      </c>
      <c r="AV66" s="17">
        <f t="shared" si="10"/>
        <v>5.0971072839782298E-2</v>
      </c>
    </row>
    <row r="67" spans="1:48">
      <c r="A67" t="s">
        <v>89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f t="shared" si="5"/>
        <v>0</v>
      </c>
      <c r="AR67" s="7">
        <f t="shared" si="6"/>
        <v>0</v>
      </c>
      <c r="AS67" s="17">
        <f t="shared" si="7"/>
        <v>0</v>
      </c>
      <c r="AT67" s="17">
        <f t="shared" si="8"/>
        <v>0</v>
      </c>
      <c r="AU67" s="17" t="e">
        <f t="shared" si="9"/>
        <v>#DIV/0!</v>
      </c>
      <c r="AV67" s="17">
        <f t="shared" si="10"/>
        <v>0</v>
      </c>
    </row>
    <row r="68" spans="1:48">
      <c r="A68" t="s">
        <v>90</v>
      </c>
      <c r="B68" s="7">
        <v>2505</v>
      </c>
      <c r="C68" s="7">
        <v>2394</v>
      </c>
      <c r="D68" s="7">
        <v>4443</v>
      </c>
      <c r="E68" s="7">
        <v>4077</v>
      </c>
      <c r="F68" s="7">
        <v>2571</v>
      </c>
      <c r="G68" s="7">
        <v>2115</v>
      </c>
      <c r="H68" s="7">
        <v>1881</v>
      </c>
      <c r="I68" s="7">
        <v>3021</v>
      </c>
      <c r="J68" s="7">
        <v>2091</v>
      </c>
      <c r="K68" s="7">
        <v>1266</v>
      </c>
      <c r="L68" s="7">
        <v>984</v>
      </c>
      <c r="M68" s="7">
        <v>1554</v>
      </c>
      <c r="N68" s="7">
        <v>3426</v>
      </c>
      <c r="O68" s="7">
        <v>2691</v>
      </c>
      <c r="P68" s="7">
        <v>1461</v>
      </c>
      <c r="Q68" s="7">
        <v>1260</v>
      </c>
      <c r="R68" s="7">
        <v>1758</v>
      </c>
      <c r="S68" s="7">
        <v>1059</v>
      </c>
      <c r="T68" s="7">
        <v>939</v>
      </c>
      <c r="U68" s="7">
        <v>1563</v>
      </c>
      <c r="V68" s="7">
        <v>2838</v>
      </c>
      <c r="W68" s="7">
        <v>1773</v>
      </c>
      <c r="X68" s="7">
        <v>1056</v>
      </c>
      <c r="Y68" s="7">
        <v>2169</v>
      </c>
      <c r="Z68" s="7">
        <v>1644</v>
      </c>
      <c r="AA68" s="7">
        <v>3849</v>
      </c>
      <c r="AB68" s="7">
        <v>2784</v>
      </c>
      <c r="AC68" s="7">
        <v>4104</v>
      </c>
      <c r="AD68" s="7">
        <v>72</v>
      </c>
      <c r="AE68" s="7">
        <v>48</v>
      </c>
      <c r="AF68" s="7">
        <v>54</v>
      </c>
      <c r="AG68" s="7">
        <v>12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f t="shared" si="5"/>
        <v>23850</v>
      </c>
      <c r="AR68" s="7">
        <f t="shared" si="6"/>
        <v>114</v>
      </c>
      <c r="AS68" s="17">
        <f t="shared" si="7"/>
        <v>4.4453142473719523E-2</v>
      </c>
      <c r="AT68" s="17">
        <f t="shared" si="8"/>
        <v>1.6153486460827795E-4</v>
      </c>
      <c r="AU68" s="17">
        <f t="shared" si="9"/>
        <v>-0.99522012578616348</v>
      </c>
      <c r="AV68" s="17">
        <f t="shared" si="10"/>
        <v>-4.4240662044285395E-2</v>
      </c>
    </row>
    <row r="69" spans="1:48">
      <c r="A69" t="s">
        <v>91</v>
      </c>
      <c r="B69" s="7">
        <v>4692</v>
      </c>
      <c r="C69" s="7">
        <v>3252</v>
      </c>
      <c r="D69" s="7">
        <v>8976</v>
      </c>
      <c r="E69" s="7">
        <v>1830</v>
      </c>
      <c r="F69" s="7">
        <v>1848</v>
      </c>
      <c r="G69" s="7">
        <v>1872</v>
      </c>
      <c r="H69" s="7">
        <v>2130</v>
      </c>
      <c r="I69" s="7">
        <v>2016</v>
      </c>
      <c r="J69" s="7">
        <v>2826</v>
      </c>
      <c r="K69" s="7">
        <v>1818</v>
      </c>
      <c r="L69" s="7">
        <v>1554</v>
      </c>
      <c r="M69" s="7">
        <v>2232</v>
      </c>
      <c r="N69" s="7">
        <v>3216</v>
      </c>
      <c r="O69" s="7">
        <v>2712</v>
      </c>
      <c r="P69" s="7">
        <v>1800</v>
      </c>
      <c r="Q69" s="7">
        <v>912</v>
      </c>
      <c r="R69" s="7">
        <v>1104</v>
      </c>
      <c r="S69" s="7">
        <v>2070</v>
      </c>
      <c r="T69" s="7">
        <v>960</v>
      </c>
      <c r="U69" s="7">
        <v>1812</v>
      </c>
      <c r="V69" s="7">
        <v>1230</v>
      </c>
      <c r="W69" s="7">
        <v>624</v>
      </c>
      <c r="X69" s="7">
        <v>660</v>
      </c>
      <c r="Y69" s="7">
        <v>738</v>
      </c>
      <c r="Z69" s="7">
        <v>696</v>
      </c>
      <c r="AA69" s="7">
        <v>270</v>
      </c>
      <c r="AB69" s="7">
        <v>228</v>
      </c>
      <c r="AC69" s="7">
        <v>294</v>
      </c>
      <c r="AD69" s="7">
        <v>222</v>
      </c>
      <c r="AE69" s="7">
        <v>138</v>
      </c>
      <c r="AF69" s="7">
        <v>102</v>
      </c>
      <c r="AG69" s="7">
        <v>30</v>
      </c>
      <c r="AH69" s="7">
        <v>12</v>
      </c>
      <c r="AI69" s="7">
        <v>0</v>
      </c>
      <c r="AJ69" s="7">
        <v>0</v>
      </c>
      <c r="AK69" s="7">
        <v>0</v>
      </c>
      <c r="AL69" s="7">
        <v>96</v>
      </c>
      <c r="AM69" s="7">
        <v>216</v>
      </c>
      <c r="AN69" s="7">
        <v>12</v>
      </c>
      <c r="AO69" s="7">
        <v>0</v>
      </c>
      <c r="AP69" s="7">
        <v>0</v>
      </c>
      <c r="AQ69" s="7">
        <f t="shared" si="5"/>
        <v>9804</v>
      </c>
      <c r="AR69" s="7">
        <f t="shared" si="6"/>
        <v>606</v>
      </c>
      <c r="AS69" s="17">
        <f t="shared" si="7"/>
        <v>1.8273316931335271E-2</v>
      </c>
      <c r="AT69" s="17">
        <f t="shared" si="8"/>
        <v>8.5868533291768808E-4</v>
      </c>
      <c r="AU69" s="17">
        <f t="shared" si="9"/>
        <v>-0.93818849449204411</v>
      </c>
      <c r="AV69" s="17">
        <f t="shared" si="10"/>
        <v>-1.7143815701185419E-2</v>
      </c>
    </row>
    <row r="70" spans="1:48">
      <c r="A70" s="19" t="s">
        <v>92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11151</v>
      </c>
      <c r="AC70" s="7">
        <v>24108</v>
      </c>
      <c r="AD70" s="7">
        <v>4851</v>
      </c>
      <c r="AE70" s="7">
        <v>9141</v>
      </c>
      <c r="AF70" s="7">
        <v>10386</v>
      </c>
      <c r="AG70" s="7">
        <v>12300</v>
      </c>
      <c r="AH70" s="7">
        <v>17693</v>
      </c>
      <c r="AI70" s="7">
        <v>15141</v>
      </c>
      <c r="AJ70" s="7">
        <v>12030</v>
      </c>
      <c r="AK70" s="7">
        <v>20124</v>
      </c>
      <c r="AL70" s="7">
        <v>18735</v>
      </c>
      <c r="AM70" s="7">
        <v>18885</v>
      </c>
      <c r="AN70" s="7">
        <v>20616</v>
      </c>
      <c r="AO70" s="7">
        <v>18465</v>
      </c>
      <c r="AP70" s="7">
        <v>15999</v>
      </c>
      <c r="AQ70" s="7">
        <f t="shared" si="5"/>
        <v>40110</v>
      </c>
      <c r="AR70" s="7">
        <f t="shared" si="6"/>
        <v>189515</v>
      </c>
      <c r="AS70" s="17">
        <f t="shared" si="7"/>
        <v>7.4759561619324538E-2</v>
      </c>
      <c r="AT70" s="17">
        <f t="shared" si="8"/>
        <v>0.26853754268629648</v>
      </c>
      <c r="AU70" s="17">
        <f t="shared" si="9"/>
        <v>3.7248815756669158</v>
      </c>
      <c r="AV70" s="17">
        <f t="shared" si="10"/>
        <v>0.27847051368075748</v>
      </c>
    </row>
    <row r="71" spans="1:48">
      <c r="A71" s="19" t="s">
        <v>93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3246</v>
      </c>
      <c r="Q71" s="7">
        <v>16878</v>
      </c>
      <c r="R71" s="7">
        <v>5526</v>
      </c>
      <c r="S71" s="7">
        <v>7740</v>
      </c>
      <c r="T71" s="7">
        <v>5380</v>
      </c>
      <c r="U71" s="7">
        <v>5646</v>
      </c>
      <c r="V71" s="7">
        <v>9792</v>
      </c>
      <c r="W71" s="7">
        <v>2208</v>
      </c>
      <c r="X71" s="7">
        <v>2454</v>
      </c>
      <c r="Y71" s="7">
        <v>4632</v>
      </c>
      <c r="Z71" s="7">
        <v>7200</v>
      </c>
      <c r="AA71" s="7">
        <v>11574</v>
      </c>
      <c r="AB71" s="7">
        <v>8850</v>
      </c>
      <c r="AC71" s="7">
        <v>3156</v>
      </c>
      <c r="AD71" s="7">
        <v>8490</v>
      </c>
      <c r="AE71" s="7">
        <v>7902</v>
      </c>
      <c r="AF71" s="7">
        <v>5802</v>
      </c>
      <c r="AG71" s="7">
        <v>9714</v>
      </c>
      <c r="AH71" s="7">
        <v>7518</v>
      </c>
      <c r="AI71" s="7">
        <v>8028</v>
      </c>
      <c r="AJ71" s="7">
        <v>6516</v>
      </c>
      <c r="AK71" s="7">
        <v>10014</v>
      </c>
      <c r="AL71" s="7">
        <v>11976</v>
      </c>
      <c r="AM71" s="7">
        <v>9036</v>
      </c>
      <c r="AN71" s="7">
        <v>13278</v>
      </c>
      <c r="AO71" s="7">
        <v>10800</v>
      </c>
      <c r="AP71" s="7">
        <v>9744</v>
      </c>
      <c r="AQ71" s="7">
        <f t="shared" si="5"/>
        <v>77122</v>
      </c>
      <c r="AR71" s="7">
        <f t="shared" si="6"/>
        <v>110328</v>
      </c>
      <c r="AS71" s="17">
        <f t="shared" si="7"/>
        <v>0.14374487437560576</v>
      </c>
      <c r="AT71" s="17">
        <f t="shared" si="8"/>
        <v>0.15633174160089552</v>
      </c>
      <c r="AU71" s="17">
        <f t="shared" si="9"/>
        <v>0.43056456004771659</v>
      </c>
      <c r="AV71" s="17">
        <f t="shared" si="10"/>
        <v>6.1891448594646986E-2</v>
      </c>
    </row>
    <row r="72" spans="1:48">
      <c r="A72" s="19" t="s">
        <v>94</v>
      </c>
      <c r="B72" s="7">
        <v>19548</v>
      </c>
      <c r="C72" s="7">
        <v>4774</v>
      </c>
      <c r="D72" s="7">
        <v>17098</v>
      </c>
      <c r="E72" s="7">
        <v>12682</v>
      </c>
      <c r="F72" s="7">
        <v>7770</v>
      </c>
      <c r="G72" s="7">
        <v>6546</v>
      </c>
      <c r="H72" s="7">
        <v>9084</v>
      </c>
      <c r="I72" s="7">
        <v>17358</v>
      </c>
      <c r="J72" s="7">
        <v>10314</v>
      </c>
      <c r="K72" s="7">
        <v>9696</v>
      </c>
      <c r="L72" s="7">
        <v>19596</v>
      </c>
      <c r="M72" s="7">
        <v>9006</v>
      </c>
      <c r="N72" s="7">
        <v>19476</v>
      </c>
      <c r="O72" s="7">
        <v>16164</v>
      </c>
      <c r="P72" s="7">
        <v>8334</v>
      </c>
      <c r="Q72" s="7">
        <v>7590</v>
      </c>
      <c r="R72" s="7">
        <v>10110</v>
      </c>
      <c r="S72" s="7">
        <v>6636</v>
      </c>
      <c r="T72" s="7">
        <v>7668</v>
      </c>
      <c r="U72" s="7">
        <v>8514</v>
      </c>
      <c r="V72" s="7">
        <v>19062</v>
      </c>
      <c r="W72" s="7">
        <v>6450</v>
      </c>
      <c r="X72" s="7">
        <v>5778</v>
      </c>
      <c r="Y72" s="7">
        <v>8118</v>
      </c>
      <c r="Z72" s="7">
        <v>8316</v>
      </c>
      <c r="AA72" s="7">
        <v>7128</v>
      </c>
      <c r="AB72" s="7">
        <v>7200</v>
      </c>
      <c r="AC72" s="7">
        <v>8730</v>
      </c>
      <c r="AD72" s="7">
        <v>7950</v>
      </c>
      <c r="AE72" s="7">
        <v>12282</v>
      </c>
      <c r="AF72" s="7">
        <v>10422</v>
      </c>
      <c r="AG72" s="7">
        <v>5694</v>
      </c>
      <c r="AH72" s="7">
        <v>12162</v>
      </c>
      <c r="AI72" s="7">
        <v>15408</v>
      </c>
      <c r="AJ72" s="7">
        <v>8532</v>
      </c>
      <c r="AK72" s="7">
        <v>14868</v>
      </c>
      <c r="AL72" s="7">
        <v>15378</v>
      </c>
      <c r="AM72" s="7">
        <v>11130</v>
      </c>
      <c r="AN72" s="7">
        <v>17796</v>
      </c>
      <c r="AO72" s="7">
        <v>11136</v>
      </c>
      <c r="AP72" s="7">
        <v>8850</v>
      </c>
      <c r="AQ72" s="7">
        <f t="shared" si="5"/>
        <v>101550</v>
      </c>
      <c r="AR72" s="7">
        <f t="shared" si="6"/>
        <v>143658</v>
      </c>
      <c r="AS72" s="17">
        <f t="shared" si="7"/>
        <v>0.18927532990382465</v>
      </c>
      <c r="AT72" s="17">
        <f t="shared" si="8"/>
        <v>0.20355943491136838</v>
      </c>
      <c r="AU72" s="17">
        <f t="shared" si="9"/>
        <v>0.41465288035450509</v>
      </c>
      <c r="AV72" s="17">
        <f t="shared" si="10"/>
        <v>7.8483560724670096E-2</v>
      </c>
    </row>
    <row r="73" spans="1:48">
      <c r="A73" t="s">
        <v>95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1560</v>
      </c>
      <c r="M73" s="7">
        <v>912</v>
      </c>
      <c r="N73" s="7">
        <v>852</v>
      </c>
      <c r="O73" s="7">
        <v>1596</v>
      </c>
      <c r="P73" s="7">
        <v>456</v>
      </c>
      <c r="Q73" s="7">
        <v>468</v>
      </c>
      <c r="R73" s="7">
        <v>168</v>
      </c>
      <c r="S73" s="7">
        <v>576</v>
      </c>
      <c r="T73" s="7">
        <v>228</v>
      </c>
      <c r="U73" s="7">
        <v>480</v>
      </c>
      <c r="V73" s="7">
        <v>696</v>
      </c>
      <c r="W73" s="7">
        <v>204</v>
      </c>
      <c r="X73" s="7">
        <v>216</v>
      </c>
      <c r="Y73" s="7">
        <v>264</v>
      </c>
      <c r="Z73" s="7">
        <v>696</v>
      </c>
      <c r="AA73" s="7">
        <v>120</v>
      </c>
      <c r="AB73" s="7">
        <v>312</v>
      </c>
      <c r="AC73" s="7">
        <v>552</v>
      </c>
      <c r="AD73" s="7">
        <v>240</v>
      </c>
      <c r="AE73" s="7">
        <v>228</v>
      </c>
      <c r="AF73" s="7">
        <v>204</v>
      </c>
      <c r="AG73" s="7">
        <v>144</v>
      </c>
      <c r="AH73" s="7">
        <v>324</v>
      </c>
      <c r="AI73" s="7">
        <v>456</v>
      </c>
      <c r="AJ73" s="7">
        <v>288</v>
      </c>
      <c r="AK73" s="7">
        <v>228</v>
      </c>
      <c r="AL73" s="7">
        <v>636</v>
      </c>
      <c r="AM73" s="7">
        <v>384</v>
      </c>
      <c r="AN73" s="7">
        <v>360</v>
      </c>
      <c r="AO73" s="7">
        <v>252</v>
      </c>
      <c r="AP73" s="7">
        <v>84</v>
      </c>
      <c r="AQ73" s="7">
        <f t="shared" si="5"/>
        <v>4584</v>
      </c>
      <c r="AR73" s="7">
        <f t="shared" si="6"/>
        <v>3588</v>
      </c>
      <c r="AS73" s="17">
        <f t="shared" si="7"/>
        <v>8.543949899351375E-3</v>
      </c>
      <c r="AT73" s="17">
        <f t="shared" si="8"/>
        <v>5.084097317671064E-3</v>
      </c>
      <c r="AU73" s="17">
        <f t="shared" si="9"/>
        <v>-0.2172774869109948</v>
      </c>
      <c r="AV73" s="17">
        <f t="shared" si="10"/>
        <v>-1.8564079624245136E-3</v>
      </c>
    </row>
    <row r="74" spans="1:48">
      <c r="A74" t="s">
        <v>96</v>
      </c>
      <c r="B74" s="7">
        <v>120</v>
      </c>
      <c r="C74" s="7">
        <v>2208</v>
      </c>
      <c r="D74" s="7">
        <v>8274</v>
      </c>
      <c r="E74" s="7">
        <v>1941</v>
      </c>
      <c r="F74" s="7">
        <v>2160</v>
      </c>
      <c r="G74" s="7">
        <v>966</v>
      </c>
      <c r="H74" s="7">
        <v>1146</v>
      </c>
      <c r="I74" s="7">
        <v>2226</v>
      </c>
      <c r="J74" s="7">
        <v>1380</v>
      </c>
      <c r="K74" s="7">
        <v>948</v>
      </c>
      <c r="L74" s="7">
        <v>1278</v>
      </c>
      <c r="M74" s="7">
        <v>1206</v>
      </c>
      <c r="N74" s="7">
        <v>1464</v>
      </c>
      <c r="O74" s="7">
        <v>2676</v>
      </c>
      <c r="P74" s="7">
        <v>4554</v>
      </c>
      <c r="Q74" s="7">
        <v>828</v>
      </c>
      <c r="R74" s="7">
        <v>2562</v>
      </c>
      <c r="S74" s="7">
        <v>2058</v>
      </c>
      <c r="T74" s="7">
        <v>882</v>
      </c>
      <c r="U74" s="7">
        <v>336</v>
      </c>
      <c r="V74" s="7">
        <v>1302</v>
      </c>
      <c r="W74" s="7">
        <v>348</v>
      </c>
      <c r="X74" s="7">
        <v>1032</v>
      </c>
      <c r="Y74" s="7">
        <v>1512</v>
      </c>
      <c r="Z74" s="7">
        <v>1560</v>
      </c>
      <c r="AA74" s="7">
        <v>2376</v>
      </c>
      <c r="AB74" s="7">
        <v>1866</v>
      </c>
      <c r="AC74" s="7">
        <v>4278</v>
      </c>
      <c r="AD74" s="7">
        <v>888</v>
      </c>
      <c r="AE74" s="7">
        <v>300</v>
      </c>
      <c r="AF74" s="7">
        <v>228</v>
      </c>
      <c r="AG74" s="7">
        <v>252</v>
      </c>
      <c r="AH74" s="7">
        <v>1536</v>
      </c>
      <c r="AI74" s="7">
        <v>960</v>
      </c>
      <c r="AJ74" s="7">
        <v>552</v>
      </c>
      <c r="AK74" s="7">
        <v>612</v>
      </c>
      <c r="AL74" s="7">
        <v>468</v>
      </c>
      <c r="AM74" s="7">
        <v>0</v>
      </c>
      <c r="AN74" s="7">
        <v>0</v>
      </c>
      <c r="AO74" s="7">
        <v>0</v>
      </c>
      <c r="AP74" s="7">
        <v>0</v>
      </c>
      <c r="AQ74" s="7">
        <f t="shared" si="5"/>
        <v>18438</v>
      </c>
      <c r="AR74" s="7">
        <f t="shared" si="6"/>
        <v>4908</v>
      </c>
      <c r="AS74" s="17">
        <f t="shared" si="7"/>
        <v>3.4365913665846563E-2</v>
      </c>
      <c r="AT74" s="17">
        <f t="shared" si="8"/>
        <v>6.9545010131353349E-3</v>
      </c>
      <c r="AU74" s="17">
        <f t="shared" si="9"/>
        <v>-0.73381060852587043</v>
      </c>
      <c r="AV74" s="17">
        <f t="shared" si="10"/>
        <v>-2.5218072019682399E-2</v>
      </c>
    </row>
    <row r="75" spans="1:48">
      <c r="A75" t="s">
        <v>97</v>
      </c>
      <c r="B75" s="7">
        <v>711</v>
      </c>
      <c r="C75" s="7">
        <v>2121</v>
      </c>
      <c r="D75" s="7">
        <v>666</v>
      </c>
      <c r="E75" s="7">
        <v>744</v>
      </c>
      <c r="F75" s="7">
        <v>297</v>
      </c>
      <c r="G75" s="7">
        <v>312</v>
      </c>
      <c r="H75" s="7">
        <v>414</v>
      </c>
      <c r="I75" s="7">
        <v>192</v>
      </c>
      <c r="J75" s="7">
        <v>606</v>
      </c>
      <c r="K75" s="7">
        <v>402</v>
      </c>
      <c r="L75" s="7">
        <v>525</v>
      </c>
      <c r="M75" s="7">
        <v>540</v>
      </c>
      <c r="N75" s="7">
        <v>2040</v>
      </c>
      <c r="O75" s="7">
        <v>278</v>
      </c>
      <c r="P75" s="7">
        <v>417</v>
      </c>
      <c r="Q75" s="7">
        <v>402</v>
      </c>
      <c r="R75" s="7">
        <v>600</v>
      </c>
      <c r="S75" s="7">
        <v>375</v>
      </c>
      <c r="T75" s="7">
        <v>609</v>
      </c>
      <c r="U75" s="7">
        <v>245</v>
      </c>
      <c r="V75" s="7">
        <v>654</v>
      </c>
      <c r="W75" s="7">
        <v>498</v>
      </c>
      <c r="X75" s="7">
        <v>261</v>
      </c>
      <c r="Y75" s="7">
        <v>333</v>
      </c>
      <c r="Z75" s="7">
        <v>747</v>
      </c>
      <c r="AA75" s="7">
        <v>352</v>
      </c>
      <c r="AB75" s="7">
        <v>396</v>
      </c>
      <c r="AC75" s="7">
        <v>639</v>
      </c>
      <c r="AD75" s="7">
        <v>552</v>
      </c>
      <c r="AE75" s="7">
        <v>459</v>
      </c>
      <c r="AF75" s="7">
        <v>228</v>
      </c>
      <c r="AG75" s="7">
        <v>450</v>
      </c>
      <c r="AH75" s="7">
        <v>774</v>
      </c>
      <c r="AI75" s="7">
        <v>600</v>
      </c>
      <c r="AJ75" s="7">
        <v>1350</v>
      </c>
      <c r="AK75" s="7">
        <v>54</v>
      </c>
      <c r="AL75" s="7">
        <v>30</v>
      </c>
      <c r="AM75" s="7">
        <v>66</v>
      </c>
      <c r="AN75" s="7">
        <v>396</v>
      </c>
      <c r="AO75" s="7">
        <v>78</v>
      </c>
      <c r="AP75" s="7">
        <v>102</v>
      </c>
      <c r="AQ75" s="7">
        <f t="shared" si="5"/>
        <v>5661</v>
      </c>
      <c r="AR75" s="7">
        <f t="shared" si="6"/>
        <v>4587</v>
      </c>
      <c r="AS75" s="17">
        <f t="shared" si="7"/>
        <v>1.0551330798479088E-2</v>
      </c>
      <c r="AT75" s="17">
        <f t="shared" si="8"/>
        <v>6.4996528417383421E-3</v>
      </c>
      <c r="AU75" s="17">
        <f t="shared" si="9"/>
        <v>-0.18971913089560144</v>
      </c>
      <c r="AV75" s="17">
        <f t="shared" si="10"/>
        <v>-2.0017893088794454E-3</v>
      </c>
    </row>
    <row r="76" spans="1:48">
      <c r="A76" t="s">
        <v>98</v>
      </c>
      <c r="B76" s="7">
        <v>1789</v>
      </c>
      <c r="C76" s="7">
        <v>1140</v>
      </c>
      <c r="D76" s="7">
        <v>1338</v>
      </c>
      <c r="E76" s="7">
        <v>1071</v>
      </c>
      <c r="F76" s="7">
        <v>621</v>
      </c>
      <c r="G76" s="7">
        <v>360</v>
      </c>
      <c r="H76" s="7">
        <v>708</v>
      </c>
      <c r="I76" s="7">
        <v>732</v>
      </c>
      <c r="J76" s="7">
        <v>1341</v>
      </c>
      <c r="K76" s="7">
        <v>918</v>
      </c>
      <c r="L76" s="7">
        <v>738</v>
      </c>
      <c r="M76" s="7">
        <v>1095</v>
      </c>
      <c r="N76" s="7">
        <v>1032</v>
      </c>
      <c r="O76" s="7">
        <v>1041</v>
      </c>
      <c r="P76" s="7">
        <v>555</v>
      </c>
      <c r="Q76" s="7">
        <v>546</v>
      </c>
      <c r="R76" s="7">
        <v>612</v>
      </c>
      <c r="S76" s="7">
        <v>576</v>
      </c>
      <c r="T76" s="7">
        <v>420</v>
      </c>
      <c r="U76" s="7">
        <v>363</v>
      </c>
      <c r="V76" s="7">
        <v>936</v>
      </c>
      <c r="W76" s="7">
        <v>264</v>
      </c>
      <c r="X76" s="7">
        <v>432</v>
      </c>
      <c r="Y76" s="7">
        <v>351</v>
      </c>
      <c r="Z76" s="7">
        <v>717</v>
      </c>
      <c r="AA76" s="7">
        <v>642</v>
      </c>
      <c r="AB76" s="7">
        <v>390</v>
      </c>
      <c r="AC76" s="7">
        <v>1242</v>
      </c>
      <c r="AD76" s="7">
        <v>624</v>
      </c>
      <c r="AE76" s="7">
        <v>1728</v>
      </c>
      <c r="AF76" s="7">
        <v>642</v>
      </c>
      <c r="AG76" s="7">
        <v>456</v>
      </c>
      <c r="AH76" s="7">
        <v>273</v>
      </c>
      <c r="AI76" s="7">
        <v>456</v>
      </c>
      <c r="AJ76" s="7">
        <v>423</v>
      </c>
      <c r="AK76" s="7">
        <v>390</v>
      </c>
      <c r="AL76" s="7">
        <v>720</v>
      </c>
      <c r="AM76" s="7">
        <v>663</v>
      </c>
      <c r="AN76" s="7">
        <v>312</v>
      </c>
      <c r="AO76" s="7">
        <v>654</v>
      </c>
      <c r="AP76" s="7">
        <v>576</v>
      </c>
      <c r="AQ76" s="7">
        <f t="shared" si="5"/>
        <v>6957</v>
      </c>
      <c r="AR76" s="7">
        <f t="shared" si="6"/>
        <v>7293</v>
      </c>
      <c r="AS76" s="17">
        <f t="shared" si="7"/>
        <v>1.2966897785730262E-2</v>
      </c>
      <c r="AT76" s="17">
        <f t="shared" si="8"/>
        <v>1.0333980417440098E-2</v>
      </c>
      <c r="AU76" s="17">
        <f t="shared" si="9"/>
        <v>4.8296679603277326E-2</v>
      </c>
      <c r="AV76" s="17">
        <f t="shared" si="10"/>
        <v>6.2625810780586003E-4</v>
      </c>
    </row>
    <row r="77" spans="1:48">
      <c r="A77" t="s">
        <v>99</v>
      </c>
      <c r="B77" s="7">
        <v>1276</v>
      </c>
      <c r="C77" s="7">
        <v>2832</v>
      </c>
      <c r="D77" s="7">
        <v>1920</v>
      </c>
      <c r="E77" s="7">
        <v>984</v>
      </c>
      <c r="F77" s="7">
        <v>564</v>
      </c>
      <c r="G77" s="7">
        <v>288</v>
      </c>
      <c r="H77" s="7">
        <v>630</v>
      </c>
      <c r="I77" s="7">
        <v>996</v>
      </c>
      <c r="J77" s="7">
        <v>1728</v>
      </c>
      <c r="K77" s="7">
        <v>1422</v>
      </c>
      <c r="L77" s="7">
        <v>960</v>
      </c>
      <c r="M77" s="7">
        <v>1254</v>
      </c>
      <c r="N77" s="7">
        <v>2220</v>
      </c>
      <c r="O77" s="7">
        <v>1206</v>
      </c>
      <c r="P77" s="7">
        <v>1284</v>
      </c>
      <c r="Q77" s="7">
        <v>666</v>
      </c>
      <c r="R77" s="7">
        <v>1290</v>
      </c>
      <c r="S77" s="7">
        <v>642</v>
      </c>
      <c r="T77" s="7">
        <v>516</v>
      </c>
      <c r="U77" s="7">
        <v>612</v>
      </c>
      <c r="V77" s="7">
        <v>1397</v>
      </c>
      <c r="W77" s="7">
        <v>594</v>
      </c>
      <c r="X77" s="7">
        <v>1230</v>
      </c>
      <c r="Y77" s="7">
        <v>948</v>
      </c>
      <c r="Z77" s="7">
        <v>1692</v>
      </c>
      <c r="AA77" s="7">
        <v>690</v>
      </c>
      <c r="AB77" s="7">
        <v>1184</v>
      </c>
      <c r="AC77" s="7">
        <v>1980</v>
      </c>
      <c r="AD77" s="7">
        <v>552</v>
      </c>
      <c r="AE77" s="7">
        <v>744</v>
      </c>
      <c r="AF77" s="7">
        <v>966</v>
      </c>
      <c r="AG77" s="7">
        <v>516</v>
      </c>
      <c r="AH77" s="7">
        <v>744</v>
      </c>
      <c r="AI77" s="7">
        <v>1296</v>
      </c>
      <c r="AJ77" s="7">
        <v>820</v>
      </c>
      <c r="AK77" s="7">
        <v>804</v>
      </c>
      <c r="AL77" s="7">
        <v>1068</v>
      </c>
      <c r="AM77" s="7">
        <v>924</v>
      </c>
      <c r="AN77" s="7">
        <v>1014</v>
      </c>
      <c r="AO77" s="7">
        <v>678</v>
      </c>
      <c r="AP77" s="7">
        <v>720</v>
      </c>
      <c r="AQ77" s="7">
        <f t="shared" si="5"/>
        <v>12037</v>
      </c>
      <c r="AR77" s="7">
        <f t="shared" si="6"/>
        <v>10294</v>
      </c>
      <c r="AS77" s="17">
        <f t="shared" si="7"/>
        <v>2.2435323939461717E-2</v>
      </c>
      <c r="AT77" s="17">
        <f t="shared" si="8"/>
        <v>1.4586314879628186E-2</v>
      </c>
      <c r="AU77" s="17">
        <f t="shared" si="9"/>
        <v>-0.14480352247237682</v>
      </c>
      <c r="AV77" s="17">
        <f t="shared" si="10"/>
        <v>-3.2487139342428986E-3</v>
      </c>
    </row>
    <row r="78" spans="1:48">
      <c r="A78" t="s">
        <v>100</v>
      </c>
      <c r="B78" s="7">
        <v>558</v>
      </c>
      <c r="C78" s="7">
        <v>654</v>
      </c>
      <c r="D78" s="7">
        <v>318</v>
      </c>
      <c r="E78" s="7">
        <v>228</v>
      </c>
      <c r="F78" s="7">
        <v>228</v>
      </c>
      <c r="G78" s="7">
        <v>390</v>
      </c>
      <c r="H78" s="7">
        <v>252</v>
      </c>
      <c r="I78" s="7">
        <v>198</v>
      </c>
      <c r="J78" s="7">
        <v>240</v>
      </c>
      <c r="K78" s="7">
        <v>330</v>
      </c>
      <c r="L78" s="7">
        <v>168</v>
      </c>
      <c r="M78" s="7">
        <v>318</v>
      </c>
      <c r="N78" s="7">
        <v>372</v>
      </c>
      <c r="O78" s="7">
        <v>336</v>
      </c>
      <c r="P78" s="7">
        <v>84</v>
      </c>
      <c r="Q78" s="7">
        <v>102</v>
      </c>
      <c r="R78" s="7">
        <v>324</v>
      </c>
      <c r="S78" s="7">
        <v>108</v>
      </c>
      <c r="T78" s="7">
        <v>6</v>
      </c>
      <c r="U78" s="7">
        <v>9</v>
      </c>
      <c r="V78" s="7">
        <v>0</v>
      </c>
      <c r="W78" s="7">
        <v>0</v>
      </c>
      <c r="X78" s="7">
        <v>126</v>
      </c>
      <c r="Y78" s="7">
        <v>402</v>
      </c>
      <c r="Z78" s="7">
        <v>252</v>
      </c>
      <c r="AA78" s="7">
        <v>0</v>
      </c>
      <c r="AB78" s="7">
        <v>0</v>
      </c>
      <c r="AC78" s="7">
        <v>492</v>
      </c>
      <c r="AD78" s="7">
        <v>324</v>
      </c>
      <c r="AE78" s="7">
        <v>570</v>
      </c>
      <c r="AF78" s="7">
        <v>264</v>
      </c>
      <c r="AG78" s="7">
        <v>381</v>
      </c>
      <c r="AH78" s="7">
        <v>186</v>
      </c>
      <c r="AI78" s="7">
        <v>282</v>
      </c>
      <c r="AJ78" s="7">
        <v>174</v>
      </c>
      <c r="AK78" s="7">
        <v>159</v>
      </c>
      <c r="AL78" s="7">
        <v>966</v>
      </c>
      <c r="AM78" s="7">
        <v>-252</v>
      </c>
      <c r="AN78" s="7">
        <v>642</v>
      </c>
      <c r="AO78" s="7">
        <v>888</v>
      </c>
      <c r="AP78" s="7">
        <v>336</v>
      </c>
      <c r="AQ78" s="7">
        <f t="shared" si="5"/>
        <v>1719</v>
      </c>
      <c r="AR78" s="7">
        <f t="shared" si="6"/>
        <v>4596</v>
      </c>
      <c r="AS78" s="17">
        <f t="shared" si="7"/>
        <v>3.2039812122567658E-3</v>
      </c>
      <c r="AT78" s="17">
        <f t="shared" si="8"/>
        <v>6.5124055942074165E-3</v>
      </c>
      <c r="AU78" s="17">
        <f t="shared" si="9"/>
        <v>1.6736474694589876</v>
      </c>
      <c r="AV78" s="17">
        <f t="shared" si="10"/>
        <v>5.3623350480876764E-3</v>
      </c>
    </row>
    <row r="79" spans="1:48">
      <c r="A79" t="s">
        <v>101</v>
      </c>
      <c r="B79" s="7">
        <v>276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408</v>
      </c>
      <c r="M79" s="7">
        <v>96</v>
      </c>
      <c r="N79" s="7">
        <v>252</v>
      </c>
      <c r="O79" s="7">
        <v>156</v>
      </c>
      <c r="P79" s="7">
        <v>612</v>
      </c>
      <c r="Q79" s="7">
        <v>228</v>
      </c>
      <c r="R79" s="7">
        <v>144</v>
      </c>
      <c r="S79" s="7">
        <v>10</v>
      </c>
      <c r="T79" s="7">
        <v>48</v>
      </c>
      <c r="U79" s="7">
        <v>48</v>
      </c>
      <c r="V79" s="7">
        <v>36</v>
      </c>
      <c r="W79" s="7">
        <v>144</v>
      </c>
      <c r="X79" s="7">
        <v>24</v>
      </c>
      <c r="Y79" s="7">
        <v>108</v>
      </c>
      <c r="Z79" s="7">
        <v>708</v>
      </c>
      <c r="AA79" s="7">
        <v>108</v>
      </c>
      <c r="AB79" s="7">
        <v>96</v>
      </c>
      <c r="AC79" s="7">
        <v>444</v>
      </c>
      <c r="AD79" s="7">
        <v>108</v>
      </c>
      <c r="AE79" s="7">
        <v>60</v>
      </c>
      <c r="AF79" s="7">
        <v>84</v>
      </c>
      <c r="AG79" s="7">
        <v>708</v>
      </c>
      <c r="AH79" s="7">
        <v>204</v>
      </c>
      <c r="AI79" s="7">
        <v>24</v>
      </c>
      <c r="AJ79" s="7">
        <v>540</v>
      </c>
      <c r="AK79" s="7">
        <v>384</v>
      </c>
      <c r="AL79" s="7">
        <v>348</v>
      </c>
      <c r="AM79" s="7">
        <v>612</v>
      </c>
      <c r="AN79" s="7">
        <v>0</v>
      </c>
      <c r="AO79" s="7">
        <v>348</v>
      </c>
      <c r="AP79" s="7">
        <v>180</v>
      </c>
      <c r="AQ79" s="7">
        <f t="shared" si="5"/>
        <v>1882</v>
      </c>
      <c r="AR79" s="7">
        <f t="shared" si="6"/>
        <v>3492</v>
      </c>
      <c r="AS79" s="17">
        <f t="shared" si="7"/>
        <v>3.5077909490792516E-3</v>
      </c>
      <c r="AT79" s="17">
        <f t="shared" si="8"/>
        <v>4.9480679580009351E-3</v>
      </c>
      <c r="AU79" s="17">
        <f t="shared" si="9"/>
        <v>0.85547290116896924</v>
      </c>
      <c r="AV79" s="17">
        <f t="shared" si="10"/>
        <v>3.0008200999030793E-3</v>
      </c>
    </row>
    <row r="80" spans="1:48">
      <c r="A80" t="s">
        <v>102</v>
      </c>
      <c r="B80" s="7">
        <v>2736</v>
      </c>
      <c r="C80" s="7">
        <v>1452</v>
      </c>
      <c r="D80" s="7">
        <v>1206</v>
      </c>
      <c r="E80" s="7">
        <v>1284</v>
      </c>
      <c r="F80" s="7">
        <v>1410</v>
      </c>
      <c r="G80" s="7">
        <v>1356</v>
      </c>
      <c r="H80" s="7">
        <v>2974</v>
      </c>
      <c r="I80" s="7">
        <v>1364</v>
      </c>
      <c r="J80" s="7">
        <v>2342</v>
      </c>
      <c r="K80" s="7">
        <v>1258</v>
      </c>
      <c r="L80" s="7">
        <v>1450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f t="shared" si="5"/>
        <v>0</v>
      </c>
      <c r="AR80" s="7">
        <f t="shared" si="6"/>
        <v>0</v>
      </c>
      <c r="AS80" s="17">
        <f t="shared" si="7"/>
        <v>0</v>
      </c>
      <c r="AT80" s="17">
        <f t="shared" si="8"/>
        <v>0</v>
      </c>
      <c r="AU80" s="17" t="e">
        <f t="shared" si="9"/>
        <v>#DIV/0!</v>
      </c>
      <c r="AV80" s="17">
        <f t="shared" si="10"/>
        <v>0</v>
      </c>
    </row>
    <row r="81" spans="1:48">
      <c r="A81" t="s">
        <v>103</v>
      </c>
      <c r="B81" s="7">
        <v>600</v>
      </c>
      <c r="C81" s="7">
        <v>2304</v>
      </c>
      <c r="D81" s="7">
        <v>780</v>
      </c>
      <c r="E81" s="7">
        <v>876</v>
      </c>
      <c r="F81" s="7">
        <v>384</v>
      </c>
      <c r="G81" s="7">
        <v>564</v>
      </c>
      <c r="H81" s="7">
        <v>1050</v>
      </c>
      <c r="I81" s="7">
        <v>507</v>
      </c>
      <c r="J81" s="7">
        <v>1230</v>
      </c>
      <c r="K81" s="7">
        <v>1074</v>
      </c>
      <c r="L81" s="7">
        <v>960</v>
      </c>
      <c r="M81" s="7">
        <v>1071</v>
      </c>
      <c r="N81" s="7">
        <v>1212</v>
      </c>
      <c r="O81" s="7">
        <v>891</v>
      </c>
      <c r="P81" s="7">
        <v>690</v>
      </c>
      <c r="Q81" s="7">
        <v>402</v>
      </c>
      <c r="R81" s="7">
        <v>1152</v>
      </c>
      <c r="S81" s="7">
        <v>555</v>
      </c>
      <c r="T81" s="7">
        <v>939</v>
      </c>
      <c r="U81" s="7">
        <v>759</v>
      </c>
      <c r="V81" s="7">
        <v>828</v>
      </c>
      <c r="W81" s="7">
        <v>801</v>
      </c>
      <c r="X81" s="7">
        <v>921</v>
      </c>
      <c r="Y81" s="7">
        <v>621</v>
      </c>
      <c r="Z81" s="7">
        <v>1167</v>
      </c>
      <c r="AA81" s="7">
        <v>555</v>
      </c>
      <c r="AB81" s="7">
        <v>366</v>
      </c>
      <c r="AC81" s="7">
        <v>801</v>
      </c>
      <c r="AD81" s="7">
        <v>1119</v>
      </c>
      <c r="AE81" s="7">
        <v>1113</v>
      </c>
      <c r="AF81" s="7">
        <v>540</v>
      </c>
      <c r="AG81" s="7">
        <v>693</v>
      </c>
      <c r="AH81" s="7">
        <v>2154</v>
      </c>
      <c r="AI81" s="7">
        <v>870</v>
      </c>
      <c r="AJ81" s="7">
        <v>1392</v>
      </c>
      <c r="AK81" s="7">
        <v>593</v>
      </c>
      <c r="AL81" s="7">
        <v>1191</v>
      </c>
      <c r="AM81" s="7">
        <v>522</v>
      </c>
      <c r="AN81" s="7">
        <v>1524</v>
      </c>
      <c r="AO81" s="7">
        <v>456</v>
      </c>
      <c r="AP81" s="7">
        <v>528</v>
      </c>
      <c r="AQ81" s="7">
        <f t="shared" si="5"/>
        <v>9432</v>
      </c>
      <c r="AR81" s="7">
        <f t="shared" si="6"/>
        <v>11576</v>
      </c>
      <c r="AS81" s="17">
        <f t="shared" si="7"/>
        <v>1.7579959740550214E-2</v>
      </c>
      <c r="AT81" s="17">
        <f t="shared" si="8"/>
        <v>1.6402873620223031E-2</v>
      </c>
      <c r="AU81" s="17">
        <f t="shared" si="9"/>
        <v>0.22731128074639528</v>
      </c>
      <c r="AV81" s="17">
        <f t="shared" si="10"/>
        <v>3.9961231640945356E-3</v>
      </c>
    </row>
    <row r="82" spans="1:48">
      <c r="A82" s="19" t="s">
        <v>104</v>
      </c>
      <c r="B82" s="7">
        <v>6180</v>
      </c>
      <c r="C82" s="7">
        <v>8010</v>
      </c>
      <c r="D82" s="7">
        <v>16508</v>
      </c>
      <c r="E82" s="7">
        <v>15716</v>
      </c>
      <c r="F82" s="7">
        <v>10347</v>
      </c>
      <c r="G82" s="7">
        <v>7128</v>
      </c>
      <c r="H82" s="7">
        <v>5235</v>
      </c>
      <c r="I82" s="7">
        <v>11742</v>
      </c>
      <c r="J82" s="7">
        <v>7461</v>
      </c>
      <c r="K82" s="7">
        <v>9918</v>
      </c>
      <c r="L82" s="7">
        <v>12648</v>
      </c>
      <c r="M82" s="7">
        <v>8223</v>
      </c>
      <c r="N82" s="7">
        <v>16650</v>
      </c>
      <c r="O82" s="7">
        <v>10413</v>
      </c>
      <c r="P82" s="7">
        <v>11043</v>
      </c>
      <c r="Q82" s="7">
        <v>7515</v>
      </c>
      <c r="R82" s="7">
        <v>5394</v>
      </c>
      <c r="S82" s="7">
        <v>6243</v>
      </c>
      <c r="T82" s="7">
        <v>5460</v>
      </c>
      <c r="U82" s="7">
        <v>4824</v>
      </c>
      <c r="V82" s="7">
        <v>10107</v>
      </c>
      <c r="W82" s="7">
        <v>4440</v>
      </c>
      <c r="X82" s="7">
        <v>4119</v>
      </c>
      <c r="Y82" s="7">
        <v>8640</v>
      </c>
      <c r="Z82" s="7">
        <v>10821</v>
      </c>
      <c r="AA82" s="7">
        <v>13878</v>
      </c>
      <c r="AB82" s="7">
        <v>9144</v>
      </c>
      <c r="AC82" s="7">
        <v>13626</v>
      </c>
      <c r="AD82" s="7">
        <v>7350</v>
      </c>
      <c r="AE82" s="7">
        <v>8319</v>
      </c>
      <c r="AF82" s="7">
        <v>4368</v>
      </c>
      <c r="AG82" s="7">
        <v>11850</v>
      </c>
      <c r="AH82" s="7">
        <v>6105</v>
      </c>
      <c r="AI82" s="7">
        <v>8472</v>
      </c>
      <c r="AJ82" s="7">
        <v>9206</v>
      </c>
      <c r="AK82" s="7">
        <v>3216</v>
      </c>
      <c r="AL82" s="7">
        <v>7398</v>
      </c>
      <c r="AM82" s="7">
        <v>9714</v>
      </c>
      <c r="AN82" s="7">
        <v>7950</v>
      </c>
      <c r="AO82" s="7">
        <v>5493</v>
      </c>
      <c r="AP82" s="7">
        <v>5778</v>
      </c>
      <c r="AQ82" s="7">
        <f t="shared" si="5"/>
        <v>98652</v>
      </c>
      <c r="AR82" s="7">
        <f t="shared" si="6"/>
        <v>87869</v>
      </c>
      <c r="AS82" s="17">
        <f t="shared" si="7"/>
        <v>0.18387385372399911</v>
      </c>
      <c r="AT82" s="17">
        <f t="shared" si="8"/>
        <v>0.12450795630056821</v>
      </c>
      <c r="AU82" s="17">
        <f t="shared" si="9"/>
        <v>-0.10930340996634635</v>
      </c>
      <c r="AV82" s="17">
        <f t="shared" si="10"/>
        <v>-2.0098039215686276E-2</v>
      </c>
    </row>
    <row r="83" spans="1:48">
      <c r="A83" t="s">
        <v>105</v>
      </c>
      <c r="B83" s="7">
        <v>102</v>
      </c>
      <c r="C83" s="7">
        <v>180</v>
      </c>
      <c r="D83" s="7">
        <v>138</v>
      </c>
      <c r="E83" s="7">
        <v>30</v>
      </c>
      <c r="F83" s="7">
        <v>126</v>
      </c>
      <c r="G83" s="7">
        <v>36</v>
      </c>
      <c r="H83" s="7">
        <v>96</v>
      </c>
      <c r="I83" s="7">
        <v>78</v>
      </c>
      <c r="J83" s="7">
        <v>144</v>
      </c>
      <c r="K83" s="7">
        <v>84</v>
      </c>
      <c r="L83" s="7">
        <v>120</v>
      </c>
      <c r="M83" s="7">
        <v>114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f t="shared" si="5"/>
        <v>0</v>
      </c>
      <c r="AR83" s="7">
        <f t="shared" si="6"/>
        <v>0</v>
      </c>
      <c r="AS83" s="17">
        <f>+AQ83/$AQ$84</f>
        <v>0</v>
      </c>
      <c r="AT83" s="17">
        <f t="shared" si="8"/>
        <v>0</v>
      </c>
      <c r="AU83" s="17" t="e">
        <f t="shared" si="9"/>
        <v>#DIV/0!</v>
      </c>
      <c r="AV83" s="17">
        <f t="shared" si="10"/>
        <v>0</v>
      </c>
    </row>
    <row r="84" spans="1:48">
      <c r="A84" s="16" t="s">
        <v>38</v>
      </c>
      <c r="B84" s="18">
        <v>56956</v>
      </c>
      <c r="C84" s="18">
        <v>47529</v>
      </c>
      <c r="D84" s="18">
        <v>80427</v>
      </c>
      <c r="E84" s="18">
        <v>51567</v>
      </c>
      <c r="F84" s="18">
        <v>41349</v>
      </c>
      <c r="G84" s="18">
        <v>32709</v>
      </c>
      <c r="H84" s="18">
        <v>35704</v>
      </c>
      <c r="I84" s="18">
        <v>52394</v>
      </c>
      <c r="J84" s="18">
        <v>44306</v>
      </c>
      <c r="K84" s="18">
        <v>41716</v>
      </c>
      <c r="L84" s="18">
        <v>52948</v>
      </c>
      <c r="M84" s="18">
        <v>37773</v>
      </c>
      <c r="N84" s="18">
        <v>69363</v>
      </c>
      <c r="O84" s="18">
        <v>50675</v>
      </c>
      <c r="P84" s="18">
        <v>44844</v>
      </c>
      <c r="Q84" s="18">
        <v>47478</v>
      </c>
      <c r="R84" s="18">
        <v>41238</v>
      </c>
      <c r="S84" s="18">
        <v>40132</v>
      </c>
      <c r="T84" s="18">
        <v>30109</v>
      </c>
      <c r="U84" s="18">
        <v>32426</v>
      </c>
      <c r="V84" s="18">
        <v>62240</v>
      </c>
      <c r="W84" s="18">
        <v>24375</v>
      </c>
      <c r="X84" s="18">
        <v>30546</v>
      </c>
      <c r="Y84" s="18">
        <v>43332</v>
      </c>
      <c r="Z84" s="18">
        <v>50553</v>
      </c>
      <c r="AA84" s="18">
        <v>49449</v>
      </c>
      <c r="AB84" s="18">
        <v>50032</v>
      </c>
      <c r="AC84" s="18">
        <v>79508</v>
      </c>
      <c r="AD84" s="18">
        <v>43818</v>
      </c>
      <c r="AE84" s="18">
        <v>54477</v>
      </c>
      <c r="AF84" s="18">
        <v>41445</v>
      </c>
      <c r="AG84" s="18">
        <v>52008</v>
      </c>
      <c r="AH84" s="18">
        <v>55514</v>
      </c>
      <c r="AI84" s="18">
        <v>65615</v>
      </c>
      <c r="AJ84" s="18">
        <v>48486</v>
      </c>
      <c r="AK84" s="18">
        <v>60380</v>
      </c>
      <c r="AL84" s="18">
        <v>72610</v>
      </c>
      <c r="AM84" s="18">
        <v>65442</v>
      </c>
      <c r="AN84" s="18">
        <v>77649</v>
      </c>
      <c r="AO84" s="18">
        <v>61197</v>
      </c>
      <c r="AP84" s="18">
        <v>50907</v>
      </c>
      <c r="AQ84" s="7">
        <f t="shared" si="5"/>
        <v>536520</v>
      </c>
      <c r="AR84" s="7">
        <f t="shared" si="6"/>
        <v>705730</v>
      </c>
      <c r="AS84" s="17">
        <f t="shared" si="7"/>
        <v>1</v>
      </c>
      <c r="AT84" s="17">
        <f t="shared" si="8"/>
        <v>1</v>
      </c>
      <c r="AU84" s="17">
        <f t="shared" si="9"/>
        <v>0.31538432863639754</v>
      </c>
      <c r="AV84" s="17">
        <f t="shared" si="10"/>
        <v>0.31538432863639754</v>
      </c>
    </row>
    <row r="86" spans="1:48">
      <c r="A86" t="s">
        <v>79</v>
      </c>
      <c r="B86" s="9">
        <v>44562</v>
      </c>
      <c r="C86" s="9">
        <v>44593</v>
      </c>
      <c r="D86" s="9">
        <v>44621</v>
      </c>
      <c r="E86" s="9">
        <v>44652</v>
      </c>
      <c r="F86" s="9">
        <v>44682</v>
      </c>
      <c r="G86" s="9">
        <v>44713</v>
      </c>
      <c r="H86" s="9">
        <v>44743</v>
      </c>
      <c r="I86" s="9">
        <v>44774</v>
      </c>
      <c r="J86" s="9">
        <v>44805</v>
      </c>
      <c r="K86" s="9">
        <v>44835</v>
      </c>
      <c r="L86" s="9">
        <v>44866</v>
      </c>
      <c r="M86" s="9">
        <v>44896</v>
      </c>
      <c r="N86" s="9">
        <v>44927</v>
      </c>
      <c r="O86" s="9">
        <v>44958</v>
      </c>
      <c r="P86" s="9">
        <v>44986</v>
      </c>
      <c r="Q86" s="9">
        <v>45017</v>
      </c>
      <c r="R86" s="9">
        <v>45047</v>
      </c>
      <c r="S86" s="9">
        <v>45078</v>
      </c>
      <c r="T86" s="9">
        <v>45108</v>
      </c>
      <c r="U86" s="9">
        <v>45139</v>
      </c>
      <c r="V86" s="9">
        <v>45170</v>
      </c>
      <c r="W86" s="9">
        <v>45200</v>
      </c>
      <c r="X86" s="9">
        <v>45231</v>
      </c>
      <c r="Y86" s="9">
        <v>45261</v>
      </c>
      <c r="Z86" s="9">
        <v>45292</v>
      </c>
      <c r="AA86" s="9">
        <v>45323</v>
      </c>
      <c r="AB86" s="9">
        <v>45352</v>
      </c>
      <c r="AC86" s="9">
        <v>45383</v>
      </c>
      <c r="AD86" s="9">
        <v>45413</v>
      </c>
      <c r="AE86" s="9">
        <v>45444</v>
      </c>
      <c r="AF86" s="9">
        <v>45474</v>
      </c>
      <c r="AG86" s="9">
        <v>45505</v>
      </c>
      <c r="AH86" s="9">
        <v>45536</v>
      </c>
      <c r="AI86" s="9">
        <v>45566</v>
      </c>
      <c r="AJ86" s="9">
        <v>45597</v>
      </c>
      <c r="AK86" s="9">
        <v>45627</v>
      </c>
      <c r="AL86" s="9">
        <v>45658</v>
      </c>
      <c r="AM86" s="9">
        <v>45689</v>
      </c>
      <c r="AN86" s="9">
        <v>45717</v>
      </c>
      <c r="AO86" s="9">
        <v>45748</v>
      </c>
      <c r="AP86" s="9">
        <v>45778</v>
      </c>
      <c r="AQ86" t="s">
        <v>63</v>
      </c>
      <c r="AR86" t="s">
        <v>64</v>
      </c>
      <c r="AS86" t="s">
        <v>80</v>
      </c>
      <c r="AT86" t="s">
        <v>81</v>
      </c>
      <c r="AU86" t="s">
        <v>82</v>
      </c>
      <c r="AV86" t="s">
        <v>78</v>
      </c>
    </row>
    <row r="87" spans="1:48">
      <c r="A87" t="s">
        <v>88</v>
      </c>
      <c r="B87" s="7">
        <v>10059</v>
      </c>
      <c r="C87" s="7">
        <v>7998</v>
      </c>
      <c r="D87" s="7">
        <v>12408</v>
      </c>
      <c r="E87" s="7">
        <v>4941</v>
      </c>
      <c r="F87" s="7">
        <v>7275</v>
      </c>
      <c r="G87" s="7">
        <v>6090</v>
      </c>
      <c r="H87" s="7">
        <v>6366</v>
      </c>
      <c r="I87" s="7">
        <v>7458</v>
      </c>
      <c r="J87" s="7">
        <v>7971</v>
      </c>
      <c r="K87" s="7">
        <v>9066</v>
      </c>
      <c r="L87" s="7">
        <v>7113</v>
      </c>
      <c r="M87" s="7">
        <v>7014</v>
      </c>
      <c r="N87" s="7">
        <v>12963</v>
      </c>
      <c r="O87" s="7">
        <v>6963</v>
      </c>
      <c r="P87" s="7">
        <v>7386</v>
      </c>
      <c r="Q87" s="7">
        <v>6693</v>
      </c>
      <c r="R87" s="7">
        <v>5184</v>
      </c>
      <c r="S87" s="7">
        <v>5610</v>
      </c>
      <c r="T87" s="7">
        <v>4380</v>
      </c>
      <c r="U87" s="7">
        <v>6111</v>
      </c>
      <c r="V87" s="7">
        <v>10812</v>
      </c>
      <c r="W87" s="7">
        <v>4167</v>
      </c>
      <c r="X87" s="7">
        <v>4773</v>
      </c>
      <c r="Y87" s="7">
        <v>6837</v>
      </c>
      <c r="Z87" s="7">
        <v>9663</v>
      </c>
      <c r="AA87" s="7">
        <v>3558</v>
      </c>
      <c r="AB87" s="7">
        <v>3681</v>
      </c>
      <c r="AC87" s="7">
        <v>7715</v>
      </c>
      <c r="AD87" s="7">
        <v>8604</v>
      </c>
      <c r="AE87" s="7">
        <v>8997</v>
      </c>
      <c r="AF87" s="7">
        <v>4902</v>
      </c>
      <c r="AG87" s="7">
        <v>7800</v>
      </c>
      <c r="AH87" s="7">
        <v>4581</v>
      </c>
      <c r="AI87" s="7">
        <v>12295</v>
      </c>
      <c r="AJ87" s="7">
        <v>5463</v>
      </c>
      <c r="AK87" s="7">
        <v>7800</v>
      </c>
      <c r="AL87" s="7">
        <v>11991</v>
      </c>
      <c r="AM87" s="7">
        <v>10524</v>
      </c>
      <c r="AN87" s="7">
        <v>10692</v>
      </c>
      <c r="AO87" s="7">
        <v>11103</v>
      </c>
      <c r="AP87" s="7">
        <v>7110</v>
      </c>
      <c r="AQ87" s="7">
        <f>+SUM(S87:AD87)</f>
        <v>75911</v>
      </c>
      <c r="AR87" s="7">
        <f>+SUM(AE87:AP87)</f>
        <v>103258</v>
      </c>
      <c r="AS87" s="17">
        <f>+AQ87/$AQ$93</f>
        <v>0.14148773577872215</v>
      </c>
      <c r="AT87" s="17">
        <f>+AR87/$AR$93</f>
        <v>0.14631374605018915</v>
      </c>
      <c r="AU87" s="17">
        <f>+AR87/AQ87-1</f>
        <v>0.36025082003925646</v>
      </c>
      <c r="AV87" s="17">
        <f>+(AR87-AQ87)/$AQ$93</f>
        <v>5.0971072839782298E-2</v>
      </c>
    </row>
    <row r="88" spans="1:48">
      <c r="A88" t="s">
        <v>92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11151</v>
      </c>
      <c r="AC88" s="7">
        <v>24108</v>
      </c>
      <c r="AD88" s="7">
        <v>4851</v>
      </c>
      <c r="AE88" s="7">
        <v>9141</v>
      </c>
      <c r="AF88" s="7">
        <v>10386</v>
      </c>
      <c r="AG88" s="7">
        <v>12300</v>
      </c>
      <c r="AH88" s="7">
        <v>17693</v>
      </c>
      <c r="AI88" s="7">
        <v>15141</v>
      </c>
      <c r="AJ88" s="7">
        <v>12030</v>
      </c>
      <c r="AK88" s="7">
        <v>20124</v>
      </c>
      <c r="AL88" s="7">
        <v>18735</v>
      </c>
      <c r="AM88" s="7">
        <v>18885</v>
      </c>
      <c r="AN88" s="7">
        <v>20616</v>
      </c>
      <c r="AO88" s="7">
        <v>18465</v>
      </c>
      <c r="AP88" s="7">
        <v>15999</v>
      </c>
      <c r="AQ88" s="7">
        <f t="shared" ref="AQ88:AQ93" si="11">+SUM(S88:AD88)</f>
        <v>40110</v>
      </c>
      <c r="AR88" s="7">
        <f t="shared" ref="AR88:AR93" si="12">+SUM(AE88:AP88)</f>
        <v>189515</v>
      </c>
      <c r="AS88" s="17">
        <f t="shared" ref="AS88:AS93" si="13">+AQ88/$AQ$93</f>
        <v>7.4759561619324538E-2</v>
      </c>
      <c r="AT88" s="17">
        <f t="shared" ref="AT88:AT93" si="14">+AR88/$AR$93</f>
        <v>0.26853754268629648</v>
      </c>
      <c r="AU88" s="17">
        <f t="shared" ref="AU88:AU93" si="15">+AR88/AQ88-1</f>
        <v>3.7248815756669158</v>
      </c>
      <c r="AV88" s="17">
        <f t="shared" ref="AV88:AV93" si="16">+(AR88-AQ88)/$AQ$93</f>
        <v>0.27847051368075748</v>
      </c>
    </row>
    <row r="89" spans="1:48">
      <c r="A89" t="s">
        <v>93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3246</v>
      </c>
      <c r="Q89" s="7">
        <v>16878</v>
      </c>
      <c r="R89" s="7">
        <v>5526</v>
      </c>
      <c r="S89" s="7">
        <v>7740</v>
      </c>
      <c r="T89" s="7">
        <v>5380</v>
      </c>
      <c r="U89" s="7">
        <v>5646</v>
      </c>
      <c r="V89" s="7">
        <v>9792</v>
      </c>
      <c r="W89" s="7">
        <v>2208</v>
      </c>
      <c r="X89" s="7">
        <v>2454</v>
      </c>
      <c r="Y89" s="7">
        <v>4632</v>
      </c>
      <c r="Z89" s="7">
        <v>7200</v>
      </c>
      <c r="AA89" s="7">
        <v>11574</v>
      </c>
      <c r="AB89" s="7">
        <v>8850</v>
      </c>
      <c r="AC89" s="7">
        <v>3156</v>
      </c>
      <c r="AD89" s="7">
        <v>8490</v>
      </c>
      <c r="AE89" s="7">
        <v>7902</v>
      </c>
      <c r="AF89" s="7">
        <v>5802</v>
      </c>
      <c r="AG89" s="7">
        <v>9714</v>
      </c>
      <c r="AH89" s="7">
        <v>7518</v>
      </c>
      <c r="AI89" s="7">
        <v>8028</v>
      </c>
      <c r="AJ89" s="7">
        <v>6516</v>
      </c>
      <c r="AK89" s="7">
        <v>10014</v>
      </c>
      <c r="AL89" s="7">
        <v>11976</v>
      </c>
      <c r="AM89" s="7">
        <v>9036</v>
      </c>
      <c r="AN89" s="7">
        <v>13278</v>
      </c>
      <c r="AO89" s="7">
        <v>10800</v>
      </c>
      <c r="AP89" s="7">
        <v>9744</v>
      </c>
      <c r="AQ89" s="7">
        <f t="shared" si="11"/>
        <v>77122</v>
      </c>
      <c r="AR89" s="7">
        <f t="shared" si="12"/>
        <v>110328</v>
      </c>
      <c r="AS89" s="17">
        <f t="shared" si="13"/>
        <v>0.14374487437560576</v>
      </c>
      <c r="AT89" s="17">
        <f t="shared" si="14"/>
        <v>0.15633174160089552</v>
      </c>
      <c r="AU89" s="17">
        <f t="shared" si="15"/>
        <v>0.43056456004771659</v>
      </c>
      <c r="AV89" s="17">
        <f t="shared" si="16"/>
        <v>6.1891448594646986E-2</v>
      </c>
    </row>
    <row r="90" spans="1:48">
      <c r="A90" t="s">
        <v>94</v>
      </c>
      <c r="B90" s="7">
        <v>19548</v>
      </c>
      <c r="C90" s="7">
        <v>4774</v>
      </c>
      <c r="D90" s="7">
        <v>17098</v>
      </c>
      <c r="E90" s="7">
        <v>12682</v>
      </c>
      <c r="F90" s="7">
        <v>7770</v>
      </c>
      <c r="G90" s="7">
        <v>6546</v>
      </c>
      <c r="H90" s="7">
        <v>9084</v>
      </c>
      <c r="I90" s="7">
        <v>17358</v>
      </c>
      <c r="J90" s="7">
        <v>10314</v>
      </c>
      <c r="K90" s="7">
        <v>9696</v>
      </c>
      <c r="L90" s="7">
        <v>19596</v>
      </c>
      <c r="M90" s="7">
        <v>9006</v>
      </c>
      <c r="N90" s="7">
        <v>19476</v>
      </c>
      <c r="O90" s="7">
        <v>16164</v>
      </c>
      <c r="P90" s="7">
        <v>8334</v>
      </c>
      <c r="Q90" s="7">
        <v>7590</v>
      </c>
      <c r="R90" s="7">
        <v>10110</v>
      </c>
      <c r="S90" s="7">
        <v>6636</v>
      </c>
      <c r="T90" s="7">
        <v>7668</v>
      </c>
      <c r="U90" s="7">
        <v>8514</v>
      </c>
      <c r="V90" s="7">
        <v>19062</v>
      </c>
      <c r="W90" s="7">
        <v>6450</v>
      </c>
      <c r="X90" s="7">
        <v>5778</v>
      </c>
      <c r="Y90" s="7">
        <v>8118</v>
      </c>
      <c r="Z90" s="7">
        <v>8316</v>
      </c>
      <c r="AA90" s="7">
        <v>7128</v>
      </c>
      <c r="AB90" s="7">
        <v>7200</v>
      </c>
      <c r="AC90" s="7">
        <v>8730</v>
      </c>
      <c r="AD90" s="7">
        <v>7950</v>
      </c>
      <c r="AE90" s="7">
        <v>12282</v>
      </c>
      <c r="AF90" s="7">
        <v>10422</v>
      </c>
      <c r="AG90" s="7">
        <v>5694</v>
      </c>
      <c r="AH90" s="7">
        <v>12162</v>
      </c>
      <c r="AI90" s="7">
        <v>15408</v>
      </c>
      <c r="AJ90" s="7">
        <v>8532</v>
      </c>
      <c r="AK90" s="7">
        <v>14868</v>
      </c>
      <c r="AL90" s="7">
        <v>15378</v>
      </c>
      <c r="AM90" s="7">
        <v>11130</v>
      </c>
      <c r="AN90" s="7">
        <v>17796</v>
      </c>
      <c r="AO90" s="7">
        <v>11136</v>
      </c>
      <c r="AP90" s="7">
        <v>8850</v>
      </c>
      <c r="AQ90" s="7">
        <f t="shared" si="11"/>
        <v>101550</v>
      </c>
      <c r="AR90" s="7">
        <f t="shared" si="12"/>
        <v>143658</v>
      </c>
      <c r="AS90" s="17">
        <f t="shared" si="13"/>
        <v>0.18927532990382465</v>
      </c>
      <c r="AT90" s="17">
        <f t="shared" si="14"/>
        <v>0.20355943491136838</v>
      </c>
      <c r="AU90" s="17">
        <f t="shared" si="15"/>
        <v>0.41465288035450509</v>
      </c>
      <c r="AV90" s="17">
        <f t="shared" si="16"/>
        <v>7.8483560724670096E-2</v>
      </c>
    </row>
    <row r="91" spans="1:48">
      <c r="A91" t="s">
        <v>104</v>
      </c>
      <c r="B91" s="7">
        <v>6180</v>
      </c>
      <c r="C91" s="7">
        <v>8010</v>
      </c>
      <c r="D91" s="7">
        <v>16508</v>
      </c>
      <c r="E91" s="7">
        <v>15716</v>
      </c>
      <c r="F91" s="7">
        <v>10347</v>
      </c>
      <c r="G91" s="7">
        <v>7128</v>
      </c>
      <c r="H91" s="7">
        <v>5235</v>
      </c>
      <c r="I91" s="7">
        <v>11742</v>
      </c>
      <c r="J91" s="7">
        <v>7461</v>
      </c>
      <c r="K91" s="7">
        <v>9918</v>
      </c>
      <c r="L91" s="7">
        <v>12648</v>
      </c>
      <c r="M91" s="7">
        <v>8223</v>
      </c>
      <c r="N91" s="7">
        <v>16650</v>
      </c>
      <c r="O91" s="7">
        <v>10413</v>
      </c>
      <c r="P91" s="7">
        <v>11043</v>
      </c>
      <c r="Q91" s="7">
        <v>7515</v>
      </c>
      <c r="R91" s="7">
        <v>5394</v>
      </c>
      <c r="S91" s="7">
        <v>6243</v>
      </c>
      <c r="T91" s="7">
        <v>5460</v>
      </c>
      <c r="U91" s="7">
        <v>4824</v>
      </c>
      <c r="V91" s="7">
        <v>10107</v>
      </c>
      <c r="W91" s="7">
        <v>4440</v>
      </c>
      <c r="X91" s="7">
        <v>4119</v>
      </c>
      <c r="Y91" s="7">
        <v>8640</v>
      </c>
      <c r="Z91" s="7">
        <v>10821</v>
      </c>
      <c r="AA91" s="7">
        <v>13878</v>
      </c>
      <c r="AB91" s="7">
        <v>9144</v>
      </c>
      <c r="AC91" s="7">
        <v>13626</v>
      </c>
      <c r="AD91" s="7">
        <v>7350</v>
      </c>
      <c r="AE91" s="7">
        <v>8319</v>
      </c>
      <c r="AF91" s="7">
        <v>4368</v>
      </c>
      <c r="AG91" s="7">
        <v>11850</v>
      </c>
      <c r="AH91" s="7">
        <v>6105</v>
      </c>
      <c r="AI91" s="7">
        <v>8472</v>
      </c>
      <c r="AJ91" s="7">
        <v>9206</v>
      </c>
      <c r="AK91" s="7">
        <v>3216</v>
      </c>
      <c r="AL91" s="7">
        <v>7398</v>
      </c>
      <c r="AM91" s="7">
        <v>9714</v>
      </c>
      <c r="AN91" s="7">
        <v>7950</v>
      </c>
      <c r="AO91" s="7">
        <v>5493</v>
      </c>
      <c r="AP91" s="7">
        <v>5778</v>
      </c>
      <c r="AQ91" s="7">
        <f t="shared" si="11"/>
        <v>98652</v>
      </c>
      <c r="AR91" s="7">
        <f t="shared" si="12"/>
        <v>87869</v>
      </c>
      <c r="AS91" s="17">
        <f t="shared" si="13"/>
        <v>0.18387385372399911</v>
      </c>
      <c r="AT91" s="17">
        <f t="shared" si="14"/>
        <v>0.12450795630056821</v>
      </c>
      <c r="AU91" s="17">
        <f t="shared" si="15"/>
        <v>-0.10930340996634635</v>
      </c>
      <c r="AV91" s="17">
        <f t="shared" si="16"/>
        <v>-2.0098039215686276E-2</v>
      </c>
    </row>
    <row r="92" spans="1:48">
      <c r="A92" t="s">
        <v>106</v>
      </c>
      <c r="B92" s="7">
        <v>21169</v>
      </c>
      <c r="C92" s="7">
        <v>26747</v>
      </c>
      <c r="D92" s="7">
        <v>34413</v>
      </c>
      <c r="E92" s="7">
        <v>18228</v>
      </c>
      <c r="F92" s="7">
        <v>15957</v>
      </c>
      <c r="G92" s="7">
        <v>12945</v>
      </c>
      <c r="H92" s="7">
        <v>15019</v>
      </c>
      <c r="I92" s="7">
        <v>15836</v>
      </c>
      <c r="J92" s="7">
        <v>18560</v>
      </c>
      <c r="K92" s="7">
        <v>13036</v>
      </c>
      <c r="L92" s="7">
        <v>13591</v>
      </c>
      <c r="M92" s="7">
        <v>13530</v>
      </c>
      <c r="N92" s="7">
        <v>20274</v>
      </c>
      <c r="O92" s="7">
        <v>17135</v>
      </c>
      <c r="P92" s="7">
        <v>14835</v>
      </c>
      <c r="Q92" s="7">
        <v>8802</v>
      </c>
      <c r="R92" s="7">
        <v>15024</v>
      </c>
      <c r="S92" s="7">
        <v>13903</v>
      </c>
      <c r="T92" s="7">
        <v>7221</v>
      </c>
      <c r="U92" s="7">
        <v>7331</v>
      </c>
      <c r="V92" s="7">
        <v>12467</v>
      </c>
      <c r="W92" s="7">
        <v>7110</v>
      </c>
      <c r="X92" s="7">
        <v>13422</v>
      </c>
      <c r="Y92" s="7">
        <v>15105</v>
      </c>
      <c r="Z92" s="7">
        <v>14553</v>
      </c>
      <c r="AA92" s="7">
        <v>13311</v>
      </c>
      <c r="AB92" s="7">
        <v>10006</v>
      </c>
      <c r="AC92" s="7">
        <v>22173</v>
      </c>
      <c r="AD92" s="7">
        <v>6573</v>
      </c>
      <c r="AE92" s="7">
        <v>7836</v>
      </c>
      <c r="AF92" s="7">
        <v>5565</v>
      </c>
      <c r="AG92" s="7">
        <v>4650</v>
      </c>
      <c r="AH92" s="7">
        <v>7455</v>
      </c>
      <c r="AI92" s="7">
        <v>6271</v>
      </c>
      <c r="AJ92" s="7">
        <v>6739</v>
      </c>
      <c r="AK92" s="7">
        <v>4358</v>
      </c>
      <c r="AL92" s="7">
        <v>7132</v>
      </c>
      <c r="AM92" s="7">
        <v>6153</v>
      </c>
      <c r="AN92" s="7">
        <v>7317</v>
      </c>
      <c r="AO92" s="7">
        <v>4200</v>
      </c>
      <c r="AP92" s="7">
        <v>3426</v>
      </c>
      <c r="AQ92" s="7">
        <f t="shared" si="11"/>
        <v>143175</v>
      </c>
      <c r="AR92" s="7">
        <f t="shared" si="12"/>
        <v>71102</v>
      </c>
      <c r="AS92" s="17">
        <f t="shared" si="13"/>
        <v>0.26685864459852382</v>
      </c>
      <c r="AT92" s="17">
        <f t="shared" si="14"/>
        <v>0.10074957845068228</v>
      </c>
      <c r="AU92" s="17">
        <f t="shared" si="15"/>
        <v>-0.50339095512484722</v>
      </c>
      <c r="AV92" s="17">
        <f t="shared" si="16"/>
        <v>-0.13433422798777306</v>
      </c>
    </row>
    <row r="93" spans="1:48">
      <c r="A93" t="s">
        <v>107</v>
      </c>
      <c r="B93" s="7">
        <f>+SUM(B87:B92)</f>
        <v>56956</v>
      </c>
      <c r="C93" s="7">
        <f t="shared" ref="C93:AP93" si="17">+SUM(C87:C92)</f>
        <v>47529</v>
      </c>
      <c r="D93" s="7">
        <f t="shared" si="17"/>
        <v>80427</v>
      </c>
      <c r="E93" s="7">
        <f t="shared" si="17"/>
        <v>51567</v>
      </c>
      <c r="F93" s="7">
        <f t="shared" si="17"/>
        <v>41349</v>
      </c>
      <c r="G93" s="7">
        <f t="shared" si="17"/>
        <v>32709</v>
      </c>
      <c r="H93" s="7">
        <f t="shared" si="17"/>
        <v>35704</v>
      </c>
      <c r="I93" s="7">
        <f t="shared" si="17"/>
        <v>52394</v>
      </c>
      <c r="J93" s="7">
        <f t="shared" si="17"/>
        <v>44306</v>
      </c>
      <c r="K93" s="7">
        <f t="shared" si="17"/>
        <v>41716</v>
      </c>
      <c r="L93" s="7">
        <f t="shared" si="17"/>
        <v>52948</v>
      </c>
      <c r="M93" s="7">
        <f t="shared" si="17"/>
        <v>37773</v>
      </c>
      <c r="N93" s="7">
        <f t="shared" si="17"/>
        <v>69363</v>
      </c>
      <c r="O93" s="7">
        <f t="shared" si="17"/>
        <v>50675</v>
      </c>
      <c r="P93" s="7">
        <f t="shared" si="17"/>
        <v>44844</v>
      </c>
      <c r="Q93" s="7">
        <f t="shared" si="17"/>
        <v>47478</v>
      </c>
      <c r="R93" s="7">
        <f t="shared" si="17"/>
        <v>41238</v>
      </c>
      <c r="S93" s="7">
        <f t="shared" si="17"/>
        <v>40132</v>
      </c>
      <c r="T93" s="7">
        <f t="shared" si="17"/>
        <v>30109</v>
      </c>
      <c r="U93" s="7">
        <f t="shared" si="17"/>
        <v>32426</v>
      </c>
      <c r="V93" s="7">
        <f t="shared" si="17"/>
        <v>62240</v>
      </c>
      <c r="W93" s="7">
        <f t="shared" si="17"/>
        <v>24375</v>
      </c>
      <c r="X93" s="7">
        <f t="shared" si="17"/>
        <v>30546</v>
      </c>
      <c r="Y93" s="7">
        <f t="shared" si="17"/>
        <v>43332</v>
      </c>
      <c r="Z93" s="7">
        <f t="shared" si="17"/>
        <v>50553</v>
      </c>
      <c r="AA93" s="7">
        <f t="shared" si="17"/>
        <v>49449</v>
      </c>
      <c r="AB93" s="7">
        <f t="shared" si="17"/>
        <v>50032</v>
      </c>
      <c r="AC93" s="7">
        <f t="shared" si="17"/>
        <v>79508</v>
      </c>
      <c r="AD93" s="7">
        <f t="shared" si="17"/>
        <v>43818</v>
      </c>
      <c r="AE93" s="7">
        <f t="shared" si="17"/>
        <v>54477</v>
      </c>
      <c r="AF93" s="7">
        <f t="shared" si="17"/>
        <v>41445</v>
      </c>
      <c r="AG93" s="7">
        <f t="shared" si="17"/>
        <v>52008</v>
      </c>
      <c r="AH93" s="7">
        <f t="shared" si="17"/>
        <v>55514</v>
      </c>
      <c r="AI93" s="7">
        <f t="shared" si="17"/>
        <v>65615</v>
      </c>
      <c r="AJ93" s="7">
        <f t="shared" si="17"/>
        <v>48486</v>
      </c>
      <c r="AK93" s="7">
        <f t="shared" si="17"/>
        <v>60380</v>
      </c>
      <c r="AL93" s="7">
        <f t="shared" si="17"/>
        <v>72610</v>
      </c>
      <c r="AM93" s="7">
        <f t="shared" si="17"/>
        <v>65442</v>
      </c>
      <c r="AN93" s="7">
        <f t="shared" si="17"/>
        <v>77649</v>
      </c>
      <c r="AO93" s="7">
        <f t="shared" si="17"/>
        <v>61197</v>
      </c>
      <c r="AP93" s="7">
        <f t="shared" si="17"/>
        <v>50907</v>
      </c>
      <c r="AQ93" s="7">
        <f t="shared" si="11"/>
        <v>536520</v>
      </c>
      <c r="AR93" s="7">
        <f t="shared" si="12"/>
        <v>705730</v>
      </c>
      <c r="AS93" s="17">
        <f t="shared" si="13"/>
        <v>1</v>
      </c>
      <c r="AT93" s="17">
        <f t="shared" si="14"/>
        <v>1</v>
      </c>
      <c r="AU93" s="17">
        <f t="shared" si="15"/>
        <v>0.31538432863639754</v>
      </c>
      <c r="AV93" s="17">
        <f t="shared" si="16"/>
        <v>0.31538432863639754</v>
      </c>
    </row>
    <row r="95" spans="1:48">
      <c r="H95" s="21" t="s">
        <v>81</v>
      </c>
      <c r="I95" s="21" t="s">
        <v>82</v>
      </c>
      <c r="J95" s="21" t="s">
        <v>78</v>
      </c>
    </row>
    <row r="96" spans="1:48">
      <c r="G96" s="23" t="s">
        <v>88</v>
      </c>
      <c r="H96" s="22">
        <v>0.14631374605018915</v>
      </c>
      <c r="I96" s="22">
        <v>0.36025082003925646</v>
      </c>
      <c r="J96" s="22">
        <v>5.0971072839782298E-2</v>
      </c>
    </row>
    <row r="97" spans="1:43">
      <c r="G97" s="23" t="s">
        <v>92</v>
      </c>
      <c r="H97" s="22">
        <v>0.26853754268629648</v>
      </c>
      <c r="I97" s="22">
        <v>3.7248815756669158</v>
      </c>
      <c r="J97" s="22">
        <v>0.27847051368075748</v>
      </c>
    </row>
    <row r="98" spans="1:43">
      <c r="G98" s="23" t="s">
        <v>93</v>
      </c>
      <c r="H98" s="22">
        <v>0.15633174160089552</v>
      </c>
      <c r="I98" s="22">
        <v>0.43056456004771659</v>
      </c>
      <c r="J98" s="22">
        <v>6.1891448594646986E-2</v>
      </c>
    </row>
    <row r="99" spans="1:43">
      <c r="G99" s="23" t="s">
        <v>94</v>
      </c>
      <c r="H99" s="22">
        <v>0.20355943491136838</v>
      </c>
      <c r="I99" s="22">
        <v>0.41465288035450509</v>
      </c>
      <c r="J99" s="22">
        <v>7.8483560724670096E-2</v>
      </c>
    </row>
    <row r="100" spans="1:43">
      <c r="G100" s="23" t="s">
        <v>104</v>
      </c>
      <c r="H100" s="22">
        <v>0.12450795630056821</v>
      </c>
      <c r="I100" s="22">
        <v>-0.10930340996634635</v>
      </c>
      <c r="J100" s="22">
        <v>-2.0098039215686276E-2</v>
      </c>
    </row>
    <row r="101" spans="1:43">
      <c r="G101" s="23" t="s">
        <v>106</v>
      </c>
      <c r="H101" s="22">
        <v>0.10074957845068228</v>
      </c>
      <c r="I101" s="22">
        <v>-0.50339095512484722</v>
      </c>
      <c r="J101" s="22">
        <v>-0.13433422798777306</v>
      </c>
    </row>
    <row r="111" spans="1:43">
      <c r="A111" t="s">
        <v>108</v>
      </c>
      <c r="B111" s="9">
        <v>44713</v>
      </c>
      <c r="C111" s="9">
        <v>44743</v>
      </c>
      <c r="D111" s="9">
        <v>44774</v>
      </c>
      <c r="E111" s="9">
        <v>44805</v>
      </c>
      <c r="F111" s="9">
        <v>44835</v>
      </c>
      <c r="G111" s="9">
        <v>44866</v>
      </c>
      <c r="H111" s="9">
        <v>44896</v>
      </c>
      <c r="I111" s="9">
        <v>44927</v>
      </c>
      <c r="J111" s="9">
        <v>44958</v>
      </c>
      <c r="K111" s="9">
        <v>44986</v>
      </c>
      <c r="L111" s="9">
        <v>45017</v>
      </c>
      <c r="M111" s="9">
        <v>45047</v>
      </c>
      <c r="N111" s="9">
        <v>45078</v>
      </c>
      <c r="O111" s="9">
        <v>45108</v>
      </c>
      <c r="P111" s="9">
        <v>45139</v>
      </c>
      <c r="Q111" s="9">
        <v>45170</v>
      </c>
      <c r="R111" s="9">
        <v>45200</v>
      </c>
      <c r="S111" s="9">
        <v>45231</v>
      </c>
      <c r="T111" s="9">
        <v>45261</v>
      </c>
      <c r="U111" s="9">
        <v>45292</v>
      </c>
      <c r="V111" s="9">
        <v>45323</v>
      </c>
      <c r="W111" s="9">
        <v>45352</v>
      </c>
      <c r="X111" s="9">
        <v>45383</v>
      </c>
      <c r="Y111" s="9">
        <v>45413</v>
      </c>
      <c r="Z111" s="9">
        <v>45444</v>
      </c>
      <c r="AA111" s="9">
        <v>45474</v>
      </c>
      <c r="AB111" s="9">
        <v>45505</v>
      </c>
      <c r="AC111" s="9">
        <v>45536</v>
      </c>
      <c r="AD111" s="9">
        <v>45566</v>
      </c>
      <c r="AE111" s="9">
        <v>45597</v>
      </c>
      <c r="AF111" s="9">
        <v>45627</v>
      </c>
      <c r="AG111" s="9">
        <v>45658</v>
      </c>
      <c r="AH111" s="9">
        <v>45689</v>
      </c>
      <c r="AI111" s="9">
        <v>45717</v>
      </c>
      <c r="AJ111" s="9">
        <v>45748</v>
      </c>
      <c r="AK111" s="9">
        <v>45778</v>
      </c>
      <c r="AL111" t="s">
        <v>63</v>
      </c>
      <c r="AM111" t="s">
        <v>64</v>
      </c>
      <c r="AN111" t="s">
        <v>80</v>
      </c>
      <c r="AO111" t="s">
        <v>81</v>
      </c>
      <c r="AP111" t="s">
        <v>82</v>
      </c>
      <c r="AQ111" t="s">
        <v>78</v>
      </c>
    </row>
    <row r="112" spans="1:43">
      <c r="A112" s="24" t="s">
        <v>88</v>
      </c>
      <c r="B112" s="11">
        <v>6512</v>
      </c>
      <c r="C112" s="11">
        <v>4039.6188000000002</v>
      </c>
      <c r="D112" s="11">
        <v>4145</v>
      </c>
      <c r="E112" s="11">
        <v>5626</v>
      </c>
      <c r="F112" s="11">
        <v>5232</v>
      </c>
      <c r="G112" s="11">
        <v>5682</v>
      </c>
      <c r="H112" s="11">
        <v>8203</v>
      </c>
      <c r="I112" s="11">
        <v>6097</v>
      </c>
      <c r="J112" s="11">
        <v>5822</v>
      </c>
      <c r="K112" s="11">
        <v>6812</v>
      </c>
      <c r="L112" s="11">
        <v>4250</v>
      </c>
      <c r="M112" s="11">
        <v>3790</v>
      </c>
      <c r="N112" s="11">
        <v>4672</v>
      </c>
      <c r="O112" s="11">
        <v>3303.9341000000004</v>
      </c>
      <c r="P112" s="11">
        <v>3745</v>
      </c>
      <c r="Q112" s="11">
        <v>4535</v>
      </c>
      <c r="R112" s="11">
        <v>4280</v>
      </c>
      <c r="S112" s="11">
        <v>3991.4403999999995</v>
      </c>
      <c r="T112" s="11">
        <v>7336.5758000000005</v>
      </c>
      <c r="U112" s="11">
        <v>4531</v>
      </c>
      <c r="V112" s="11">
        <v>4316</v>
      </c>
      <c r="W112" s="11">
        <v>5717</v>
      </c>
      <c r="X112" s="11">
        <v>3365</v>
      </c>
      <c r="Y112" s="11">
        <v>3507</v>
      </c>
      <c r="Z112" s="11">
        <v>5731</v>
      </c>
      <c r="AA112" s="11">
        <v>4078</v>
      </c>
      <c r="AB112" s="11">
        <v>4923</v>
      </c>
      <c r="AC112" s="11">
        <v>6437</v>
      </c>
      <c r="AD112" s="11">
        <v>4390</v>
      </c>
      <c r="AE112" s="11">
        <v>4074</v>
      </c>
      <c r="AF112" s="11">
        <v>6600</v>
      </c>
      <c r="AG112" s="11">
        <v>5699</v>
      </c>
      <c r="AH112" s="11">
        <v>6139</v>
      </c>
      <c r="AI112" s="11">
        <v>7875</v>
      </c>
      <c r="AJ112" s="11">
        <v>5106</v>
      </c>
      <c r="AK112" s="11">
        <v>5230</v>
      </c>
      <c r="AL112" s="11">
        <f>+SUM(N112:Y112)</f>
        <v>53299.950299999997</v>
      </c>
      <c r="AM112" s="11">
        <f>+SUM(Z112:AK112)</f>
        <v>66282</v>
      </c>
      <c r="AN112" s="17">
        <f>+AL112/$AL$118</f>
        <v>0.14242436279881227</v>
      </c>
      <c r="AO112" s="17">
        <f>+AM112/$AM$118</f>
        <v>0.13139172304697488</v>
      </c>
      <c r="AP112" s="17">
        <f>+AM112/AL112-1</f>
        <v>0.24356588752766628</v>
      </c>
      <c r="AQ112" s="17">
        <f>+(AM112-AL112)/$AL$118</f>
        <v>3.4689716330655047E-2</v>
      </c>
    </row>
    <row r="113" spans="1:50">
      <c r="A113" s="24" t="s">
        <v>92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48</v>
      </c>
      <c r="X113" s="11">
        <v>2675</v>
      </c>
      <c r="Y113" s="11">
        <v>4828</v>
      </c>
      <c r="Z113" s="11">
        <v>8448</v>
      </c>
      <c r="AA113" s="11">
        <v>5621</v>
      </c>
      <c r="AB113" s="11">
        <v>6407</v>
      </c>
      <c r="AC113" s="11">
        <v>10835</v>
      </c>
      <c r="AD113" s="11">
        <v>9857</v>
      </c>
      <c r="AE113" s="11">
        <v>8047</v>
      </c>
      <c r="AF113" s="11">
        <v>10478</v>
      </c>
      <c r="AG113" s="11">
        <v>8619</v>
      </c>
      <c r="AH113" s="11">
        <v>9028</v>
      </c>
      <c r="AI113" s="11">
        <v>14693</v>
      </c>
      <c r="AJ113" s="11">
        <v>8844</v>
      </c>
      <c r="AK113" s="11">
        <v>8680</v>
      </c>
      <c r="AL113" s="11">
        <f t="shared" ref="AL113:AL118" si="18">+SUM(N113:Y113)</f>
        <v>7551</v>
      </c>
      <c r="AM113" s="11">
        <f t="shared" ref="AM113:AM118" si="19">+SUM(Z113:AK113)</f>
        <v>109557</v>
      </c>
      <c r="AN113" s="17">
        <f t="shared" ref="AN113:AN118" si="20">+AL113/$AL$118</f>
        <v>2.0177248898744872E-2</v>
      </c>
      <c r="AO113" s="17">
        <f t="shared" ref="AO113:AO118" si="21">+AM113/$AM$118</f>
        <v>0.21717635258226106</v>
      </c>
      <c r="AP113" s="17">
        <f>+AM113/AL113-1</f>
        <v>13.508939213349226</v>
      </c>
      <c r="AQ113" s="17">
        <f t="shared" ref="AQ113:AQ118" si="22">+(AM113-AL113)/$AL$118</f>
        <v>0.27257322886576207</v>
      </c>
    </row>
    <row r="114" spans="1:50">
      <c r="A114" s="24" t="s">
        <v>93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1481</v>
      </c>
      <c r="M114" s="11">
        <v>2765</v>
      </c>
      <c r="N114" s="11">
        <v>5159</v>
      </c>
      <c r="O114" s="11">
        <v>3316.3553000000002</v>
      </c>
      <c r="P114" s="11">
        <v>5149</v>
      </c>
      <c r="Q114" s="11">
        <v>3600</v>
      </c>
      <c r="R114" s="11">
        <v>3632</v>
      </c>
      <c r="S114" s="11">
        <v>3030.7873</v>
      </c>
      <c r="T114" s="11">
        <v>5139.4434999999994</v>
      </c>
      <c r="U114" s="11">
        <v>3334</v>
      </c>
      <c r="V114" s="11">
        <v>3404</v>
      </c>
      <c r="W114" s="11">
        <v>6485</v>
      </c>
      <c r="X114" s="11">
        <v>4061</v>
      </c>
      <c r="Y114" s="11">
        <v>3434</v>
      </c>
      <c r="Z114" s="11">
        <v>8591</v>
      </c>
      <c r="AA114" s="11">
        <v>5435</v>
      </c>
      <c r="AB114" s="11">
        <v>5120</v>
      </c>
      <c r="AC114" s="11">
        <v>7734</v>
      </c>
      <c r="AD114" s="11">
        <v>5694</v>
      </c>
      <c r="AE114" s="11">
        <v>4293</v>
      </c>
      <c r="AF114" s="11">
        <v>6787</v>
      </c>
      <c r="AG114" s="11">
        <v>5656</v>
      </c>
      <c r="AH114" s="11">
        <v>6190</v>
      </c>
      <c r="AI114" s="11">
        <v>9772</v>
      </c>
      <c r="AJ114" s="11">
        <v>5973</v>
      </c>
      <c r="AK114" s="11">
        <v>5647</v>
      </c>
      <c r="AL114" s="11">
        <f t="shared" si="18"/>
        <v>49744.5861</v>
      </c>
      <c r="AM114" s="11">
        <f t="shared" si="19"/>
        <v>76892</v>
      </c>
      <c r="AN114" s="17">
        <f t="shared" si="20"/>
        <v>0.13292396968676259</v>
      </c>
      <c r="AO114" s="17">
        <f t="shared" si="21"/>
        <v>0.15242407242581688</v>
      </c>
      <c r="AP114" s="17">
        <f t="shared" ref="AP114:AP118" si="23">+AM114/AL114-1</f>
        <v>0.54573604945523901</v>
      </c>
      <c r="AQ114" s="17">
        <f t="shared" si="22"/>
        <v>7.2541402094761787E-2</v>
      </c>
    </row>
    <row r="115" spans="1:50">
      <c r="A115" s="24" t="s">
        <v>94</v>
      </c>
      <c r="B115" s="11">
        <v>6392</v>
      </c>
      <c r="C115" s="11">
        <v>4458</v>
      </c>
      <c r="D115" s="11">
        <v>6878</v>
      </c>
      <c r="E115" s="11">
        <v>9518</v>
      </c>
      <c r="F115" s="11">
        <v>7709</v>
      </c>
      <c r="G115" s="11">
        <v>9234</v>
      </c>
      <c r="H115" s="11">
        <v>15459</v>
      </c>
      <c r="I115" s="11">
        <v>11141</v>
      </c>
      <c r="J115" s="11">
        <v>10855.711299999999</v>
      </c>
      <c r="K115" s="11">
        <v>12549</v>
      </c>
      <c r="L115" s="11">
        <v>6271</v>
      </c>
      <c r="M115" s="11">
        <v>5134</v>
      </c>
      <c r="N115" s="11">
        <v>7691.4354000000003</v>
      </c>
      <c r="O115" s="11">
        <v>5093.1183000000001</v>
      </c>
      <c r="P115" s="11">
        <v>6112</v>
      </c>
      <c r="Q115" s="11">
        <v>6602</v>
      </c>
      <c r="R115" s="11">
        <v>6816</v>
      </c>
      <c r="S115" s="11">
        <v>5809.6858000000002</v>
      </c>
      <c r="T115" s="11">
        <v>12086.615700000002</v>
      </c>
      <c r="U115" s="11">
        <v>5941</v>
      </c>
      <c r="V115" s="11">
        <v>5681</v>
      </c>
      <c r="W115" s="11">
        <v>8545</v>
      </c>
      <c r="X115" s="11">
        <v>4778</v>
      </c>
      <c r="Y115" s="11">
        <v>4673</v>
      </c>
      <c r="Z115" s="11">
        <v>7119</v>
      </c>
      <c r="AA115" s="11">
        <v>6115</v>
      </c>
      <c r="AB115" s="11">
        <v>6000</v>
      </c>
      <c r="AC115" s="11">
        <v>8517</v>
      </c>
      <c r="AD115" s="11">
        <v>7157</v>
      </c>
      <c r="AE115" s="11">
        <v>5883</v>
      </c>
      <c r="AF115" s="11">
        <v>8987</v>
      </c>
      <c r="AG115" s="11">
        <v>8782</v>
      </c>
      <c r="AH115" s="11">
        <v>8128</v>
      </c>
      <c r="AI115" s="11">
        <v>11780</v>
      </c>
      <c r="AJ115" s="11">
        <v>6895</v>
      </c>
      <c r="AK115" s="11">
        <v>7447</v>
      </c>
      <c r="AL115" s="11">
        <f t="shared" si="18"/>
        <v>79828.855200000005</v>
      </c>
      <c r="AM115" s="11">
        <f t="shared" si="19"/>
        <v>92810</v>
      </c>
      <c r="AN115" s="17">
        <f t="shared" si="20"/>
        <v>0.21331302882694531</v>
      </c>
      <c r="AO115" s="17">
        <f t="shared" si="21"/>
        <v>0.18397854343546874</v>
      </c>
      <c r="AP115" s="17">
        <f t="shared" si="23"/>
        <v>0.1626121878796527</v>
      </c>
      <c r="AQ115" s="17">
        <f t="shared" si="22"/>
        <v>3.4687298320785008E-2</v>
      </c>
    </row>
    <row r="116" spans="1:50">
      <c r="A116" s="24" t="s">
        <v>104</v>
      </c>
      <c r="B116" s="11">
        <v>12886</v>
      </c>
      <c r="C116" s="11">
        <v>6822.1547</v>
      </c>
      <c r="D116" s="11">
        <v>6101.9998999999998</v>
      </c>
      <c r="E116" s="11">
        <v>7826</v>
      </c>
      <c r="F116" s="11">
        <v>7447.3333000000002</v>
      </c>
      <c r="G116" s="11">
        <v>8157.3333000000002</v>
      </c>
      <c r="H116" s="11">
        <v>12035</v>
      </c>
      <c r="I116" s="11">
        <v>7957</v>
      </c>
      <c r="J116" s="11">
        <v>7493.2371000000003</v>
      </c>
      <c r="K116" s="11">
        <v>10294</v>
      </c>
      <c r="L116" s="11">
        <v>6304</v>
      </c>
      <c r="M116" s="11">
        <v>5834</v>
      </c>
      <c r="N116" s="11">
        <v>6168.7685000000001</v>
      </c>
      <c r="O116" s="11">
        <v>4066.7630999999997</v>
      </c>
      <c r="P116" s="11">
        <v>4848.9997999999996</v>
      </c>
      <c r="Q116" s="11">
        <v>4992</v>
      </c>
      <c r="R116" s="11">
        <v>4421</v>
      </c>
      <c r="S116" s="11">
        <v>4026.2584999999999</v>
      </c>
      <c r="T116" s="11">
        <v>8047.6571999999996</v>
      </c>
      <c r="U116" s="11">
        <v>5222</v>
      </c>
      <c r="V116" s="11">
        <v>5626</v>
      </c>
      <c r="W116" s="11">
        <v>10738</v>
      </c>
      <c r="X116" s="11">
        <v>6740</v>
      </c>
      <c r="Y116" s="11">
        <v>5688</v>
      </c>
      <c r="Z116" s="11">
        <v>7846</v>
      </c>
      <c r="AA116" s="11">
        <v>4635</v>
      </c>
      <c r="AB116" s="11">
        <v>5890</v>
      </c>
      <c r="AC116" s="11">
        <v>8178</v>
      </c>
      <c r="AD116" s="11">
        <v>7109</v>
      </c>
      <c r="AE116" s="11">
        <v>5398</v>
      </c>
      <c r="AF116" s="11">
        <v>7582</v>
      </c>
      <c r="AG116" s="11">
        <v>5298</v>
      </c>
      <c r="AH116" s="11">
        <v>5825</v>
      </c>
      <c r="AI116" s="11">
        <v>7485</v>
      </c>
      <c r="AJ116" s="11">
        <v>4192</v>
      </c>
      <c r="AK116" s="11">
        <v>4197</v>
      </c>
      <c r="AL116" s="11">
        <f t="shared" si="18"/>
        <v>70585.44709999999</v>
      </c>
      <c r="AM116" s="11">
        <f t="shared" si="19"/>
        <v>73635</v>
      </c>
      <c r="AN116" s="17">
        <f t="shared" si="20"/>
        <v>0.18861344653236514</v>
      </c>
      <c r="AO116" s="17">
        <f t="shared" si="21"/>
        <v>0.14596767639123737</v>
      </c>
      <c r="AP116" s="17">
        <f t="shared" si="23"/>
        <v>4.3203705937849168E-2</v>
      </c>
      <c r="AQ116" s="17">
        <f t="shared" si="22"/>
        <v>8.1487998799085453E-3</v>
      </c>
    </row>
    <row r="117" spans="1:50">
      <c r="A117" s="24" t="s">
        <v>106</v>
      </c>
      <c r="B117" s="11">
        <v>17899</v>
      </c>
      <c r="C117" s="11">
        <v>10897.701700000001</v>
      </c>
      <c r="D117" s="11">
        <v>10417</v>
      </c>
      <c r="E117" s="11">
        <v>13535</v>
      </c>
      <c r="F117" s="11">
        <v>11681</v>
      </c>
      <c r="G117" s="11">
        <v>11906</v>
      </c>
      <c r="H117" s="11">
        <v>16644</v>
      </c>
      <c r="I117" s="11">
        <v>12916.284200000002</v>
      </c>
      <c r="J117" s="11">
        <v>10990.7114</v>
      </c>
      <c r="K117" s="11">
        <v>12984</v>
      </c>
      <c r="L117" s="11">
        <v>8018</v>
      </c>
      <c r="M117" s="11">
        <v>7274</v>
      </c>
      <c r="N117" s="11">
        <v>10397.653100000003</v>
      </c>
      <c r="O117" s="11">
        <v>6431.4869000000072</v>
      </c>
      <c r="P117" s="11">
        <v>7443</v>
      </c>
      <c r="Q117" s="11">
        <v>8318</v>
      </c>
      <c r="R117" s="11">
        <v>8391</v>
      </c>
      <c r="S117" s="11">
        <v>6551.0300000000025</v>
      </c>
      <c r="T117" s="11">
        <v>14912.368600000002</v>
      </c>
      <c r="U117" s="11">
        <v>8975</v>
      </c>
      <c r="V117" s="11">
        <v>9512</v>
      </c>
      <c r="W117" s="11">
        <v>15102</v>
      </c>
      <c r="X117" s="11">
        <v>8058</v>
      </c>
      <c r="Y117" s="11">
        <v>9132</v>
      </c>
      <c r="Z117" s="11">
        <v>12141</v>
      </c>
      <c r="AA117" s="11">
        <v>6880</v>
      </c>
      <c r="AB117" s="11">
        <v>6324</v>
      </c>
      <c r="AC117" s="11">
        <v>9738</v>
      </c>
      <c r="AD117" s="11">
        <v>8256</v>
      </c>
      <c r="AE117" s="11">
        <v>5850</v>
      </c>
      <c r="AF117" s="11">
        <v>8094</v>
      </c>
      <c r="AG117" s="11">
        <v>7353</v>
      </c>
      <c r="AH117" s="11">
        <v>5844</v>
      </c>
      <c r="AI117" s="11">
        <v>6767</v>
      </c>
      <c r="AJ117" s="11">
        <v>4023</v>
      </c>
      <c r="AK117" s="11">
        <v>4015</v>
      </c>
      <c r="AL117" s="11">
        <f t="shared" si="18"/>
        <v>113223.53860000001</v>
      </c>
      <c r="AM117" s="11">
        <f t="shared" si="19"/>
        <v>85285</v>
      </c>
      <c r="AN117" s="17">
        <f t="shared" si="20"/>
        <v>0.30254794325636974</v>
      </c>
      <c r="AO117" s="17">
        <f t="shared" si="21"/>
        <v>0.16906163211824105</v>
      </c>
      <c r="AP117" s="17">
        <f t="shared" si="23"/>
        <v>-0.24675556819242539</v>
      </c>
      <c r="AQ117" s="17">
        <f t="shared" si="22"/>
        <v>-7.4655389643675185E-2</v>
      </c>
    </row>
    <row r="118" spans="1:50">
      <c r="A118" s="24" t="s">
        <v>109</v>
      </c>
      <c r="B118" s="11">
        <f>+SUM(B112:B117)</f>
        <v>43689</v>
      </c>
      <c r="C118" s="11">
        <f t="shared" ref="C118:AK118" si="24">+SUM(C112:C117)</f>
        <v>26217.475200000001</v>
      </c>
      <c r="D118" s="11">
        <f t="shared" si="24"/>
        <v>27541.999899999999</v>
      </c>
      <c r="E118" s="11">
        <f t="shared" si="24"/>
        <v>36505</v>
      </c>
      <c r="F118" s="11">
        <f t="shared" si="24"/>
        <v>32069.333299999998</v>
      </c>
      <c r="G118" s="11">
        <f t="shared" si="24"/>
        <v>34979.333299999998</v>
      </c>
      <c r="H118" s="11">
        <f t="shared" si="24"/>
        <v>52341</v>
      </c>
      <c r="I118" s="11">
        <f t="shared" si="24"/>
        <v>38111.284200000002</v>
      </c>
      <c r="J118" s="11">
        <f t="shared" si="24"/>
        <v>35161.659800000001</v>
      </c>
      <c r="K118" s="11">
        <f t="shared" si="24"/>
        <v>42639</v>
      </c>
      <c r="L118" s="11">
        <f t="shared" si="24"/>
        <v>26324</v>
      </c>
      <c r="M118" s="11">
        <f t="shared" si="24"/>
        <v>24797</v>
      </c>
      <c r="N118" s="11">
        <f t="shared" si="24"/>
        <v>34088.857000000004</v>
      </c>
      <c r="O118" s="11">
        <f t="shared" si="24"/>
        <v>22211.657700000007</v>
      </c>
      <c r="P118" s="11">
        <f t="shared" si="24"/>
        <v>27297.999799999998</v>
      </c>
      <c r="Q118" s="11">
        <f t="shared" si="24"/>
        <v>28047</v>
      </c>
      <c r="R118" s="11">
        <f t="shared" si="24"/>
        <v>27540</v>
      </c>
      <c r="S118" s="11">
        <f t="shared" si="24"/>
        <v>23409.202000000001</v>
      </c>
      <c r="T118" s="11">
        <f t="shared" si="24"/>
        <v>47522.660800000005</v>
      </c>
      <c r="U118" s="11">
        <f t="shared" si="24"/>
        <v>28003</v>
      </c>
      <c r="V118" s="11">
        <f t="shared" si="24"/>
        <v>28539</v>
      </c>
      <c r="W118" s="11">
        <f t="shared" si="24"/>
        <v>46635</v>
      </c>
      <c r="X118" s="11">
        <f t="shared" si="24"/>
        <v>29677</v>
      </c>
      <c r="Y118" s="11">
        <f t="shared" si="24"/>
        <v>31262</v>
      </c>
      <c r="Z118" s="11">
        <f t="shared" si="24"/>
        <v>49876</v>
      </c>
      <c r="AA118" s="11">
        <f t="shared" si="24"/>
        <v>32764</v>
      </c>
      <c r="AB118" s="11">
        <f t="shared" si="24"/>
        <v>34664</v>
      </c>
      <c r="AC118" s="11">
        <f t="shared" si="24"/>
        <v>51439</v>
      </c>
      <c r="AD118" s="11">
        <f t="shared" si="24"/>
        <v>42463</v>
      </c>
      <c r="AE118" s="11">
        <f t="shared" si="24"/>
        <v>33545</v>
      </c>
      <c r="AF118" s="11">
        <f t="shared" si="24"/>
        <v>48528</v>
      </c>
      <c r="AG118" s="11">
        <f t="shared" si="24"/>
        <v>41407</v>
      </c>
      <c r="AH118" s="11">
        <f t="shared" si="24"/>
        <v>41154</v>
      </c>
      <c r="AI118" s="11">
        <f t="shared" si="24"/>
        <v>58372</v>
      </c>
      <c r="AJ118" s="11">
        <f t="shared" si="24"/>
        <v>35033</v>
      </c>
      <c r="AK118" s="11">
        <f t="shared" si="24"/>
        <v>35216</v>
      </c>
      <c r="AL118" s="11">
        <f t="shared" si="18"/>
        <v>374233.37730000005</v>
      </c>
      <c r="AM118" s="11">
        <f t="shared" si="19"/>
        <v>504461</v>
      </c>
      <c r="AN118" s="17">
        <f t="shared" si="20"/>
        <v>1</v>
      </c>
      <c r="AO118" s="17">
        <f t="shared" si="21"/>
        <v>1</v>
      </c>
      <c r="AP118" s="17">
        <f t="shared" si="23"/>
        <v>0.34798505584819717</v>
      </c>
      <c r="AQ118" s="17">
        <f t="shared" si="22"/>
        <v>0.34798505584819711</v>
      </c>
    </row>
    <row r="120" spans="1:50">
      <c r="A120" t="s">
        <v>110</v>
      </c>
      <c r="B120" s="9">
        <v>44713</v>
      </c>
      <c r="C120" s="9">
        <v>44743</v>
      </c>
      <c r="D120" s="9">
        <v>44774</v>
      </c>
      <c r="E120" s="9">
        <v>44805</v>
      </c>
      <c r="F120" s="9">
        <v>44835</v>
      </c>
      <c r="G120" s="9">
        <v>44866</v>
      </c>
      <c r="H120" s="9">
        <v>44896</v>
      </c>
      <c r="I120" s="9">
        <v>44927</v>
      </c>
      <c r="J120" s="9">
        <v>44958</v>
      </c>
      <c r="K120" s="9">
        <v>44986</v>
      </c>
      <c r="L120" s="9">
        <v>45017</v>
      </c>
      <c r="M120" s="9">
        <v>45047</v>
      </c>
      <c r="N120" s="9">
        <v>45078</v>
      </c>
      <c r="O120" s="9">
        <v>45108</v>
      </c>
      <c r="P120" s="9">
        <v>45139</v>
      </c>
      <c r="Q120" s="9">
        <v>45170</v>
      </c>
      <c r="R120" s="9">
        <v>45200</v>
      </c>
      <c r="S120" s="9">
        <v>45231</v>
      </c>
      <c r="T120" s="9">
        <v>45261</v>
      </c>
      <c r="U120" s="9">
        <v>45292</v>
      </c>
      <c r="V120" s="9">
        <v>45323</v>
      </c>
      <c r="W120" s="9">
        <v>45352</v>
      </c>
      <c r="X120" s="9">
        <v>45383</v>
      </c>
      <c r="Y120" s="9">
        <v>45413</v>
      </c>
      <c r="Z120" s="9">
        <v>45444</v>
      </c>
      <c r="AA120" s="9">
        <v>45474</v>
      </c>
      <c r="AB120" s="9">
        <v>45505</v>
      </c>
      <c r="AC120" s="9">
        <v>45536</v>
      </c>
      <c r="AD120" s="9">
        <v>45566</v>
      </c>
      <c r="AE120" s="9">
        <v>45597</v>
      </c>
      <c r="AF120" s="9">
        <v>45627</v>
      </c>
      <c r="AG120" s="9">
        <v>45658</v>
      </c>
      <c r="AH120" s="9">
        <v>45689</v>
      </c>
      <c r="AI120" s="9">
        <v>45717</v>
      </c>
      <c r="AJ120" s="9">
        <v>45748</v>
      </c>
      <c r="AK120" s="9">
        <v>45778</v>
      </c>
      <c r="AL120" t="s">
        <v>63</v>
      </c>
      <c r="AM120" t="s">
        <v>64</v>
      </c>
      <c r="AN120" t="s">
        <v>80</v>
      </c>
      <c r="AO120" t="s">
        <v>81</v>
      </c>
      <c r="AP120" t="s">
        <v>82</v>
      </c>
      <c r="AQ120" t="s">
        <v>78</v>
      </c>
    </row>
    <row r="121" spans="1:50">
      <c r="A121" s="24" t="s">
        <v>88</v>
      </c>
      <c r="B121" s="7">
        <v>6090</v>
      </c>
      <c r="C121" s="7">
        <v>6366</v>
      </c>
      <c r="D121" s="7">
        <v>7458</v>
      </c>
      <c r="E121" s="7">
        <v>7971</v>
      </c>
      <c r="F121" s="7">
        <v>9066</v>
      </c>
      <c r="G121" s="7">
        <v>7113</v>
      </c>
      <c r="H121" s="7">
        <v>7014</v>
      </c>
      <c r="I121" s="7">
        <v>12963</v>
      </c>
      <c r="J121" s="7">
        <v>6963</v>
      </c>
      <c r="K121" s="7">
        <v>7386</v>
      </c>
      <c r="L121" s="7">
        <v>6693</v>
      </c>
      <c r="M121" s="7">
        <v>5184</v>
      </c>
      <c r="N121" s="7">
        <v>5610</v>
      </c>
      <c r="O121" s="7">
        <v>4380</v>
      </c>
      <c r="P121" s="7">
        <v>6111</v>
      </c>
      <c r="Q121" s="7">
        <v>10812</v>
      </c>
      <c r="R121" s="7">
        <v>4167</v>
      </c>
      <c r="S121" s="7">
        <v>4773</v>
      </c>
      <c r="T121" s="7">
        <v>6837</v>
      </c>
      <c r="U121" s="7">
        <v>9663</v>
      </c>
      <c r="V121" s="7">
        <v>3558</v>
      </c>
      <c r="W121" s="7">
        <v>3681</v>
      </c>
      <c r="X121" s="7">
        <v>7715</v>
      </c>
      <c r="Y121" s="7">
        <v>8604</v>
      </c>
      <c r="Z121" s="7">
        <v>8997</v>
      </c>
      <c r="AA121" s="7">
        <v>4902</v>
      </c>
      <c r="AB121" s="7">
        <v>7800</v>
      </c>
      <c r="AC121" s="7">
        <v>4581</v>
      </c>
      <c r="AD121" s="7">
        <v>12295</v>
      </c>
      <c r="AE121" s="7">
        <v>5463</v>
      </c>
      <c r="AF121" s="7">
        <v>7800</v>
      </c>
      <c r="AG121" s="7">
        <v>11991</v>
      </c>
      <c r="AH121" s="7">
        <v>10524</v>
      </c>
      <c r="AI121" s="7">
        <v>10692</v>
      </c>
      <c r="AJ121" s="7">
        <v>11103</v>
      </c>
      <c r="AK121" s="7">
        <v>7110</v>
      </c>
      <c r="AL121" s="11">
        <f>+SUM(N121:Y121)</f>
        <v>75911</v>
      </c>
      <c r="AM121" s="11">
        <f>+SUM(Z121:AK121)</f>
        <v>103258</v>
      </c>
      <c r="AN121" s="17">
        <f>+AL121/$AL$127</f>
        <v>0.14148773577872215</v>
      </c>
      <c r="AO121" s="17">
        <f>+AM121/$AM$127</f>
        <v>0.14631374605018915</v>
      </c>
      <c r="AP121" s="17">
        <f t="shared" ref="AP121" si="25">+AM121/AL121-1</f>
        <v>0.36025082003925646</v>
      </c>
      <c r="AQ121" s="17">
        <f>+(AM121-AL121)/$AL$127</f>
        <v>5.0971072839782298E-2</v>
      </c>
    </row>
    <row r="122" spans="1:50">
      <c r="A122" s="24" t="s">
        <v>92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11151</v>
      </c>
      <c r="X122" s="7">
        <v>24108</v>
      </c>
      <c r="Y122" s="7">
        <v>4851</v>
      </c>
      <c r="Z122" s="7">
        <v>9141</v>
      </c>
      <c r="AA122" s="7">
        <v>10386</v>
      </c>
      <c r="AB122" s="7">
        <v>12300</v>
      </c>
      <c r="AC122" s="7">
        <v>17693</v>
      </c>
      <c r="AD122" s="7">
        <v>15141</v>
      </c>
      <c r="AE122" s="7">
        <v>12030</v>
      </c>
      <c r="AF122" s="7">
        <v>20124</v>
      </c>
      <c r="AG122" s="7">
        <v>18735</v>
      </c>
      <c r="AH122" s="7">
        <v>18885</v>
      </c>
      <c r="AI122" s="7">
        <v>20616</v>
      </c>
      <c r="AJ122" s="7">
        <v>18465</v>
      </c>
      <c r="AK122" s="7">
        <v>15999</v>
      </c>
      <c r="AL122" s="11">
        <f t="shared" ref="AL122:AL127" si="26">+SUM(N122:Y122)</f>
        <v>40110</v>
      </c>
      <c r="AM122" s="11">
        <f t="shared" ref="AM122:AM127" si="27">+SUM(Z122:AK122)</f>
        <v>189515</v>
      </c>
      <c r="AN122" s="17">
        <f t="shared" ref="AN122:AN127" si="28">+AL122/$AL$127</f>
        <v>7.4759561619324538E-2</v>
      </c>
      <c r="AO122" s="17">
        <f t="shared" ref="AO122:AO127" si="29">+AM122/$AM$127</f>
        <v>0.26853754268629648</v>
      </c>
      <c r="AP122" s="17">
        <f t="shared" ref="AP122:AP127" si="30">+AM122/AL122-1</f>
        <v>3.7248815756669158</v>
      </c>
      <c r="AQ122" s="17">
        <f t="shared" ref="AQ122:AQ127" si="31">+(AM122-AL122)/$AL$127</f>
        <v>0.27847051368075748</v>
      </c>
    </row>
    <row r="123" spans="1:50">
      <c r="A123" s="24" t="s">
        <v>93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3246</v>
      </c>
      <c r="L123" s="7">
        <v>16878</v>
      </c>
      <c r="M123" s="7">
        <v>5526</v>
      </c>
      <c r="N123" s="7">
        <v>7740</v>
      </c>
      <c r="O123" s="7">
        <v>5380</v>
      </c>
      <c r="P123" s="7">
        <v>5646</v>
      </c>
      <c r="Q123" s="7">
        <v>9792</v>
      </c>
      <c r="R123" s="7">
        <v>2208</v>
      </c>
      <c r="S123" s="7">
        <v>2454</v>
      </c>
      <c r="T123" s="7">
        <v>4632</v>
      </c>
      <c r="U123" s="7">
        <v>7200</v>
      </c>
      <c r="V123" s="7">
        <v>11574</v>
      </c>
      <c r="W123" s="7">
        <v>8850</v>
      </c>
      <c r="X123" s="7">
        <v>3156</v>
      </c>
      <c r="Y123" s="7">
        <v>8490</v>
      </c>
      <c r="Z123" s="7">
        <v>7902</v>
      </c>
      <c r="AA123" s="7">
        <v>5802</v>
      </c>
      <c r="AB123" s="7">
        <v>9714</v>
      </c>
      <c r="AC123" s="7">
        <v>7518</v>
      </c>
      <c r="AD123" s="7">
        <v>8028</v>
      </c>
      <c r="AE123" s="7">
        <v>6516</v>
      </c>
      <c r="AF123" s="7">
        <v>10014</v>
      </c>
      <c r="AG123" s="7">
        <v>11976</v>
      </c>
      <c r="AH123" s="7">
        <v>9036</v>
      </c>
      <c r="AI123" s="7">
        <v>13278</v>
      </c>
      <c r="AJ123" s="7">
        <v>10800</v>
      </c>
      <c r="AK123" s="7">
        <v>9744</v>
      </c>
      <c r="AL123" s="11">
        <f t="shared" si="26"/>
        <v>77122</v>
      </c>
      <c r="AM123" s="11">
        <f t="shared" si="27"/>
        <v>110328</v>
      </c>
      <c r="AN123" s="17">
        <f t="shared" si="28"/>
        <v>0.14374487437560576</v>
      </c>
      <c r="AO123" s="17">
        <f t="shared" si="29"/>
        <v>0.15633174160089552</v>
      </c>
      <c r="AP123" s="17">
        <f t="shared" si="30"/>
        <v>0.43056456004771659</v>
      </c>
      <c r="AQ123" s="17">
        <f t="shared" si="31"/>
        <v>6.1891448594646986E-2</v>
      </c>
    </row>
    <row r="124" spans="1:50">
      <c r="A124" s="24" t="s">
        <v>94</v>
      </c>
      <c r="B124" s="7">
        <v>6546</v>
      </c>
      <c r="C124" s="7">
        <v>9084</v>
      </c>
      <c r="D124" s="7">
        <v>17358</v>
      </c>
      <c r="E124" s="7">
        <v>10314</v>
      </c>
      <c r="F124" s="7">
        <v>9696</v>
      </c>
      <c r="G124" s="7">
        <v>19596</v>
      </c>
      <c r="H124" s="7">
        <v>9006</v>
      </c>
      <c r="I124" s="7">
        <v>19476</v>
      </c>
      <c r="J124" s="7">
        <v>16164</v>
      </c>
      <c r="K124" s="7">
        <v>8334</v>
      </c>
      <c r="L124" s="7">
        <v>7590</v>
      </c>
      <c r="M124" s="7">
        <v>10110</v>
      </c>
      <c r="N124" s="7">
        <v>6636</v>
      </c>
      <c r="O124" s="7">
        <v>7668</v>
      </c>
      <c r="P124" s="7">
        <v>8514</v>
      </c>
      <c r="Q124" s="7">
        <v>19062</v>
      </c>
      <c r="R124" s="7">
        <v>6450</v>
      </c>
      <c r="S124" s="7">
        <v>5778</v>
      </c>
      <c r="T124" s="7">
        <v>8118</v>
      </c>
      <c r="U124" s="7">
        <v>8316</v>
      </c>
      <c r="V124" s="7">
        <v>7128</v>
      </c>
      <c r="W124" s="7">
        <v>7200</v>
      </c>
      <c r="X124" s="7">
        <v>8730</v>
      </c>
      <c r="Y124" s="7">
        <v>7950</v>
      </c>
      <c r="Z124" s="7">
        <v>12282</v>
      </c>
      <c r="AA124" s="7">
        <v>10422</v>
      </c>
      <c r="AB124" s="7">
        <v>5694</v>
      </c>
      <c r="AC124" s="7">
        <v>12162</v>
      </c>
      <c r="AD124" s="7">
        <v>15408</v>
      </c>
      <c r="AE124" s="7">
        <v>8532</v>
      </c>
      <c r="AF124" s="7">
        <v>14868</v>
      </c>
      <c r="AG124" s="7">
        <v>15378</v>
      </c>
      <c r="AH124" s="7">
        <v>11130</v>
      </c>
      <c r="AI124" s="7">
        <v>17796</v>
      </c>
      <c r="AJ124" s="7">
        <v>11136</v>
      </c>
      <c r="AK124" s="7">
        <v>8850</v>
      </c>
      <c r="AL124" s="11">
        <f t="shared" si="26"/>
        <v>101550</v>
      </c>
      <c r="AM124" s="11">
        <f t="shared" si="27"/>
        <v>143658</v>
      </c>
      <c r="AN124" s="17">
        <f t="shared" si="28"/>
        <v>0.18927532990382465</v>
      </c>
      <c r="AO124" s="17">
        <f t="shared" si="29"/>
        <v>0.20355943491136838</v>
      </c>
      <c r="AP124" s="17">
        <f t="shared" si="30"/>
        <v>0.41465288035450509</v>
      </c>
      <c r="AQ124" s="17">
        <f t="shared" si="31"/>
        <v>7.8483560724670096E-2</v>
      </c>
    </row>
    <row r="125" spans="1:50">
      <c r="A125" s="24" t="s">
        <v>104</v>
      </c>
      <c r="B125" s="7">
        <v>7128</v>
      </c>
      <c r="C125" s="7">
        <v>5235</v>
      </c>
      <c r="D125" s="7">
        <v>11742</v>
      </c>
      <c r="E125" s="7">
        <v>7461</v>
      </c>
      <c r="F125" s="7">
        <v>9918</v>
      </c>
      <c r="G125" s="7">
        <v>12648</v>
      </c>
      <c r="H125" s="7">
        <v>8223</v>
      </c>
      <c r="I125" s="7">
        <v>16650</v>
      </c>
      <c r="J125" s="7">
        <v>10413</v>
      </c>
      <c r="K125" s="7">
        <v>11043</v>
      </c>
      <c r="L125" s="7">
        <v>7515</v>
      </c>
      <c r="M125" s="7">
        <v>5394</v>
      </c>
      <c r="N125" s="7">
        <v>6243</v>
      </c>
      <c r="O125" s="7">
        <v>5460</v>
      </c>
      <c r="P125" s="7">
        <v>4824</v>
      </c>
      <c r="Q125" s="7">
        <v>10107</v>
      </c>
      <c r="R125" s="7">
        <v>4440</v>
      </c>
      <c r="S125" s="7">
        <v>4119</v>
      </c>
      <c r="T125" s="7">
        <v>8640</v>
      </c>
      <c r="U125" s="7">
        <v>10821</v>
      </c>
      <c r="V125" s="7">
        <v>13878</v>
      </c>
      <c r="W125" s="7">
        <v>9144</v>
      </c>
      <c r="X125" s="7">
        <v>13626</v>
      </c>
      <c r="Y125" s="7">
        <v>7350</v>
      </c>
      <c r="Z125" s="7">
        <v>8319</v>
      </c>
      <c r="AA125" s="7">
        <v>4368</v>
      </c>
      <c r="AB125" s="7">
        <v>11850</v>
      </c>
      <c r="AC125" s="7">
        <v>6105</v>
      </c>
      <c r="AD125" s="7">
        <v>8472</v>
      </c>
      <c r="AE125" s="7">
        <v>9206</v>
      </c>
      <c r="AF125" s="7">
        <v>3216</v>
      </c>
      <c r="AG125" s="7">
        <v>7398</v>
      </c>
      <c r="AH125" s="7">
        <v>9714</v>
      </c>
      <c r="AI125" s="7">
        <v>7950</v>
      </c>
      <c r="AJ125" s="7">
        <v>5493</v>
      </c>
      <c r="AK125" s="7">
        <v>5778</v>
      </c>
      <c r="AL125" s="11">
        <f t="shared" si="26"/>
        <v>98652</v>
      </c>
      <c r="AM125" s="11">
        <f t="shared" si="27"/>
        <v>87869</v>
      </c>
      <c r="AN125" s="17">
        <f t="shared" si="28"/>
        <v>0.18387385372399911</v>
      </c>
      <c r="AO125" s="17">
        <f t="shared" si="29"/>
        <v>0.12450795630056821</v>
      </c>
      <c r="AP125" s="17">
        <f t="shared" si="30"/>
        <v>-0.10930340996634635</v>
      </c>
      <c r="AQ125" s="17">
        <f t="shared" si="31"/>
        <v>-2.0098039215686276E-2</v>
      </c>
    </row>
    <row r="126" spans="1:50">
      <c r="A126" s="24" t="s">
        <v>106</v>
      </c>
      <c r="B126" s="7">
        <v>12945</v>
      </c>
      <c r="C126" s="7">
        <v>15019</v>
      </c>
      <c r="D126" s="7">
        <v>15836</v>
      </c>
      <c r="E126" s="7">
        <v>18560</v>
      </c>
      <c r="F126" s="7">
        <v>13036</v>
      </c>
      <c r="G126" s="7">
        <v>13591</v>
      </c>
      <c r="H126" s="7">
        <v>13530</v>
      </c>
      <c r="I126" s="7">
        <v>20274</v>
      </c>
      <c r="J126" s="7">
        <v>17135</v>
      </c>
      <c r="K126" s="7">
        <v>14835</v>
      </c>
      <c r="L126" s="7">
        <v>8802</v>
      </c>
      <c r="M126" s="7">
        <v>15024</v>
      </c>
      <c r="N126" s="7">
        <v>13903</v>
      </c>
      <c r="O126" s="7">
        <v>7221</v>
      </c>
      <c r="P126" s="7">
        <v>7331</v>
      </c>
      <c r="Q126" s="7">
        <v>12467</v>
      </c>
      <c r="R126" s="7">
        <v>7110</v>
      </c>
      <c r="S126" s="7">
        <v>13422</v>
      </c>
      <c r="T126" s="7">
        <v>15105</v>
      </c>
      <c r="U126" s="7">
        <v>14553</v>
      </c>
      <c r="V126" s="7">
        <v>13311</v>
      </c>
      <c r="W126" s="7">
        <v>10006</v>
      </c>
      <c r="X126" s="7">
        <v>22173</v>
      </c>
      <c r="Y126" s="7">
        <v>6573</v>
      </c>
      <c r="Z126" s="7">
        <v>7836</v>
      </c>
      <c r="AA126" s="7">
        <v>5565</v>
      </c>
      <c r="AB126" s="7">
        <v>4650</v>
      </c>
      <c r="AC126" s="7">
        <v>7455</v>
      </c>
      <c r="AD126" s="7">
        <v>6271</v>
      </c>
      <c r="AE126" s="7">
        <v>6739</v>
      </c>
      <c r="AF126" s="7">
        <v>4358</v>
      </c>
      <c r="AG126" s="7">
        <v>7132</v>
      </c>
      <c r="AH126" s="7">
        <v>6153</v>
      </c>
      <c r="AI126" s="7">
        <v>7317</v>
      </c>
      <c r="AJ126" s="7">
        <v>4200</v>
      </c>
      <c r="AK126" s="7">
        <v>3426</v>
      </c>
      <c r="AL126" s="11">
        <f t="shared" si="26"/>
        <v>143175</v>
      </c>
      <c r="AM126" s="11">
        <f t="shared" si="27"/>
        <v>71102</v>
      </c>
      <c r="AN126" s="17">
        <f t="shared" si="28"/>
        <v>0.26685864459852382</v>
      </c>
      <c r="AO126" s="17">
        <f t="shared" si="29"/>
        <v>0.10074957845068228</v>
      </c>
      <c r="AP126" s="17">
        <f t="shared" si="30"/>
        <v>-0.50339095512484722</v>
      </c>
      <c r="AQ126" s="17">
        <f t="shared" si="31"/>
        <v>-0.13433422798777306</v>
      </c>
    </row>
    <row r="127" spans="1:50">
      <c r="A127" s="24" t="s">
        <v>109</v>
      </c>
      <c r="B127" s="7">
        <f t="shared" ref="B127" si="32">+SUM(B121:B126)</f>
        <v>32709</v>
      </c>
      <c r="C127" s="7">
        <f t="shared" ref="C127" si="33">+SUM(C121:C126)</f>
        <v>35704</v>
      </c>
      <c r="D127" s="7">
        <f t="shared" ref="D127" si="34">+SUM(D121:D126)</f>
        <v>52394</v>
      </c>
      <c r="E127" s="7">
        <f t="shared" ref="E127" si="35">+SUM(E121:E126)</f>
        <v>44306</v>
      </c>
      <c r="F127" s="7">
        <f t="shared" ref="F127" si="36">+SUM(F121:F126)</f>
        <v>41716</v>
      </c>
      <c r="G127" s="7">
        <f t="shared" ref="G127" si="37">+SUM(G121:G126)</f>
        <v>52948</v>
      </c>
      <c r="H127" s="7">
        <f t="shared" ref="H127" si="38">+SUM(H121:H126)</f>
        <v>37773</v>
      </c>
      <c r="I127" s="7">
        <f t="shared" ref="I127" si="39">+SUM(I121:I126)</f>
        <v>69363</v>
      </c>
      <c r="J127" s="7">
        <f t="shared" ref="J127" si="40">+SUM(J121:J126)</f>
        <v>50675</v>
      </c>
      <c r="K127" s="7">
        <f t="shared" ref="K127" si="41">+SUM(K121:K126)</f>
        <v>44844</v>
      </c>
      <c r="L127" s="7">
        <f t="shared" ref="L127" si="42">+SUM(L121:L126)</f>
        <v>47478</v>
      </c>
      <c r="M127" s="7">
        <f t="shared" ref="M127" si="43">+SUM(M121:M126)</f>
        <v>41238</v>
      </c>
      <c r="N127" s="7">
        <f t="shared" ref="N127" si="44">+SUM(N121:N126)</f>
        <v>40132</v>
      </c>
      <c r="O127" s="7">
        <f t="shared" ref="O127" si="45">+SUM(O121:O126)</f>
        <v>30109</v>
      </c>
      <c r="P127" s="7">
        <f t="shared" ref="P127" si="46">+SUM(P121:P126)</f>
        <v>32426</v>
      </c>
      <c r="Q127" s="7">
        <f t="shared" ref="Q127" si="47">+SUM(Q121:Q126)</f>
        <v>62240</v>
      </c>
      <c r="R127" s="7">
        <f t="shared" ref="R127" si="48">+SUM(R121:R126)</f>
        <v>24375</v>
      </c>
      <c r="S127" s="7">
        <f t="shared" ref="S127" si="49">+SUM(S121:S126)</f>
        <v>30546</v>
      </c>
      <c r="T127" s="7">
        <f t="shared" ref="T127" si="50">+SUM(T121:T126)</f>
        <v>43332</v>
      </c>
      <c r="U127" s="7">
        <f t="shared" ref="U127" si="51">+SUM(U121:U126)</f>
        <v>50553</v>
      </c>
      <c r="V127" s="7">
        <f t="shared" ref="V127" si="52">+SUM(V121:V126)</f>
        <v>49449</v>
      </c>
      <c r="W127" s="7">
        <f t="shared" ref="W127" si="53">+SUM(W121:W126)</f>
        <v>50032</v>
      </c>
      <c r="X127" s="7">
        <f t="shared" ref="X127" si="54">+SUM(X121:X126)</f>
        <v>79508</v>
      </c>
      <c r="Y127" s="7">
        <f t="shared" ref="Y127" si="55">+SUM(Y121:Y126)</f>
        <v>43818</v>
      </c>
      <c r="Z127" s="7">
        <f t="shared" ref="Z127" si="56">+SUM(Z121:Z126)</f>
        <v>54477</v>
      </c>
      <c r="AA127" s="7">
        <f t="shared" ref="AA127" si="57">+SUM(AA121:AA126)</f>
        <v>41445</v>
      </c>
      <c r="AB127" s="7">
        <f t="shared" ref="AB127" si="58">+SUM(AB121:AB126)</f>
        <v>52008</v>
      </c>
      <c r="AC127" s="7">
        <f t="shared" ref="AC127" si="59">+SUM(AC121:AC126)</f>
        <v>55514</v>
      </c>
      <c r="AD127" s="7">
        <f t="shared" ref="AD127" si="60">+SUM(AD121:AD126)</f>
        <v>65615</v>
      </c>
      <c r="AE127" s="7">
        <f t="shared" ref="AE127" si="61">+SUM(AE121:AE126)</f>
        <v>48486</v>
      </c>
      <c r="AF127" s="7">
        <f t="shared" ref="AF127" si="62">+SUM(AF121:AF126)</f>
        <v>60380</v>
      </c>
      <c r="AG127" s="7">
        <f t="shared" ref="AG127" si="63">+SUM(AG121:AG126)</f>
        <v>72610</v>
      </c>
      <c r="AH127" s="7">
        <f t="shared" ref="AH127" si="64">+SUM(AH121:AH126)</f>
        <v>65442</v>
      </c>
      <c r="AI127" s="7">
        <f t="shared" ref="AI127" si="65">+SUM(AI121:AI126)</f>
        <v>77649</v>
      </c>
      <c r="AJ127" s="7">
        <f t="shared" ref="AJ127" si="66">+SUM(AJ121:AJ126)</f>
        <v>61197</v>
      </c>
      <c r="AK127" s="7">
        <f t="shared" ref="AK127" si="67">+SUM(AK121:AK126)</f>
        <v>50907</v>
      </c>
      <c r="AL127" s="11">
        <f t="shared" si="26"/>
        <v>536520</v>
      </c>
      <c r="AM127" s="11">
        <f t="shared" si="27"/>
        <v>705730</v>
      </c>
      <c r="AN127" s="17">
        <f t="shared" si="28"/>
        <v>1</v>
      </c>
      <c r="AO127" s="17">
        <f t="shared" si="29"/>
        <v>1</v>
      </c>
      <c r="AP127" s="17">
        <f t="shared" si="30"/>
        <v>0.31538432863639754</v>
      </c>
      <c r="AQ127" s="17">
        <f t="shared" si="31"/>
        <v>0.31538432863639754</v>
      </c>
    </row>
    <row r="128" spans="1:50">
      <c r="AS128" s="47" t="s">
        <v>111</v>
      </c>
      <c r="AT128" s="47"/>
      <c r="AU128" s="47"/>
      <c r="AV128" s="47" t="s">
        <v>78</v>
      </c>
      <c r="AW128" s="47"/>
      <c r="AX128" s="47"/>
    </row>
    <row r="129" spans="1:51">
      <c r="A129" t="s">
        <v>94</v>
      </c>
      <c r="B129" s="9">
        <v>44713</v>
      </c>
      <c r="C129" s="9">
        <v>44743</v>
      </c>
      <c r="D129" s="9">
        <v>44774</v>
      </c>
      <c r="E129" s="9">
        <v>44805</v>
      </c>
      <c r="F129" s="9">
        <v>44835</v>
      </c>
      <c r="G129" s="9">
        <v>44866</v>
      </c>
      <c r="H129" s="9">
        <v>44896</v>
      </c>
      <c r="I129" s="9">
        <v>44927</v>
      </c>
      <c r="J129" s="9">
        <v>44958</v>
      </c>
      <c r="K129" s="9">
        <v>44986</v>
      </c>
      <c r="L129" s="9">
        <v>45017</v>
      </c>
      <c r="M129" s="9">
        <v>45047</v>
      </c>
      <c r="N129" s="9">
        <v>45078</v>
      </c>
      <c r="O129" s="9">
        <v>45108</v>
      </c>
      <c r="P129" s="9">
        <v>45139</v>
      </c>
      <c r="Q129" s="9">
        <v>45170</v>
      </c>
      <c r="R129" s="9">
        <v>45200</v>
      </c>
      <c r="S129" s="9">
        <v>45231</v>
      </c>
      <c r="T129" s="9">
        <v>45261</v>
      </c>
      <c r="U129" s="9">
        <v>45292</v>
      </c>
      <c r="V129" s="9">
        <v>45323</v>
      </c>
      <c r="W129" s="9">
        <v>45352</v>
      </c>
      <c r="X129" s="9">
        <v>45383</v>
      </c>
      <c r="Y129" s="9">
        <v>45413</v>
      </c>
      <c r="Z129" s="9">
        <v>45444</v>
      </c>
      <c r="AA129" s="9">
        <v>45474</v>
      </c>
      <c r="AB129" s="9">
        <v>45505</v>
      </c>
      <c r="AC129" s="9">
        <v>45536</v>
      </c>
      <c r="AD129" s="9">
        <v>45566</v>
      </c>
      <c r="AE129" s="9">
        <v>45597</v>
      </c>
      <c r="AF129" s="9">
        <v>45627</v>
      </c>
      <c r="AG129" s="9">
        <v>45658</v>
      </c>
      <c r="AH129" s="9">
        <v>45689</v>
      </c>
      <c r="AI129" s="9">
        <v>45717</v>
      </c>
      <c r="AJ129" s="9">
        <v>45748</v>
      </c>
      <c r="AK129" s="9">
        <v>45778</v>
      </c>
      <c r="AS129" s="39" t="s">
        <v>112</v>
      </c>
      <c r="AT129" s="39" t="s">
        <v>113</v>
      </c>
      <c r="AU129" s="39" t="s">
        <v>114</v>
      </c>
      <c r="AV129" s="39" t="s">
        <v>112</v>
      </c>
      <c r="AW129" s="39" t="s">
        <v>113</v>
      </c>
      <c r="AX129" s="39" t="s">
        <v>114</v>
      </c>
      <c r="AY129" s="40" t="s">
        <v>115</v>
      </c>
    </row>
    <row r="130" spans="1:51">
      <c r="A130" s="24" t="s">
        <v>112</v>
      </c>
      <c r="B130" s="10" cm="1">
        <f t="array" ref="B130">+_xlfn.XLOOKUP($A$129,$A$112:$A$118,_xlfn.XLOOKUP(B129,$B$111:$AK$111,$B$112:$AK$118))</f>
        <v>6392</v>
      </c>
      <c r="C130" s="10" cm="1">
        <f t="array" ref="C130">+_xlfn.XLOOKUP($A$129,$A$112:$A$118,_xlfn.XLOOKUP(C129,$B$111:$AK$111,$B$112:$AK$118))</f>
        <v>4458</v>
      </c>
      <c r="D130" s="10" cm="1">
        <f t="array" ref="D130">+_xlfn.XLOOKUP($A$129,$A$112:$A$118,_xlfn.XLOOKUP(D129,$B$111:$AK$111,$B$112:$AK$118))</f>
        <v>6878</v>
      </c>
      <c r="E130" s="10" cm="1">
        <f t="array" ref="E130">+_xlfn.XLOOKUP($A$129,$A$112:$A$118,_xlfn.XLOOKUP(E129,$B$111:$AK$111,$B$112:$AK$118))</f>
        <v>9518</v>
      </c>
      <c r="F130" s="10" cm="1">
        <f t="array" ref="F130">+_xlfn.XLOOKUP($A$129,$A$112:$A$118,_xlfn.XLOOKUP(F129,$B$111:$AK$111,$B$112:$AK$118))</f>
        <v>7709</v>
      </c>
      <c r="G130" s="10" cm="1">
        <f t="array" ref="G130">+_xlfn.XLOOKUP($A$129,$A$112:$A$118,_xlfn.XLOOKUP(G129,$B$111:$AK$111,$B$112:$AK$118))</f>
        <v>9234</v>
      </c>
      <c r="H130" s="10" cm="1">
        <f t="array" ref="H130">+_xlfn.XLOOKUP($A$129,$A$112:$A$118,_xlfn.XLOOKUP(H129,$B$111:$AK$111,$B$112:$AK$118))</f>
        <v>15459</v>
      </c>
      <c r="I130" s="10" cm="1">
        <f t="array" ref="I130">+_xlfn.XLOOKUP($A$129,$A$112:$A$118,_xlfn.XLOOKUP(I129,$B$111:$AK$111,$B$112:$AK$118))</f>
        <v>11141</v>
      </c>
      <c r="J130" s="10" cm="1">
        <f t="array" ref="J130">+_xlfn.XLOOKUP($A$129,$A$112:$A$118,_xlfn.XLOOKUP(J129,$B$111:$AK$111,$B$112:$AK$118))</f>
        <v>10855.711299999999</v>
      </c>
      <c r="K130" s="10" cm="1">
        <f t="array" ref="K130">+_xlfn.XLOOKUP($A$129,$A$112:$A$118,_xlfn.XLOOKUP(K129,$B$111:$AK$111,$B$112:$AK$118))</f>
        <v>12549</v>
      </c>
      <c r="L130" s="10" cm="1">
        <f t="array" ref="L130">+_xlfn.XLOOKUP($A$129,$A$112:$A$118,_xlfn.XLOOKUP(L129,$B$111:$AK$111,$B$112:$AK$118))</f>
        <v>6271</v>
      </c>
      <c r="M130" s="10" cm="1">
        <f t="array" ref="M130">+_xlfn.XLOOKUP($A$129,$A$112:$A$118,_xlfn.XLOOKUP(M129,$B$111:$AK$111,$B$112:$AK$118))</f>
        <v>5134</v>
      </c>
      <c r="N130" s="10" cm="1">
        <f t="array" ref="N130">+_xlfn.XLOOKUP($A$129,$A$112:$A$118,_xlfn.XLOOKUP(N129,$B$111:$AK$111,$B$112:$AK$118))</f>
        <v>7691.4354000000003</v>
      </c>
      <c r="O130" s="10" cm="1">
        <f t="array" ref="O130">+_xlfn.XLOOKUP($A$129,$A$112:$A$118,_xlfn.XLOOKUP(O129,$B$111:$AK$111,$B$112:$AK$118))</f>
        <v>5093.1183000000001</v>
      </c>
      <c r="P130" s="10" cm="1">
        <f t="array" ref="P130">+_xlfn.XLOOKUP($A$129,$A$112:$A$118,_xlfn.XLOOKUP(P129,$B$111:$AK$111,$B$112:$AK$118))</f>
        <v>6112</v>
      </c>
      <c r="Q130" s="10" cm="1">
        <f t="array" ref="Q130">+_xlfn.XLOOKUP($A$129,$A$112:$A$118,_xlfn.XLOOKUP(Q129,$B$111:$AK$111,$B$112:$AK$118))</f>
        <v>6602</v>
      </c>
      <c r="R130" s="10" cm="1">
        <f t="array" ref="R130">+_xlfn.XLOOKUP($A$129,$A$112:$A$118,_xlfn.XLOOKUP(R129,$B$111:$AK$111,$B$112:$AK$118))</f>
        <v>6816</v>
      </c>
      <c r="S130" s="10" cm="1">
        <f t="array" ref="S130">+_xlfn.XLOOKUP($A$129,$A$112:$A$118,_xlfn.XLOOKUP(S129,$B$111:$AK$111,$B$112:$AK$118))</f>
        <v>5809.6858000000002</v>
      </c>
      <c r="T130" s="10" cm="1">
        <f t="array" ref="T130">+_xlfn.XLOOKUP($A$129,$A$112:$A$118,_xlfn.XLOOKUP(T129,$B$111:$AK$111,$B$112:$AK$118))</f>
        <v>12086.615700000002</v>
      </c>
      <c r="U130" s="10" cm="1">
        <f t="array" ref="U130">+_xlfn.XLOOKUP($A$129,$A$112:$A$118,_xlfn.XLOOKUP(U129,$B$111:$AK$111,$B$112:$AK$118))</f>
        <v>5941</v>
      </c>
      <c r="V130" s="10" cm="1">
        <f t="array" ref="V130">+_xlfn.XLOOKUP($A$129,$A$112:$A$118,_xlfn.XLOOKUP(V129,$B$111:$AK$111,$B$112:$AK$118))</f>
        <v>5681</v>
      </c>
      <c r="W130" s="10" cm="1">
        <f t="array" ref="W130">+_xlfn.XLOOKUP($A$129,$A$112:$A$118,_xlfn.XLOOKUP(W129,$B$111:$AK$111,$B$112:$AK$118))</f>
        <v>8545</v>
      </c>
      <c r="X130" s="10" cm="1">
        <f t="array" ref="X130">+_xlfn.XLOOKUP($A$129,$A$112:$A$118,_xlfn.XLOOKUP(X129,$B$111:$AK$111,$B$112:$AK$118))</f>
        <v>4778</v>
      </c>
      <c r="Y130" s="10" cm="1">
        <f t="array" ref="Y130">+_xlfn.XLOOKUP($A$129,$A$112:$A$118,_xlfn.XLOOKUP(Y129,$B$111:$AK$111,$B$112:$AK$118))</f>
        <v>4673</v>
      </c>
      <c r="Z130" s="10" cm="1">
        <f t="array" ref="Z130">+_xlfn.XLOOKUP($A$129,$A$112:$A$118,_xlfn.XLOOKUP(Z129,$B$111:$AK$111,$B$112:$AK$118))</f>
        <v>7119</v>
      </c>
      <c r="AA130" s="10" cm="1">
        <f t="array" ref="AA130">+_xlfn.XLOOKUP($A$129,$A$112:$A$118,_xlfn.XLOOKUP(AA129,$B$111:$AK$111,$B$112:$AK$118))</f>
        <v>6115</v>
      </c>
      <c r="AB130" s="10" cm="1">
        <f t="array" ref="AB130">+_xlfn.XLOOKUP($A$129,$A$112:$A$118,_xlfn.XLOOKUP(AB129,$B$111:$AK$111,$B$112:$AK$118))</f>
        <v>6000</v>
      </c>
      <c r="AC130" s="10" cm="1">
        <f t="array" ref="AC130">+_xlfn.XLOOKUP($A$129,$A$112:$A$118,_xlfn.XLOOKUP(AC129,$B$111:$AK$111,$B$112:$AK$118))</f>
        <v>8517</v>
      </c>
      <c r="AD130" s="10" cm="1">
        <f t="array" ref="AD130">+_xlfn.XLOOKUP($A$129,$A$112:$A$118,_xlfn.XLOOKUP(AD129,$B$111:$AK$111,$B$112:$AK$118))</f>
        <v>7157</v>
      </c>
      <c r="AE130" s="10" cm="1">
        <f t="array" ref="AE130">+_xlfn.XLOOKUP($A$129,$A$112:$A$118,_xlfn.XLOOKUP(AE129,$B$111:$AK$111,$B$112:$AK$118))</f>
        <v>5883</v>
      </c>
      <c r="AF130" s="10" cm="1">
        <f t="array" ref="AF130">+_xlfn.XLOOKUP($A$129,$A$112:$A$118,_xlfn.XLOOKUP(AF129,$B$111:$AK$111,$B$112:$AK$118))</f>
        <v>8987</v>
      </c>
      <c r="AG130" s="10" cm="1">
        <f t="array" ref="AG130">+_xlfn.XLOOKUP($A$129,$A$112:$A$118,_xlfn.XLOOKUP(AG129,$B$111:$AK$111,$B$112:$AK$118))</f>
        <v>8782</v>
      </c>
      <c r="AH130" s="10" cm="1">
        <f t="array" ref="AH130">+_xlfn.XLOOKUP($A$129,$A$112:$A$118,_xlfn.XLOOKUP(AH129,$B$111:$AK$111,$B$112:$AK$118))</f>
        <v>8128</v>
      </c>
      <c r="AI130" s="10" cm="1">
        <f t="array" ref="AI130">+_xlfn.XLOOKUP($A$129,$A$112:$A$118,_xlfn.XLOOKUP(AI129,$B$111:$AK$111,$B$112:$AK$118))</f>
        <v>11780</v>
      </c>
      <c r="AJ130" s="10" cm="1">
        <f t="array" ref="AJ130">+_xlfn.XLOOKUP($A$129,$A$112:$A$118,_xlfn.XLOOKUP(AJ129,$B$111:$AK$111,$B$112:$AK$118))</f>
        <v>6895</v>
      </c>
      <c r="AK130" s="10" cm="1">
        <f t="array" ref="AK130">+_xlfn.XLOOKUP($A$129,$A$112:$A$118,_xlfn.XLOOKUP(AK129,$B$111:$AK$111,$B$112:$AK$118))</f>
        <v>7447</v>
      </c>
      <c r="AQ130" s="45" t="s">
        <v>116</v>
      </c>
      <c r="AR130" s="41" t="s">
        <v>88</v>
      </c>
      <c r="AS130" s="43">
        <f>+AP112</f>
        <v>0.24356588752766628</v>
      </c>
      <c r="AT130" s="43">
        <f>+AP121</f>
        <v>0.36025082003925646</v>
      </c>
      <c r="AU130" s="43">
        <f t="shared" ref="AU130:AU136" si="68">+AS130-AT130</f>
        <v>-0.11668493251159018</v>
      </c>
      <c r="AV130" s="43">
        <f>+AQ112</f>
        <v>3.4689716330655047E-2</v>
      </c>
      <c r="AW130" s="43">
        <f>+AQ121</f>
        <v>5.0971072839782298E-2</v>
      </c>
      <c r="AX130" s="43">
        <f t="shared" ref="AX130:AX136" si="69">+AV130-AW130</f>
        <v>-1.6281356509127251E-2</v>
      </c>
      <c r="AY130" s="21">
        <v>69</v>
      </c>
    </row>
    <row r="131" spans="1:51">
      <c r="A131" s="24" t="s">
        <v>113</v>
      </c>
      <c r="B131" s="10" cm="1">
        <f t="array" ref="B131">+_xlfn.XLOOKUP($A$129,$A$121:$A$127,_xlfn.XLOOKUP(B129,$B$120:$AK$120,$B$121:$AK$127))</f>
        <v>6546</v>
      </c>
      <c r="C131" s="10" cm="1">
        <f t="array" ref="C131">+_xlfn.XLOOKUP($A$129,$A$121:$A$127,_xlfn.XLOOKUP(C129,$B$120:$AK$120,$B$121:$AK$127))</f>
        <v>9084</v>
      </c>
      <c r="D131" s="10" cm="1">
        <f t="array" ref="D131">+_xlfn.XLOOKUP($A$129,$A$121:$A$127,_xlfn.XLOOKUP(D129,$B$120:$AK$120,$B$121:$AK$127))</f>
        <v>17358</v>
      </c>
      <c r="E131" s="10" cm="1">
        <f t="array" ref="E131">+_xlfn.XLOOKUP($A$129,$A$121:$A$127,_xlfn.XLOOKUP(E129,$B$120:$AK$120,$B$121:$AK$127))</f>
        <v>10314</v>
      </c>
      <c r="F131" s="10" cm="1">
        <f t="array" ref="F131">+_xlfn.XLOOKUP($A$129,$A$121:$A$127,_xlfn.XLOOKUP(F129,$B$120:$AK$120,$B$121:$AK$127))</f>
        <v>9696</v>
      </c>
      <c r="G131" s="10" cm="1">
        <f t="array" ref="G131">+_xlfn.XLOOKUP($A$129,$A$121:$A$127,_xlfn.XLOOKUP(G129,$B$120:$AK$120,$B$121:$AK$127))</f>
        <v>19596</v>
      </c>
      <c r="H131" s="10" cm="1">
        <f t="array" ref="H131">+_xlfn.XLOOKUP($A$129,$A$121:$A$127,_xlfn.XLOOKUP(H129,$B$120:$AK$120,$B$121:$AK$127))</f>
        <v>9006</v>
      </c>
      <c r="I131" s="10" cm="1">
        <f t="array" ref="I131">+_xlfn.XLOOKUP($A$129,$A$121:$A$127,_xlfn.XLOOKUP(I129,$B$120:$AK$120,$B$121:$AK$127))</f>
        <v>19476</v>
      </c>
      <c r="J131" s="10" cm="1">
        <f t="array" ref="J131">+_xlfn.XLOOKUP($A$129,$A$121:$A$127,_xlfn.XLOOKUP(J129,$B$120:$AK$120,$B$121:$AK$127))</f>
        <v>16164</v>
      </c>
      <c r="K131" s="10" cm="1">
        <f t="array" ref="K131">+_xlfn.XLOOKUP($A$129,$A$121:$A$127,_xlfn.XLOOKUP(K129,$B$120:$AK$120,$B$121:$AK$127))</f>
        <v>8334</v>
      </c>
      <c r="L131" s="10" cm="1">
        <f t="array" ref="L131">+_xlfn.XLOOKUP($A$129,$A$121:$A$127,_xlfn.XLOOKUP(L129,$B$120:$AK$120,$B$121:$AK$127))</f>
        <v>7590</v>
      </c>
      <c r="M131" s="10" cm="1">
        <f t="array" ref="M131">+_xlfn.XLOOKUP($A$129,$A$121:$A$127,_xlfn.XLOOKUP(M129,$B$120:$AK$120,$B$121:$AK$127))</f>
        <v>10110</v>
      </c>
      <c r="N131" s="10" cm="1">
        <f t="array" ref="N131">+_xlfn.XLOOKUP($A$129,$A$121:$A$127,_xlfn.XLOOKUP(N129,$B$120:$AK$120,$B$121:$AK$127))</f>
        <v>6636</v>
      </c>
      <c r="O131" s="10" cm="1">
        <f t="array" ref="O131">+_xlfn.XLOOKUP($A$129,$A$121:$A$127,_xlfn.XLOOKUP(O129,$B$120:$AK$120,$B$121:$AK$127))</f>
        <v>7668</v>
      </c>
      <c r="P131" s="10" cm="1">
        <f t="array" ref="P131">+_xlfn.XLOOKUP($A$129,$A$121:$A$127,_xlfn.XLOOKUP(P129,$B$120:$AK$120,$B$121:$AK$127))</f>
        <v>8514</v>
      </c>
      <c r="Q131" s="10" cm="1">
        <f t="array" ref="Q131">+_xlfn.XLOOKUP($A$129,$A$121:$A$127,_xlfn.XLOOKUP(Q129,$B$120:$AK$120,$B$121:$AK$127))</f>
        <v>19062</v>
      </c>
      <c r="R131" s="10" cm="1">
        <f t="array" ref="R131">+_xlfn.XLOOKUP($A$129,$A$121:$A$127,_xlfn.XLOOKUP(R129,$B$120:$AK$120,$B$121:$AK$127))</f>
        <v>6450</v>
      </c>
      <c r="S131" s="10" cm="1">
        <f t="array" ref="S131">+_xlfn.XLOOKUP($A$129,$A$121:$A$127,_xlfn.XLOOKUP(S129,$B$120:$AK$120,$B$121:$AK$127))</f>
        <v>5778</v>
      </c>
      <c r="T131" s="10" cm="1">
        <f t="array" ref="T131">+_xlfn.XLOOKUP($A$129,$A$121:$A$127,_xlfn.XLOOKUP(T129,$B$120:$AK$120,$B$121:$AK$127))</f>
        <v>8118</v>
      </c>
      <c r="U131" s="10" cm="1">
        <f t="array" ref="U131">+_xlfn.XLOOKUP($A$129,$A$121:$A$127,_xlfn.XLOOKUP(U129,$B$120:$AK$120,$B$121:$AK$127))</f>
        <v>8316</v>
      </c>
      <c r="V131" s="10" cm="1">
        <f t="array" ref="V131">+_xlfn.XLOOKUP($A$129,$A$121:$A$127,_xlfn.XLOOKUP(V129,$B$120:$AK$120,$B$121:$AK$127))</f>
        <v>7128</v>
      </c>
      <c r="W131" s="10" cm="1">
        <f t="array" ref="W131">+_xlfn.XLOOKUP($A$129,$A$121:$A$127,_xlfn.XLOOKUP(W129,$B$120:$AK$120,$B$121:$AK$127))</f>
        <v>7200</v>
      </c>
      <c r="X131" s="10" cm="1">
        <f t="array" ref="X131">+_xlfn.XLOOKUP($A$129,$A$121:$A$127,_xlfn.XLOOKUP(X129,$B$120:$AK$120,$B$121:$AK$127))</f>
        <v>8730</v>
      </c>
      <c r="Y131" s="10" cm="1">
        <f t="array" ref="Y131">+_xlfn.XLOOKUP($A$129,$A$121:$A$127,_xlfn.XLOOKUP(Y129,$B$120:$AK$120,$B$121:$AK$127))</f>
        <v>7950</v>
      </c>
      <c r="Z131" s="10" cm="1">
        <f t="array" ref="Z131">+_xlfn.XLOOKUP($A$129,$A$121:$A$127,_xlfn.XLOOKUP(Z129,$B$120:$AK$120,$B$121:$AK$127))</f>
        <v>12282</v>
      </c>
      <c r="AA131" s="10" cm="1">
        <f t="array" ref="AA131">+_xlfn.XLOOKUP($A$129,$A$121:$A$127,_xlfn.XLOOKUP(AA129,$B$120:$AK$120,$B$121:$AK$127))</f>
        <v>10422</v>
      </c>
      <c r="AB131" s="10" cm="1">
        <f t="array" ref="AB131">+_xlfn.XLOOKUP($A$129,$A$121:$A$127,_xlfn.XLOOKUP(AB129,$B$120:$AK$120,$B$121:$AK$127))</f>
        <v>5694</v>
      </c>
      <c r="AC131" s="10" cm="1">
        <f t="array" ref="AC131">+_xlfn.XLOOKUP($A$129,$A$121:$A$127,_xlfn.XLOOKUP(AC129,$B$120:$AK$120,$B$121:$AK$127))</f>
        <v>12162</v>
      </c>
      <c r="AD131" s="10" cm="1">
        <f t="array" ref="AD131">+_xlfn.XLOOKUP($A$129,$A$121:$A$127,_xlfn.XLOOKUP(AD129,$B$120:$AK$120,$B$121:$AK$127))</f>
        <v>15408</v>
      </c>
      <c r="AE131" s="10" cm="1">
        <f t="array" ref="AE131">+_xlfn.XLOOKUP($A$129,$A$121:$A$127,_xlfn.XLOOKUP(AE129,$B$120:$AK$120,$B$121:$AK$127))</f>
        <v>8532</v>
      </c>
      <c r="AF131" s="10" cm="1">
        <f t="array" ref="AF131">+_xlfn.XLOOKUP($A$129,$A$121:$A$127,_xlfn.XLOOKUP(AF129,$B$120:$AK$120,$B$121:$AK$127))</f>
        <v>14868</v>
      </c>
      <c r="AG131" s="10" cm="1">
        <f t="array" ref="AG131">+_xlfn.XLOOKUP($A$129,$A$121:$A$127,_xlfn.XLOOKUP(AG129,$B$120:$AK$120,$B$121:$AK$127))</f>
        <v>15378</v>
      </c>
      <c r="AH131" s="10" cm="1">
        <f t="array" ref="AH131">+_xlfn.XLOOKUP($A$129,$A$121:$A$127,_xlfn.XLOOKUP(AH129,$B$120:$AK$120,$B$121:$AK$127))</f>
        <v>11130</v>
      </c>
      <c r="AI131" s="10" cm="1">
        <f t="array" ref="AI131">+_xlfn.XLOOKUP($A$129,$A$121:$A$127,_xlfn.XLOOKUP(AI129,$B$120:$AK$120,$B$121:$AK$127))</f>
        <v>17796</v>
      </c>
      <c r="AJ131" s="10" cm="1">
        <f t="array" ref="AJ131">+_xlfn.XLOOKUP($A$129,$A$121:$A$127,_xlfn.XLOOKUP(AJ129,$B$120:$AK$120,$B$121:$AK$127))</f>
        <v>11136</v>
      </c>
      <c r="AK131" s="10" cm="1">
        <f t="array" ref="AK131">+_xlfn.XLOOKUP($A$129,$A$121:$A$127,_xlfn.XLOOKUP(AK129,$B$120:$AK$120,$B$121:$AK$127))</f>
        <v>8850</v>
      </c>
      <c r="AQ131" s="45"/>
      <c r="AR131" s="41" t="s">
        <v>94</v>
      </c>
      <c r="AS131" s="43">
        <f>+AP115</f>
        <v>0.1626121878796527</v>
      </c>
      <c r="AT131" s="43">
        <f>+AP124</f>
        <v>0.41465288035450509</v>
      </c>
      <c r="AU131" s="43">
        <f t="shared" si="68"/>
        <v>-0.25204069247485239</v>
      </c>
      <c r="AV131" s="43">
        <f>+AQ115</f>
        <v>3.4687298320785008E-2</v>
      </c>
      <c r="AW131" s="43">
        <f>+AQ124</f>
        <v>7.8483560724670096E-2</v>
      </c>
      <c r="AX131" s="43">
        <f t="shared" si="69"/>
        <v>-4.3796262403885088E-2</v>
      </c>
      <c r="AY131" s="21">
        <v>78</v>
      </c>
    </row>
    <row r="132" spans="1:51">
      <c r="AQ132" s="45"/>
      <c r="AR132" s="41" t="s">
        <v>104</v>
      </c>
      <c r="AS132" s="43">
        <f>+AP116</f>
        <v>4.3203705937849168E-2</v>
      </c>
      <c r="AT132" s="43">
        <f>+AP125</f>
        <v>-0.10930340996634635</v>
      </c>
      <c r="AU132" s="43">
        <f t="shared" si="68"/>
        <v>0.15250711590419552</v>
      </c>
      <c r="AV132" s="43">
        <f>+AQ116</f>
        <v>8.1487998799085453E-3</v>
      </c>
      <c r="AW132" s="43">
        <f>+AQ125</f>
        <v>-2.0098039215686276E-2</v>
      </c>
      <c r="AX132" s="43">
        <f t="shared" si="69"/>
        <v>2.824683909559482E-2</v>
      </c>
      <c r="AY132" s="21">
        <v>66</v>
      </c>
    </row>
    <row r="133" spans="1:51">
      <c r="AQ133" s="45"/>
      <c r="AR133" s="41" t="s">
        <v>106</v>
      </c>
      <c r="AS133" s="43">
        <f>+AP117</f>
        <v>-0.24675556819242539</v>
      </c>
      <c r="AT133" s="43">
        <f>+AP126</f>
        <v>-0.50339095512484722</v>
      </c>
      <c r="AU133" s="43">
        <f t="shared" si="68"/>
        <v>0.25663538693242183</v>
      </c>
      <c r="AV133" s="43">
        <f>+AQ117</f>
        <v>-7.4655389643675185E-2</v>
      </c>
      <c r="AW133" s="43">
        <f>+AQ126</f>
        <v>-0.13433422798777306</v>
      </c>
      <c r="AX133" s="43">
        <f t="shared" si="69"/>
        <v>5.9678838344097873E-2</v>
      </c>
      <c r="AY133" s="21">
        <v>62</v>
      </c>
    </row>
    <row r="134" spans="1:51">
      <c r="AQ134" s="45" t="s">
        <v>117</v>
      </c>
      <c r="AR134" s="42" t="s">
        <v>92</v>
      </c>
      <c r="AS134" s="43">
        <f>+AP113</f>
        <v>13.508939213349226</v>
      </c>
      <c r="AT134" s="43">
        <f>+AP122</f>
        <v>3.7248815756669158</v>
      </c>
      <c r="AU134" s="43">
        <f t="shared" si="68"/>
        <v>9.7840576376823094</v>
      </c>
      <c r="AV134" s="43">
        <f>+AQ113</f>
        <v>0.27257322886576207</v>
      </c>
      <c r="AW134" s="43">
        <f>+AQ122</f>
        <v>0.27847051368075748</v>
      </c>
      <c r="AX134" s="43">
        <f t="shared" si="69"/>
        <v>-5.8972848149954071E-3</v>
      </c>
      <c r="AY134" s="21">
        <v>78</v>
      </c>
    </row>
    <row r="135" spans="1:51">
      <c r="E135" s="46" t="s">
        <v>82</v>
      </c>
      <c r="F135" s="46"/>
      <c r="AQ135" s="45"/>
      <c r="AR135" s="42" t="s">
        <v>93</v>
      </c>
      <c r="AS135" s="43">
        <f>+AP114</f>
        <v>0.54573604945523901</v>
      </c>
      <c r="AT135" s="43">
        <f>+AP123</f>
        <v>0.43056456004771659</v>
      </c>
      <c r="AU135" s="43">
        <f t="shared" si="68"/>
        <v>0.11517148940752242</v>
      </c>
      <c r="AV135" s="43">
        <f>+AQ114</f>
        <v>7.2541402094761787E-2</v>
      </c>
      <c r="AW135" s="43">
        <f>+AQ123</f>
        <v>6.1891448594646986E-2</v>
      </c>
      <c r="AX135" s="43">
        <f t="shared" si="69"/>
        <v>1.06499535001148E-2</v>
      </c>
      <c r="AY135" s="21">
        <v>63</v>
      </c>
    </row>
    <row r="136" spans="1:51">
      <c r="E136" s="25" t="s">
        <v>112</v>
      </c>
      <c r="F136" s="26" t="s">
        <v>113</v>
      </c>
      <c r="G136" t="s">
        <v>118</v>
      </c>
      <c r="AR136" s="41" t="s">
        <v>119</v>
      </c>
      <c r="AS136" s="43">
        <f>+AP118</f>
        <v>0.34798505584819717</v>
      </c>
      <c r="AT136" s="43">
        <f>+AP127</f>
        <v>0.31538432863639754</v>
      </c>
      <c r="AU136" s="43">
        <f t="shared" si="68"/>
        <v>3.2600727211799629E-2</v>
      </c>
      <c r="AV136" s="43">
        <f>+AQ118</f>
        <v>0.34798505584819711</v>
      </c>
      <c r="AW136" s="43">
        <f>+AQ127</f>
        <v>0.31538432863639754</v>
      </c>
      <c r="AX136" s="43">
        <f t="shared" si="69"/>
        <v>3.2600727211799574E-2</v>
      </c>
      <c r="AY136" s="21">
        <v>95</v>
      </c>
    </row>
    <row r="137" spans="1:51">
      <c r="E137" s="20">
        <f>+SUM(Z130:AK130)/SUM(N130:Y130)-1</f>
        <v>0.1626121878796527</v>
      </c>
      <c r="F137" s="20">
        <f>+SUM(Z131:AK131)/SUM(N131:Y131)-1</f>
        <v>0.41465288035450509</v>
      </c>
      <c r="G137" s="27">
        <f>+E137-F137</f>
        <v>-0.25204069247485239</v>
      </c>
    </row>
    <row r="138" spans="1:51">
      <c r="E138" s="11"/>
    </row>
    <row r="148" spans="1:37">
      <c r="A148" t="s">
        <v>120</v>
      </c>
      <c r="B148" s="35">
        <v>44713</v>
      </c>
      <c r="C148" s="35">
        <v>44743</v>
      </c>
      <c r="D148" s="35">
        <v>44774</v>
      </c>
      <c r="E148" s="35">
        <v>44805</v>
      </c>
      <c r="F148" s="35">
        <v>44835</v>
      </c>
      <c r="G148" s="35">
        <v>44866</v>
      </c>
      <c r="H148" s="35">
        <v>44896</v>
      </c>
      <c r="I148" s="35">
        <v>44927</v>
      </c>
      <c r="J148" s="35">
        <v>44958</v>
      </c>
      <c r="K148" s="35">
        <v>44986</v>
      </c>
      <c r="L148" s="35">
        <v>45017</v>
      </c>
      <c r="M148" s="35">
        <v>45047</v>
      </c>
      <c r="N148" s="35">
        <v>45078</v>
      </c>
      <c r="O148" s="35">
        <v>45108</v>
      </c>
      <c r="P148" s="35">
        <v>45139</v>
      </c>
      <c r="Q148" s="35">
        <v>45170</v>
      </c>
      <c r="R148" s="35">
        <v>45200</v>
      </c>
      <c r="S148" s="35">
        <v>45231</v>
      </c>
      <c r="T148" s="35">
        <v>45261</v>
      </c>
      <c r="U148" s="35">
        <v>45292</v>
      </c>
      <c r="V148" s="35">
        <v>45323</v>
      </c>
      <c r="W148" s="35">
        <v>45352</v>
      </c>
      <c r="X148" s="35">
        <v>45383</v>
      </c>
      <c r="Y148" s="35">
        <v>45413</v>
      </c>
      <c r="Z148" s="35">
        <v>45444</v>
      </c>
      <c r="AA148" s="35">
        <v>45474</v>
      </c>
      <c r="AB148" s="35">
        <v>45505</v>
      </c>
      <c r="AC148" s="35">
        <v>45536</v>
      </c>
      <c r="AD148" s="35">
        <v>45566</v>
      </c>
      <c r="AE148" s="35">
        <v>45597</v>
      </c>
      <c r="AF148" s="35">
        <v>45627</v>
      </c>
      <c r="AG148" s="35">
        <v>45658</v>
      </c>
      <c r="AH148" s="35">
        <v>45689</v>
      </c>
      <c r="AI148" s="35">
        <v>45717</v>
      </c>
      <c r="AJ148" s="35">
        <v>45748</v>
      </c>
      <c r="AK148" s="35">
        <v>45778</v>
      </c>
    </row>
    <row r="149" spans="1:37">
      <c r="A149" s="33" t="s">
        <v>88</v>
      </c>
      <c r="B149" s="34">
        <v>6512</v>
      </c>
      <c r="C149" s="34">
        <v>4039.6188000000002</v>
      </c>
      <c r="D149" s="34">
        <v>4145</v>
      </c>
      <c r="E149" s="34">
        <v>5626</v>
      </c>
      <c r="F149" s="34">
        <v>5232</v>
      </c>
      <c r="G149" s="34">
        <v>5682</v>
      </c>
      <c r="H149" s="34">
        <v>8203</v>
      </c>
      <c r="I149" s="34">
        <v>6097</v>
      </c>
      <c r="J149" s="34">
        <v>5822</v>
      </c>
      <c r="K149" s="34">
        <v>6812</v>
      </c>
      <c r="L149" s="34">
        <v>4250</v>
      </c>
      <c r="M149" s="34">
        <v>3790</v>
      </c>
      <c r="N149" s="34">
        <v>4672</v>
      </c>
      <c r="O149" s="34">
        <v>3303.9341000000004</v>
      </c>
      <c r="P149" s="34">
        <v>3745</v>
      </c>
      <c r="Q149" s="34">
        <v>4535</v>
      </c>
      <c r="R149" s="34">
        <v>4280</v>
      </c>
      <c r="S149" s="34">
        <v>3991.4403999999995</v>
      </c>
      <c r="T149" s="34">
        <v>7336.5758000000005</v>
      </c>
      <c r="U149" s="34">
        <v>4531</v>
      </c>
      <c r="V149" s="34">
        <v>4316</v>
      </c>
      <c r="W149" s="34">
        <v>5717</v>
      </c>
      <c r="X149" s="34">
        <v>3365</v>
      </c>
      <c r="Y149" s="34">
        <v>3507</v>
      </c>
      <c r="Z149" s="34">
        <v>5731</v>
      </c>
      <c r="AA149" s="34">
        <v>4078</v>
      </c>
      <c r="AB149" s="34">
        <v>4923</v>
      </c>
      <c r="AC149" s="34">
        <v>6437</v>
      </c>
      <c r="AD149" s="34">
        <v>4390</v>
      </c>
      <c r="AE149" s="34">
        <v>4074</v>
      </c>
      <c r="AF149" s="34">
        <v>6600</v>
      </c>
      <c r="AG149" s="34">
        <v>5699</v>
      </c>
      <c r="AH149" s="34">
        <v>6139</v>
      </c>
      <c r="AI149" s="34">
        <v>7875</v>
      </c>
      <c r="AJ149" s="34">
        <v>5106</v>
      </c>
      <c r="AK149" s="34">
        <v>5230</v>
      </c>
    </row>
    <row r="150" spans="1:37">
      <c r="A150" s="33" t="s">
        <v>94</v>
      </c>
      <c r="B150" s="34">
        <v>6392</v>
      </c>
      <c r="C150" s="34">
        <v>4458</v>
      </c>
      <c r="D150" s="34">
        <v>6878</v>
      </c>
      <c r="E150" s="34">
        <v>9518</v>
      </c>
      <c r="F150" s="34">
        <v>7709</v>
      </c>
      <c r="G150" s="34">
        <v>9234</v>
      </c>
      <c r="H150" s="34">
        <v>15459</v>
      </c>
      <c r="I150" s="34">
        <v>11141</v>
      </c>
      <c r="J150" s="34">
        <v>10855.711299999999</v>
      </c>
      <c r="K150" s="34">
        <v>12549</v>
      </c>
      <c r="L150" s="34">
        <v>6271</v>
      </c>
      <c r="M150" s="34">
        <v>5134</v>
      </c>
      <c r="N150" s="34">
        <v>7691.4354000000003</v>
      </c>
      <c r="O150" s="34">
        <v>5093.1183000000001</v>
      </c>
      <c r="P150" s="34">
        <v>6112</v>
      </c>
      <c r="Q150" s="34">
        <v>6602</v>
      </c>
      <c r="R150" s="34">
        <v>6816</v>
      </c>
      <c r="S150" s="34">
        <v>5809.6858000000002</v>
      </c>
      <c r="T150" s="34">
        <v>12086.615700000002</v>
      </c>
      <c r="U150" s="34">
        <v>5941</v>
      </c>
      <c r="V150" s="34">
        <v>5681</v>
      </c>
      <c r="W150" s="34">
        <v>8545</v>
      </c>
      <c r="X150" s="34">
        <v>4778</v>
      </c>
      <c r="Y150" s="34">
        <v>4673</v>
      </c>
      <c r="Z150" s="34">
        <v>7119</v>
      </c>
      <c r="AA150" s="34">
        <v>6115</v>
      </c>
      <c r="AB150" s="34">
        <v>6000</v>
      </c>
      <c r="AC150" s="34">
        <v>8517</v>
      </c>
      <c r="AD150" s="34">
        <v>7157</v>
      </c>
      <c r="AE150" s="34">
        <v>5883</v>
      </c>
      <c r="AF150" s="34">
        <v>8987</v>
      </c>
      <c r="AG150" s="34">
        <v>8782</v>
      </c>
      <c r="AH150" s="34">
        <v>8128</v>
      </c>
      <c r="AI150" s="34">
        <v>11780</v>
      </c>
      <c r="AJ150" s="34">
        <v>6895</v>
      </c>
      <c r="AK150" s="34">
        <v>7447</v>
      </c>
    </row>
    <row r="151" spans="1:37">
      <c r="A151" s="33" t="s">
        <v>104</v>
      </c>
      <c r="B151" s="34">
        <v>12886</v>
      </c>
      <c r="C151" s="34">
        <v>6822.1547</v>
      </c>
      <c r="D151" s="34">
        <v>6101.9998999999998</v>
      </c>
      <c r="E151" s="34">
        <v>7826</v>
      </c>
      <c r="F151" s="34">
        <v>7447.3333000000002</v>
      </c>
      <c r="G151" s="34">
        <v>8157.3333000000002</v>
      </c>
      <c r="H151" s="34">
        <v>12035</v>
      </c>
      <c r="I151" s="34">
        <v>7957</v>
      </c>
      <c r="J151" s="34">
        <v>7493.2371000000003</v>
      </c>
      <c r="K151" s="34">
        <v>10294</v>
      </c>
      <c r="L151" s="34">
        <v>6304</v>
      </c>
      <c r="M151" s="34">
        <v>5834</v>
      </c>
      <c r="N151" s="34">
        <v>6168.7685000000001</v>
      </c>
      <c r="O151" s="34">
        <v>4066.7630999999997</v>
      </c>
      <c r="P151" s="34">
        <v>4848.9997999999996</v>
      </c>
      <c r="Q151" s="34">
        <v>4992</v>
      </c>
      <c r="R151" s="34">
        <v>4421</v>
      </c>
      <c r="S151" s="34">
        <v>4026.2584999999999</v>
      </c>
      <c r="T151" s="34">
        <v>8047.6571999999996</v>
      </c>
      <c r="U151" s="34">
        <v>5222</v>
      </c>
      <c r="V151" s="34">
        <v>5626</v>
      </c>
      <c r="W151" s="34">
        <v>10738</v>
      </c>
      <c r="X151" s="34">
        <v>6740</v>
      </c>
      <c r="Y151" s="34">
        <v>5688</v>
      </c>
      <c r="Z151" s="34">
        <v>7846</v>
      </c>
      <c r="AA151" s="34">
        <v>4635</v>
      </c>
      <c r="AB151" s="34">
        <v>5890</v>
      </c>
      <c r="AC151" s="34">
        <v>8178</v>
      </c>
      <c r="AD151" s="34">
        <v>7109</v>
      </c>
      <c r="AE151" s="34">
        <v>5398</v>
      </c>
      <c r="AF151" s="34">
        <v>7582</v>
      </c>
      <c r="AG151" s="34">
        <v>5298</v>
      </c>
      <c r="AH151" s="34">
        <v>5825</v>
      </c>
      <c r="AI151" s="34">
        <v>7485</v>
      </c>
      <c r="AJ151" s="34">
        <v>4192</v>
      </c>
      <c r="AK151" s="34">
        <v>4197</v>
      </c>
    </row>
    <row r="152" spans="1:37">
      <c r="A152" s="33" t="s">
        <v>106</v>
      </c>
      <c r="B152" s="34">
        <v>17899</v>
      </c>
      <c r="C152" s="34">
        <v>10897.701700000001</v>
      </c>
      <c r="D152" s="34">
        <v>10417</v>
      </c>
      <c r="E152" s="34">
        <v>13535</v>
      </c>
      <c r="F152" s="34">
        <v>11681</v>
      </c>
      <c r="G152" s="34">
        <v>11906</v>
      </c>
      <c r="H152" s="34">
        <v>16644</v>
      </c>
      <c r="I152" s="34">
        <v>12916.284200000002</v>
      </c>
      <c r="J152" s="34">
        <v>10990.7114</v>
      </c>
      <c r="K152" s="34">
        <v>12984</v>
      </c>
      <c r="L152" s="34">
        <v>8018</v>
      </c>
      <c r="M152" s="34">
        <v>7274</v>
      </c>
      <c r="N152" s="34">
        <v>10397.653100000003</v>
      </c>
      <c r="O152" s="34">
        <v>6431.4869000000072</v>
      </c>
      <c r="P152" s="34">
        <v>7443</v>
      </c>
      <c r="Q152" s="34">
        <v>8318</v>
      </c>
      <c r="R152" s="34">
        <v>8391</v>
      </c>
      <c r="S152" s="34">
        <v>6551.0300000000025</v>
      </c>
      <c r="T152" s="34">
        <v>14912.368600000002</v>
      </c>
      <c r="U152" s="34">
        <v>8975</v>
      </c>
      <c r="V152" s="34">
        <v>9512</v>
      </c>
      <c r="W152" s="34">
        <v>15102</v>
      </c>
      <c r="X152" s="34">
        <v>8058</v>
      </c>
      <c r="Y152" s="34">
        <v>9132</v>
      </c>
      <c r="Z152" s="34">
        <v>12141</v>
      </c>
      <c r="AA152" s="34">
        <v>6880</v>
      </c>
      <c r="AB152" s="34">
        <v>6324</v>
      </c>
      <c r="AC152" s="34">
        <v>9738</v>
      </c>
      <c r="AD152" s="34">
        <v>8256</v>
      </c>
      <c r="AE152" s="34">
        <v>5850</v>
      </c>
      <c r="AF152" s="34">
        <v>8094</v>
      </c>
      <c r="AG152" s="34">
        <v>7353</v>
      </c>
      <c r="AH152" s="34">
        <v>5844</v>
      </c>
      <c r="AI152" s="34">
        <v>6767</v>
      </c>
      <c r="AJ152" s="34">
        <v>4023</v>
      </c>
      <c r="AK152" s="34">
        <v>4015</v>
      </c>
    </row>
    <row r="153" spans="1:37">
      <c r="A153" s="33" t="s">
        <v>121</v>
      </c>
      <c r="B153" s="11">
        <f t="shared" ref="B153:AK153" si="70">+SUM(B149:B152)</f>
        <v>43689</v>
      </c>
      <c r="C153" s="11">
        <f t="shared" si="70"/>
        <v>26217.475200000001</v>
      </c>
      <c r="D153" s="11">
        <f t="shared" si="70"/>
        <v>27541.999899999999</v>
      </c>
      <c r="E153" s="11">
        <f t="shared" si="70"/>
        <v>36505</v>
      </c>
      <c r="F153" s="11">
        <f t="shared" si="70"/>
        <v>32069.333299999998</v>
      </c>
      <c r="G153" s="11">
        <f t="shared" si="70"/>
        <v>34979.333299999998</v>
      </c>
      <c r="H153" s="11">
        <f t="shared" si="70"/>
        <v>52341</v>
      </c>
      <c r="I153" s="11">
        <f t="shared" si="70"/>
        <v>38111.284200000002</v>
      </c>
      <c r="J153" s="11">
        <f t="shared" si="70"/>
        <v>35161.659800000001</v>
      </c>
      <c r="K153" s="11">
        <f t="shared" si="70"/>
        <v>42639</v>
      </c>
      <c r="L153" s="11">
        <f t="shared" si="70"/>
        <v>24843</v>
      </c>
      <c r="M153" s="11">
        <f t="shared" si="70"/>
        <v>22032</v>
      </c>
      <c r="N153" s="11">
        <f t="shared" si="70"/>
        <v>28929.857000000004</v>
      </c>
      <c r="O153" s="11">
        <f t="shared" si="70"/>
        <v>18895.302400000008</v>
      </c>
      <c r="P153" s="11">
        <f t="shared" si="70"/>
        <v>22148.999799999998</v>
      </c>
      <c r="Q153" s="11">
        <f t="shared" si="70"/>
        <v>24447</v>
      </c>
      <c r="R153" s="11">
        <f t="shared" si="70"/>
        <v>23908</v>
      </c>
      <c r="S153" s="11">
        <f t="shared" si="70"/>
        <v>20378.414700000001</v>
      </c>
      <c r="T153" s="11">
        <f t="shared" si="70"/>
        <v>42383.217300000004</v>
      </c>
      <c r="U153" s="11">
        <f t="shared" si="70"/>
        <v>24669</v>
      </c>
      <c r="V153" s="11">
        <f t="shared" si="70"/>
        <v>25135</v>
      </c>
      <c r="W153" s="11">
        <f t="shared" si="70"/>
        <v>40102</v>
      </c>
      <c r="X153" s="11">
        <f t="shared" si="70"/>
        <v>22941</v>
      </c>
      <c r="Y153" s="11">
        <f t="shared" si="70"/>
        <v>23000</v>
      </c>
      <c r="Z153" s="11">
        <f t="shared" si="70"/>
        <v>32837</v>
      </c>
      <c r="AA153" s="11">
        <f t="shared" si="70"/>
        <v>21708</v>
      </c>
      <c r="AB153" s="11">
        <f t="shared" si="70"/>
        <v>23137</v>
      </c>
      <c r="AC153" s="11">
        <f t="shared" si="70"/>
        <v>32870</v>
      </c>
      <c r="AD153" s="11">
        <f t="shared" si="70"/>
        <v>26912</v>
      </c>
      <c r="AE153" s="11">
        <f t="shared" si="70"/>
        <v>21205</v>
      </c>
      <c r="AF153" s="11">
        <f t="shared" si="70"/>
        <v>31263</v>
      </c>
      <c r="AG153" s="11">
        <f t="shared" si="70"/>
        <v>27132</v>
      </c>
      <c r="AH153" s="11">
        <f t="shared" si="70"/>
        <v>25936</v>
      </c>
      <c r="AI153" s="11">
        <f t="shared" si="70"/>
        <v>33907</v>
      </c>
      <c r="AJ153" s="11">
        <f t="shared" si="70"/>
        <v>20216</v>
      </c>
      <c r="AK153" s="11">
        <f t="shared" si="70"/>
        <v>20889</v>
      </c>
    </row>
    <row r="155" spans="1:37">
      <c r="A155" t="s">
        <v>120</v>
      </c>
      <c r="B155" s="35">
        <v>44713</v>
      </c>
      <c r="C155" s="35">
        <v>44743</v>
      </c>
      <c r="D155" s="35">
        <v>44774</v>
      </c>
      <c r="E155" s="35">
        <v>44805</v>
      </c>
      <c r="F155" s="35">
        <v>44835</v>
      </c>
      <c r="G155" s="35">
        <v>44866</v>
      </c>
      <c r="H155" s="35">
        <v>44896</v>
      </c>
      <c r="I155" s="35">
        <v>44927</v>
      </c>
      <c r="J155" s="35">
        <v>44958</v>
      </c>
      <c r="K155" s="35">
        <v>44986</v>
      </c>
      <c r="L155" s="35">
        <v>45017</v>
      </c>
      <c r="M155" s="35">
        <v>45047</v>
      </c>
      <c r="N155" s="35">
        <v>45078</v>
      </c>
      <c r="O155" s="35">
        <v>45108</v>
      </c>
      <c r="P155" s="35">
        <v>45139</v>
      </c>
      <c r="Q155" s="35">
        <v>45170</v>
      </c>
      <c r="R155" s="35">
        <v>45200</v>
      </c>
      <c r="S155" s="35">
        <v>45231</v>
      </c>
      <c r="T155" s="35">
        <v>45261</v>
      </c>
      <c r="U155" s="35">
        <v>45292</v>
      </c>
      <c r="V155" s="35">
        <v>45323</v>
      </c>
      <c r="W155" s="35">
        <v>45352</v>
      </c>
      <c r="X155" s="35">
        <v>45383</v>
      </c>
      <c r="Y155" s="35">
        <v>45413</v>
      </c>
      <c r="Z155" s="35">
        <v>45444</v>
      </c>
      <c r="AA155" s="35">
        <v>45474</v>
      </c>
      <c r="AB155" s="35">
        <v>45505</v>
      </c>
      <c r="AC155" s="35">
        <v>45536</v>
      </c>
      <c r="AD155" s="35">
        <v>45566</v>
      </c>
      <c r="AE155" s="35">
        <v>45597</v>
      </c>
      <c r="AF155" s="35">
        <v>45627</v>
      </c>
      <c r="AG155" s="35">
        <v>45658</v>
      </c>
      <c r="AH155" s="35">
        <v>45689</v>
      </c>
      <c r="AI155" s="35">
        <v>45717</v>
      </c>
      <c r="AJ155" s="35">
        <v>45748</v>
      </c>
      <c r="AK155" s="35">
        <v>45778</v>
      </c>
    </row>
    <row r="156" spans="1:37">
      <c r="A156" s="33" t="s">
        <v>88</v>
      </c>
      <c r="B156" s="34">
        <v>6090</v>
      </c>
      <c r="C156" s="34">
        <v>6366</v>
      </c>
      <c r="D156" s="34">
        <v>7458</v>
      </c>
      <c r="E156" s="34">
        <v>7971</v>
      </c>
      <c r="F156" s="34">
        <v>9066</v>
      </c>
      <c r="G156" s="34">
        <v>7113</v>
      </c>
      <c r="H156" s="34">
        <v>7014</v>
      </c>
      <c r="I156" s="34">
        <v>12963</v>
      </c>
      <c r="J156" s="34">
        <v>6963</v>
      </c>
      <c r="K156" s="34">
        <v>7386</v>
      </c>
      <c r="L156" s="34">
        <v>6693</v>
      </c>
      <c r="M156" s="34">
        <v>5184</v>
      </c>
      <c r="N156" s="34">
        <v>5610</v>
      </c>
      <c r="O156" s="34">
        <v>4380</v>
      </c>
      <c r="P156" s="34">
        <v>6111</v>
      </c>
      <c r="Q156" s="34">
        <v>10812</v>
      </c>
      <c r="R156" s="34">
        <v>4167</v>
      </c>
      <c r="S156" s="34">
        <v>4773</v>
      </c>
      <c r="T156" s="34">
        <v>6837</v>
      </c>
      <c r="U156" s="34">
        <v>9663</v>
      </c>
      <c r="V156" s="34">
        <v>3558</v>
      </c>
      <c r="W156" s="34">
        <v>3681</v>
      </c>
      <c r="X156" s="34">
        <v>7715</v>
      </c>
      <c r="Y156" s="34">
        <v>8604</v>
      </c>
      <c r="Z156" s="34">
        <v>8997</v>
      </c>
      <c r="AA156" s="34">
        <v>4902</v>
      </c>
      <c r="AB156" s="34">
        <v>7800</v>
      </c>
      <c r="AC156" s="34">
        <v>4581</v>
      </c>
      <c r="AD156" s="34">
        <v>12295</v>
      </c>
      <c r="AE156" s="34">
        <v>5463</v>
      </c>
      <c r="AF156" s="34">
        <v>7800</v>
      </c>
      <c r="AG156" s="34">
        <v>11991</v>
      </c>
      <c r="AH156" s="34">
        <v>10524</v>
      </c>
      <c r="AI156" s="34">
        <v>10692</v>
      </c>
      <c r="AJ156" s="34">
        <v>11103</v>
      </c>
      <c r="AK156" s="34">
        <v>7110</v>
      </c>
    </row>
    <row r="157" spans="1:37">
      <c r="A157" s="33" t="s">
        <v>94</v>
      </c>
      <c r="B157" s="34">
        <v>6546</v>
      </c>
      <c r="C157" s="34">
        <v>9084</v>
      </c>
      <c r="D157" s="34">
        <v>17358</v>
      </c>
      <c r="E157" s="34">
        <v>10314</v>
      </c>
      <c r="F157" s="34">
        <v>9696</v>
      </c>
      <c r="G157" s="34">
        <v>19596</v>
      </c>
      <c r="H157" s="34">
        <v>9006</v>
      </c>
      <c r="I157" s="34">
        <v>19476</v>
      </c>
      <c r="J157" s="34">
        <v>16164</v>
      </c>
      <c r="K157" s="34">
        <v>8334</v>
      </c>
      <c r="L157" s="34">
        <v>7590</v>
      </c>
      <c r="M157" s="34">
        <v>10110</v>
      </c>
      <c r="N157" s="34">
        <v>6636</v>
      </c>
      <c r="O157" s="34">
        <v>7668</v>
      </c>
      <c r="P157" s="34">
        <v>8514</v>
      </c>
      <c r="Q157" s="34">
        <v>19062</v>
      </c>
      <c r="R157" s="34">
        <v>6450</v>
      </c>
      <c r="S157" s="34">
        <v>5778</v>
      </c>
      <c r="T157" s="34">
        <v>8118</v>
      </c>
      <c r="U157" s="34">
        <v>8316</v>
      </c>
      <c r="V157" s="34">
        <v>7128</v>
      </c>
      <c r="W157" s="34">
        <v>7200</v>
      </c>
      <c r="X157" s="34">
        <v>8730</v>
      </c>
      <c r="Y157" s="34">
        <v>7950</v>
      </c>
      <c r="Z157" s="34">
        <v>12282</v>
      </c>
      <c r="AA157" s="34">
        <v>10422</v>
      </c>
      <c r="AB157" s="34">
        <v>5694</v>
      </c>
      <c r="AC157" s="34">
        <v>12162</v>
      </c>
      <c r="AD157" s="34">
        <v>15408</v>
      </c>
      <c r="AE157" s="34">
        <v>8532</v>
      </c>
      <c r="AF157" s="34">
        <v>14868</v>
      </c>
      <c r="AG157" s="34">
        <v>15378</v>
      </c>
      <c r="AH157" s="34">
        <v>11130</v>
      </c>
      <c r="AI157" s="34">
        <v>17796</v>
      </c>
      <c r="AJ157" s="34">
        <v>11136</v>
      </c>
      <c r="AK157" s="34">
        <v>8850</v>
      </c>
    </row>
    <row r="158" spans="1:37">
      <c r="A158" s="33" t="s">
        <v>104</v>
      </c>
      <c r="B158" s="34">
        <v>7128</v>
      </c>
      <c r="C158" s="34">
        <v>5235</v>
      </c>
      <c r="D158" s="34">
        <v>11742</v>
      </c>
      <c r="E158" s="34">
        <v>7461</v>
      </c>
      <c r="F158" s="34">
        <v>9918</v>
      </c>
      <c r="G158" s="34">
        <v>12648</v>
      </c>
      <c r="H158" s="34">
        <v>8223</v>
      </c>
      <c r="I158" s="34">
        <v>16650</v>
      </c>
      <c r="J158" s="34">
        <v>10413</v>
      </c>
      <c r="K158" s="34">
        <v>11043</v>
      </c>
      <c r="L158" s="34">
        <v>7515</v>
      </c>
      <c r="M158" s="34">
        <v>5394</v>
      </c>
      <c r="N158" s="34">
        <v>6243</v>
      </c>
      <c r="O158" s="34">
        <v>5460</v>
      </c>
      <c r="P158" s="34">
        <v>4824</v>
      </c>
      <c r="Q158" s="34">
        <v>10107</v>
      </c>
      <c r="R158" s="34">
        <v>4440</v>
      </c>
      <c r="S158" s="34">
        <v>4119</v>
      </c>
      <c r="T158" s="34">
        <v>8640</v>
      </c>
      <c r="U158" s="34">
        <v>10821</v>
      </c>
      <c r="V158" s="34">
        <v>13878</v>
      </c>
      <c r="W158" s="34">
        <v>9144</v>
      </c>
      <c r="X158" s="34">
        <v>13626</v>
      </c>
      <c r="Y158" s="34">
        <v>7350</v>
      </c>
      <c r="Z158" s="34">
        <v>8319</v>
      </c>
      <c r="AA158" s="34">
        <v>4368</v>
      </c>
      <c r="AB158" s="34">
        <v>11850</v>
      </c>
      <c r="AC158" s="34">
        <v>6105</v>
      </c>
      <c r="AD158" s="34">
        <v>8472</v>
      </c>
      <c r="AE158" s="34">
        <v>9206</v>
      </c>
      <c r="AF158" s="34">
        <v>3216</v>
      </c>
      <c r="AG158" s="34">
        <v>7398</v>
      </c>
      <c r="AH158" s="34">
        <v>9714</v>
      </c>
      <c r="AI158" s="34">
        <v>7950</v>
      </c>
      <c r="AJ158" s="34">
        <v>5493</v>
      </c>
      <c r="AK158" s="34">
        <v>5778</v>
      </c>
    </row>
    <row r="159" spans="1:37">
      <c r="A159" s="33" t="s">
        <v>106</v>
      </c>
      <c r="B159" s="34">
        <v>12945</v>
      </c>
      <c r="C159" s="34">
        <v>15019</v>
      </c>
      <c r="D159" s="34">
        <v>15836</v>
      </c>
      <c r="E159" s="34">
        <v>18560</v>
      </c>
      <c r="F159" s="34">
        <v>13036</v>
      </c>
      <c r="G159" s="34">
        <v>13591</v>
      </c>
      <c r="H159" s="34">
        <v>13530</v>
      </c>
      <c r="I159" s="34">
        <v>20274</v>
      </c>
      <c r="J159" s="34">
        <v>17135</v>
      </c>
      <c r="K159" s="34">
        <v>14835</v>
      </c>
      <c r="L159" s="34">
        <v>8802</v>
      </c>
      <c r="M159" s="34">
        <v>15024</v>
      </c>
      <c r="N159" s="34">
        <v>13903</v>
      </c>
      <c r="O159" s="34">
        <v>7221</v>
      </c>
      <c r="P159" s="34">
        <v>7331</v>
      </c>
      <c r="Q159" s="34">
        <v>12467</v>
      </c>
      <c r="R159" s="34">
        <v>7110</v>
      </c>
      <c r="S159" s="34">
        <v>13422</v>
      </c>
      <c r="T159" s="34">
        <v>15105</v>
      </c>
      <c r="U159" s="34">
        <v>14553</v>
      </c>
      <c r="V159" s="34">
        <v>13311</v>
      </c>
      <c r="W159" s="34">
        <v>10006</v>
      </c>
      <c r="X159" s="34">
        <v>22173</v>
      </c>
      <c r="Y159" s="34">
        <v>6573</v>
      </c>
      <c r="Z159" s="34">
        <v>7836</v>
      </c>
      <c r="AA159" s="34">
        <v>5565</v>
      </c>
      <c r="AB159" s="34">
        <v>4650</v>
      </c>
      <c r="AC159" s="34">
        <v>7455</v>
      </c>
      <c r="AD159" s="34">
        <v>6271</v>
      </c>
      <c r="AE159" s="34">
        <v>6739</v>
      </c>
      <c r="AF159" s="34">
        <v>4358</v>
      </c>
      <c r="AG159" s="34">
        <v>7132</v>
      </c>
      <c r="AH159" s="34">
        <v>6153</v>
      </c>
      <c r="AI159" s="34">
        <v>7317</v>
      </c>
      <c r="AJ159" s="34">
        <v>4200</v>
      </c>
      <c r="AK159" s="34">
        <v>3426</v>
      </c>
    </row>
    <row r="160" spans="1:37">
      <c r="A160" s="33" t="s">
        <v>121</v>
      </c>
      <c r="B160" s="11">
        <f t="shared" ref="B160:AK160" si="71">+SUM(B156:B159)</f>
        <v>32709</v>
      </c>
      <c r="C160" s="11">
        <f t="shared" si="71"/>
        <v>35704</v>
      </c>
      <c r="D160" s="11">
        <f t="shared" si="71"/>
        <v>52394</v>
      </c>
      <c r="E160" s="11">
        <f t="shared" si="71"/>
        <v>44306</v>
      </c>
      <c r="F160" s="11">
        <f t="shared" si="71"/>
        <v>41716</v>
      </c>
      <c r="G160" s="11">
        <f t="shared" si="71"/>
        <v>52948</v>
      </c>
      <c r="H160" s="11">
        <f t="shared" si="71"/>
        <v>37773</v>
      </c>
      <c r="I160" s="11">
        <f t="shared" si="71"/>
        <v>69363</v>
      </c>
      <c r="J160" s="11">
        <f t="shared" si="71"/>
        <v>50675</v>
      </c>
      <c r="K160" s="11">
        <f t="shared" si="71"/>
        <v>41598</v>
      </c>
      <c r="L160" s="11">
        <f t="shared" si="71"/>
        <v>30600</v>
      </c>
      <c r="M160" s="11">
        <f t="shared" si="71"/>
        <v>35712</v>
      </c>
      <c r="N160" s="11">
        <f t="shared" si="71"/>
        <v>32392</v>
      </c>
      <c r="O160" s="11">
        <f t="shared" si="71"/>
        <v>24729</v>
      </c>
      <c r="P160" s="11">
        <f t="shared" si="71"/>
        <v>26780</v>
      </c>
      <c r="Q160" s="11">
        <f t="shared" si="71"/>
        <v>52448</v>
      </c>
      <c r="R160" s="11">
        <f t="shared" si="71"/>
        <v>22167</v>
      </c>
      <c r="S160" s="11">
        <f t="shared" si="71"/>
        <v>28092</v>
      </c>
      <c r="T160" s="11">
        <f t="shared" si="71"/>
        <v>38700</v>
      </c>
      <c r="U160" s="11">
        <f t="shared" si="71"/>
        <v>43353</v>
      </c>
      <c r="V160" s="11">
        <f t="shared" si="71"/>
        <v>37875</v>
      </c>
      <c r="W160" s="11">
        <f t="shared" si="71"/>
        <v>30031</v>
      </c>
      <c r="X160" s="11">
        <f t="shared" si="71"/>
        <v>52244</v>
      </c>
      <c r="Y160" s="11">
        <f t="shared" si="71"/>
        <v>30477</v>
      </c>
      <c r="Z160" s="11">
        <f t="shared" si="71"/>
        <v>37434</v>
      </c>
      <c r="AA160" s="11">
        <f t="shared" si="71"/>
        <v>25257</v>
      </c>
      <c r="AB160" s="11">
        <f t="shared" si="71"/>
        <v>29994</v>
      </c>
      <c r="AC160" s="11">
        <f t="shared" si="71"/>
        <v>30303</v>
      </c>
      <c r="AD160" s="11">
        <f t="shared" si="71"/>
        <v>42446</v>
      </c>
      <c r="AE160" s="11">
        <f t="shared" si="71"/>
        <v>29940</v>
      </c>
      <c r="AF160" s="11">
        <f t="shared" si="71"/>
        <v>30242</v>
      </c>
      <c r="AG160" s="11">
        <f t="shared" si="71"/>
        <v>41899</v>
      </c>
      <c r="AH160" s="11">
        <f t="shared" si="71"/>
        <v>37521</v>
      </c>
      <c r="AI160" s="11">
        <f t="shared" si="71"/>
        <v>43755</v>
      </c>
      <c r="AJ160" s="11">
        <f t="shared" si="71"/>
        <v>31932</v>
      </c>
      <c r="AK160" s="11">
        <f t="shared" si="71"/>
        <v>25164</v>
      </c>
    </row>
    <row r="162" spans="1:37">
      <c r="A162" t="s">
        <v>121</v>
      </c>
      <c r="B162" s="9">
        <v>44713</v>
      </c>
      <c r="C162" s="9">
        <v>44743</v>
      </c>
      <c r="D162" s="9">
        <v>44774</v>
      </c>
      <c r="E162" s="9">
        <v>44805</v>
      </c>
      <c r="F162" s="9">
        <v>44835</v>
      </c>
      <c r="G162" s="9">
        <v>44866</v>
      </c>
      <c r="H162" s="9">
        <v>44896</v>
      </c>
      <c r="I162" s="9">
        <v>44927</v>
      </c>
      <c r="J162" s="9">
        <v>44958</v>
      </c>
      <c r="K162" s="9">
        <v>44986</v>
      </c>
      <c r="L162" s="9">
        <v>45017</v>
      </c>
      <c r="M162" s="9">
        <v>45047</v>
      </c>
      <c r="N162" s="9">
        <v>45078</v>
      </c>
      <c r="O162" s="9">
        <v>45108</v>
      </c>
      <c r="P162" s="9">
        <v>45139</v>
      </c>
      <c r="Q162" s="9">
        <v>45170</v>
      </c>
      <c r="R162" s="9">
        <v>45200</v>
      </c>
      <c r="S162" s="9">
        <v>45231</v>
      </c>
      <c r="T162" s="9">
        <v>45261</v>
      </c>
      <c r="U162" s="9">
        <v>45292</v>
      </c>
      <c r="V162" s="9">
        <v>45323</v>
      </c>
      <c r="W162" s="9">
        <v>45352</v>
      </c>
      <c r="X162" s="9">
        <v>45383</v>
      </c>
      <c r="Y162" s="9">
        <v>45413</v>
      </c>
      <c r="Z162" s="9">
        <v>45444</v>
      </c>
      <c r="AA162" s="9">
        <v>45474</v>
      </c>
      <c r="AB162" s="9">
        <v>45505</v>
      </c>
      <c r="AC162" s="9">
        <v>45536</v>
      </c>
      <c r="AD162" s="9">
        <v>45566</v>
      </c>
      <c r="AE162" s="9">
        <v>45597</v>
      </c>
      <c r="AF162" s="9">
        <v>45627</v>
      </c>
      <c r="AG162" s="9">
        <v>45658</v>
      </c>
      <c r="AH162" s="9">
        <v>45689</v>
      </c>
      <c r="AI162" s="9">
        <v>45717</v>
      </c>
      <c r="AJ162" s="9">
        <v>45748</v>
      </c>
      <c r="AK162" s="9">
        <v>45778</v>
      </c>
    </row>
    <row r="163" spans="1:37">
      <c r="A163" s="24" t="s">
        <v>112</v>
      </c>
      <c r="B163" s="10" cm="1">
        <f t="array" ref="B163">+_xlfn.XLOOKUP($A$162,$A$149:$A$153,_xlfn.XLOOKUP(B162,$B$148:$AK$148,$B$149:$AK$153))</f>
        <v>43689</v>
      </c>
      <c r="C163" s="10" cm="1">
        <f t="array" ref="C163">+_xlfn.XLOOKUP($A$162,$A$149:$A$153,_xlfn.XLOOKUP(C162,$B$148:$AK$148,$B$149:$AK$153))</f>
        <v>26217.475200000001</v>
      </c>
      <c r="D163" s="10" cm="1">
        <f t="array" ref="D163">+_xlfn.XLOOKUP($A$162,$A$149:$A$153,_xlfn.XLOOKUP(D162,$B$148:$AK$148,$B$149:$AK$153))</f>
        <v>27541.999899999999</v>
      </c>
      <c r="E163" s="10" cm="1">
        <f t="array" ref="E163">+_xlfn.XLOOKUP($A$162,$A$149:$A$153,_xlfn.XLOOKUP(E162,$B$148:$AK$148,$B$149:$AK$153))</f>
        <v>36505</v>
      </c>
      <c r="F163" s="10" cm="1">
        <f t="array" ref="F163">+_xlfn.XLOOKUP($A$162,$A$149:$A$153,_xlfn.XLOOKUP(F162,$B$148:$AK$148,$B$149:$AK$153))</f>
        <v>32069.333299999998</v>
      </c>
      <c r="G163" s="10" cm="1">
        <f t="array" ref="G163">+_xlfn.XLOOKUP($A$162,$A$149:$A$153,_xlfn.XLOOKUP(G162,$B$148:$AK$148,$B$149:$AK$153))</f>
        <v>34979.333299999998</v>
      </c>
      <c r="H163" s="10" cm="1">
        <f t="array" ref="H163">+_xlfn.XLOOKUP($A$162,$A$149:$A$153,_xlfn.XLOOKUP(H162,$B$148:$AK$148,$B$149:$AK$153))</f>
        <v>52341</v>
      </c>
      <c r="I163" s="10" cm="1">
        <f t="array" ref="I163">+_xlfn.XLOOKUP($A$162,$A$149:$A$153,_xlfn.XLOOKUP(I162,$B$148:$AK$148,$B$149:$AK$153))</f>
        <v>38111.284200000002</v>
      </c>
      <c r="J163" s="10" cm="1">
        <f t="array" ref="J163">+_xlfn.XLOOKUP($A$162,$A$149:$A$153,_xlfn.XLOOKUP(J162,$B$148:$AK$148,$B$149:$AK$153))</f>
        <v>35161.659800000001</v>
      </c>
      <c r="K163" s="10" cm="1">
        <f t="array" ref="K163">+_xlfn.XLOOKUP($A$162,$A$149:$A$153,_xlfn.XLOOKUP(K162,$B$148:$AK$148,$B$149:$AK$153))</f>
        <v>42639</v>
      </c>
      <c r="L163" s="10" cm="1">
        <f t="array" ref="L163">+_xlfn.XLOOKUP($A$162,$A$149:$A$153,_xlfn.XLOOKUP(L162,$B$148:$AK$148,$B$149:$AK$153))</f>
        <v>24843</v>
      </c>
      <c r="M163" s="10" cm="1">
        <f t="array" ref="M163">+_xlfn.XLOOKUP($A$162,$A$149:$A$153,_xlfn.XLOOKUP(M162,$B$148:$AK$148,$B$149:$AK$153))</f>
        <v>22032</v>
      </c>
      <c r="N163" s="10" cm="1">
        <f t="array" ref="N163">+_xlfn.XLOOKUP($A$162,$A$149:$A$153,_xlfn.XLOOKUP(N162,$B$148:$AK$148,$B$149:$AK$153))</f>
        <v>28929.857000000004</v>
      </c>
      <c r="O163" s="10" cm="1">
        <f t="array" ref="O163">+_xlfn.XLOOKUP($A$162,$A$149:$A$153,_xlfn.XLOOKUP(O162,$B$148:$AK$148,$B$149:$AK$153))</f>
        <v>18895.302400000008</v>
      </c>
      <c r="P163" s="10" cm="1">
        <f t="array" ref="P163">+_xlfn.XLOOKUP($A$162,$A$149:$A$153,_xlfn.XLOOKUP(P162,$B$148:$AK$148,$B$149:$AK$153))</f>
        <v>22148.999799999998</v>
      </c>
      <c r="Q163" s="10" cm="1">
        <f t="array" ref="Q163">+_xlfn.XLOOKUP($A$162,$A$149:$A$153,_xlfn.XLOOKUP(Q162,$B$148:$AK$148,$B$149:$AK$153))</f>
        <v>24447</v>
      </c>
      <c r="R163" s="10" cm="1">
        <f t="array" ref="R163">+_xlfn.XLOOKUP($A$162,$A$149:$A$153,_xlfn.XLOOKUP(R162,$B$148:$AK$148,$B$149:$AK$153))</f>
        <v>23908</v>
      </c>
      <c r="S163" s="10" cm="1">
        <f t="array" ref="S163">+_xlfn.XLOOKUP($A$162,$A$149:$A$153,_xlfn.XLOOKUP(S162,$B$148:$AK$148,$B$149:$AK$153))</f>
        <v>20378.414700000001</v>
      </c>
      <c r="T163" s="10" cm="1">
        <f t="array" ref="T163">+_xlfn.XLOOKUP($A$162,$A$149:$A$153,_xlfn.XLOOKUP(T162,$B$148:$AK$148,$B$149:$AK$153))</f>
        <v>42383.217300000004</v>
      </c>
      <c r="U163" s="10" cm="1">
        <f t="array" ref="U163">+_xlfn.XLOOKUP($A$162,$A$149:$A$153,_xlfn.XLOOKUP(U162,$B$148:$AK$148,$B$149:$AK$153))</f>
        <v>24669</v>
      </c>
      <c r="V163" s="10" cm="1">
        <f t="array" ref="V163">+_xlfn.XLOOKUP($A$162,$A$149:$A$153,_xlfn.XLOOKUP(V162,$B$148:$AK$148,$B$149:$AK$153))</f>
        <v>25135</v>
      </c>
      <c r="W163" s="10" cm="1">
        <f t="array" ref="W163">+_xlfn.XLOOKUP($A$162,$A$149:$A$153,_xlfn.XLOOKUP(W162,$B$148:$AK$148,$B$149:$AK$153))</f>
        <v>40102</v>
      </c>
      <c r="X163" s="10" cm="1">
        <f t="array" ref="X163">+_xlfn.XLOOKUP($A$162,$A$149:$A$153,_xlfn.XLOOKUP(X162,$B$148:$AK$148,$B$149:$AK$153))</f>
        <v>22941</v>
      </c>
      <c r="Y163" s="10" cm="1">
        <f t="array" ref="Y163">+_xlfn.XLOOKUP($A$162,$A$149:$A$153,_xlfn.XLOOKUP(Y162,$B$148:$AK$148,$B$149:$AK$153))</f>
        <v>23000</v>
      </c>
      <c r="Z163" s="10" cm="1">
        <f t="array" ref="Z163">+_xlfn.XLOOKUP($A$162,$A$149:$A$153,_xlfn.XLOOKUP(Z162,$B$148:$AK$148,$B$149:$AK$153))</f>
        <v>32837</v>
      </c>
      <c r="AA163" s="10" cm="1">
        <f t="array" ref="AA163">+_xlfn.XLOOKUP($A$162,$A$149:$A$153,_xlfn.XLOOKUP(AA162,$B$148:$AK$148,$B$149:$AK$153))</f>
        <v>21708</v>
      </c>
      <c r="AB163" s="10" cm="1">
        <f t="array" ref="AB163">+_xlfn.XLOOKUP($A$162,$A$149:$A$153,_xlfn.XLOOKUP(AB162,$B$148:$AK$148,$B$149:$AK$153))</f>
        <v>23137</v>
      </c>
      <c r="AC163" s="10" cm="1">
        <f t="array" ref="AC163">+_xlfn.XLOOKUP($A$162,$A$149:$A$153,_xlfn.XLOOKUP(AC162,$B$148:$AK$148,$B$149:$AK$153))</f>
        <v>32870</v>
      </c>
      <c r="AD163" s="10" cm="1">
        <f t="array" ref="AD163">+_xlfn.XLOOKUP($A$162,$A$149:$A$153,_xlfn.XLOOKUP(AD162,$B$148:$AK$148,$B$149:$AK$153))</f>
        <v>26912</v>
      </c>
      <c r="AE163" s="10" cm="1">
        <f t="array" ref="AE163">+_xlfn.XLOOKUP($A$162,$A$149:$A$153,_xlfn.XLOOKUP(AE162,$B$148:$AK$148,$B$149:$AK$153))</f>
        <v>21205</v>
      </c>
      <c r="AF163" s="10" cm="1">
        <f t="array" ref="AF163">+_xlfn.XLOOKUP($A$162,$A$149:$A$153,_xlfn.XLOOKUP(AF162,$B$148:$AK$148,$B$149:$AK$153))</f>
        <v>31263</v>
      </c>
      <c r="AG163" s="10" cm="1">
        <f t="array" ref="AG163">+_xlfn.XLOOKUP($A$162,$A$149:$A$153,_xlfn.XLOOKUP(AG162,$B$148:$AK$148,$B$149:$AK$153))</f>
        <v>27132</v>
      </c>
      <c r="AH163" s="10" cm="1">
        <f t="array" ref="AH163">+_xlfn.XLOOKUP($A$162,$A$149:$A$153,_xlfn.XLOOKUP(AH162,$B$148:$AK$148,$B$149:$AK$153))</f>
        <v>25936</v>
      </c>
      <c r="AI163" s="10" cm="1">
        <f t="array" ref="AI163">+_xlfn.XLOOKUP($A$162,$A$149:$A$153,_xlfn.XLOOKUP(AI162,$B$148:$AK$148,$B$149:$AK$153))</f>
        <v>33907</v>
      </c>
      <c r="AJ163" s="10" cm="1">
        <f t="array" ref="AJ163">+_xlfn.XLOOKUP($A$162,$A$149:$A$153,_xlfn.XLOOKUP(AJ162,$B$148:$AK$148,$B$149:$AK$153))</f>
        <v>20216</v>
      </c>
      <c r="AK163" s="10" cm="1">
        <f t="array" ref="AK163">+_xlfn.XLOOKUP($A$162,$A$149:$A$153,_xlfn.XLOOKUP(AK162,$B$148:$AK$148,$B$149:$AK$153))</f>
        <v>20889</v>
      </c>
    </row>
    <row r="164" spans="1:37">
      <c r="A164" s="24" t="s">
        <v>113</v>
      </c>
      <c r="B164" s="10" cm="1">
        <f t="array" ref="B164">+_xlfn.XLOOKUP($A$162,$A$156:$A$160,_xlfn.XLOOKUP(B162,$B$155:$AK$155,$B$156:$AK$160))</f>
        <v>32709</v>
      </c>
      <c r="C164" s="10" cm="1">
        <f t="array" ref="C164">+_xlfn.XLOOKUP($A$162,$A$156:$A$160,_xlfn.XLOOKUP(C162,$B$155:$AK$155,$B$156:$AK$160))</f>
        <v>35704</v>
      </c>
      <c r="D164" s="10" cm="1">
        <f t="array" ref="D164">+_xlfn.XLOOKUP($A$162,$A$156:$A$160,_xlfn.XLOOKUP(D162,$B$155:$AK$155,$B$156:$AK$160))</f>
        <v>52394</v>
      </c>
      <c r="E164" s="10" cm="1">
        <f t="array" ref="E164">+_xlfn.XLOOKUP($A$162,$A$156:$A$160,_xlfn.XLOOKUP(E162,$B$155:$AK$155,$B$156:$AK$160))</f>
        <v>44306</v>
      </c>
      <c r="F164" s="10" cm="1">
        <f t="array" ref="F164">+_xlfn.XLOOKUP($A$162,$A$156:$A$160,_xlfn.XLOOKUP(F162,$B$155:$AK$155,$B$156:$AK$160))</f>
        <v>41716</v>
      </c>
      <c r="G164" s="10" cm="1">
        <f t="array" ref="G164">+_xlfn.XLOOKUP($A$162,$A$156:$A$160,_xlfn.XLOOKUP(G162,$B$155:$AK$155,$B$156:$AK$160))</f>
        <v>52948</v>
      </c>
      <c r="H164" s="10" cm="1">
        <f t="array" ref="H164">+_xlfn.XLOOKUP($A$162,$A$156:$A$160,_xlfn.XLOOKUP(H162,$B$155:$AK$155,$B$156:$AK$160))</f>
        <v>37773</v>
      </c>
      <c r="I164" s="10" cm="1">
        <f t="array" ref="I164">+_xlfn.XLOOKUP($A$162,$A$156:$A$160,_xlfn.XLOOKUP(I162,$B$155:$AK$155,$B$156:$AK$160))</f>
        <v>69363</v>
      </c>
      <c r="J164" s="10" cm="1">
        <f t="array" ref="J164">+_xlfn.XLOOKUP($A$162,$A$156:$A$160,_xlfn.XLOOKUP(J162,$B$155:$AK$155,$B$156:$AK$160))</f>
        <v>50675</v>
      </c>
      <c r="K164" s="10" cm="1">
        <f t="array" ref="K164">+_xlfn.XLOOKUP($A$162,$A$156:$A$160,_xlfn.XLOOKUP(K162,$B$155:$AK$155,$B$156:$AK$160))</f>
        <v>41598</v>
      </c>
      <c r="L164" s="10" cm="1">
        <f t="array" ref="L164">+_xlfn.XLOOKUP($A$162,$A$156:$A$160,_xlfn.XLOOKUP(L162,$B$155:$AK$155,$B$156:$AK$160))</f>
        <v>30600</v>
      </c>
      <c r="M164" s="10" cm="1">
        <f t="array" ref="M164">+_xlfn.XLOOKUP($A$162,$A$156:$A$160,_xlfn.XLOOKUP(M162,$B$155:$AK$155,$B$156:$AK$160))</f>
        <v>35712</v>
      </c>
      <c r="N164" s="10" cm="1">
        <f t="array" ref="N164">+_xlfn.XLOOKUP($A$162,$A$156:$A$160,_xlfn.XLOOKUP(N162,$B$155:$AK$155,$B$156:$AK$160))</f>
        <v>32392</v>
      </c>
      <c r="O164" s="10" cm="1">
        <f t="array" ref="O164">+_xlfn.XLOOKUP($A$162,$A$156:$A$160,_xlfn.XLOOKUP(O162,$B$155:$AK$155,$B$156:$AK$160))</f>
        <v>24729</v>
      </c>
      <c r="P164" s="10" cm="1">
        <f t="array" ref="P164">+_xlfn.XLOOKUP($A$162,$A$156:$A$160,_xlfn.XLOOKUP(P162,$B$155:$AK$155,$B$156:$AK$160))</f>
        <v>26780</v>
      </c>
      <c r="Q164" s="10" cm="1">
        <f t="array" ref="Q164">+_xlfn.XLOOKUP($A$162,$A$156:$A$160,_xlfn.XLOOKUP(Q162,$B$155:$AK$155,$B$156:$AK$160))</f>
        <v>52448</v>
      </c>
      <c r="R164" s="10" cm="1">
        <f t="array" ref="R164">+_xlfn.XLOOKUP($A$162,$A$156:$A$160,_xlfn.XLOOKUP(R162,$B$155:$AK$155,$B$156:$AK$160))</f>
        <v>22167</v>
      </c>
      <c r="S164" s="10" cm="1">
        <f t="array" ref="S164">+_xlfn.XLOOKUP($A$162,$A$156:$A$160,_xlfn.XLOOKUP(S162,$B$155:$AK$155,$B$156:$AK$160))</f>
        <v>28092</v>
      </c>
      <c r="T164" s="10" cm="1">
        <f t="array" ref="T164">+_xlfn.XLOOKUP($A$162,$A$156:$A$160,_xlfn.XLOOKUP(T162,$B$155:$AK$155,$B$156:$AK$160))</f>
        <v>38700</v>
      </c>
      <c r="U164" s="10" cm="1">
        <f t="array" ref="U164">+_xlfn.XLOOKUP($A$162,$A$156:$A$160,_xlfn.XLOOKUP(U162,$B$155:$AK$155,$B$156:$AK$160))</f>
        <v>43353</v>
      </c>
      <c r="V164" s="10" cm="1">
        <f t="array" ref="V164">+_xlfn.XLOOKUP($A$162,$A$156:$A$160,_xlfn.XLOOKUP(V162,$B$155:$AK$155,$B$156:$AK$160))</f>
        <v>37875</v>
      </c>
      <c r="W164" s="10" cm="1">
        <f t="array" ref="W164">+_xlfn.XLOOKUP($A$162,$A$156:$A$160,_xlfn.XLOOKUP(W162,$B$155:$AK$155,$B$156:$AK$160))</f>
        <v>30031</v>
      </c>
      <c r="X164" s="10" cm="1">
        <f t="array" ref="X164">+_xlfn.XLOOKUP($A$162,$A$156:$A$160,_xlfn.XLOOKUP(X162,$B$155:$AK$155,$B$156:$AK$160))</f>
        <v>52244</v>
      </c>
      <c r="Y164" s="10" cm="1">
        <f t="array" ref="Y164">+_xlfn.XLOOKUP($A$162,$A$156:$A$160,_xlfn.XLOOKUP(Y162,$B$155:$AK$155,$B$156:$AK$160))</f>
        <v>30477</v>
      </c>
      <c r="Z164" s="10" cm="1">
        <f t="array" ref="Z164">+_xlfn.XLOOKUP($A$162,$A$156:$A$160,_xlfn.XLOOKUP(Z162,$B$155:$AK$155,$B$156:$AK$160))</f>
        <v>37434</v>
      </c>
      <c r="AA164" s="10" cm="1">
        <f t="array" ref="AA164">+_xlfn.XLOOKUP($A$162,$A$156:$A$160,_xlfn.XLOOKUP(AA162,$B$155:$AK$155,$B$156:$AK$160))</f>
        <v>25257</v>
      </c>
      <c r="AB164" s="10" cm="1">
        <f t="array" ref="AB164">+_xlfn.XLOOKUP($A$162,$A$156:$A$160,_xlfn.XLOOKUP(AB162,$B$155:$AK$155,$B$156:$AK$160))</f>
        <v>29994</v>
      </c>
      <c r="AC164" s="10" cm="1">
        <f t="array" ref="AC164">+_xlfn.XLOOKUP($A$162,$A$156:$A$160,_xlfn.XLOOKUP(AC162,$B$155:$AK$155,$B$156:$AK$160))</f>
        <v>30303</v>
      </c>
      <c r="AD164" s="10" cm="1">
        <f t="array" ref="AD164">+_xlfn.XLOOKUP($A$162,$A$156:$A$160,_xlfn.XLOOKUP(AD162,$B$155:$AK$155,$B$156:$AK$160))</f>
        <v>42446</v>
      </c>
      <c r="AE164" s="10" cm="1">
        <f t="array" ref="AE164">+_xlfn.XLOOKUP($A$162,$A$156:$A$160,_xlfn.XLOOKUP(AE162,$B$155:$AK$155,$B$156:$AK$160))</f>
        <v>29940</v>
      </c>
      <c r="AF164" s="10" cm="1">
        <f t="array" ref="AF164">+_xlfn.XLOOKUP($A$162,$A$156:$A$160,_xlfn.XLOOKUP(AF162,$B$155:$AK$155,$B$156:$AK$160))</f>
        <v>30242</v>
      </c>
      <c r="AG164" s="10" cm="1">
        <f t="array" ref="AG164">+_xlfn.XLOOKUP($A$162,$A$156:$A$160,_xlfn.XLOOKUP(AG162,$B$155:$AK$155,$B$156:$AK$160))</f>
        <v>41899</v>
      </c>
      <c r="AH164" s="10" cm="1">
        <f t="array" ref="AH164">+_xlfn.XLOOKUP($A$162,$A$156:$A$160,_xlfn.XLOOKUP(AH162,$B$155:$AK$155,$B$156:$AK$160))</f>
        <v>37521</v>
      </c>
      <c r="AI164" s="10" cm="1">
        <f t="array" ref="AI164">+_xlfn.XLOOKUP($A$162,$A$156:$A$160,_xlfn.XLOOKUP(AI162,$B$155:$AK$155,$B$156:$AK$160))</f>
        <v>43755</v>
      </c>
      <c r="AJ164" s="10" cm="1">
        <f t="array" ref="AJ164">+_xlfn.XLOOKUP($A$162,$A$156:$A$160,_xlfn.XLOOKUP(AJ162,$B$155:$AK$155,$B$156:$AK$160))</f>
        <v>31932</v>
      </c>
      <c r="AK164" s="10" cm="1">
        <f t="array" ref="AK164">+_xlfn.XLOOKUP($A$162,$A$156:$A$160,_xlfn.XLOOKUP(AK162,$B$155:$AK$155,$B$156:$AK$160))</f>
        <v>25164</v>
      </c>
    </row>
    <row r="168" spans="1:37">
      <c r="E168" s="46" t="s">
        <v>82</v>
      </c>
      <c r="F168" s="46"/>
    </row>
    <row r="169" spans="1:37">
      <c r="E169" s="25" t="s">
        <v>112</v>
      </c>
      <c r="F169" s="26" t="s">
        <v>113</v>
      </c>
      <c r="G169" t="s">
        <v>118</v>
      </c>
    </row>
    <row r="170" spans="1:37">
      <c r="E170" s="20">
        <f>+SUM(Z163:AK163)/SUM(N163:Y163)-1</f>
        <v>3.3893364244534929E-3</v>
      </c>
      <c r="F170" s="20">
        <f>+SUM(Z164:AK164)/SUM(N164:Y164)-1</f>
        <v>-3.1961324912709199E-2</v>
      </c>
      <c r="G170" s="27">
        <f>+E170-F170</f>
        <v>3.5350661337162692E-2</v>
      </c>
    </row>
    <row r="171" spans="1:37">
      <c r="E171" s="11"/>
    </row>
    <row r="181" spans="1:37">
      <c r="A181" t="s">
        <v>122</v>
      </c>
      <c r="B181" s="35">
        <v>44713</v>
      </c>
      <c r="C181" s="35">
        <v>44743</v>
      </c>
      <c r="D181" s="35">
        <v>44774</v>
      </c>
      <c r="E181" s="35">
        <v>44805</v>
      </c>
      <c r="F181" s="35">
        <v>44835</v>
      </c>
      <c r="G181" s="35">
        <v>44866</v>
      </c>
      <c r="H181" s="35">
        <v>44896</v>
      </c>
      <c r="I181" s="35">
        <v>44927</v>
      </c>
      <c r="J181" s="35">
        <v>44958</v>
      </c>
      <c r="K181" s="35">
        <v>44986</v>
      </c>
      <c r="L181" s="35">
        <v>45017</v>
      </c>
      <c r="M181" s="35">
        <v>45047</v>
      </c>
      <c r="N181" s="35">
        <v>45078</v>
      </c>
      <c r="O181" s="35">
        <v>45108</v>
      </c>
      <c r="P181" s="35">
        <v>45139</v>
      </c>
      <c r="Q181" s="35">
        <v>45170</v>
      </c>
      <c r="R181" s="35">
        <v>45200</v>
      </c>
      <c r="S181" s="35">
        <v>45231</v>
      </c>
      <c r="T181" s="35">
        <v>45261</v>
      </c>
      <c r="U181" s="35">
        <v>45292</v>
      </c>
      <c r="V181" s="35">
        <v>45323</v>
      </c>
      <c r="W181" s="35">
        <v>45352</v>
      </c>
      <c r="X181" s="35">
        <v>45383</v>
      </c>
      <c r="Y181" s="35">
        <v>45413</v>
      </c>
      <c r="Z181" s="35">
        <v>45444</v>
      </c>
      <c r="AA181" s="35">
        <v>45474</v>
      </c>
      <c r="AB181" s="35">
        <v>45505</v>
      </c>
      <c r="AC181" s="35">
        <v>45536</v>
      </c>
      <c r="AD181" s="35">
        <v>45566</v>
      </c>
      <c r="AE181" s="35">
        <v>45597</v>
      </c>
      <c r="AF181" s="35">
        <v>45627</v>
      </c>
      <c r="AG181" s="35">
        <v>45658</v>
      </c>
      <c r="AH181" s="35">
        <v>45689</v>
      </c>
      <c r="AI181" s="35">
        <v>45717</v>
      </c>
      <c r="AJ181" s="35">
        <v>45748</v>
      </c>
      <c r="AK181" s="35">
        <v>45778</v>
      </c>
    </row>
    <row r="182" spans="1:37">
      <c r="A182" s="24" t="s">
        <v>92</v>
      </c>
      <c r="B182" s="11">
        <v>0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48</v>
      </c>
      <c r="X182" s="11">
        <v>2675</v>
      </c>
      <c r="Y182" s="11">
        <v>4828</v>
      </c>
      <c r="Z182" s="11">
        <v>8448</v>
      </c>
      <c r="AA182" s="11">
        <v>5621</v>
      </c>
      <c r="AB182" s="11">
        <v>6407</v>
      </c>
      <c r="AC182" s="11">
        <v>10835</v>
      </c>
      <c r="AD182" s="11">
        <v>9857</v>
      </c>
      <c r="AE182" s="11">
        <v>8047</v>
      </c>
      <c r="AF182" s="11">
        <v>10478</v>
      </c>
      <c r="AG182" s="11">
        <v>8619</v>
      </c>
      <c r="AH182" s="11">
        <v>9028</v>
      </c>
      <c r="AI182" s="11">
        <v>14693</v>
      </c>
      <c r="AJ182" s="11">
        <v>8844</v>
      </c>
      <c r="AK182" s="11">
        <v>8680</v>
      </c>
    </row>
    <row r="183" spans="1:37">
      <c r="A183" s="24" t="s">
        <v>93</v>
      </c>
      <c r="B183" s="11">
        <v>0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1481</v>
      </c>
      <c r="M183" s="11">
        <v>2765</v>
      </c>
      <c r="N183" s="11">
        <v>5159</v>
      </c>
      <c r="O183" s="11">
        <v>3316.3553000000002</v>
      </c>
      <c r="P183" s="11">
        <v>5149</v>
      </c>
      <c r="Q183" s="11">
        <v>3600</v>
      </c>
      <c r="R183" s="11">
        <v>3632</v>
      </c>
      <c r="S183" s="11">
        <v>3030.7873</v>
      </c>
      <c r="T183" s="11">
        <v>5139.4434999999994</v>
      </c>
      <c r="U183" s="11">
        <v>3334</v>
      </c>
      <c r="V183" s="11">
        <v>3404</v>
      </c>
      <c r="W183" s="11">
        <v>6485</v>
      </c>
      <c r="X183" s="11">
        <v>4061</v>
      </c>
      <c r="Y183" s="11">
        <v>3434</v>
      </c>
      <c r="Z183" s="11">
        <v>8591</v>
      </c>
      <c r="AA183" s="11">
        <v>5435</v>
      </c>
      <c r="AB183" s="11">
        <v>5120</v>
      </c>
      <c r="AC183" s="11">
        <v>7734</v>
      </c>
      <c r="AD183" s="11">
        <v>5694</v>
      </c>
      <c r="AE183" s="11">
        <v>4293</v>
      </c>
      <c r="AF183" s="11">
        <v>6787</v>
      </c>
      <c r="AG183" s="11">
        <v>5656</v>
      </c>
      <c r="AH183" s="11">
        <v>6190</v>
      </c>
      <c r="AI183" s="11">
        <v>9772</v>
      </c>
      <c r="AJ183" s="11">
        <v>5973</v>
      </c>
      <c r="AK183" s="11">
        <v>5647</v>
      </c>
    </row>
    <row r="184" spans="1:37">
      <c r="A184" s="33" t="s">
        <v>123</v>
      </c>
      <c r="B184" s="11">
        <f t="shared" ref="B184:AK184" si="72">+SUM(B182:B183)</f>
        <v>0</v>
      </c>
      <c r="C184" s="11">
        <f t="shared" si="72"/>
        <v>0</v>
      </c>
      <c r="D184" s="11">
        <f t="shared" si="72"/>
        <v>0</v>
      </c>
      <c r="E184" s="11">
        <f t="shared" si="72"/>
        <v>0</v>
      </c>
      <c r="F184" s="11">
        <f t="shared" si="72"/>
        <v>0</v>
      </c>
      <c r="G184" s="11">
        <f t="shared" si="72"/>
        <v>0</v>
      </c>
      <c r="H184" s="11">
        <f t="shared" si="72"/>
        <v>0</v>
      </c>
      <c r="I184" s="11">
        <f t="shared" si="72"/>
        <v>0</v>
      </c>
      <c r="J184" s="11">
        <f t="shared" si="72"/>
        <v>0</v>
      </c>
      <c r="K184" s="11">
        <f t="shared" si="72"/>
        <v>0</v>
      </c>
      <c r="L184" s="11">
        <f t="shared" si="72"/>
        <v>1481</v>
      </c>
      <c r="M184" s="11">
        <f t="shared" si="72"/>
        <v>2765</v>
      </c>
      <c r="N184" s="11">
        <f t="shared" si="72"/>
        <v>5159</v>
      </c>
      <c r="O184" s="11">
        <f t="shared" si="72"/>
        <v>3316.3553000000002</v>
      </c>
      <c r="P184" s="11">
        <f t="shared" si="72"/>
        <v>5149</v>
      </c>
      <c r="Q184" s="11">
        <f t="shared" si="72"/>
        <v>3600</v>
      </c>
      <c r="R184" s="11">
        <f t="shared" si="72"/>
        <v>3632</v>
      </c>
      <c r="S184" s="11">
        <f t="shared" si="72"/>
        <v>3030.7873</v>
      </c>
      <c r="T184" s="11">
        <f t="shared" si="72"/>
        <v>5139.4434999999994</v>
      </c>
      <c r="U184" s="11">
        <f t="shared" si="72"/>
        <v>3334</v>
      </c>
      <c r="V184" s="11">
        <f t="shared" si="72"/>
        <v>3404</v>
      </c>
      <c r="W184" s="11">
        <f t="shared" si="72"/>
        <v>6533</v>
      </c>
      <c r="X184" s="11">
        <f t="shared" si="72"/>
        <v>6736</v>
      </c>
      <c r="Y184" s="11">
        <f t="shared" si="72"/>
        <v>8262</v>
      </c>
      <c r="Z184" s="11">
        <f t="shared" si="72"/>
        <v>17039</v>
      </c>
      <c r="AA184" s="11">
        <f t="shared" si="72"/>
        <v>11056</v>
      </c>
      <c r="AB184" s="11">
        <f t="shared" si="72"/>
        <v>11527</v>
      </c>
      <c r="AC184" s="11">
        <f t="shared" si="72"/>
        <v>18569</v>
      </c>
      <c r="AD184" s="11">
        <f t="shared" si="72"/>
        <v>15551</v>
      </c>
      <c r="AE184" s="11">
        <f t="shared" si="72"/>
        <v>12340</v>
      </c>
      <c r="AF184" s="11">
        <f t="shared" si="72"/>
        <v>17265</v>
      </c>
      <c r="AG184" s="11">
        <f t="shared" si="72"/>
        <v>14275</v>
      </c>
      <c r="AH184" s="11">
        <f t="shared" si="72"/>
        <v>15218</v>
      </c>
      <c r="AI184" s="11">
        <f t="shared" si="72"/>
        <v>24465</v>
      </c>
      <c r="AJ184" s="11">
        <f t="shared" si="72"/>
        <v>14817</v>
      </c>
      <c r="AK184" s="11">
        <f t="shared" si="72"/>
        <v>14327</v>
      </c>
    </row>
    <row r="186" spans="1:37">
      <c r="A186" t="s">
        <v>124</v>
      </c>
      <c r="B186" s="35">
        <v>44713</v>
      </c>
      <c r="C186" s="35">
        <v>44743</v>
      </c>
      <c r="D186" s="35">
        <v>44774</v>
      </c>
      <c r="E186" s="35">
        <v>44805</v>
      </c>
      <c r="F186" s="35">
        <v>44835</v>
      </c>
      <c r="G186" s="35">
        <v>44866</v>
      </c>
      <c r="H186" s="35">
        <v>44896</v>
      </c>
      <c r="I186" s="35">
        <v>44927</v>
      </c>
      <c r="J186" s="35">
        <v>44958</v>
      </c>
      <c r="K186" s="35">
        <v>44986</v>
      </c>
      <c r="L186" s="35">
        <v>45017</v>
      </c>
      <c r="M186" s="35">
        <v>45047</v>
      </c>
      <c r="N186" s="35">
        <v>45078</v>
      </c>
      <c r="O186" s="35">
        <v>45108</v>
      </c>
      <c r="P186" s="35">
        <v>45139</v>
      </c>
      <c r="Q186" s="35">
        <v>45170</v>
      </c>
      <c r="R186" s="35">
        <v>45200</v>
      </c>
      <c r="S186" s="35">
        <v>45231</v>
      </c>
      <c r="T186" s="35">
        <v>45261</v>
      </c>
      <c r="U186" s="35">
        <v>45292</v>
      </c>
      <c r="V186" s="35">
        <v>45323</v>
      </c>
      <c r="W186" s="35">
        <v>45352</v>
      </c>
      <c r="X186" s="35">
        <v>45383</v>
      </c>
      <c r="Y186" s="35">
        <v>45413</v>
      </c>
      <c r="Z186" s="35">
        <v>45444</v>
      </c>
      <c r="AA186" s="35">
        <v>45474</v>
      </c>
      <c r="AB186" s="35">
        <v>45505</v>
      </c>
      <c r="AC186" s="35">
        <v>45536</v>
      </c>
      <c r="AD186" s="35">
        <v>45566</v>
      </c>
      <c r="AE186" s="35">
        <v>45597</v>
      </c>
      <c r="AF186" s="35">
        <v>45627</v>
      </c>
      <c r="AG186" s="35">
        <v>45658</v>
      </c>
      <c r="AH186" s="35">
        <v>45689</v>
      </c>
      <c r="AI186" s="35">
        <v>45717</v>
      </c>
      <c r="AJ186" s="35">
        <v>45748</v>
      </c>
      <c r="AK186" s="35">
        <v>45778</v>
      </c>
    </row>
    <row r="187" spans="1:37">
      <c r="A187" s="24" t="s">
        <v>92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11151</v>
      </c>
      <c r="X187" s="7">
        <v>24108</v>
      </c>
      <c r="Y187" s="7">
        <v>4851</v>
      </c>
      <c r="Z187" s="7">
        <v>9141</v>
      </c>
      <c r="AA187" s="7">
        <v>10386</v>
      </c>
      <c r="AB187" s="7">
        <v>12300</v>
      </c>
      <c r="AC187" s="7">
        <v>17693</v>
      </c>
      <c r="AD187" s="7">
        <v>15141</v>
      </c>
      <c r="AE187" s="7">
        <v>12030</v>
      </c>
      <c r="AF187" s="7">
        <v>20124</v>
      </c>
      <c r="AG187" s="7">
        <v>18735</v>
      </c>
      <c r="AH187" s="7">
        <v>18885</v>
      </c>
      <c r="AI187" s="7">
        <v>20616</v>
      </c>
      <c r="AJ187" s="7">
        <v>18465</v>
      </c>
      <c r="AK187" s="7">
        <v>15999</v>
      </c>
    </row>
    <row r="188" spans="1:37">
      <c r="A188" s="24" t="s">
        <v>93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3246</v>
      </c>
      <c r="L188" s="7">
        <v>16878</v>
      </c>
      <c r="M188" s="7">
        <v>5526</v>
      </c>
      <c r="N188" s="7">
        <v>7740</v>
      </c>
      <c r="O188" s="7">
        <v>5380</v>
      </c>
      <c r="P188" s="7">
        <v>5646</v>
      </c>
      <c r="Q188" s="7">
        <v>9792</v>
      </c>
      <c r="R188" s="7">
        <v>2208</v>
      </c>
      <c r="S188" s="7">
        <v>2454</v>
      </c>
      <c r="T188" s="7">
        <v>4632</v>
      </c>
      <c r="U188" s="7">
        <v>7200</v>
      </c>
      <c r="V188" s="7">
        <v>11574</v>
      </c>
      <c r="W188" s="7">
        <v>8850</v>
      </c>
      <c r="X188" s="7">
        <v>3156</v>
      </c>
      <c r="Y188" s="7">
        <v>8490</v>
      </c>
      <c r="Z188" s="7">
        <v>7902</v>
      </c>
      <c r="AA188" s="7">
        <v>5802</v>
      </c>
      <c r="AB188" s="7">
        <v>9714</v>
      </c>
      <c r="AC188" s="7">
        <v>7518</v>
      </c>
      <c r="AD188" s="7">
        <v>8028</v>
      </c>
      <c r="AE188" s="7">
        <v>6516</v>
      </c>
      <c r="AF188" s="7">
        <v>10014</v>
      </c>
      <c r="AG188" s="7">
        <v>11976</v>
      </c>
      <c r="AH188" s="7">
        <v>9036</v>
      </c>
      <c r="AI188" s="7">
        <v>13278</v>
      </c>
      <c r="AJ188" s="7">
        <v>10800</v>
      </c>
      <c r="AK188" s="7">
        <v>9744</v>
      </c>
    </row>
    <row r="189" spans="1:37">
      <c r="A189" s="33" t="s">
        <v>123</v>
      </c>
      <c r="B189" s="11">
        <f t="shared" ref="B189:AK189" si="73">+SUM(B187:B188)</f>
        <v>0</v>
      </c>
      <c r="C189" s="11">
        <f t="shared" si="73"/>
        <v>0</v>
      </c>
      <c r="D189" s="11">
        <f t="shared" si="73"/>
        <v>0</v>
      </c>
      <c r="E189" s="11">
        <f t="shared" si="73"/>
        <v>0</v>
      </c>
      <c r="F189" s="11">
        <f t="shared" si="73"/>
        <v>0</v>
      </c>
      <c r="G189" s="11">
        <f t="shared" si="73"/>
        <v>0</v>
      </c>
      <c r="H189" s="11">
        <f t="shared" si="73"/>
        <v>0</v>
      </c>
      <c r="I189" s="11">
        <f t="shared" si="73"/>
        <v>0</v>
      </c>
      <c r="J189" s="11">
        <f t="shared" si="73"/>
        <v>0</v>
      </c>
      <c r="K189" s="11">
        <f t="shared" si="73"/>
        <v>3246</v>
      </c>
      <c r="L189" s="11">
        <f t="shared" si="73"/>
        <v>16878</v>
      </c>
      <c r="M189" s="11">
        <f t="shared" si="73"/>
        <v>5526</v>
      </c>
      <c r="N189" s="11">
        <f t="shared" si="73"/>
        <v>7740</v>
      </c>
      <c r="O189" s="11">
        <f t="shared" si="73"/>
        <v>5380</v>
      </c>
      <c r="P189" s="11">
        <f t="shared" si="73"/>
        <v>5646</v>
      </c>
      <c r="Q189" s="11">
        <f t="shared" si="73"/>
        <v>9792</v>
      </c>
      <c r="R189" s="11">
        <f t="shared" si="73"/>
        <v>2208</v>
      </c>
      <c r="S189" s="11">
        <f t="shared" si="73"/>
        <v>2454</v>
      </c>
      <c r="T189" s="11">
        <f t="shared" si="73"/>
        <v>4632</v>
      </c>
      <c r="U189" s="11">
        <f t="shared" si="73"/>
        <v>7200</v>
      </c>
      <c r="V189" s="11">
        <f t="shared" si="73"/>
        <v>11574</v>
      </c>
      <c r="W189" s="11">
        <f t="shared" si="73"/>
        <v>20001</v>
      </c>
      <c r="X189" s="11">
        <f t="shared" si="73"/>
        <v>27264</v>
      </c>
      <c r="Y189" s="11">
        <f t="shared" si="73"/>
        <v>13341</v>
      </c>
      <c r="Z189" s="11">
        <f t="shared" si="73"/>
        <v>17043</v>
      </c>
      <c r="AA189" s="11">
        <f t="shared" si="73"/>
        <v>16188</v>
      </c>
      <c r="AB189" s="11">
        <f t="shared" si="73"/>
        <v>22014</v>
      </c>
      <c r="AC189" s="11">
        <f t="shared" si="73"/>
        <v>25211</v>
      </c>
      <c r="AD189" s="11">
        <f t="shared" si="73"/>
        <v>23169</v>
      </c>
      <c r="AE189" s="11">
        <f t="shared" si="73"/>
        <v>18546</v>
      </c>
      <c r="AF189" s="11">
        <f t="shared" si="73"/>
        <v>30138</v>
      </c>
      <c r="AG189" s="11">
        <f t="shared" si="73"/>
        <v>30711</v>
      </c>
      <c r="AH189" s="11">
        <f t="shared" si="73"/>
        <v>27921</v>
      </c>
      <c r="AI189" s="11">
        <f t="shared" si="73"/>
        <v>33894</v>
      </c>
      <c r="AJ189" s="11">
        <f t="shared" si="73"/>
        <v>29265</v>
      </c>
      <c r="AK189" s="11">
        <f t="shared" si="73"/>
        <v>25743</v>
      </c>
    </row>
    <row r="191" spans="1:37">
      <c r="A191" t="s">
        <v>123</v>
      </c>
      <c r="B191" s="9">
        <v>44713</v>
      </c>
      <c r="C191" s="9">
        <v>44743</v>
      </c>
      <c r="D191" s="9">
        <v>44774</v>
      </c>
      <c r="E191" s="9">
        <v>44805</v>
      </c>
      <c r="F191" s="9">
        <v>44835</v>
      </c>
      <c r="G191" s="9">
        <v>44866</v>
      </c>
      <c r="H191" s="9">
        <v>44896</v>
      </c>
      <c r="I191" s="9">
        <v>44927</v>
      </c>
      <c r="J191" s="9">
        <v>44958</v>
      </c>
      <c r="K191" s="9">
        <v>44986</v>
      </c>
      <c r="L191" s="9">
        <v>45017</v>
      </c>
      <c r="M191" s="9">
        <v>45047</v>
      </c>
      <c r="N191" s="9">
        <v>45078</v>
      </c>
      <c r="O191" s="9">
        <v>45108</v>
      </c>
      <c r="P191" s="9">
        <v>45139</v>
      </c>
      <c r="Q191" s="9">
        <v>45170</v>
      </c>
      <c r="R191" s="9">
        <v>45200</v>
      </c>
      <c r="S191" s="9">
        <v>45231</v>
      </c>
      <c r="T191" s="9">
        <v>45261</v>
      </c>
      <c r="U191" s="9">
        <v>45292</v>
      </c>
      <c r="V191" s="9">
        <v>45323</v>
      </c>
      <c r="W191" s="9">
        <v>45352</v>
      </c>
      <c r="X191" s="9">
        <v>45383</v>
      </c>
      <c r="Y191" s="9">
        <v>45413</v>
      </c>
      <c r="Z191" s="9">
        <v>45444</v>
      </c>
      <c r="AA191" s="9">
        <v>45474</v>
      </c>
      <c r="AB191" s="9">
        <v>45505</v>
      </c>
      <c r="AC191" s="9">
        <v>45536</v>
      </c>
      <c r="AD191" s="9">
        <v>45566</v>
      </c>
      <c r="AE191" s="9">
        <v>45597</v>
      </c>
      <c r="AF191" s="9">
        <v>45627</v>
      </c>
      <c r="AG191" s="9">
        <v>45658</v>
      </c>
      <c r="AH191" s="9">
        <v>45689</v>
      </c>
      <c r="AI191" s="9">
        <v>45717</v>
      </c>
      <c r="AJ191" s="9">
        <v>45748</v>
      </c>
      <c r="AK191" s="9">
        <v>45778</v>
      </c>
    </row>
    <row r="192" spans="1:37">
      <c r="A192" s="24" t="s">
        <v>112</v>
      </c>
      <c r="B192" s="10" cm="1">
        <f t="array" ref="B192">+_xlfn.XLOOKUP($A$191,$A$182:$A$184,_xlfn.XLOOKUP(B191,$B$181:$AK$181,$B$182:$AK$184))</f>
        <v>0</v>
      </c>
      <c r="C192" s="10" cm="1">
        <f t="array" ref="C192">+_xlfn.XLOOKUP($A$191,$A$182:$A$184,_xlfn.XLOOKUP(C191,$B$181:$AK$181,$B$182:$AK$184))</f>
        <v>0</v>
      </c>
      <c r="D192" s="10" cm="1">
        <f t="array" ref="D192">+_xlfn.XLOOKUP($A$191,$A$182:$A$184,_xlfn.XLOOKUP(D191,$B$181:$AK$181,$B$182:$AK$184))</f>
        <v>0</v>
      </c>
      <c r="E192" s="10" cm="1">
        <f t="array" ref="E192">+_xlfn.XLOOKUP($A$191,$A$182:$A$184,_xlfn.XLOOKUP(E191,$B$181:$AK$181,$B$182:$AK$184))</f>
        <v>0</v>
      </c>
      <c r="F192" s="10" cm="1">
        <f t="array" ref="F192">+_xlfn.XLOOKUP($A$191,$A$182:$A$184,_xlfn.XLOOKUP(F191,$B$181:$AK$181,$B$182:$AK$184))</f>
        <v>0</v>
      </c>
      <c r="G192" s="10" cm="1">
        <f t="array" ref="G192">+_xlfn.XLOOKUP($A$191,$A$182:$A$184,_xlfn.XLOOKUP(G191,$B$181:$AK$181,$B$182:$AK$184))</f>
        <v>0</v>
      </c>
      <c r="H192" s="10" cm="1">
        <f t="array" ref="H192">+_xlfn.XLOOKUP($A$191,$A$182:$A$184,_xlfn.XLOOKUP(H191,$B$181:$AK$181,$B$182:$AK$184))</f>
        <v>0</v>
      </c>
      <c r="I192" s="10" cm="1">
        <f t="array" ref="I192">+_xlfn.XLOOKUP($A$191,$A$182:$A$184,_xlfn.XLOOKUP(I191,$B$181:$AK$181,$B$182:$AK$184))</f>
        <v>0</v>
      </c>
      <c r="J192" s="10" cm="1">
        <f t="array" ref="J192">+_xlfn.XLOOKUP($A$191,$A$182:$A$184,_xlfn.XLOOKUP(J191,$B$181:$AK$181,$B$182:$AK$184))</f>
        <v>0</v>
      </c>
      <c r="K192" s="10" cm="1">
        <f t="array" ref="K192">+_xlfn.XLOOKUP($A$191,$A$182:$A$184,_xlfn.XLOOKUP(K191,$B$181:$AK$181,$B$182:$AK$184))</f>
        <v>0</v>
      </c>
      <c r="L192" s="10" cm="1">
        <f t="array" ref="L192">+_xlfn.XLOOKUP($A$191,$A$182:$A$184,_xlfn.XLOOKUP(L191,$B$181:$AK$181,$B$182:$AK$184))</f>
        <v>1481</v>
      </c>
      <c r="M192" s="10" cm="1">
        <f t="array" ref="M192">+_xlfn.XLOOKUP($A$191,$A$182:$A$184,_xlfn.XLOOKUP(M191,$B$181:$AK$181,$B$182:$AK$184))</f>
        <v>2765</v>
      </c>
      <c r="N192" s="10" cm="1">
        <f t="array" ref="N192">+_xlfn.XLOOKUP($A$191,$A$182:$A$184,_xlfn.XLOOKUP(N191,$B$181:$AK$181,$B$182:$AK$184))</f>
        <v>5159</v>
      </c>
      <c r="O192" s="10" cm="1">
        <f t="array" ref="O192">+_xlfn.XLOOKUP($A$191,$A$182:$A$184,_xlfn.XLOOKUP(O191,$B$181:$AK$181,$B$182:$AK$184))</f>
        <v>3316.3553000000002</v>
      </c>
      <c r="P192" s="10" cm="1">
        <f t="array" ref="P192">+_xlfn.XLOOKUP($A$191,$A$182:$A$184,_xlfn.XLOOKUP(P191,$B$181:$AK$181,$B$182:$AK$184))</f>
        <v>5149</v>
      </c>
      <c r="Q192" s="10" cm="1">
        <f t="array" ref="Q192">+_xlfn.XLOOKUP($A$191,$A$182:$A$184,_xlfn.XLOOKUP(Q191,$B$181:$AK$181,$B$182:$AK$184))</f>
        <v>3600</v>
      </c>
      <c r="R192" s="10" cm="1">
        <f t="array" ref="R192">+_xlfn.XLOOKUP($A$191,$A$182:$A$184,_xlfn.XLOOKUP(R191,$B$181:$AK$181,$B$182:$AK$184))</f>
        <v>3632</v>
      </c>
      <c r="S192" s="10" cm="1">
        <f t="array" ref="S192">+_xlfn.XLOOKUP($A$191,$A$182:$A$184,_xlfn.XLOOKUP(S191,$B$181:$AK$181,$B$182:$AK$184))</f>
        <v>3030.7873</v>
      </c>
      <c r="T192" s="10" cm="1">
        <f t="array" ref="T192">+_xlfn.XLOOKUP($A$191,$A$182:$A$184,_xlfn.XLOOKUP(T191,$B$181:$AK$181,$B$182:$AK$184))</f>
        <v>5139.4434999999994</v>
      </c>
      <c r="U192" s="10" cm="1">
        <f t="array" ref="U192">+_xlfn.XLOOKUP($A$191,$A$182:$A$184,_xlfn.XLOOKUP(U191,$B$181:$AK$181,$B$182:$AK$184))</f>
        <v>3334</v>
      </c>
      <c r="V192" s="10" cm="1">
        <f t="array" ref="V192">+_xlfn.XLOOKUP($A$191,$A$182:$A$184,_xlfn.XLOOKUP(V191,$B$181:$AK$181,$B$182:$AK$184))</f>
        <v>3404</v>
      </c>
      <c r="W192" s="10" cm="1">
        <f t="array" ref="W192">+_xlfn.XLOOKUP($A$191,$A$182:$A$184,_xlfn.XLOOKUP(W191,$B$181:$AK$181,$B$182:$AK$184))</f>
        <v>6533</v>
      </c>
      <c r="X192" s="10" cm="1">
        <f t="array" ref="X192">+_xlfn.XLOOKUP($A$191,$A$182:$A$184,_xlfn.XLOOKUP(X191,$B$181:$AK$181,$B$182:$AK$184))</f>
        <v>6736</v>
      </c>
      <c r="Y192" s="10" cm="1">
        <f t="array" ref="Y192">+_xlfn.XLOOKUP($A$191,$A$182:$A$184,_xlfn.XLOOKUP(Y191,$B$181:$AK$181,$B$182:$AK$184))</f>
        <v>8262</v>
      </c>
      <c r="Z192" s="10" cm="1">
        <f t="array" ref="Z192">+_xlfn.XLOOKUP($A$191,$A$182:$A$184,_xlfn.XLOOKUP(Z191,$B$181:$AK$181,$B$182:$AK$184))</f>
        <v>17039</v>
      </c>
      <c r="AA192" s="10" cm="1">
        <f t="array" ref="AA192">+_xlfn.XLOOKUP($A$191,$A$182:$A$184,_xlfn.XLOOKUP(AA191,$B$181:$AK$181,$B$182:$AK$184))</f>
        <v>11056</v>
      </c>
      <c r="AB192" s="10" cm="1">
        <f t="array" ref="AB192">+_xlfn.XLOOKUP($A$191,$A$182:$A$184,_xlfn.XLOOKUP(AB191,$B$181:$AK$181,$B$182:$AK$184))</f>
        <v>11527</v>
      </c>
      <c r="AC192" s="10" cm="1">
        <f t="array" ref="AC192">+_xlfn.XLOOKUP($A$191,$A$182:$A$184,_xlfn.XLOOKUP(AC191,$B$181:$AK$181,$B$182:$AK$184))</f>
        <v>18569</v>
      </c>
      <c r="AD192" s="10" cm="1">
        <f t="array" ref="AD192">+_xlfn.XLOOKUP($A$191,$A$182:$A$184,_xlfn.XLOOKUP(AD191,$B$181:$AK$181,$B$182:$AK$184))</f>
        <v>15551</v>
      </c>
      <c r="AE192" s="10" cm="1">
        <f t="array" ref="AE192">+_xlfn.XLOOKUP($A$191,$A$182:$A$184,_xlfn.XLOOKUP(AE191,$B$181:$AK$181,$B$182:$AK$184))</f>
        <v>12340</v>
      </c>
      <c r="AF192" s="10" cm="1">
        <f t="array" ref="AF192">+_xlfn.XLOOKUP($A$191,$A$182:$A$184,_xlfn.XLOOKUP(AF191,$B$181:$AK$181,$B$182:$AK$184))</f>
        <v>17265</v>
      </c>
      <c r="AG192" s="10" cm="1">
        <f t="array" ref="AG192">+_xlfn.XLOOKUP($A$191,$A$182:$A$184,_xlfn.XLOOKUP(AG191,$B$181:$AK$181,$B$182:$AK$184))</f>
        <v>14275</v>
      </c>
      <c r="AH192" s="10" cm="1">
        <f t="array" ref="AH192">+_xlfn.XLOOKUP($A$191,$A$182:$A$184,_xlfn.XLOOKUP(AH191,$B$181:$AK$181,$B$182:$AK$184))</f>
        <v>15218</v>
      </c>
      <c r="AI192" s="10" cm="1">
        <f t="array" ref="AI192">+_xlfn.XLOOKUP($A$191,$A$182:$A$184,_xlfn.XLOOKUP(AI191,$B$181:$AK$181,$B$182:$AK$184))</f>
        <v>24465</v>
      </c>
      <c r="AJ192" s="10" cm="1">
        <f t="array" ref="AJ192">+_xlfn.XLOOKUP($A$191,$A$182:$A$184,_xlfn.XLOOKUP(AJ191,$B$181:$AK$181,$B$182:$AK$184))</f>
        <v>14817</v>
      </c>
      <c r="AK192" s="10" cm="1">
        <f t="array" ref="AK192">+_xlfn.XLOOKUP($A$191,$A$182:$A$184,_xlfn.XLOOKUP(AK191,$B$181:$AK$181,$B$182:$AK$184))</f>
        <v>14327</v>
      </c>
    </row>
    <row r="193" spans="1:37">
      <c r="A193" s="24" t="s">
        <v>113</v>
      </c>
      <c r="B193" s="10" cm="1">
        <f t="array" ref="B193">+_xlfn.XLOOKUP($A$191,$A$187:$A$189,_xlfn.XLOOKUP(B191,$B$186:$AK$186,$B$187:$AK$189))</f>
        <v>0</v>
      </c>
      <c r="C193" s="10" cm="1">
        <f t="array" ref="C193">+_xlfn.XLOOKUP($A$191,$A$187:$A$189,_xlfn.XLOOKUP(C191,$B$186:$AK$186,$B$187:$AK$189))</f>
        <v>0</v>
      </c>
      <c r="D193" s="10" cm="1">
        <f t="array" ref="D193">+_xlfn.XLOOKUP($A$191,$A$187:$A$189,_xlfn.XLOOKUP(D191,$B$186:$AK$186,$B$187:$AK$189))</f>
        <v>0</v>
      </c>
      <c r="E193" s="10" cm="1">
        <f t="array" ref="E193">+_xlfn.XLOOKUP($A$191,$A$187:$A$189,_xlfn.XLOOKUP(E191,$B$186:$AK$186,$B$187:$AK$189))</f>
        <v>0</v>
      </c>
      <c r="F193" s="10" cm="1">
        <f t="array" ref="F193">+_xlfn.XLOOKUP($A$191,$A$187:$A$189,_xlfn.XLOOKUP(F191,$B$186:$AK$186,$B$187:$AK$189))</f>
        <v>0</v>
      </c>
      <c r="G193" s="10" cm="1">
        <f t="array" ref="G193">+_xlfn.XLOOKUP($A$191,$A$187:$A$189,_xlfn.XLOOKUP(G191,$B$186:$AK$186,$B$187:$AK$189))</f>
        <v>0</v>
      </c>
      <c r="H193" s="10" cm="1">
        <f t="array" ref="H193">+_xlfn.XLOOKUP($A$191,$A$187:$A$189,_xlfn.XLOOKUP(H191,$B$186:$AK$186,$B$187:$AK$189))</f>
        <v>0</v>
      </c>
      <c r="I193" s="10" cm="1">
        <f t="array" ref="I193">+_xlfn.XLOOKUP($A$191,$A$187:$A$189,_xlfn.XLOOKUP(I191,$B$186:$AK$186,$B$187:$AK$189))</f>
        <v>0</v>
      </c>
      <c r="J193" s="10" cm="1">
        <f t="array" ref="J193">+_xlfn.XLOOKUP($A$191,$A$187:$A$189,_xlfn.XLOOKUP(J191,$B$186:$AK$186,$B$187:$AK$189))</f>
        <v>0</v>
      </c>
      <c r="K193" s="10" cm="1">
        <f t="array" ref="K193">+_xlfn.XLOOKUP($A$191,$A$187:$A$189,_xlfn.XLOOKUP(K191,$B$186:$AK$186,$B$187:$AK$189))</f>
        <v>3246</v>
      </c>
      <c r="L193" s="10" cm="1">
        <f t="array" ref="L193">+_xlfn.XLOOKUP($A$191,$A$187:$A$189,_xlfn.XLOOKUP(L191,$B$186:$AK$186,$B$187:$AK$189))</f>
        <v>16878</v>
      </c>
      <c r="M193" s="10" cm="1">
        <f t="array" ref="M193">+_xlfn.XLOOKUP($A$191,$A$187:$A$189,_xlfn.XLOOKUP(M191,$B$186:$AK$186,$B$187:$AK$189))</f>
        <v>5526</v>
      </c>
      <c r="N193" s="10" cm="1">
        <f t="array" ref="N193">+_xlfn.XLOOKUP($A$191,$A$187:$A$189,_xlfn.XLOOKUP(N191,$B$186:$AK$186,$B$187:$AK$189))</f>
        <v>7740</v>
      </c>
      <c r="O193" s="10" cm="1">
        <f t="array" ref="O193">+_xlfn.XLOOKUP($A$191,$A$187:$A$189,_xlfn.XLOOKUP(O191,$B$186:$AK$186,$B$187:$AK$189))</f>
        <v>5380</v>
      </c>
      <c r="P193" s="10" cm="1">
        <f t="array" ref="P193">+_xlfn.XLOOKUP($A$191,$A$187:$A$189,_xlfn.XLOOKUP(P191,$B$186:$AK$186,$B$187:$AK$189))</f>
        <v>5646</v>
      </c>
      <c r="Q193" s="10" cm="1">
        <f t="array" ref="Q193">+_xlfn.XLOOKUP($A$191,$A$187:$A$189,_xlfn.XLOOKUP(Q191,$B$186:$AK$186,$B$187:$AK$189))</f>
        <v>9792</v>
      </c>
      <c r="R193" s="10" cm="1">
        <f t="array" ref="R193">+_xlfn.XLOOKUP($A$191,$A$187:$A$189,_xlfn.XLOOKUP(R191,$B$186:$AK$186,$B$187:$AK$189))</f>
        <v>2208</v>
      </c>
      <c r="S193" s="10" cm="1">
        <f t="array" ref="S193">+_xlfn.XLOOKUP($A$191,$A$187:$A$189,_xlfn.XLOOKUP(S191,$B$186:$AK$186,$B$187:$AK$189))</f>
        <v>2454</v>
      </c>
      <c r="T193" s="10" cm="1">
        <f t="array" ref="T193">+_xlfn.XLOOKUP($A$191,$A$187:$A$189,_xlfn.XLOOKUP(T191,$B$186:$AK$186,$B$187:$AK$189))</f>
        <v>4632</v>
      </c>
      <c r="U193" s="10" cm="1">
        <f t="array" ref="U193">+_xlfn.XLOOKUP($A$191,$A$187:$A$189,_xlfn.XLOOKUP(U191,$B$186:$AK$186,$B$187:$AK$189))</f>
        <v>7200</v>
      </c>
      <c r="V193" s="10" cm="1">
        <f t="array" ref="V193">+_xlfn.XLOOKUP($A$191,$A$187:$A$189,_xlfn.XLOOKUP(V191,$B$186:$AK$186,$B$187:$AK$189))</f>
        <v>11574</v>
      </c>
      <c r="W193" s="10" cm="1">
        <f t="array" ref="W193">+_xlfn.XLOOKUP($A$191,$A$187:$A$189,_xlfn.XLOOKUP(W191,$B$186:$AK$186,$B$187:$AK$189))</f>
        <v>20001</v>
      </c>
      <c r="X193" s="10" cm="1">
        <f t="array" ref="X193">+_xlfn.XLOOKUP($A$191,$A$187:$A$189,_xlfn.XLOOKUP(X191,$B$186:$AK$186,$B$187:$AK$189))</f>
        <v>27264</v>
      </c>
      <c r="Y193" s="10" cm="1">
        <f t="array" ref="Y193">+_xlfn.XLOOKUP($A$191,$A$187:$A$189,_xlfn.XLOOKUP(Y191,$B$186:$AK$186,$B$187:$AK$189))</f>
        <v>13341</v>
      </c>
      <c r="Z193" s="10" cm="1">
        <f t="array" ref="Z193">+_xlfn.XLOOKUP($A$191,$A$187:$A$189,_xlfn.XLOOKUP(Z191,$B$186:$AK$186,$B$187:$AK$189))</f>
        <v>17043</v>
      </c>
      <c r="AA193" s="10" cm="1">
        <f t="array" ref="AA193">+_xlfn.XLOOKUP($A$191,$A$187:$A$189,_xlfn.XLOOKUP(AA191,$B$186:$AK$186,$B$187:$AK$189))</f>
        <v>16188</v>
      </c>
      <c r="AB193" s="10" cm="1">
        <f t="array" ref="AB193">+_xlfn.XLOOKUP($A$191,$A$187:$A$189,_xlfn.XLOOKUP(AB191,$B$186:$AK$186,$B$187:$AK$189))</f>
        <v>22014</v>
      </c>
      <c r="AC193" s="10" cm="1">
        <f t="array" ref="AC193">+_xlfn.XLOOKUP($A$191,$A$187:$A$189,_xlfn.XLOOKUP(AC191,$B$186:$AK$186,$B$187:$AK$189))</f>
        <v>25211</v>
      </c>
      <c r="AD193" s="10" cm="1">
        <f t="array" ref="AD193">+_xlfn.XLOOKUP($A$191,$A$187:$A$189,_xlfn.XLOOKUP(AD191,$B$186:$AK$186,$B$187:$AK$189))</f>
        <v>23169</v>
      </c>
      <c r="AE193" s="10" cm="1">
        <f t="array" ref="AE193">+_xlfn.XLOOKUP($A$191,$A$187:$A$189,_xlfn.XLOOKUP(AE191,$B$186:$AK$186,$B$187:$AK$189))</f>
        <v>18546</v>
      </c>
      <c r="AF193" s="10" cm="1">
        <f t="array" ref="AF193">+_xlfn.XLOOKUP($A$191,$A$187:$A$189,_xlfn.XLOOKUP(AF191,$B$186:$AK$186,$B$187:$AK$189))</f>
        <v>30138</v>
      </c>
      <c r="AG193" s="10" cm="1">
        <f t="array" ref="AG193">+_xlfn.XLOOKUP($A$191,$A$187:$A$189,_xlfn.XLOOKUP(AG191,$B$186:$AK$186,$B$187:$AK$189))</f>
        <v>30711</v>
      </c>
      <c r="AH193" s="10" cm="1">
        <f t="array" ref="AH193">+_xlfn.XLOOKUP($A$191,$A$187:$A$189,_xlfn.XLOOKUP(AH191,$B$186:$AK$186,$B$187:$AK$189))</f>
        <v>27921</v>
      </c>
      <c r="AI193" s="10" cm="1">
        <f t="array" ref="AI193">+_xlfn.XLOOKUP($A$191,$A$187:$A$189,_xlfn.XLOOKUP(AI191,$B$186:$AK$186,$B$187:$AK$189))</f>
        <v>33894</v>
      </c>
      <c r="AJ193" s="10" cm="1">
        <f t="array" ref="AJ193">+_xlfn.XLOOKUP($A$191,$A$187:$A$189,_xlfn.XLOOKUP(AJ191,$B$186:$AK$186,$B$187:$AK$189))</f>
        <v>29265</v>
      </c>
      <c r="AK193" s="10" cm="1">
        <f t="array" ref="AK193">+_xlfn.XLOOKUP($A$191,$A$187:$A$189,_xlfn.XLOOKUP(AK191,$B$186:$AK$186,$B$187:$AK$189))</f>
        <v>25743</v>
      </c>
    </row>
    <row r="197" spans="1:37">
      <c r="E197" s="46" t="s">
        <v>82</v>
      </c>
      <c r="F197" s="46"/>
    </row>
    <row r="198" spans="1:37">
      <c r="E198" s="25" t="s">
        <v>112</v>
      </c>
      <c r="F198" s="26" t="s">
        <v>113</v>
      </c>
      <c r="G198" t="s">
        <v>118</v>
      </c>
    </row>
    <row r="199" spans="1:37">
      <c r="E199" s="20">
        <f>+SUM(Z192:AK192)/SUM(N192:Y192)-1</f>
        <v>2.2541599221026205</v>
      </c>
      <c r="F199" s="20">
        <f>+SUM(Z193:AK193)/SUM(N193:Y193)-1</f>
        <v>1.5576890268868566</v>
      </c>
      <c r="G199" s="27">
        <f>+E199-F199</f>
        <v>0.69647089521576389</v>
      </c>
    </row>
    <row r="200" spans="1:37">
      <c r="E200" s="11"/>
    </row>
    <row r="210" spans="1:45">
      <c r="A210" s="6" t="s">
        <v>48</v>
      </c>
      <c r="B210" t="s">
        <v>49</v>
      </c>
    </row>
    <row r="211" spans="1:45">
      <c r="A211" s="6" t="s">
        <v>3</v>
      </c>
      <c r="B211" t="s">
        <v>40</v>
      </c>
    </row>
    <row r="212" spans="1:45">
      <c r="A212" s="6" t="s">
        <v>4</v>
      </c>
      <c r="B212" t="s">
        <v>125</v>
      </c>
    </row>
    <row r="214" spans="1:45">
      <c r="A214" s="6" t="s">
        <v>50</v>
      </c>
      <c r="B214" t="s">
        <v>51</v>
      </c>
      <c r="C214" t="s">
        <v>52</v>
      </c>
      <c r="D214" t="s">
        <v>53</v>
      </c>
      <c r="E214" t="s">
        <v>54</v>
      </c>
      <c r="F214" t="s">
        <v>55</v>
      </c>
      <c r="G214" t="s">
        <v>56</v>
      </c>
      <c r="H214" t="s">
        <v>57</v>
      </c>
      <c r="I214" t="s">
        <v>58</v>
      </c>
      <c r="J214" t="s">
        <v>59</v>
      </c>
      <c r="K214" t="s">
        <v>60</v>
      </c>
      <c r="L214" t="s">
        <v>61</v>
      </c>
      <c r="M214" t="s">
        <v>62</v>
      </c>
      <c r="N214" t="s">
        <v>5</v>
      </c>
      <c r="O214" t="s">
        <v>6</v>
      </c>
      <c r="P214" t="s">
        <v>7</v>
      </c>
      <c r="Q214" t="s">
        <v>8</v>
      </c>
      <c r="R214" t="s">
        <v>9</v>
      </c>
      <c r="S214" t="s">
        <v>10</v>
      </c>
      <c r="T214" t="s">
        <v>11</v>
      </c>
      <c r="U214" t="s">
        <v>12</v>
      </c>
      <c r="V214" t="s">
        <v>13</v>
      </c>
      <c r="W214" t="s">
        <v>14</v>
      </c>
      <c r="X214" t="s">
        <v>15</v>
      </c>
      <c r="Y214" t="s">
        <v>16</v>
      </c>
      <c r="Z214" t="s">
        <v>17</v>
      </c>
      <c r="AA214" t="s">
        <v>18</v>
      </c>
      <c r="AB214" t="s">
        <v>19</v>
      </c>
      <c r="AC214" t="s">
        <v>20</v>
      </c>
      <c r="AD214" t="s">
        <v>21</v>
      </c>
      <c r="AE214" t="s">
        <v>22</v>
      </c>
      <c r="AF214" t="s">
        <v>23</v>
      </c>
      <c r="AG214" t="s">
        <v>24</v>
      </c>
      <c r="AH214" t="s">
        <v>25</v>
      </c>
      <c r="AI214" t="s">
        <v>26</v>
      </c>
      <c r="AJ214" t="s">
        <v>27</v>
      </c>
      <c r="AK214" t="s">
        <v>28</v>
      </c>
      <c r="AL214" t="s">
        <v>29</v>
      </c>
      <c r="AM214" t="s">
        <v>30</v>
      </c>
      <c r="AN214" t="s">
        <v>31</v>
      </c>
      <c r="AO214" t="s">
        <v>32</v>
      </c>
      <c r="AP214" t="s">
        <v>33</v>
      </c>
      <c r="AQ214" t="s">
        <v>34</v>
      </c>
      <c r="AR214" t="s">
        <v>63</v>
      </c>
      <c r="AS214" t="s">
        <v>64</v>
      </c>
    </row>
    <row r="215" spans="1:45">
      <c r="A215" t="s">
        <v>83</v>
      </c>
      <c r="B215" s="7">
        <v>0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60</v>
      </c>
      <c r="J215" s="7">
        <v>192</v>
      </c>
      <c r="K215" s="7">
        <v>48</v>
      </c>
      <c r="L215" s="7">
        <v>858</v>
      </c>
      <c r="M215" s="7">
        <v>420</v>
      </c>
      <c r="N215" s="7">
        <v>3738</v>
      </c>
      <c r="O215" s="7">
        <v>2646</v>
      </c>
      <c r="P215" s="7">
        <v>3336</v>
      </c>
      <c r="Q215" s="7">
        <v>1452</v>
      </c>
      <c r="R215" s="7">
        <v>1188</v>
      </c>
      <c r="S215" s="7">
        <v>840</v>
      </c>
      <c r="T215" s="7">
        <v>1812</v>
      </c>
      <c r="U215" s="7">
        <v>2106</v>
      </c>
      <c r="V215" s="7">
        <v>1116</v>
      </c>
      <c r="W215" s="7">
        <v>570</v>
      </c>
      <c r="X215" s="7">
        <v>474</v>
      </c>
      <c r="Y215" s="7">
        <v>270</v>
      </c>
      <c r="Z215" s="7">
        <v>96</v>
      </c>
      <c r="AA215" s="7">
        <v>144</v>
      </c>
      <c r="AB215" s="7">
        <v>552</v>
      </c>
      <c r="AC215" s="7">
        <v>72</v>
      </c>
      <c r="AD215" s="7">
        <v>96</v>
      </c>
      <c r="AE215" s="7">
        <v>168</v>
      </c>
      <c r="AF215" s="7">
        <v>108</v>
      </c>
      <c r="AG215" s="7">
        <v>84</v>
      </c>
      <c r="AH215" s="7">
        <v>300</v>
      </c>
      <c r="AI215" s="7">
        <v>12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</row>
    <row r="216" spans="1:45">
      <c r="A216" t="s">
        <v>84</v>
      </c>
      <c r="B216" s="7">
        <v>3720</v>
      </c>
      <c r="C216" s="7">
        <v>14028</v>
      </c>
      <c r="D216" s="7">
        <v>7044</v>
      </c>
      <c r="E216" s="7">
        <v>7308</v>
      </c>
      <c r="F216" s="7">
        <v>7548</v>
      </c>
      <c r="G216" s="7">
        <v>5040</v>
      </c>
      <c r="H216" s="7">
        <v>5196</v>
      </c>
      <c r="I216" s="7">
        <v>1668</v>
      </c>
      <c r="J216" s="7">
        <v>4992</v>
      </c>
      <c r="K216" s="7">
        <v>4788</v>
      </c>
      <c r="L216" s="7">
        <v>1566</v>
      </c>
      <c r="M216" s="7">
        <v>1080</v>
      </c>
      <c r="N216" s="7">
        <v>4230</v>
      </c>
      <c r="O216" s="7">
        <v>2849</v>
      </c>
      <c r="P216" s="7">
        <v>3780</v>
      </c>
      <c r="Q216" s="7">
        <v>1716</v>
      </c>
      <c r="R216" s="7">
        <v>1452</v>
      </c>
      <c r="S216" s="7">
        <v>900</v>
      </c>
      <c r="T216" s="7">
        <v>1848</v>
      </c>
      <c r="U216" s="7">
        <v>2262</v>
      </c>
      <c r="V216" s="7">
        <v>1056</v>
      </c>
      <c r="W216" s="7">
        <v>378</v>
      </c>
      <c r="X216" s="7">
        <v>354</v>
      </c>
      <c r="Y216" s="7">
        <v>306</v>
      </c>
      <c r="Z216" s="7">
        <v>312</v>
      </c>
      <c r="AA216" s="7">
        <v>420</v>
      </c>
      <c r="AB216" s="7">
        <v>576</v>
      </c>
      <c r="AC216" s="7">
        <v>120</v>
      </c>
      <c r="AD216" s="7">
        <v>648</v>
      </c>
      <c r="AE216" s="7">
        <v>432</v>
      </c>
      <c r="AF216" s="7">
        <v>144</v>
      </c>
      <c r="AG216" s="7">
        <v>1500</v>
      </c>
      <c r="AH216" s="7">
        <v>36</v>
      </c>
      <c r="AI216" s="7">
        <v>432</v>
      </c>
      <c r="AJ216" s="7">
        <v>2076</v>
      </c>
      <c r="AK216" s="7">
        <v>36</v>
      </c>
      <c r="AL216" s="7">
        <v>0</v>
      </c>
      <c r="AM216" s="7">
        <v>2832</v>
      </c>
      <c r="AN216" s="7">
        <v>-3</v>
      </c>
      <c r="AO216" s="7">
        <v>0</v>
      </c>
      <c r="AP216" s="7">
        <v>0</v>
      </c>
      <c r="AQ216" s="7">
        <v>0</v>
      </c>
    </row>
    <row r="217" spans="1:45">
      <c r="A217" t="s">
        <v>85</v>
      </c>
      <c r="B217" s="7">
        <v>540</v>
      </c>
      <c r="C217" s="7">
        <v>672</v>
      </c>
      <c r="D217" s="7">
        <v>492</v>
      </c>
      <c r="E217" s="7">
        <v>240</v>
      </c>
      <c r="F217" s="7">
        <v>492</v>
      </c>
      <c r="G217" s="7">
        <v>360</v>
      </c>
      <c r="H217" s="7">
        <v>204</v>
      </c>
      <c r="I217" s="7">
        <v>312</v>
      </c>
      <c r="J217" s="7">
        <v>444</v>
      </c>
      <c r="K217" s="7">
        <v>120</v>
      </c>
      <c r="L217" s="7">
        <v>204</v>
      </c>
      <c r="M217" s="7">
        <v>180</v>
      </c>
      <c r="N217" s="7">
        <v>348</v>
      </c>
      <c r="O217" s="7">
        <v>240</v>
      </c>
      <c r="P217" s="7">
        <v>372</v>
      </c>
      <c r="Q217" s="7">
        <v>192</v>
      </c>
      <c r="R217" s="7">
        <v>228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13727</v>
      </c>
      <c r="Y217" s="7">
        <v>4965</v>
      </c>
      <c r="Z217" s="7">
        <v>5274</v>
      </c>
      <c r="AA217" s="7">
        <v>1981</v>
      </c>
      <c r="AB217" s="7">
        <v>2043</v>
      </c>
      <c r="AC217" s="7">
        <v>4202</v>
      </c>
      <c r="AD217" s="7">
        <v>1749</v>
      </c>
      <c r="AE217" s="7">
        <v>9396</v>
      </c>
      <c r="AF217" s="7">
        <v>1542</v>
      </c>
      <c r="AG217" s="7">
        <v>516</v>
      </c>
      <c r="AH217" s="7">
        <v>840</v>
      </c>
      <c r="AI217" s="7">
        <v>1446</v>
      </c>
      <c r="AJ217" s="7">
        <v>2268</v>
      </c>
      <c r="AK217" s="7">
        <v>2040</v>
      </c>
      <c r="AL217" s="7">
        <v>805</v>
      </c>
      <c r="AM217" s="7">
        <v>2322</v>
      </c>
      <c r="AN217" s="7">
        <v>1953</v>
      </c>
      <c r="AO217" s="7">
        <v>2250</v>
      </c>
      <c r="AP217" s="7">
        <v>2115</v>
      </c>
      <c r="AQ217" s="7">
        <v>1380</v>
      </c>
    </row>
    <row r="218" spans="1:45">
      <c r="A218" t="s">
        <v>86</v>
      </c>
      <c r="B218" s="7">
        <v>1536</v>
      </c>
      <c r="C218" s="7">
        <v>1668</v>
      </c>
      <c r="D218" s="7">
        <v>1200</v>
      </c>
      <c r="E218" s="7">
        <v>912</v>
      </c>
      <c r="F218" s="7">
        <v>108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</row>
    <row r="219" spans="1:45">
      <c r="A219" t="s">
        <v>87</v>
      </c>
      <c r="B219" s="7">
        <v>5508</v>
      </c>
      <c r="C219" s="7">
        <v>7332</v>
      </c>
      <c r="D219" s="7">
        <v>6086</v>
      </c>
      <c r="E219" s="7">
        <v>2016</v>
      </c>
      <c r="F219" s="7">
        <v>2588</v>
      </c>
      <c r="G219" s="7">
        <v>2832</v>
      </c>
      <c r="H219" s="7">
        <v>1770</v>
      </c>
      <c r="I219" s="7">
        <v>1164</v>
      </c>
      <c r="J219" s="7">
        <v>2136</v>
      </c>
      <c r="K219" s="7">
        <v>1560</v>
      </c>
      <c r="L219" s="7">
        <v>780</v>
      </c>
      <c r="M219" s="7">
        <v>840</v>
      </c>
      <c r="N219" s="7">
        <v>3708</v>
      </c>
      <c r="O219" s="7">
        <v>1938</v>
      </c>
      <c r="P219" s="7">
        <v>3486</v>
      </c>
      <c r="Q219" s="7">
        <v>1980</v>
      </c>
      <c r="R219" s="7">
        <v>5694</v>
      </c>
      <c r="S219" s="7">
        <v>858</v>
      </c>
      <c r="T219" s="7">
        <v>2844</v>
      </c>
      <c r="U219" s="7">
        <v>804</v>
      </c>
      <c r="V219" s="7">
        <v>906</v>
      </c>
      <c r="W219" s="7">
        <v>300</v>
      </c>
      <c r="X219" s="7">
        <v>1944</v>
      </c>
      <c r="Y219" s="7">
        <v>1704</v>
      </c>
      <c r="Z219" s="7">
        <v>702</v>
      </c>
      <c r="AA219" s="7">
        <v>1104</v>
      </c>
      <c r="AB219" s="7">
        <v>1764</v>
      </c>
      <c r="AC219" s="7">
        <v>3078</v>
      </c>
      <c r="AD219" s="7">
        <v>1158</v>
      </c>
      <c r="AE219" s="7">
        <v>1104</v>
      </c>
      <c r="AF219" s="7">
        <v>90</v>
      </c>
      <c r="AG219" s="7">
        <v>468</v>
      </c>
      <c r="AH219" s="7">
        <v>324</v>
      </c>
      <c r="AI219" s="7">
        <v>84</v>
      </c>
      <c r="AJ219" s="7">
        <v>60</v>
      </c>
      <c r="AK219" s="7">
        <v>144</v>
      </c>
      <c r="AL219" s="7">
        <v>132</v>
      </c>
      <c r="AM219" s="7">
        <v>228</v>
      </c>
      <c r="AN219" s="7">
        <v>96</v>
      </c>
      <c r="AO219" s="7">
        <v>0</v>
      </c>
      <c r="AP219" s="7">
        <v>0</v>
      </c>
      <c r="AQ219" s="7">
        <v>0</v>
      </c>
    </row>
    <row r="220" spans="1:45">
      <c r="A220" t="s">
        <v>88</v>
      </c>
      <c r="B220" s="7">
        <v>23964</v>
      </c>
      <c r="C220" s="7">
        <v>24708</v>
      </c>
      <c r="D220" s="7">
        <v>19088</v>
      </c>
      <c r="E220" s="7">
        <v>13614</v>
      </c>
      <c r="F220" s="7">
        <v>22119</v>
      </c>
      <c r="G220" s="7">
        <v>23724</v>
      </c>
      <c r="H220" s="7">
        <v>15432</v>
      </c>
      <c r="I220" s="7">
        <v>10344</v>
      </c>
      <c r="J220" s="7">
        <v>18215</v>
      </c>
      <c r="K220" s="7">
        <v>21318</v>
      </c>
      <c r="L220" s="7">
        <v>10818</v>
      </c>
      <c r="M220" s="7">
        <v>13572</v>
      </c>
      <c r="N220" s="7">
        <v>23739</v>
      </c>
      <c r="O220" s="7">
        <v>15225</v>
      </c>
      <c r="P220" s="7">
        <v>24468</v>
      </c>
      <c r="Q220" s="7">
        <v>28022</v>
      </c>
      <c r="R220" s="7">
        <v>16561</v>
      </c>
      <c r="S220" s="7">
        <v>22173</v>
      </c>
      <c r="T220" s="7">
        <v>17952</v>
      </c>
      <c r="U220" s="7">
        <v>12600</v>
      </c>
      <c r="V220" s="7">
        <v>22257</v>
      </c>
      <c r="W220" s="7">
        <v>3420</v>
      </c>
      <c r="X220" s="7">
        <v>8313</v>
      </c>
      <c r="Y220" s="7">
        <v>15369</v>
      </c>
      <c r="Z220" s="7">
        <v>18705</v>
      </c>
      <c r="AA220" s="7">
        <v>13623</v>
      </c>
      <c r="AB220" s="7">
        <v>24660</v>
      </c>
      <c r="AC220" s="7">
        <v>11715</v>
      </c>
      <c r="AD220" s="7">
        <v>13769</v>
      </c>
      <c r="AE220" s="7">
        <v>14478</v>
      </c>
      <c r="AF220" s="7">
        <v>12976</v>
      </c>
      <c r="AG220" s="7">
        <v>11856</v>
      </c>
      <c r="AH220" s="7">
        <v>13006</v>
      </c>
      <c r="AI220" s="7">
        <v>25118</v>
      </c>
      <c r="AJ220" s="7">
        <v>9994</v>
      </c>
      <c r="AK220" s="7">
        <v>12575</v>
      </c>
      <c r="AL220" s="7">
        <v>23614</v>
      </c>
      <c r="AM220" s="7">
        <v>23145</v>
      </c>
      <c r="AN220" s="7">
        <v>20700</v>
      </c>
      <c r="AO220" s="7">
        <v>12495</v>
      </c>
      <c r="AP220" s="7">
        <v>7686</v>
      </c>
      <c r="AQ220" s="7">
        <v>18554</v>
      </c>
    </row>
    <row r="221" spans="1:45">
      <c r="A221" t="s">
        <v>89</v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41649</v>
      </c>
    </row>
    <row r="222" spans="1:45">
      <c r="A222" t="s">
        <v>90</v>
      </c>
      <c r="B222" s="7">
        <v>5407</v>
      </c>
      <c r="C222" s="7">
        <v>8895</v>
      </c>
      <c r="D222" s="7">
        <v>5493</v>
      </c>
      <c r="E222" s="7">
        <v>3144</v>
      </c>
      <c r="F222" s="7">
        <v>6753</v>
      </c>
      <c r="G222" s="7">
        <v>1710</v>
      </c>
      <c r="H222" s="7">
        <v>2742</v>
      </c>
      <c r="I222" s="7">
        <v>1449</v>
      </c>
      <c r="J222" s="7">
        <v>4365</v>
      </c>
      <c r="K222" s="7">
        <v>2430</v>
      </c>
      <c r="L222" s="7">
        <v>1602</v>
      </c>
      <c r="M222" s="7">
        <v>1230</v>
      </c>
      <c r="N222" s="7">
        <v>4809</v>
      </c>
      <c r="O222" s="7">
        <v>3282</v>
      </c>
      <c r="P222" s="7">
        <v>3000</v>
      </c>
      <c r="Q222" s="7">
        <v>2043</v>
      </c>
      <c r="R222" s="7">
        <v>1266</v>
      </c>
      <c r="S222" s="7">
        <v>1413</v>
      </c>
      <c r="T222" s="7">
        <v>2277</v>
      </c>
      <c r="U222" s="7">
        <v>1035</v>
      </c>
      <c r="V222" s="7">
        <v>1605</v>
      </c>
      <c r="W222" s="7">
        <v>249</v>
      </c>
      <c r="X222" s="7">
        <v>534</v>
      </c>
      <c r="Y222" s="7">
        <v>1179</v>
      </c>
      <c r="Z222" s="7">
        <v>1383</v>
      </c>
      <c r="AA222" s="7">
        <v>2259</v>
      </c>
      <c r="AB222" s="7">
        <v>3618</v>
      </c>
      <c r="AC222" s="7">
        <v>1380</v>
      </c>
      <c r="AD222" s="7">
        <v>312</v>
      </c>
      <c r="AE222" s="7">
        <v>51</v>
      </c>
      <c r="AF222" s="7">
        <v>90</v>
      </c>
      <c r="AG222" s="7">
        <v>135</v>
      </c>
      <c r="AH222" s="7">
        <v>36</v>
      </c>
      <c r="AI222" s="7">
        <v>432</v>
      </c>
      <c r="AJ222" s="7">
        <v>372</v>
      </c>
      <c r="AK222" s="7">
        <v>-12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</row>
    <row r="223" spans="1:45">
      <c r="A223" t="s">
        <v>91</v>
      </c>
      <c r="B223" s="7">
        <v>3816</v>
      </c>
      <c r="C223" s="7">
        <v>6912</v>
      </c>
      <c r="D223" s="7">
        <v>10244</v>
      </c>
      <c r="E223" s="7">
        <v>4908</v>
      </c>
      <c r="F223" s="7">
        <v>6660</v>
      </c>
      <c r="G223" s="7">
        <v>4596</v>
      </c>
      <c r="H223" s="7">
        <v>2844</v>
      </c>
      <c r="I223" s="7">
        <v>1242</v>
      </c>
      <c r="J223" s="7">
        <v>3846</v>
      </c>
      <c r="K223" s="7">
        <v>3072</v>
      </c>
      <c r="L223" s="7">
        <v>2508</v>
      </c>
      <c r="M223" s="7">
        <v>2604</v>
      </c>
      <c r="N223" s="7">
        <v>4500</v>
      </c>
      <c r="O223" s="7">
        <v>3342</v>
      </c>
      <c r="P223" s="7">
        <v>5790</v>
      </c>
      <c r="Q223" s="7">
        <v>3528</v>
      </c>
      <c r="R223" s="7">
        <v>1188</v>
      </c>
      <c r="S223" s="7">
        <v>1350</v>
      </c>
      <c r="T223" s="7">
        <v>1974</v>
      </c>
      <c r="U223" s="7">
        <v>2022</v>
      </c>
      <c r="V223" s="7">
        <v>1032</v>
      </c>
      <c r="W223" s="7">
        <v>126</v>
      </c>
      <c r="X223" s="7">
        <v>534</v>
      </c>
      <c r="Y223" s="7">
        <v>420</v>
      </c>
      <c r="Z223" s="7">
        <v>504</v>
      </c>
      <c r="AA223" s="7">
        <v>294</v>
      </c>
      <c r="AB223" s="7">
        <v>492</v>
      </c>
      <c r="AC223" s="7">
        <v>426</v>
      </c>
      <c r="AD223" s="7">
        <v>714</v>
      </c>
      <c r="AE223" s="7">
        <v>270</v>
      </c>
      <c r="AF223" s="7">
        <v>420</v>
      </c>
      <c r="AG223" s="7">
        <v>330</v>
      </c>
      <c r="AH223" s="7">
        <v>438</v>
      </c>
      <c r="AI223" s="7">
        <v>672</v>
      </c>
      <c r="AJ223" s="7">
        <v>1950</v>
      </c>
      <c r="AK223" s="7">
        <v>216</v>
      </c>
      <c r="AL223" s="7">
        <v>156</v>
      </c>
      <c r="AM223" s="7">
        <v>132</v>
      </c>
      <c r="AN223" s="7">
        <v>216</v>
      </c>
      <c r="AO223" s="7">
        <v>0</v>
      </c>
      <c r="AP223" s="7">
        <v>0</v>
      </c>
      <c r="AQ223" s="7">
        <v>0</v>
      </c>
    </row>
    <row r="224" spans="1:45">
      <c r="A224" t="s">
        <v>92</v>
      </c>
      <c r="B224" s="7">
        <v>0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27300</v>
      </c>
      <c r="AC224" s="7">
        <v>22401</v>
      </c>
      <c r="AD224" s="7">
        <v>405</v>
      </c>
      <c r="AE224" s="7">
        <v>8429</v>
      </c>
      <c r="AF224" s="7">
        <v>28104</v>
      </c>
      <c r="AG224" s="7">
        <v>14628</v>
      </c>
      <c r="AH224" s="7">
        <v>32252</v>
      </c>
      <c r="AI224" s="7">
        <v>51819</v>
      </c>
      <c r="AJ224" s="7">
        <v>6013</v>
      </c>
      <c r="AK224" s="7">
        <v>13053</v>
      </c>
      <c r="AL224" s="7">
        <v>21522</v>
      </c>
      <c r="AM224" s="7">
        <v>23691</v>
      </c>
      <c r="AN224" s="7">
        <v>13842</v>
      </c>
      <c r="AO224" s="7">
        <v>16622</v>
      </c>
      <c r="AP224" s="7">
        <v>23967</v>
      </c>
      <c r="AQ224" s="7">
        <v>18282</v>
      </c>
    </row>
    <row r="225" spans="1:43">
      <c r="A225" t="s">
        <v>93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21270</v>
      </c>
      <c r="R225" s="7">
        <v>13140</v>
      </c>
      <c r="S225" s="7">
        <v>10472</v>
      </c>
      <c r="T225" s="7">
        <v>10320</v>
      </c>
      <c r="U225" s="7">
        <v>14808</v>
      </c>
      <c r="V225" s="7">
        <v>16888</v>
      </c>
      <c r="W225" s="7">
        <v>2730</v>
      </c>
      <c r="X225" s="7">
        <v>4656</v>
      </c>
      <c r="Y225" s="7">
        <v>6372</v>
      </c>
      <c r="Z225" s="7">
        <v>14736</v>
      </c>
      <c r="AA225" s="7">
        <v>10578</v>
      </c>
      <c r="AB225" s="7">
        <v>21108</v>
      </c>
      <c r="AC225" s="7">
        <v>3576</v>
      </c>
      <c r="AD225" s="7">
        <v>9834</v>
      </c>
      <c r="AE225" s="7">
        <v>9624</v>
      </c>
      <c r="AF225" s="7">
        <v>11928</v>
      </c>
      <c r="AG225" s="7">
        <v>8838</v>
      </c>
      <c r="AH225" s="7">
        <v>16818</v>
      </c>
      <c r="AI225" s="7">
        <v>11088</v>
      </c>
      <c r="AJ225" s="7">
        <v>12582</v>
      </c>
      <c r="AK225" s="7">
        <v>14382</v>
      </c>
      <c r="AL225" s="7">
        <v>11940</v>
      </c>
      <c r="AM225" s="7">
        <v>17592</v>
      </c>
      <c r="AN225" s="7">
        <v>13080</v>
      </c>
      <c r="AO225" s="7">
        <v>15402</v>
      </c>
      <c r="AP225" s="7">
        <v>13932</v>
      </c>
      <c r="AQ225" s="7">
        <v>12984</v>
      </c>
    </row>
    <row r="226" spans="1:43">
      <c r="A226" t="s">
        <v>94</v>
      </c>
      <c r="B226" s="7">
        <v>29700</v>
      </c>
      <c r="C226" s="7">
        <v>20178</v>
      </c>
      <c r="D226" s="7">
        <v>40960</v>
      </c>
      <c r="E226" s="7">
        <v>33518</v>
      </c>
      <c r="F226" s="7">
        <v>26978</v>
      </c>
      <c r="G226" s="7">
        <v>23526</v>
      </c>
      <c r="H226" s="7">
        <v>19560</v>
      </c>
      <c r="I226" s="7">
        <v>18906</v>
      </c>
      <c r="J226" s="7">
        <v>27188</v>
      </c>
      <c r="K226" s="7">
        <v>26400</v>
      </c>
      <c r="L226" s="7">
        <v>22530</v>
      </c>
      <c r="M226" s="7">
        <v>27820</v>
      </c>
      <c r="N226" s="7">
        <v>27150</v>
      </c>
      <c r="O226" s="7">
        <v>28494</v>
      </c>
      <c r="P226" s="7">
        <v>18616</v>
      </c>
      <c r="Q226" s="7">
        <v>12548</v>
      </c>
      <c r="R226" s="7">
        <v>25156</v>
      </c>
      <c r="S226" s="7">
        <v>20634</v>
      </c>
      <c r="T226" s="7">
        <v>32262</v>
      </c>
      <c r="U226" s="7">
        <v>17736</v>
      </c>
      <c r="V226" s="7">
        <v>28014</v>
      </c>
      <c r="W226" s="7">
        <v>4236</v>
      </c>
      <c r="X226" s="7">
        <v>9858</v>
      </c>
      <c r="Y226" s="7">
        <v>15492</v>
      </c>
      <c r="Z226" s="7">
        <v>14256</v>
      </c>
      <c r="AA226" s="7">
        <v>13588</v>
      </c>
      <c r="AB226" s="7">
        <v>8736</v>
      </c>
      <c r="AC226" s="7">
        <v>11052</v>
      </c>
      <c r="AD226" s="7">
        <v>17382</v>
      </c>
      <c r="AE226" s="7">
        <v>25086</v>
      </c>
      <c r="AF226" s="7">
        <v>18522</v>
      </c>
      <c r="AG226" s="7">
        <v>8298</v>
      </c>
      <c r="AH226" s="7">
        <v>30702</v>
      </c>
      <c r="AI226" s="7">
        <v>23214</v>
      </c>
      <c r="AJ226" s="7">
        <v>9060</v>
      </c>
      <c r="AK226" s="7">
        <v>17695</v>
      </c>
      <c r="AL226" s="7">
        <v>16860</v>
      </c>
      <c r="AM226" s="7">
        <v>24684</v>
      </c>
      <c r="AN226" s="7">
        <v>15076</v>
      </c>
      <c r="AO226" s="7">
        <v>12144</v>
      </c>
      <c r="AP226" s="7">
        <v>10848</v>
      </c>
      <c r="AQ226" s="7">
        <v>23370</v>
      </c>
    </row>
    <row r="227" spans="1:43">
      <c r="A227" t="s">
        <v>95</v>
      </c>
      <c r="B227" s="7">
        <v>0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2748</v>
      </c>
      <c r="M227" s="7">
        <v>1500</v>
      </c>
      <c r="N227" s="7">
        <v>2184</v>
      </c>
      <c r="O227" s="7">
        <v>2700</v>
      </c>
      <c r="P227" s="7">
        <v>1440</v>
      </c>
      <c r="Q227" s="7">
        <v>1536</v>
      </c>
      <c r="R227" s="7">
        <v>720</v>
      </c>
      <c r="S227" s="7">
        <v>612</v>
      </c>
      <c r="T227" s="7">
        <v>324</v>
      </c>
      <c r="U227" s="7">
        <v>828</v>
      </c>
      <c r="V227" s="7">
        <v>1284</v>
      </c>
      <c r="W227" s="7">
        <v>72</v>
      </c>
      <c r="X227" s="7">
        <v>120</v>
      </c>
      <c r="Y227" s="7">
        <v>120</v>
      </c>
      <c r="Z227" s="7">
        <v>960</v>
      </c>
      <c r="AA227" s="7">
        <v>972</v>
      </c>
      <c r="AB227" s="7">
        <v>660</v>
      </c>
      <c r="AC227" s="7">
        <v>132</v>
      </c>
      <c r="AD227" s="7">
        <v>0</v>
      </c>
      <c r="AE227" s="7">
        <v>132</v>
      </c>
      <c r="AF227" s="7">
        <v>84</v>
      </c>
      <c r="AG227" s="7">
        <v>324</v>
      </c>
      <c r="AH227" s="7">
        <v>192</v>
      </c>
      <c r="AI227" s="7">
        <v>132</v>
      </c>
      <c r="AJ227" s="7">
        <v>624</v>
      </c>
      <c r="AK227" s="7">
        <v>216</v>
      </c>
      <c r="AL227" s="7">
        <v>420</v>
      </c>
      <c r="AM227" s="7">
        <v>696</v>
      </c>
      <c r="AN227" s="7">
        <v>576</v>
      </c>
      <c r="AO227" s="7">
        <v>396</v>
      </c>
      <c r="AP227" s="7">
        <v>348</v>
      </c>
      <c r="AQ227" s="7">
        <v>312</v>
      </c>
    </row>
    <row r="228" spans="1:43">
      <c r="A228" t="s">
        <v>96</v>
      </c>
      <c r="B228" s="7">
        <v>0</v>
      </c>
      <c r="C228" s="7">
        <v>48</v>
      </c>
      <c r="D228" s="7">
        <v>4058</v>
      </c>
      <c r="E228" s="7">
        <v>1512</v>
      </c>
      <c r="F228" s="7">
        <v>1956</v>
      </c>
      <c r="G228" s="7">
        <v>2700</v>
      </c>
      <c r="H228" s="7">
        <v>1638</v>
      </c>
      <c r="I228" s="7">
        <v>552</v>
      </c>
      <c r="J228" s="7">
        <v>1176</v>
      </c>
      <c r="K228" s="7">
        <v>1452</v>
      </c>
      <c r="L228" s="7">
        <v>780</v>
      </c>
      <c r="M228" s="7">
        <v>684</v>
      </c>
      <c r="N228" s="7">
        <v>3288</v>
      </c>
      <c r="O228" s="7">
        <v>3774</v>
      </c>
      <c r="P228" s="7">
        <v>2334</v>
      </c>
      <c r="Q228" s="7">
        <v>936</v>
      </c>
      <c r="R228" s="7">
        <v>1602</v>
      </c>
      <c r="S228" s="7">
        <v>930</v>
      </c>
      <c r="T228" s="7">
        <v>2880</v>
      </c>
      <c r="U228" s="7">
        <v>696</v>
      </c>
      <c r="V228" s="7">
        <v>1086</v>
      </c>
      <c r="W228" s="7">
        <v>252</v>
      </c>
      <c r="X228" s="7">
        <v>2400</v>
      </c>
      <c r="Y228" s="7">
        <v>1704</v>
      </c>
      <c r="Z228" s="7">
        <v>870</v>
      </c>
      <c r="AA228" s="7">
        <v>1308</v>
      </c>
      <c r="AB228" s="7">
        <v>1824</v>
      </c>
      <c r="AC228" s="7">
        <v>3246</v>
      </c>
      <c r="AD228" s="7">
        <v>1206</v>
      </c>
      <c r="AE228" s="7">
        <v>1152</v>
      </c>
      <c r="AF228" s="7">
        <v>222</v>
      </c>
      <c r="AG228" s="7">
        <v>636</v>
      </c>
      <c r="AH228" s="7">
        <v>240</v>
      </c>
      <c r="AI228" s="7">
        <v>744</v>
      </c>
      <c r="AJ228" s="7">
        <v>732</v>
      </c>
      <c r="AK228" s="7">
        <v>-252</v>
      </c>
      <c r="AL228" s="7">
        <v>60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</row>
    <row r="229" spans="1:43">
      <c r="A229" t="s">
        <v>97</v>
      </c>
      <c r="B229" s="7">
        <v>813</v>
      </c>
      <c r="C229" s="7">
        <v>1710</v>
      </c>
      <c r="D229" s="7">
        <v>1188</v>
      </c>
      <c r="E229" s="7">
        <v>1770</v>
      </c>
      <c r="F229" s="7">
        <v>747</v>
      </c>
      <c r="G229" s="7">
        <v>792</v>
      </c>
      <c r="H229" s="7">
        <v>414</v>
      </c>
      <c r="I229" s="7">
        <v>945</v>
      </c>
      <c r="J229" s="7">
        <v>1152</v>
      </c>
      <c r="K229" s="7">
        <v>441</v>
      </c>
      <c r="L229" s="7">
        <v>1515</v>
      </c>
      <c r="M229" s="7">
        <v>1842</v>
      </c>
      <c r="N229" s="7">
        <v>747</v>
      </c>
      <c r="O229" s="7">
        <v>288</v>
      </c>
      <c r="P229" s="7">
        <v>729</v>
      </c>
      <c r="Q229" s="7">
        <v>1056</v>
      </c>
      <c r="R229" s="7">
        <v>693</v>
      </c>
      <c r="S229" s="7">
        <v>1032</v>
      </c>
      <c r="T229" s="7">
        <v>789</v>
      </c>
      <c r="U229" s="7">
        <v>372</v>
      </c>
      <c r="V229" s="7">
        <v>1179</v>
      </c>
      <c r="W229" s="7">
        <v>138</v>
      </c>
      <c r="X229" s="7">
        <v>402</v>
      </c>
      <c r="Y229" s="7">
        <v>558</v>
      </c>
      <c r="Z229" s="7">
        <v>795</v>
      </c>
      <c r="AA229" s="7">
        <v>538</v>
      </c>
      <c r="AB229" s="7">
        <v>408</v>
      </c>
      <c r="AC229" s="7">
        <v>1080</v>
      </c>
      <c r="AD229" s="7">
        <v>360</v>
      </c>
      <c r="AE229" s="7">
        <v>768</v>
      </c>
      <c r="AF229" s="7">
        <v>348</v>
      </c>
      <c r="AG229" s="7">
        <v>537</v>
      </c>
      <c r="AH229" s="7">
        <v>363</v>
      </c>
      <c r="AI229" s="7">
        <v>561</v>
      </c>
      <c r="AJ229" s="7">
        <v>672</v>
      </c>
      <c r="AK229" s="7">
        <v>540</v>
      </c>
      <c r="AL229" s="7">
        <v>459</v>
      </c>
      <c r="AM229" s="7">
        <v>318</v>
      </c>
      <c r="AN229" s="7">
        <v>339</v>
      </c>
      <c r="AO229" s="7">
        <v>336</v>
      </c>
      <c r="AP229" s="7">
        <v>375</v>
      </c>
      <c r="AQ229" s="7">
        <v>213</v>
      </c>
    </row>
    <row r="230" spans="1:43">
      <c r="A230" t="s">
        <v>98</v>
      </c>
      <c r="B230" s="7">
        <v>8236</v>
      </c>
      <c r="C230" s="7">
        <v>6151</v>
      </c>
      <c r="D230" s="7">
        <v>2478</v>
      </c>
      <c r="E230" s="7">
        <v>5091</v>
      </c>
      <c r="F230" s="7">
        <v>1830</v>
      </c>
      <c r="G230" s="7">
        <v>522</v>
      </c>
      <c r="H230" s="7">
        <v>1287</v>
      </c>
      <c r="I230" s="7">
        <v>1206</v>
      </c>
      <c r="J230" s="7">
        <v>2001</v>
      </c>
      <c r="K230" s="7">
        <v>819</v>
      </c>
      <c r="L230" s="7">
        <v>2184</v>
      </c>
      <c r="M230" s="7">
        <v>2319</v>
      </c>
      <c r="N230" s="7">
        <v>1431</v>
      </c>
      <c r="O230" s="7">
        <v>1299</v>
      </c>
      <c r="P230" s="7">
        <v>1188</v>
      </c>
      <c r="Q230" s="7">
        <v>1611</v>
      </c>
      <c r="R230" s="7">
        <v>936</v>
      </c>
      <c r="S230" s="7">
        <v>1191</v>
      </c>
      <c r="T230" s="7">
        <v>1458</v>
      </c>
      <c r="U230" s="7">
        <v>774</v>
      </c>
      <c r="V230" s="7">
        <v>1536</v>
      </c>
      <c r="W230" s="7">
        <v>117</v>
      </c>
      <c r="X230" s="7">
        <v>867</v>
      </c>
      <c r="Y230" s="7">
        <v>795</v>
      </c>
      <c r="Z230" s="7">
        <v>1599</v>
      </c>
      <c r="AA230" s="7">
        <v>1362</v>
      </c>
      <c r="AB230" s="7">
        <v>1125</v>
      </c>
      <c r="AC230" s="7">
        <v>1629</v>
      </c>
      <c r="AD230" s="7">
        <v>813</v>
      </c>
      <c r="AE230" s="7">
        <v>2637</v>
      </c>
      <c r="AF230" s="7">
        <v>519</v>
      </c>
      <c r="AG230" s="7">
        <v>546</v>
      </c>
      <c r="AH230" s="7">
        <v>288</v>
      </c>
      <c r="AI230" s="7">
        <v>753</v>
      </c>
      <c r="AJ230" s="7">
        <v>939</v>
      </c>
      <c r="AK230" s="7">
        <v>1185</v>
      </c>
      <c r="AL230" s="7">
        <v>786</v>
      </c>
      <c r="AM230" s="7">
        <v>897</v>
      </c>
      <c r="AN230" s="7">
        <v>534</v>
      </c>
      <c r="AO230" s="7">
        <v>834</v>
      </c>
      <c r="AP230" s="7">
        <v>5841</v>
      </c>
      <c r="AQ230" s="7">
        <v>423</v>
      </c>
    </row>
    <row r="231" spans="1:43">
      <c r="A231" t="s">
        <v>99</v>
      </c>
      <c r="B231" s="7">
        <v>2400</v>
      </c>
      <c r="C231" s="7">
        <v>1494</v>
      </c>
      <c r="D231" s="7">
        <v>1488</v>
      </c>
      <c r="E231" s="7">
        <v>3882</v>
      </c>
      <c r="F231" s="7">
        <v>1482</v>
      </c>
      <c r="G231" s="7">
        <v>372</v>
      </c>
      <c r="H231" s="7">
        <v>1230</v>
      </c>
      <c r="I231" s="7">
        <v>948</v>
      </c>
      <c r="J231" s="7">
        <v>2478</v>
      </c>
      <c r="K231" s="7">
        <v>984</v>
      </c>
      <c r="L231" s="7">
        <v>1716</v>
      </c>
      <c r="M231" s="7">
        <v>1194</v>
      </c>
      <c r="N231" s="7">
        <v>1923</v>
      </c>
      <c r="O231" s="7">
        <v>1365</v>
      </c>
      <c r="P231" s="7">
        <v>1405</v>
      </c>
      <c r="Q231" s="7">
        <v>2010</v>
      </c>
      <c r="R231" s="7">
        <v>1128</v>
      </c>
      <c r="S231" s="7">
        <v>1110</v>
      </c>
      <c r="T231" s="7">
        <v>1566</v>
      </c>
      <c r="U231" s="7">
        <v>705</v>
      </c>
      <c r="V231" s="7">
        <v>1542</v>
      </c>
      <c r="W231" s="7">
        <v>189</v>
      </c>
      <c r="X231" s="7">
        <v>1305</v>
      </c>
      <c r="Y231" s="7">
        <v>792</v>
      </c>
      <c r="Z231" s="7">
        <v>1503</v>
      </c>
      <c r="AA231" s="7">
        <v>1317</v>
      </c>
      <c r="AB231" s="7">
        <v>1695</v>
      </c>
      <c r="AC231" s="7">
        <v>1206</v>
      </c>
      <c r="AD231" s="7">
        <v>579</v>
      </c>
      <c r="AE231" s="7">
        <v>2382</v>
      </c>
      <c r="AF231" s="7">
        <v>429</v>
      </c>
      <c r="AG231" s="7">
        <v>357</v>
      </c>
      <c r="AH231" s="7">
        <v>261</v>
      </c>
      <c r="AI231" s="7">
        <v>1369</v>
      </c>
      <c r="AJ231" s="7">
        <v>1077</v>
      </c>
      <c r="AK231" s="7">
        <v>96</v>
      </c>
      <c r="AL231" s="7">
        <v>744</v>
      </c>
      <c r="AM231" s="7">
        <v>726</v>
      </c>
      <c r="AN231" s="7">
        <v>861</v>
      </c>
      <c r="AO231" s="7">
        <v>885</v>
      </c>
      <c r="AP231" s="7">
        <v>4761</v>
      </c>
      <c r="AQ231" s="7">
        <v>984</v>
      </c>
    </row>
    <row r="232" spans="1:43">
      <c r="A232" t="s">
        <v>100</v>
      </c>
      <c r="B232" s="7">
        <v>2781</v>
      </c>
      <c r="C232" s="7">
        <v>3972</v>
      </c>
      <c r="D232" s="7">
        <v>2127</v>
      </c>
      <c r="E232" s="7">
        <v>2052</v>
      </c>
      <c r="F232" s="7">
        <v>2604</v>
      </c>
      <c r="G232" s="7">
        <v>2001</v>
      </c>
      <c r="H232" s="7">
        <v>1557</v>
      </c>
      <c r="I232" s="7">
        <v>2931</v>
      </c>
      <c r="J232" s="7">
        <v>2295</v>
      </c>
      <c r="K232" s="7">
        <v>1008</v>
      </c>
      <c r="L232" s="7">
        <v>1779</v>
      </c>
      <c r="M232" s="7">
        <v>1731</v>
      </c>
      <c r="N232" s="7">
        <v>1485</v>
      </c>
      <c r="O232" s="7">
        <v>2067</v>
      </c>
      <c r="P232" s="7">
        <v>1788</v>
      </c>
      <c r="Q232" s="7">
        <v>867</v>
      </c>
      <c r="R232" s="7">
        <v>2415</v>
      </c>
      <c r="S232" s="7">
        <v>2421</v>
      </c>
      <c r="T232" s="7">
        <v>588</v>
      </c>
      <c r="U232" s="7">
        <v>588</v>
      </c>
      <c r="V232" s="7">
        <v>0</v>
      </c>
      <c r="W232" s="7">
        <v>3234</v>
      </c>
      <c r="X232" s="7">
        <v>6039</v>
      </c>
      <c r="Y232" s="7">
        <v>1281</v>
      </c>
      <c r="Z232" s="7">
        <v>2616</v>
      </c>
      <c r="AA232" s="7">
        <v>313</v>
      </c>
      <c r="AB232" s="7">
        <v>-12</v>
      </c>
      <c r="AC232" s="7">
        <v>5283</v>
      </c>
      <c r="AD232" s="7">
        <v>1698</v>
      </c>
      <c r="AE232" s="7">
        <v>3150</v>
      </c>
      <c r="AF232" s="7">
        <v>3501</v>
      </c>
      <c r="AG232" s="7">
        <v>2607</v>
      </c>
      <c r="AH232" s="7">
        <v>2010</v>
      </c>
      <c r="AI232" s="7">
        <v>2469</v>
      </c>
      <c r="AJ232" s="7">
        <v>3150</v>
      </c>
      <c r="AK232" s="7">
        <v>942</v>
      </c>
      <c r="AL232" s="7">
        <v>7035</v>
      </c>
      <c r="AM232" s="7">
        <v>424</v>
      </c>
      <c r="AN232" s="7">
        <v>8733</v>
      </c>
      <c r="AO232" s="7">
        <v>2394</v>
      </c>
      <c r="AP232" s="7">
        <v>2847</v>
      </c>
      <c r="AQ232" s="7">
        <v>3426</v>
      </c>
    </row>
    <row r="233" spans="1:43">
      <c r="A233" t="s">
        <v>101</v>
      </c>
      <c r="B233" s="7">
        <v>624</v>
      </c>
      <c r="C233" s="7">
        <v>0</v>
      </c>
      <c r="D233" s="7">
        <v>36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1416</v>
      </c>
      <c r="M233" s="7">
        <v>276</v>
      </c>
      <c r="N233" s="7">
        <v>468</v>
      </c>
      <c r="O233" s="7">
        <v>108</v>
      </c>
      <c r="P233" s="7">
        <v>264</v>
      </c>
      <c r="Q233" s="7">
        <v>360</v>
      </c>
      <c r="R233" s="7">
        <v>12</v>
      </c>
      <c r="S233" s="7">
        <v>1</v>
      </c>
      <c r="T233" s="7">
        <v>300</v>
      </c>
      <c r="U233" s="7">
        <v>288</v>
      </c>
      <c r="V233" s="7">
        <v>660</v>
      </c>
      <c r="W233" s="7">
        <v>84</v>
      </c>
      <c r="X233" s="7">
        <v>252</v>
      </c>
      <c r="Y233" s="7">
        <v>324</v>
      </c>
      <c r="Z233" s="7">
        <v>336</v>
      </c>
      <c r="AA233" s="7">
        <v>72</v>
      </c>
      <c r="AB233" s="7">
        <v>420</v>
      </c>
      <c r="AC233" s="7">
        <v>288</v>
      </c>
      <c r="AD233" s="7">
        <v>168</v>
      </c>
      <c r="AE233" s="7">
        <v>252</v>
      </c>
      <c r="AF233" s="7">
        <v>180</v>
      </c>
      <c r="AG233" s="7">
        <v>168</v>
      </c>
      <c r="AH233" s="7">
        <v>120</v>
      </c>
      <c r="AI233" s="7">
        <v>36</v>
      </c>
      <c r="AJ233" s="7">
        <v>312</v>
      </c>
      <c r="AK233" s="7">
        <v>132</v>
      </c>
      <c r="AL233" s="7">
        <v>540</v>
      </c>
      <c r="AM233" s="7">
        <v>300</v>
      </c>
      <c r="AN233" s="7">
        <v>0</v>
      </c>
      <c r="AO233" s="7">
        <v>432</v>
      </c>
      <c r="AP233" s="7">
        <v>132</v>
      </c>
      <c r="AQ233" s="7">
        <v>96</v>
      </c>
    </row>
    <row r="234" spans="1:43">
      <c r="A234" t="s">
        <v>102</v>
      </c>
      <c r="B234" s="7">
        <v>9246</v>
      </c>
      <c r="C234" s="7">
        <v>4722</v>
      </c>
      <c r="D234" s="7">
        <v>7146</v>
      </c>
      <c r="E234" s="7">
        <v>3624</v>
      </c>
      <c r="F234" s="7">
        <v>3006</v>
      </c>
      <c r="G234" s="7">
        <v>3588</v>
      </c>
      <c r="H234" s="7">
        <v>17426</v>
      </c>
      <c r="I234" s="7">
        <v>4128</v>
      </c>
      <c r="J234" s="7">
        <v>8652</v>
      </c>
      <c r="K234" s="7">
        <v>5026</v>
      </c>
      <c r="L234" s="7">
        <v>5650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</row>
    <row r="235" spans="1:43">
      <c r="A235" t="s">
        <v>103</v>
      </c>
      <c r="B235" s="7">
        <v>1224</v>
      </c>
      <c r="C235" s="7">
        <v>1032</v>
      </c>
      <c r="D235" s="7">
        <v>1032</v>
      </c>
      <c r="E235" s="7">
        <v>732</v>
      </c>
      <c r="F235" s="7">
        <v>650</v>
      </c>
      <c r="G235" s="7">
        <v>552</v>
      </c>
      <c r="H235" s="7">
        <v>1449</v>
      </c>
      <c r="I235" s="7">
        <v>1065</v>
      </c>
      <c r="J235" s="7">
        <v>1695</v>
      </c>
      <c r="K235" s="7">
        <v>615</v>
      </c>
      <c r="L235" s="7">
        <v>1062</v>
      </c>
      <c r="M235" s="7">
        <v>1140</v>
      </c>
      <c r="N235" s="7">
        <v>1365</v>
      </c>
      <c r="O235" s="7">
        <v>756</v>
      </c>
      <c r="P235" s="7">
        <v>1392</v>
      </c>
      <c r="Q235" s="7">
        <v>1113</v>
      </c>
      <c r="R235" s="7">
        <v>942</v>
      </c>
      <c r="S235" s="7">
        <v>1074</v>
      </c>
      <c r="T235" s="7">
        <v>813</v>
      </c>
      <c r="U235" s="7">
        <v>600</v>
      </c>
      <c r="V235" s="7">
        <v>1179</v>
      </c>
      <c r="W235" s="7">
        <v>93</v>
      </c>
      <c r="X235" s="7">
        <v>852</v>
      </c>
      <c r="Y235" s="7">
        <v>459</v>
      </c>
      <c r="Z235" s="7">
        <v>633</v>
      </c>
      <c r="AA235" s="7">
        <v>696</v>
      </c>
      <c r="AB235" s="7">
        <v>357</v>
      </c>
      <c r="AC235" s="7">
        <v>1569</v>
      </c>
      <c r="AD235" s="7">
        <v>528</v>
      </c>
      <c r="AE235" s="7">
        <v>1062</v>
      </c>
      <c r="AF235" s="7">
        <v>552</v>
      </c>
      <c r="AG235" s="7">
        <v>1077</v>
      </c>
      <c r="AH235" s="7">
        <v>804</v>
      </c>
      <c r="AI235" s="7">
        <v>645</v>
      </c>
      <c r="AJ235" s="7">
        <v>636</v>
      </c>
      <c r="AK235" s="7">
        <v>789</v>
      </c>
      <c r="AL235" s="7">
        <v>1014</v>
      </c>
      <c r="AM235" s="7">
        <v>759</v>
      </c>
      <c r="AN235" s="7">
        <v>696</v>
      </c>
      <c r="AO235" s="7">
        <v>480</v>
      </c>
      <c r="AP235" s="7">
        <v>1164</v>
      </c>
      <c r="AQ235" s="7">
        <v>672</v>
      </c>
    </row>
    <row r="236" spans="1:43">
      <c r="A236" t="s">
        <v>104</v>
      </c>
      <c r="B236" s="7">
        <v>9573</v>
      </c>
      <c r="C236" s="7">
        <v>24289</v>
      </c>
      <c r="D236" s="7">
        <v>21570</v>
      </c>
      <c r="E236" s="7">
        <v>21632</v>
      </c>
      <c r="F236" s="7">
        <v>19526</v>
      </c>
      <c r="G236" s="7">
        <v>18777</v>
      </c>
      <c r="H236" s="7">
        <v>14528</v>
      </c>
      <c r="I236" s="7">
        <v>15801</v>
      </c>
      <c r="J236" s="7">
        <v>13559</v>
      </c>
      <c r="K236" s="7">
        <v>20738</v>
      </c>
      <c r="L236" s="7">
        <v>12867</v>
      </c>
      <c r="M236" s="7">
        <v>17454</v>
      </c>
      <c r="N236" s="7">
        <v>19111</v>
      </c>
      <c r="O236" s="7">
        <v>16369</v>
      </c>
      <c r="P236" s="7">
        <v>20231</v>
      </c>
      <c r="Q236" s="7">
        <v>16892</v>
      </c>
      <c r="R236" s="7">
        <v>10253</v>
      </c>
      <c r="S236" s="7">
        <v>14328</v>
      </c>
      <c r="T236" s="7">
        <v>21075</v>
      </c>
      <c r="U236" s="7">
        <v>11100</v>
      </c>
      <c r="V236" s="7">
        <v>13903</v>
      </c>
      <c r="W236" s="7">
        <v>3144</v>
      </c>
      <c r="X236" s="7">
        <v>6987</v>
      </c>
      <c r="Y236" s="7">
        <v>12813</v>
      </c>
      <c r="Z236" s="7">
        <v>13422</v>
      </c>
      <c r="AA236" s="7">
        <v>14937</v>
      </c>
      <c r="AB236" s="7">
        <v>21279</v>
      </c>
      <c r="AC236" s="7">
        <v>10275</v>
      </c>
      <c r="AD236" s="7">
        <v>8694</v>
      </c>
      <c r="AE236" s="7">
        <v>12559</v>
      </c>
      <c r="AF236" s="7">
        <v>12515</v>
      </c>
      <c r="AG236" s="7">
        <v>8071</v>
      </c>
      <c r="AH236" s="7">
        <v>20358</v>
      </c>
      <c r="AI236" s="7">
        <v>7786</v>
      </c>
      <c r="AJ236" s="7">
        <v>13081</v>
      </c>
      <c r="AK236" s="7">
        <v>3906</v>
      </c>
      <c r="AL236" s="7">
        <v>15888</v>
      </c>
      <c r="AM236" s="7">
        <v>12360</v>
      </c>
      <c r="AN236" s="7">
        <v>17883</v>
      </c>
      <c r="AO236" s="7">
        <v>10953</v>
      </c>
      <c r="AP236" s="7">
        <v>10536</v>
      </c>
      <c r="AQ236" s="7">
        <v>18567</v>
      </c>
    </row>
    <row r="237" spans="1:43">
      <c r="A237" t="s">
        <v>105</v>
      </c>
      <c r="B237" s="7">
        <v>354</v>
      </c>
      <c r="C237" s="7">
        <v>471</v>
      </c>
      <c r="D237" s="7">
        <v>273</v>
      </c>
      <c r="E237" s="7">
        <v>234</v>
      </c>
      <c r="F237" s="7">
        <v>273</v>
      </c>
      <c r="G237" s="7">
        <v>204</v>
      </c>
      <c r="H237" s="7">
        <v>201</v>
      </c>
      <c r="I237" s="7">
        <v>168</v>
      </c>
      <c r="J237" s="7">
        <v>279</v>
      </c>
      <c r="K237" s="7">
        <v>105</v>
      </c>
      <c r="L237" s="7">
        <v>279</v>
      </c>
      <c r="M237" s="7">
        <v>123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</row>
    <row r="238" spans="1:43">
      <c r="A238" t="s">
        <v>38</v>
      </c>
      <c r="B238" s="7">
        <v>109442</v>
      </c>
      <c r="C238" s="7">
        <v>128282</v>
      </c>
      <c r="D238" s="7">
        <v>132003</v>
      </c>
      <c r="E238" s="7">
        <v>106189</v>
      </c>
      <c r="F238" s="7">
        <v>105320</v>
      </c>
      <c r="G238" s="7">
        <v>91296</v>
      </c>
      <c r="H238" s="7">
        <v>87478</v>
      </c>
      <c r="I238" s="7">
        <v>62889</v>
      </c>
      <c r="J238" s="7">
        <v>94665</v>
      </c>
      <c r="K238" s="7">
        <v>90924</v>
      </c>
      <c r="L238" s="7">
        <v>72862</v>
      </c>
      <c r="M238" s="7">
        <v>76009</v>
      </c>
      <c r="N238" s="7">
        <v>104224</v>
      </c>
      <c r="O238" s="7">
        <v>86742</v>
      </c>
      <c r="P238" s="7">
        <v>93619</v>
      </c>
      <c r="Q238" s="7">
        <v>99132</v>
      </c>
      <c r="R238" s="7">
        <v>84574</v>
      </c>
      <c r="S238" s="7">
        <v>81339</v>
      </c>
      <c r="T238" s="7">
        <v>101082</v>
      </c>
      <c r="U238" s="7">
        <v>69324</v>
      </c>
      <c r="V238" s="7">
        <v>95243</v>
      </c>
      <c r="W238" s="7">
        <v>19332</v>
      </c>
      <c r="X238" s="7">
        <v>59618</v>
      </c>
      <c r="Y238" s="7">
        <v>64923</v>
      </c>
      <c r="Z238" s="7">
        <v>78702</v>
      </c>
      <c r="AA238" s="7">
        <v>65506</v>
      </c>
      <c r="AB238" s="7">
        <v>118605</v>
      </c>
      <c r="AC238" s="7">
        <v>82730</v>
      </c>
      <c r="AD238" s="7">
        <v>60113</v>
      </c>
      <c r="AE238" s="7">
        <v>93132</v>
      </c>
      <c r="AF238" s="7">
        <v>92274</v>
      </c>
      <c r="AG238" s="7">
        <v>60976</v>
      </c>
      <c r="AH238" s="7">
        <v>119388</v>
      </c>
      <c r="AI238" s="7">
        <v>128812</v>
      </c>
      <c r="AJ238" s="7">
        <v>65598</v>
      </c>
      <c r="AK238" s="7">
        <v>67683</v>
      </c>
      <c r="AL238" s="7">
        <v>101975</v>
      </c>
      <c r="AM238" s="7">
        <v>111106</v>
      </c>
      <c r="AN238" s="7">
        <v>94582</v>
      </c>
      <c r="AO238" s="7">
        <v>75623</v>
      </c>
      <c r="AP238" s="7">
        <v>84552</v>
      </c>
      <c r="AQ238" s="7">
        <v>140912</v>
      </c>
    </row>
    <row r="240" spans="1:43">
      <c r="A240" t="s">
        <v>126</v>
      </c>
      <c r="B240" s="9">
        <v>44713</v>
      </c>
      <c r="C240" s="9">
        <v>44743</v>
      </c>
      <c r="D240" s="9">
        <v>44774</v>
      </c>
      <c r="E240" s="9">
        <v>44805</v>
      </c>
      <c r="F240" s="9">
        <v>44835</v>
      </c>
      <c r="G240" s="9">
        <v>44866</v>
      </c>
      <c r="H240" s="9">
        <v>44896</v>
      </c>
      <c r="I240" s="9">
        <v>44927</v>
      </c>
      <c r="J240" s="9">
        <v>44958</v>
      </c>
      <c r="K240" s="9">
        <v>44986</v>
      </c>
      <c r="L240" s="9">
        <v>45017</v>
      </c>
      <c r="M240" s="9">
        <v>45047</v>
      </c>
      <c r="N240" s="9">
        <v>45078</v>
      </c>
      <c r="O240" s="9">
        <v>45108</v>
      </c>
      <c r="P240" s="9">
        <v>45139</v>
      </c>
      <c r="Q240" s="9">
        <v>45170</v>
      </c>
      <c r="R240" s="9">
        <v>45200</v>
      </c>
      <c r="S240" s="9">
        <v>45231</v>
      </c>
      <c r="T240" s="9">
        <v>45261</v>
      </c>
      <c r="U240" s="9">
        <v>45292</v>
      </c>
      <c r="V240" s="9">
        <v>45323</v>
      </c>
      <c r="W240" s="9">
        <v>45352</v>
      </c>
      <c r="X240" s="9">
        <v>45383</v>
      </c>
      <c r="Y240" s="9">
        <v>45413</v>
      </c>
      <c r="Z240" s="9">
        <v>45444</v>
      </c>
      <c r="AA240" s="9">
        <v>45474</v>
      </c>
      <c r="AB240" s="9">
        <v>45505</v>
      </c>
      <c r="AC240" s="9">
        <v>45536</v>
      </c>
      <c r="AD240" s="9">
        <v>45566</v>
      </c>
      <c r="AE240" s="9">
        <v>45597</v>
      </c>
      <c r="AF240" s="9">
        <v>45627</v>
      </c>
      <c r="AG240" s="9">
        <v>45658</v>
      </c>
      <c r="AH240" s="9">
        <v>45689</v>
      </c>
      <c r="AI240" s="9">
        <v>45717</v>
      </c>
      <c r="AJ240" s="9">
        <v>45748</v>
      </c>
      <c r="AK240" s="9">
        <v>45778</v>
      </c>
      <c r="AL240" t="s">
        <v>63</v>
      </c>
      <c r="AM240" t="s">
        <v>64</v>
      </c>
      <c r="AN240" t="s">
        <v>80</v>
      </c>
      <c r="AO240" t="s">
        <v>81</v>
      </c>
      <c r="AP240" t="s">
        <v>82</v>
      </c>
      <c r="AQ240" t="s">
        <v>78</v>
      </c>
    </row>
    <row r="241" spans="1:43">
      <c r="A241" s="24" t="s">
        <v>88</v>
      </c>
      <c r="B241" s="11">
        <v>14604</v>
      </c>
      <c r="C241" s="11">
        <v>13518</v>
      </c>
      <c r="D241" s="11">
        <v>13080</v>
      </c>
      <c r="E241" s="11">
        <v>13825</v>
      </c>
      <c r="F241" s="11">
        <v>14523</v>
      </c>
      <c r="G241" s="11">
        <v>14302</v>
      </c>
      <c r="H241" s="11">
        <v>15666</v>
      </c>
      <c r="I241" s="11">
        <v>15850</v>
      </c>
      <c r="J241" s="11">
        <v>15326</v>
      </c>
      <c r="K241" s="11">
        <v>16786</v>
      </c>
      <c r="L241" s="11">
        <v>12815</v>
      </c>
      <c r="M241" s="11">
        <v>12977</v>
      </c>
      <c r="N241" s="11">
        <v>12659</v>
      </c>
      <c r="O241" s="11">
        <v>13709</v>
      </c>
      <c r="P241" s="11">
        <v>14970</v>
      </c>
      <c r="Q241" s="11">
        <v>14355</v>
      </c>
      <c r="R241" s="11">
        <v>13965</v>
      </c>
      <c r="S241" s="11">
        <v>12626</v>
      </c>
      <c r="T241" s="11">
        <v>16075</v>
      </c>
      <c r="U241" s="11">
        <v>15131</v>
      </c>
      <c r="V241" s="11">
        <v>14034</v>
      </c>
      <c r="W241" s="11">
        <v>15523</v>
      </c>
      <c r="X241" s="11">
        <v>12172</v>
      </c>
      <c r="Y241" s="11">
        <v>12347</v>
      </c>
      <c r="Z241" s="11">
        <v>13578</v>
      </c>
      <c r="AA241" s="11">
        <v>14040</v>
      </c>
      <c r="AB241" s="11">
        <v>13030</v>
      </c>
      <c r="AC241" s="11">
        <v>14752</v>
      </c>
      <c r="AD241" s="11">
        <v>12238</v>
      </c>
      <c r="AE241" s="11">
        <v>12824</v>
      </c>
      <c r="AF241" s="11">
        <v>14467</v>
      </c>
      <c r="AG241" s="11">
        <v>12601</v>
      </c>
      <c r="AH241" s="11">
        <v>13050</v>
      </c>
      <c r="AI241" s="11">
        <v>12515</v>
      </c>
      <c r="AJ241" s="11">
        <v>12906</v>
      </c>
      <c r="AK241" s="11">
        <v>12360</v>
      </c>
      <c r="AL241" s="11">
        <f>+SUM(N241:Y241)</f>
        <v>167566</v>
      </c>
      <c r="AM241" s="11">
        <f>+SUM(Z241:AK241)</f>
        <v>158361</v>
      </c>
      <c r="AN241" s="17">
        <f>+AL241/$AL$247</f>
        <v>0.20448843112369422</v>
      </c>
      <c r="AO241" s="17">
        <f>+AM241/$AM$247</f>
        <v>0.18479500090436488</v>
      </c>
      <c r="AP241" s="17">
        <f>+AM241/AL241-1</f>
        <v>-5.4933578410894857E-2</v>
      </c>
      <c r="AQ241" s="17">
        <f>+(AM241-AL241)/$AL$247</f>
        <v>-1.123328126525432E-2</v>
      </c>
    </row>
    <row r="242" spans="1:43">
      <c r="A242" s="24" t="s">
        <v>92</v>
      </c>
      <c r="B242" s="11">
        <v>0</v>
      </c>
      <c r="C242" s="11">
        <v>0</v>
      </c>
      <c r="D242" s="11">
        <v>0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2834</v>
      </c>
      <c r="Z242" s="11">
        <v>5031</v>
      </c>
      <c r="AA242" s="11">
        <v>6379</v>
      </c>
      <c r="AB242" s="11">
        <v>7390</v>
      </c>
      <c r="AC242" s="11">
        <v>9595</v>
      </c>
      <c r="AD242" s="11">
        <v>10483</v>
      </c>
      <c r="AE242" s="11">
        <v>11873</v>
      </c>
      <c r="AF242" s="11">
        <v>16468</v>
      </c>
      <c r="AG242" s="11">
        <v>11858</v>
      </c>
      <c r="AH242" s="11">
        <v>11762</v>
      </c>
      <c r="AI242" s="11">
        <v>15469</v>
      </c>
      <c r="AJ242" s="11">
        <v>10553</v>
      </c>
      <c r="AK242" s="11">
        <v>12565</v>
      </c>
      <c r="AL242" s="11">
        <f t="shared" ref="AL242:AL247" si="74">+SUM(N242:Y242)</f>
        <v>2834</v>
      </c>
      <c r="AM242" s="11">
        <f t="shared" ref="AM242:AM247" si="75">+SUM(Z242:AK242)</f>
        <v>129426</v>
      </c>
      <c r="AN242" s="17">
        <f t="shared" ref="AN242:AN247" si="76">+AL242/$AL$247</f>
        <v>3.4584594357121939E-3</v>
      </c>
      <c r="AO242" s="17">
        <f t="shared" ref="AO242:AO247" si="77">+AM242/$AM$247</f>
        <v>0.15103010076375073</v>
      </c>
      <c r="AP242" s="17">
        <f t="shared" ref="AP242:AP247" si="78">+AM242/AL242-1</f>
        <v>44.669019054340154</v>
      </c>
      <c r="AQ242" s="17">
        <f t="shared" ref="AQ242:AQ247" si="79">+(AM242-AL242)/$AL$247</f>
        <v>0.15448599043249048</v>
      </c>
    </row>
    <row r="243" spans="1:43">
      <c r="A243" s="24" t="s">
        <v>93</v>
      </c>
      <c r="B243" s="11">
        <v>0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523</v>
      </c>
      <c r="N243" s="11">
        <v>3221</v>
      </c>
      <c r="O243" s="11">
        <v>4814</v>
      </c>
      <c r="P243" s="11">
        <v>5598</v>
      </c>
      <c r="Q243" s="11">
        <v>5954</v>
      </c>
      <c r="R243" s="11">
        <v>8314</v>
      </c>
      <c r="S243" s="11">
        <v>7047</v>
      </c>
      <c r="T243" s="11">
        <v>6189</v>
      </c>
      <c r="U243" s="11">
        <v>6348</v>
      </c>
      <c r="V243" s="11">
        <v>5471</v>
      </c>
      <c r="W243" s="11">
        <v>6103</v>
      </c>
      <c r="X243" s="11">
        <v>7612</v>
      </c>
      <c r="Y243" s="11">
        <v>6035</v>
      </c>
      <c r="Z243" s="11">
        <v>6301</v>
      </c>
      <c r="AA243" s="11">
        <v>7435</v>
      </c>
      <c r="AB243" s="11">
        <v>6284</v>
      </c>
      <c r="AC243" s="11">
        <v>6736</v>
      </c>
      <c r="AD243" s="11">
        <v>7140</v>
      </c>
      <c r="AE243" s="11">
        <v>6472</v>
      </c>
      <c r="AF243" s="11">
        <v>6983</v>
      </c>
      <c r="AG243" s="11">
        <v>7415</v>
      </c>
      <c r="AH243" s="11">
        <v>8455</v>
      </c>
      <c r="AI243" s="11">
        <v>7995</v>
      </c>
      <c r="AJ243" s="11">
        <v>7847</v>
      </c>
      <c r="AK243" s="11">
        <v>8075</v>
      </c>
      <c r="AL243" s="11">
        <f t="shared" si="74"/>
        <v>72706</v>
      </c>
      <c r="AM243" s="11">
        <f t="shared" si="75"/>
        <v>87138</v>
      </c>
      <c r="AN243" s="17">
        <f t="shared" si="76"/>
        <v>8.8726447329883829E-2</v>
      </c>
      <c r="AO243" s="17">
        <f t="shared" si="77"/>
        <v>0.10168328558675777</v>
      </c>
      <c r="AP243" s="17">
        <f t="shared" si="78"/>
        <v>0.19849806068274978</v>
      </c>
      <c r="AQ243" s="17">
        <f t="shared" si="79"/>
        <v>1.7612027726252075E-2</v>
      </c>
    </row>
    <row r="244" spans="1:43">
      <c r="A244" s="24" t="s">
        <v>94</v>
      </c>
      <c r="B244" s="11">
        <v>13976</v>
      </c>
      <c r="C244" s="11">
        <v>13548</v>
      </c>
      <c r="D244" s="11">
        <v>14387</v>
      </c>
      <c r="E244" s="11">
        <v>14614</v>
      </c>
      <c r="F244" s="11">
        <v>15277</v>
      </c>
      <c r="G244" s="11">
        <v>16398</v>
      </c>
      <c r="H244" s="11">
        <v>17118</v>
      </c>
      <c r="I244" s="11">
        <v>19137</v>
      </c>
      <c r="J244" s="11">
        <v>19947</v>
      </c>
      <c r="K244" s="11">
        <v>19467</v>
      </c>
      <c r="L244" s="11">
        <v>24677</v>
      </c>
      <c r="M244" s="11">
        <v>14998</v>
      </c>
      <c r="N244" s="11">
        <v>11874</v>
      </c>
      <c r="O244" s="11">
        <v>14340</v>
      </c>
      <c r="P244" s="11">
        <v>14841</v>
      </c>
      <c r="Q244" s="11">
        <v>15652</v>
      </c>
      <c r="R244" s="11">
        <v>14708</v>
      </c>
      <c r="S244" s="11">
        <v>14820</v>
      </c>
      <c r="T244" s="11">
        <v>14185</v>
      </c>
      <c r="U244" s="11">
        <v>16433</v>
      </c>
      <c r="V244" s="11">
        <v>15947</v>
      </c>
      <c r="W244" s="11">
        <v>12835</v>
      </c>
      <c r="X244" s="11">
        <v>12793</v>
      </c>
      <c r="Y244" s="11">
        <v>9485</v>
      </c>
      <c r="Z244" s="11">
        <v>9938</v>
      </c>
      <c r="AA244" s="11">
        <v>11429</v>
      </c>
      <c r="AB244" s="11">
        <v>10905</v>
      </c>
      <c r="AC244" s="11">
        <v>10824</v>
      </c>
      <c r="AD244" s="11">
        <v>10903</v>
      </c>
      <c r="AE244" s="11">
        <v>10792</v>
      </c>
      <c r="AF244" s="11">
        <v>11304</v>
      </c>
      <c r="AG244" s="11">
        <v>12476</v>
      </c>
      <c r="AH244" s="11">
        <v>14671</v>
      </c>
      <c r="AI244" s="11">
        <v>12212</v>
      </c>
      <c r="AJ244" s="11">
        <v>10292</v>
      </c>
      <c r="AK244" s="11">
        <v>10557</v>
      </c>
      <c r="AL244" s="11">
        <f t="shared" si="74"/>
        <v>167913</v>
      </c>
      <c r="AM244" s="11">
        <f t="shared" si="75"/>
        <v>136303</v>
      </c>
      <c r="AN244" s="17">
        <f t="shared" si="76"/>
        <v>0.20491189104754468</v>
      </c>
      <c r="AO244" s="17">
        <f t="shared" si="77"/>
        <v>0.15905502622658133</v>
      </c>
      <c r="AP244" s="17">
        <f>+AM244/AL244-1</f>
        <v>-0.18825224967691601</v>
      </c>
      <c r="AQ244" s="17">
        <f t="shared" si="79"/>
        <v>-3.8575124475251389E-2</v>
      </c>
    </row>
    <row r="245" spans="1:43">
      <c r="A245" s="24" t="s">
        <v>104</v>
      </c>
      <c r="B245" s="11">
        <v>13059</v>
      </c>
      <c r="C245" s="11">
        <v>13887</v>
      </c>
      <c r="D245" s="11">
        <v>12940</v>
      </c>
      <c r="E245" s="11">
        <v>12848</v>
      </c>
      <c r="F245" s="11">
        <v>12527</v>
      </c>
      <c r="G245" s="11">
        <v>14146</v>
      </c>
      <c r="H245" s="11">
        <v>13377</v>
      </c>
      <c r="I245" s="11">
        <v>15159</v>
      </c>
      <c r="J245" s="11">
        <v>15242</v>
      </c>
      <c r="K245" s="11">
        <v>14638</v>
      </c>
      <c r="L245" s="11">
        <v>13995</v>
      </c>
      <c r="M245" s="11">
        <v>12214</v>
      </c>
      <c r="N245" s="11">
        <v>11139</v>
      </c>
      <c r="O245" s="11">
        <v>10934</v>
      </c>
      <c r="P245" s="11">
        <v>11212</v>
      </c>
      <c r="Q245" s="11">
        <v>12261</v>
      </c>
      <c r="R245" s="11">
        <v>10624</v>
      </c>
      <c r="S245" s="11">
        <v>10059</v>
      </c>
      <c r="T245" s="11">
        <v>9442</v>
      </c>
      <c r="U245" s="11">
        <v>10663</v>
      </c>
      <c r="V245" s="11">
        <v>11957</v>
      </c>
      <c r="W245" s="11">
        <v>10455</v>
      </c>
      <c r="X245" s="11">
        <v>12745</v>
      </c>
      <c r="Y245" s="11">
        <v>10342</v>
      </c>
      <c r="Z245" s="11">
        <v>10466</v>
      </c>
      <c r="AA245" s="11">
        <v>11100</v>
      </c>
      <c r="AB245" s="11">
        <v>10092</v>
      </c>
      <c r="AC245" s="11">
        <v>10454</v>
      </c>
      <c r="AD245" s="11">
        <v>11927</v>
      </c>
      <c r="AE245" s="11">
        <v>9709</v>
      </c>
      <c r="AF245" s="11">
        <v>9129</v>
      </c>
      <c r="AG245" s="11">
        <v>10779</v>
      </c>
      <c r="AH245" s="11">
        <v>10283</v>
      </c>
      <c r="AI245" s="11">
        <v>8828</v>
      </c>
      <c r="AJ245" s="11">
        <v>9002</v>
      </c>
      <c r="AK245" s="11">
        <v>8000</v>
      </c>
      <c r="AL245" s="11">
        <f t="shared" si="74"/>
        <v>131833</v>
      </c>
      <c r="AM245" s="11">
        <f t="shared" si="75"/>
        <v>119769</v>
      </c>
      <c r="AN245" s="17">
        <f t="shared" si="76"/>
        <v>0.16088182173191448</v>
      </c>
      <c r="AO245" s="17">
        <f t="shared" si="77"/>
        <v>0.13976113098120671</v>
      </c>
      <c r="AP245" s="17">
        <f t="shared" si="78"/>
        <v>-9.1509713046050711E-2</v>
      </c>
      <c r="AQ245" s="17">
        <f t="shared" si="79"/>
        <v>-1.4722249341013375E-2</v>
      </c>
    </row>
    <row r="246" spans="1:43">
      <c r="A246" s="24" t="s">
        <v>106</v>
      </c>
      <c r="B246" s="11">
        <v>33226</v>
      </c>
      <c r="C246" s="11">
        <v>29844</v>
      </c>
      <c r="D246" s="11">
        <v>32924</v>
      </c>
      <c r="E246" s="11">
        <v>28977</v>
      </c>
      <c r="F246" s="11">
        <v>31323</v>
      </c>
      <c r="G246" s="11">
        <v>29651</v>
      </c>
      <c r="H246" s="11">
        <v>29032</v>
      </c>
      <c r="I246" s="11">
        <v>31664</v>
      </c>
      <c r="J246" s="11">
        <v>32479</v>
      </c>
      <c r="K246" s="11">
        <v>27492</v>
      </c>
      <c r="L246" s="11">
        <v>27894</v>
      </c>
      <c r="M246" s="11">
        <v>21325</v>
      </c>
      <c r="N246" s="11">
        <v>19468</v>
      </c>
      <c r="O246" s="11">
        <v>21839</v>
      </c>
      <c r="P246" s="11">
        <v>22183</v>
      </c>
      <c r="Q246" s="11">
        <v>24333</v>
      </c>
      <c r="R246" s="11">
        <v>21158</v>
      </c>
      <c r="S246" s="11">
        <v>19586</v>
      </c>
      <c r="T246" s="11">
        <v>21319</v>
      </c>
      <c r="U246" s="11">
        <v>26161</v>
      </c>
      <c r="V246" s="11">
        <v>25475</v>
      </c>
      <c r="W246" s="11">
        <v>24948</v>
      </c>
      <c r="X246" s="11">
        <v>27130</v>
      </c>
      <c r="Y246" s="11">
        <v>22988</v>
      </c>
      <c r="Z246" s="11">
        <v>23155</v>
      </c>
      <c r="AA246" s="11">
        <v>22667</v>
      </c>
      <c r="AB246" s="11">
        <v>24910</v>
      </c>
      <c r="AC246" s="11">
        <v>19707</v>
      </c>
      <c r="AD246" s="11">
        <v>18982</v>
      </c>
      <c r="AE246" s="11">
        <v>16478</v>
      </c>
      <c r="AF246" s="11">
        <v>17540</v>
      </c>
      <c r="AG246" s="11">
        <v>17245</v>
      </c>
      <c r="AH246" s="11">
        <v>18818</v>
      </c>
      <c r="AI246" s="11">
        <v>17932</v>
      </c>
      <c r="AJ246" s="11">
        <v>14972</v>
      </c>
      <c r="AK246" s="11">
        <v>13552</v>
      </c>
      <c r="AL246" s="11">
        <f t="shared" si="74"/>
        <v>276588</v>
      </c>
      <c r="AM246" s="11">
        <f t="shared" si="75"/>
        <v>225958</v>
      </c>
      <c r="AN246" s="17">
        <f t="shared" si="76"/>
        <v>0.33753294933125061</v>
      </c>
      <c r="AO246" s="17">
        <f t="shared" si="77"/>
        <v>0.26367545553733862</v>
      </c>
      <c r="AP246" s="17">
        <f t="shared" si="78"/>
        <v>-0.18305204853428203</v>
      </c>
      <c r="AQ246" s="17">
        <f t="shared" si="79"/>
        <v>-6.1786097822903445E-2</v>
      </c>
    </row>
    <row r="247" spans="1:43">
      <c r="A247" s="24" t="s">
        <v>127</v>
      </c>
      <c r="B247" s="11">
        <f>+SUM(B241:B246)</f>
        <v>74865</v>
      </c>
      <c r="C247" s="11">
        <f t="shared" ref="C247:AK247" si="80">+SUM(C241:C246)</f>
        <v>70797</v>
      </c>
      <c r="D247" s="11">
        <f t="shared" si="80"/>
        <v>73331</v>
      </c>
      <c r="E247" s="11">
        <f t="shared" si="80"/>
        <v>70264</v>
      </c>
      <c r="F247" s="11">
        <f t="shared" si="80"/>
        <v>73650</v>
      </c>
      <c r="G247" s="11">
        <f t="shared" si="80"/>
        <v>74497</v>
      </c>
      <c r="H247" s="11">
        <f t="shared" si="80"/>
        <v>75193</v>
      </c>
      <c r="I247" s="11">
        <f t="shared" si="80"/>
        <v>81810</v>
      </c>
      <c r="J247" s="11">
        <f t="shared" si="80"/>
        <v>82994</v>
      </c>
      <c r="K247" s="11">
        <f t="shared" si="80"/>
        <v>78383</v>
      </c>
      <c r="L247" s="11">
        <f t="shared" si="80"/>
        <v>79381</v>
      </c>
      <c r="M247" s="11">
        <f t="shared" si="80"/>
        <v>62037</v>
      </c>
      <c r="N247" s="11">
        <f t="shared" si="80"/>
        <v>58361</v>
      </c>
      <c r="O247" s="11">
        <f t="shared" si="80"/>
        <v>65636</v>
      </c>
      <c r="P247" s="11">
        <f t="shared" si="80"/>
        <v>68804</v>
      </c>
      <c r="Q247" s="11">
        <f t="shared" si="80"/>
        <v>72555</v>
      </c>
      <c r="R247" s="11">
        <f t="shared" si="80"/>
        <v>68769</v>
      </c>
      <c r="S247" s="11">
        <f t="shared" si="80"/>
        <v>64138</v>
      </c>
      <c r="T247" s="11">
        <f t="shared" si="80"/>
        <v>67210</v>
      </c>
      <c r="U247" s="11">
        <f t="shared" si="80"/>
        <v>74736</v>
      </c>
      <c r="V247" s="11">
        <f t="shared" si="80"/>
        <v>72884</v>
      </c>
      <c r="W247" s="11">
        <f t="shared" si="80"/>
        <v>69864</v>
      </c>
      <c r="X247" s="11">
        <f t="shared" si="80"/>
        <v>72452</v>
      </c>
      <c r="Y247" s="11">
        <f t="shared" si="80"/>
        <v>64031</v>
      </c>
      <c r="Z247" s="11">
        <f t="shared" si="80"/>
        <v>68469</v>
      </c>
      <c r="AA247" s="11">
        <f t="shared" si="80"/>
        <v>73050</v>
      </c>
      <c r="AB247" s="11">
        <f t="shared" si="80"/>
        <v>72611</v>
      </c>
      <c r="AC247" s="11">
        <f t="shared" si="80"/>
        <v>72068</v>
      </c>
      <c r="AD247" s="11">
        <f t="shared" si="80"/>
        <v>71673</v>
      </c>
      <c r="AE247" s="11">
        <f t="shared" si="80"/>
        <v>68148</v>
      </c>
      <c r="AF247" s="11">
        <f t="shared" si="80"/>
        <v>75891</v>
      </c>
      <c r="AG247" s="11">
        <f t="shared" si="80"/>
        <v>72374</v>
      </c>
      <c r="AH247" s="11">
        <f t="shared" si="80"/>
        <v>77039</v>
      </c>
      <c r="AI247" s="11">
        <f t="shared" si="80"/>
        <v>74951</v>
      </c>
      <c r="AJ247" s="11">
        <f t="shared" si="80"/>
        <v>65572</v>
      </c>
      <c r="AK247" s="11">
        <f t="shared" si="80"/>
        <v>65109</v>
      </c>
      <c r="AL247" s="11">
        <f t="shared" si="74"/>
        <v>819440</v>
      </c>
      <c r="AM247" s="11">
        <f t="shared" si="75"/>
        <v>856955</v>
      </c>
      <c r="AN247" s="17">
        <f t="shared" si="76"/>
        <v>1</v>
      </c>
      <c r="AO247" s="17">
        <f t="shared" si="77"/>
        <v>1</v>
      </c>
      <c r="AP247" s="17">
        <f t="shared" si="78"/>
        <v>4.5781265254319914E-2</v>
      </c>
      <c r="AQ247" s="17">
        <f t="shared" si="79"/>
        <v>4.5781265254320025E-2</v>
      </c>
    </row>
    <row r="249" spans="1:43">
      <c r="A249" t="s">
        <v>110</v>
      </c>
      <c r="B249" s="9">
        <v>44713</v>
      </c>
      <c r="C249" s="9">
        <v>44743</v>
      </c>
      <c r="D249" s="9">
        <v>44774</v>
      </c>
      <c r="E249" s="9">
        <v>44805</v>
      </c>
      <c r="F249" s="9">
        <v>44835</v>
      </c>
      <c r="G249" s="9">
        <v>44866</v>
      </c>
      <c r="H249" s="9">
        <v>44896</v>
      </c>
      <c r="I249" s="9">
        <v>44927</v>
      </c>
      <c r="J249" s="9">
        <v>44958</v>
      </c>
      <c r="K249" s="9">
        <v>44986</v>
      </c>
      <c r="L249" s="9">
        <v>45017</v>
      </c>
      <c r="M249" s="9">
        <v>45047</v>
      </c>
      <c r="N249" s="9">
        <v>45078</v>
      </c>
      <c r="O249" s="9">
        <v>45108</v>
      </c>
      <c r="P249" s="9">
        <v>45139</v>
      </c>
      <c r="Q249" s="9">
        <v>45170</v>
      </c>
      <c r="R249" s="9">
        <v>45200</v>
      </c>
      <c r="S249" s="9">
        <v>45231</v>
      </c>
      <c r="T249" s="9">
        <v>45261</v>
      </c>
      <c r="U249" s="9">
        <v>45292</v>
      </c>
      <c r="V249" s="9">
        <v>45323</v>
      </c>
      <c r="W249" s="9">
        <v>45352</v>
      </c>
      <c r="X249" s="9">
        <v>45383</v>
      </c>
      <c r="Y249" s="9">
        <v>45413</v>
      </c>
      <c r="Z249" s="9">
        <v>45444</v>
      </c>
      <c r="AA249" s="9">
        <v>45474</v>
      </c>
      <c r="AB249" s="9">
        <v>45505</v>
      </c>
      <c r="AC249" s="9">
        <v>45536</v>
      </c>
      <c r="AD249" s="9">
        <v>45566</v>
      </c>
      <c r="AE249" s="9">
        <v>45597</v>
      </c>
      <c r="AF249" s="9">
        <v>45627</v>
      </c>
      <c r="AG249" s="9">
        <v>45658</v>
      </c>
      <c r="AH249" s="9">
        <v>45689</v>
      </c>
      <c r="AI249" s="9">
        <v>45717</v>
      </c>
      <c r="AJ249" s="9">
        <v>45748</v>
      </c>
      <c r="AK249" s="9">
        <v>45778</v>
      </c>
      <c r="AL249" t="s">
        <v>63</v>
      </c>
      <c r="AM249" t="s">
        <v>64</v>
      </c>
      <c r="AN249" t="s">
        <v>80</v>
      </c>
      <c r="AO249" t="s">
        <v>81</v>
      </c>
      <c r="AP249" t="s">
        <v>82</v>
      </c>
      <c r="AQ249" t="s">
        <v>78</v>
      </c>
    </row>
    <row r="250" spans="1:43">
      <c r="A250" s="24" t="s">
        <v>88</v>
      </c>
      <c r="B250" s="7">
        <v>23964</v>
      </c>
      <c r="C250" s="7">
        <v>24708</v>
      </c>
      <c r="D250" s="7">
        <v>19088</v>
      </c>
      <c r="E250" s="7">
        <v>13614</v>
      </c>
      <c r="F250" s="7">
        <v>22119</v>
      </c>
      <c r="G250" s="7">
        <v>23724</v>
      </c>
      <c r="H250" s="7">
        <v>15432</v>
      </c>
      <c r="I250" s="7">
        <v>10344</v>
      </c>
      <c r="J250" s="7">
        <v>18215</v>
      </c>
      <c r="K250" s="7">
        <v>21318</v>
      </c>
      <c r="L250" s="7">
        <v>10818</v>
      </c>
      <c r="M250" s="7">
        <v>13572</v>
      </c>
      <c r="N250" s="7">
        <v>23739</v>
      </c>
      <c r="O250" s="7">
        <v>15225</v>
      </c>
      <c r="P250" s="7">
        <v>24468</v>
      </c>
      <c r="Q250" s="7">
        <v>28022</v>
      </c>
      <c r="R250" s="7">
        <v>16561</v>
      </c>
      <c r="S250" s="7">
        <v>22173</v>
      </c>
      <c r="T250" s="7">
        <v>17952</v>
      </c>
      <c r="U250" s="7">
        <v>12600</v>
      </c>
      <c r="V250" s="7">
        <v>22257</v>
      </c>
      <c r="W250" s="7">
        <v>3420</v>
      </c>
      <c r="X250" s="7">
        <v>8313</v>
      </c>
      <c r="Y250" s="7">
        <v>15369</v>
      </c>
      <c r="Z250" s="7">
        <v>18705</v>
      </c>
      <c r="AA250" s="7">
        <v>13623</v>
      </c>
      <c r="AB250" s="7">
        <v>24660</v>
      </c>
      <c r="AC250" s="7">
        <v>11715</v>
      </c>
      <c r="AD250" s="7">
        <v>13769</v>
      </c>
      <c r="AE250" s="7">
        <v>14478</v>
      </c>
      <c r="AF250" s="7">
        <v>12976</v>
      </c>
      <c r="AG250" s="7">
        <v>11856</v>
      </c>
      <c r="AH250" s="7">
        <v>13006</v>
      </c>
      <c r="AI250" s="7">
        <v>25118</v>
      </c>
      <c r="AJ250" s="7">
        <v>9994</v>
      </c>
      <c r="AK250" s="7">
        <v>12575</v>
      </c>
      <c r="AL250" s="11">
        <f>+SUM(N250:Y250)</f>
        <v>210099</v>
      </c>
      <c r="AM250" s="11">
        <f>+SUM(Z250:AK250)</f>
        <v>182475</v>
      </c>
      <c r="AN250" s="17">
        <f>+AL250/$AL$256</f>
        <v>0.21904661617762355</v>
      </c>
      <c r="AO250" s="17">
        <f>+AM250/$AM$256</f>
        <v>0.17655698637373865</v>
      </c>
      <c r="AP250" s="17">
        <f>+AM250/AL250-1</f>
        <v>-0.13148087330258595</v>
      </c>
      <c r="AQ250" s="17">
        <f>+(AM250-AL250)/$AL$256</f>
        <v>-2.8800440389010293E-2</v>
      </c>
    </row>
    <row r="251" spans="1:43">
      <c r="A251" s="24" t="s">
        <v>92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27300</v>
      </c>
      <c r="AC251" s="7">
        <v>22401</v>
      </c>
      <c r="AD251" s="7">
        <v>405</v>
      </c>
      <c r="AE251" s="7">
        <v>8429</v>
      </c>
      <c r="AF251" s="7">
        <v>28104</v>
      </c>
      <c r="AG251" s="7">
        <v>14628</v>
      </c>
      <c r="AH251" s="7">
        <v>32252</v>
      </c>
      <c r="AI251" s="7">
        <v>51819</v>
      </c>
      <c r="AJ251" s="7">
        <v>6013</v>
      </c>
      <c r="AK251" s="7">
        <v>13053</v>
      </c>
      <c r="AL251" s="11">
        <f t="shared" ref="AL251:AL256" si="81">+SUM(N251:Y251)</f>
        <v>0</v>
      </c>
      <c r="AM251" s="11">
        <f t="shared" ref="AM251:AM256" si="82">+SUM(Z251:AK251)</f>
        <v>204404</v>
      </c>
      <c r="AN251" s="17">
        <f t="shared" ref="AN251:AN256" si="83">+AL251/$AL$256</f>
        <v>0</v>
      </c>
      <c r="AO251" s="17">
        <f t="shared" ref="AO251:AO256" si="84">+AM251/$AM$256</f>
        <v>0.1977747869173184</v>
      </c>
      <c r="AP251" s="17" t="e">
        <f t="shared" ref="AP251:AP256" si="85">+AM251/AL251-1</f>
        <v>#DIV/0!</v>
      </c>
      <c r="AQ251" s="17">
        <f t="shared" ref="AQ251:AQ256" si="86">+(AM251-AL251)/$AL$256</f>
        <v>0.21310907968705689</v>
      </c>
    </row>
    <row r="252" spans="1:43">
      <c r="A252" s="24" t="s">
        <v>93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21270</v>
      </c>
      <c r="R252" s="7">
        <v>13140</v>
      </c>
      <c r="S252" s="7">
        <v>10472</v>
      </c>
      <c r="T252" s="7">
        <v>10320</v>
      </c>
      <c r="U252" s="7">
        <v>14808</v>
      </c>
      <c r="V252" s="7">
        <v>16888</v>
      </c>
      <c r="W252" s="7">
        <v>2730</v>
      </c>
      <c r="X252" s="7">
        <v>4656</v>
      </c>
      <c r="Y252" s="7">
        <v>6372</v>
      </c>
      <c r="Z252" s="7">
        <v>14736</v>
      </c>
      <c r="AA252" s="7">
        <v>10578</v>
      </c>
      <c r="AB252" s="7">
        <v>21108</v>
      </c>
      <c r="AC252" s="7">
        <v>3576</v>
      </c>
      <c r="AD252" s="7">
        <v>9834</v>
      </c>
      <c r="AE252" s="7">
        <v>9624</v>
      </c>
      <c r="AF252" s="7">
        <v>11928</v>
      </c>
      <c r="AG252" s="7">
        <v>8838</v>
      </c>
      <c r="AH252" s="7">
        <v>16818</v>
      </c>
      <c r="AI252" s="7">
        <v>11088</v>
      </c>
      <c r="AJ252" s="7">
        <v>12582</v>
      </c>
      <c r="AK252" s="7">
        <v>14382</v>
      </c>
      <c r="AL252" s="11">
        <f t="shared" si="81"/>
        <v>100656</v>
      </c>
      <c r="AM252" s="11">
        <f t="shared" si="82"/>
        <v>145092</v>
      </c>
      <c r="AN252" s="17">
        <f t="shared" si="83"/>
        <v>0.10494269938445627</v>
      </c>
      <c r="AO252" s="17">
        <f t="shared" si="84"/>
        <v>0.14038638863920258</v>
      </c>
      <c r="AP252" s="17">
        <f t="shared" si="85"/>
        <v>0.44146399618502619</v>
      </c>
      <c r="AQ252" s="17">
        <f t="shared" si="86"/>
        <v>4.6328423440705958E-2</v>
      </c>
    </row>
    <row r="253" spans="1:43">
      <c r="A253" s="24" t="s">
        <v>94</v>
      </c>
      <c r="B253" s="7">
        <v>29700</v>
      </c>
      <c r="C253" s="7">
        <v>20178</v>
      </c>
      <c r="D253" s="7">
        <v>40960</v>
      </c>
      <c r="E253" s="7">
        <v>33518</v>
      </c>
      <c r="F253" s="7">
        <v>26978</v>
      </c>
      <c r="G253" s="7">
        <v>23526</v>
      </c>
      <c r="H253" s="7">
        <v>19560</v>
      </c>
      <c r="I253" s="7">
        <v>18906</v>
      </c>
      <c r="J253" s="7">
        <v>27188</v>
      </c>
      <c r="K253" s="7">
        <v>26400</v>
      </c>
      <c r="L253" s="7">
        <v>22530</v>
      </c>
      <c r="M253" s="7">
        <v>27820</v>
      </c>
      <c r="N253" s="7">
        <v>27150</v>
      </c>
      <c r="O253" s="7">
        <v>28494</v>
      </c>
      <c r="P253" s="7">
        <v>18616</v>
      </c>
      <c r="Q253" s="7">
        <v>12548</v>
      </c>
      <c r="R253" s="7">
        <v>25156</v>
      </c>
      <c r="S253" s="7">
        <v>20634</v>
      </c>
      <c r="T253" s="7">
        <v>32262</v>
      </c>
      <c r="U253" s="7">
        <v>17736</v>
      </c>
      <c r="V253" s="7">
        <v>28014</v>
      </c>
      <c r="W253" s="7">
        <v>4236</v>
      </c>
      <c r="X253" s="7">
        <v>9858</v>
      </c>
      <c r="Y253" s="7">
        <v>15492</v>
      </c>
      <c r="Z253" s="7">
        <v>14256</v>
      </c>
      <c r="AA253" s="7">
        <v>13588</v>
      </c>
      <c r="AB253" s="7">
        <v>8736</v>
      </c>
      <c r="AC253" s="7">
        <v>11052</v>
      </c>
      <c r="AD253" s="7">
        <v>17382</v>
      </c>
      <c r="AE253" s="7">
        <v>25086</v>
      </c>
      <c r="AF253" s="7">
        <v>18522</v>
      </c>
      <c r="AG253" s="7">
        <v>8298</v>
      </c>
      <c r="AH253" s="7">
        <v>30702</v>
      </c>
      <c r="AI253" s="7">
        <v>23214</v>
      </c>
      <c r="AJ253" s="7">
        <v>9060</v>
      </c>
      <c r="AK253" s="7">
        <v>17695</v>
      </c>
      <c r="AL253" s="11">
        <f t="shared" si="81"/>
        <v>240196</v>
      </c>
      <c r="AM253" s="11">
        <f t="shared" si="82"/>
        <v>197591</v>
      </c>
      <c r="AN253" s="17">
        <f t="shared" si="83"/>
        <v>0.25042537574857793</v>
      </c>
      <c r="AO253" s="17">
        <f t="shared" si="84"/>
        <v>0.19118274555184761</v>
      </c>
      <c r="AP253" s="17">
        <f t="shared" si="85"/>
        <v>-0.17737597628603308</v>
      </c>
      <c r="AQ253" s="17">
        <f t="shared" si="86"/>
        <v>-4.4419445510200675E-2</v>
      </c>
    </row>
    <row r="254" spans="1:43">
      <c r="A254" s="24" t="s">
        <v>104</v>
      </c>
      <c r="B254" s="7">
        <v>9573</v>
      </c>
      <c r="C254" s="7">
        <v>24289</v>
      </c>
      <c r="D254" s="7">
        <v>21570</v>
      </c>
      <c r="E254" s="7">
        <v>21632</v>
      </c>
      <c r="F254" s="7">
        <v>19526</v>
      </c>
      <c r="G254" s="7">
        <v>18777</v>
      </c>
      <c r="H254" s="7">
        <v>14528</v>
      </c>
      <c r="I254" s="7">
        <v>15801</v>
      </c>
      <c r="J254" s="7">
        <v>13559</v>
      </c>
      <c r="K254" s="7">
        <v>20738</v>
      </c>
      <c r="L254" s="7">
        <v>12867</v>
      </c>
      <c r="M254" s="7">
        <v>17454</v>
      </c>
      <c r="N254" s="7">
        <v>19111</v>
      </c>
      <c r="O254" s="7">
        <v>16369</v>
      </c>
      <c r="P254" s="7">
        <v>20231</v>
      </c>
      <c r="Q254" s="7">
        <v>16892</v>
      </c>
      <c r="R254" s="7">
        <v>10253</v>
      </c>
      <c r="S254" s="7">
        <v>14328</v>
      </c>
      <c r="T254" s="7">
        <v>21075</v>
      </c>
      <c r="U254" s="7">
        <v>11100</v>
      </c>
      <c r="V254" s="7">
        <v>13903</v>
      </c>
      <c r="W254" s="7">
        <v>3144</v>
      </c>
      <c r="X254" s="7">
        <v>6987</v>
      </c>
      <c r="Y254" s="7">
        <v>12813</v>
      </c>
      <c r="Z254" s="7">
        <v>13422</v>
      </c>
      <c r="AA254" s="7">
        <v>14937</v>
      </c>
      <c r="AB254" s="7">
        <v>21279</v>
      </c>
      <c r="AC254" s="7">
        <v>10275</v>
      </c>
      <c r="AD254" s="7">
        <v>8694</v>
      </c>
      <c r="AE254" s="7">
        <v>12559</v>
      </c>
      <c r="AF254" s="7">
        <v>12515</v>
      </c>
      <c r="AG254" s="7">
        <v>8071</v>
      </c>
      <c r="AH254" s="7">
        <v>20358</v>
      </c>
      <c r="AI254" s="7">
        <v>7786</v>
      </c>
      <c r="AJ254" s="7">
        <v>13081</v>
      </c>
      <c r="AK254" s="7">
        <v>3906</v>
      </c>
      <c r="AL254" s="11">
        <f t="shared" si="81"/>
        <v>166206</v>
      </c>
      <c r="AM254" s="11">
        <f t="shared" si="82"/>
        <v>146883</v>
      </c>
      <c r="AN254" s="17">
        <f t="shared" si="83"/>
        <v>0.17328431781406908</v>
      </c>
      <c r="AO254" s="17">
        <f t="shared" si="84"/>
        <v>0.14211930308005949</v>
      </c>
      <c r="AP254" s="17">
        <f t="shared" si="85"/>
        <v>-0.11625934081802103</v>
      </c>
      <c r="AQ254" s="17">
        <f t="shared" si="86"/>
        <v>-2.0145920563164128E-2</v>
      </c>
    </row>
    <row r="255" spans="1:43">
      <c r="A255" s="24" t="s">
        <v>106</v>
      </c>
      <c r="B255" s="7">
        <v>46205</v>
      </c>
      <c r="C255" s="7">
        <v>59107</v>
      </c>
      <c r="D255" s="7">
        <v>50385</v>
      </c>
      <c r="E255" s="7">
        <v>37425</v>
      </c>
      <c r="F255" s="7">
        <v>36697</v>
      </c>
      <c r="G255" s="7">
        <v>25269</v>
      </c>
      <c r="H255" s="7">
        <v>37958</v>
      </c>
      <c r="I255" s="7">
        <v>17838</v>
      </c>
      <c r="J255" s="7">
        <v>35703</v>
      </c>
      <c r="K255" s="7">
        <v>22468</v>
      </c>
      <c r="L255" s="7">
        <v>26647</v>
      </c>
      <c r="M255" s="7">
        <v>17163</v>
      </c>
      <c r="N255" s="7">
        <v>34224</v>
      </c>
      <c r="O255" s="7">
        <v>26654</v>
      </c>
      <c r="P255" s="7">
        <v>30304</v>
      </c>
      <c r="Q255" s="7">
        <v>20400</v>
      </c>
      <c r="R255" s="7">
        <v>19464</v>
      </c>
      <c r="S255" s="7">
        <v>13732</v>
      </c>
      <c r="T255" s="7">
        <v>19473</v>
      </c>
      <c r="U255" s="7">
        <v>13080</v>
      </c>
      <c r="V255" s="7">
        <v>14181</v>
      </c>
      <c r="W255" s="7">
        <v>5802</v>
      </c>
      <c r="X255" s="7">
        <v>29804</v>
      </c>
      <c r="Y255" s="7">
        <v>14877</v>
      </c>
      <c r="Z255" s="7">
        <v>17583</v>
      </c>
      <c r="AA255" s="7">
        <v>12780</v>
      </c>
      <c r="AB255" s="7">
        <v>15522</v>
      </c>
      <c r="AC255" s="7">
        <v>23711</v>
      </c>
      <c r="AD255" s="7">
        <v>10029</v>
      </c>
      <c r="AE255" s="7">
        <v>22956</v>
      </c>
      <c r="AF255" s="7">
        <v>8229</v>
      </c>
      <c r="AG255" s="7">
        <v>9285</v>
      </c>
      <c r="AH255" s="7">
        <v>6252</v>
      </c>
      <c r="AI255" s="7">
        <v>9787</v>
      </c>
      <c r="AJ255" s="7">
        <v>14868</v>
      </c>
      <c r="AK255" s="7">
        <v>6072</v>
      </c>
      <c r="AL255" s="11">
        <f t="shared" si="81"/>
        <v>241995</v>
      </c>
      <c r="AM255" s="11">
        <f t="shared" si="82"/>
        <v>157074</v>
      </c>
      <c r="AN255" s="17">
        <f t="shared" si="83"/>
        <v>0.25230099087527313</v>
      </c>
      <c r="AO255" s="17">
        <f t="shared" si="84"/>
        <v>0.15197978943783327</v>
      </c>
      <c r="AP255" s="17">
        <f t="shared" si="85"/>
        <v>-0.35092047356350342</v>
      </c>
      <c r="AQ255" s="17">
        <f t="shared" si="86"/>
        <v>-8.8537583198492004E-2</v>
      </c>
    </row>
    <row r="256" spans="1:43">
      <c r="A256" s="24" t="s">
        <v>127</v>
      </c>
      <c r="B256" s="7">
        <f t="shared" ref="B256" si="87">+SUM(B250:B255)</f>
        <v>109442</v>
      </c>
      <c r="C256" s="7">
        <f t="shared" ref="C256" si="88">+SUM(C250:C255)</f>
        <v>128282</v>
      </c>
      <c r="D256" s="7">
        <f t="shared" ref="D256:AK256" si="89">+SUM(D250:D255)</f>
        <v>132003</v>
      </c>
      <c r="E256" s="7">
        <f t="shared" si="89"/>
        <v>106189</v>
      </c>
      <c r="F256" s="7">
        <f t="shared" si="89"/>
        <v>105320</v>
      </c>
      <c r="G256" s="7">
        <f t="shared" si="89"/>
        <v>91296</v>
      </c>
      <c r="H256" s="7">
        <f t="shared" si="89"/>
        <v>87478</v>
      </c>
      <c r="I256" s="7">
        <f t="shared" si="89"/>
        <v>62889</v>
      </c>
      <c r="J256" s="7">
        <f t="shared" si="89"/>
        <v>94665</v>
      </c>
      <c r="K256" s="7">
        <f t="shared" si="89"/>
        <v>90924</v>
      </c>
      <c r="L256" s="7">
        <f t="shared" si="89"/>
        <v>72862</v>
      </c>
      <c r="M256" s="7">
        <f t="shared" si="89"/>
        <v>76009</v>
      </c>
      <c r="N256" s="7">
        <f t="shared" si="89"/>
        <v>104224</v>
      </c>
      <c r="O256" s="7">
        <f t="shared" si="89"/>
        <v>86742</v>
      </c>
      <c r="P256" s="7">
        <f t="shared" si="89"/>
        <v>93619</v>
      </c>
      <c r="Q256" s="7">
        <f t="shared" si="89"/>
        <v>99132</v>
      </c>
      <c r="R256" s="7">
        <f t="shared" si="89"/>
        <v>84574</v>
      </c>
      <c r="S256" s="7">
        <f t="shared" si="89"/>
        <v>81339</v>
      </c>
      <c r="T256" s="7">
        <f t="shared" si="89"/>
        <v>101082</v>
      </c>
      <c r="U256" s="7">
        <f t="shared" si="89"/>
        <v>69324</v>
      </c>
      <c r="V256" s="7">
        <f t="shared" si="89"/>
        <v>95243</v>
      </c>
      <c r="W256" s="7">
        <f t="shared" si="89"/>
        <v>19332</v>
      </c>
      <c r="X256" s="7">
        <f t="shared" si="89"/>
        <v>59618</v>
      </c>
      <c r="Y256" s="7">
        <f t="shared" si="89"/>
        <v>64923</v>
      </c>
      <c r="Z256" s="7">
        <f t="shared" si="89"/>
        <v>78702</v>
      </c>
      <c r="AA256" s="7">
        <f t="shared" si="89"/>
        <v>65506</v>
      </c>
      <c r="AB256" s="7">
        <f t="shared" si="89"/>
        <v>118605</v>
      </c>
      <c r="AC256" s="7">
        <f t="shared" si="89"/>
        <v>82730</v>
      </c>
      <c r="AD256" s="7">
        <f t="shared" si="89"/>
        <v>60113</v>
      </c>
      <c r="AE256" s="7">
        <f t="shared" si="89"/>
        <v>93132</v>
      </c>
      <c r="AF256" s="7">
        <f t="shared" si="89"/>
        <v>92274</v>
      </c>
      <c r="AG256" s="7">
        <f t="shared" si="89"/>
        <v>60976</v>
      </c>
      <c r="AH256" s="7">
        <f t="shared" si="89"/>
        <v>119388</v>
      </c>
      <c r="AI256" s="7">
        <f t="shared" si="89"/>
        <v>128812</v>
      </c>
      <c r="AJ256" s="7">
        <f t="shared" si="89"/>
        <v>65598</v>
      </c>
      <c r="AK256" s="7">
        <f t="shared" si="89"/>
        <v>67683</v>
      </c>
      <c r="AL256" s="11">
        <f t="shared" si="81"/>
        <v>959152</v>
      </c>
      <c r="AM256" s="11">
        <f t="shared" si="82"/>
        <v>1033519</v>
      </c>
      <c r="AN256" s="17">
        <f t="shared" si="83"/>
        <v>1</v>
      </c>
      <c r="AO256" s="17">
        <f t="shared" si="84"/>
        <v>1</v>
      </c>
      <c r="AP256" s="17">
        <f t="shared" si="85"/>
        <v>7.7534113466895649E-2</v>
      </c>
      <c r="AQ256" s="17">
        <f t="shared" si="86"/>
        <v>7.753411346689576E-2</v>
      </c>
    </row>
    <row r="257" spans="1:51">
      <c r="AS257" s="47" t="s">
        <v>111</v>
      </c>
      <c r="AT257" s="47"/>
      <c r="AU257" s="47"/>
      <c r="AV257" s="47" t="s">
        <v>78</v>
      </c>
      <c r="AW257" s="47"/>
      <c r="AX257" s="47"/>
    </row>
    <row r="258" spans="1:51">
      <c r="A258" t="s">
        <v>106</v>
      </c>
      <c r="B258" s="9">
        <v>44713</v>
      </c>
      <c r="C258" s="9">
        <v>44743</v>
      </c>
      <c r="D258" s="9">
        <v>44774</v>
      </c>
      <c r="E258" s="9">
        <v>44805</v>
      </c>
      <c r="F258" s="9">
        <v>44835</v>
      </c>
      <c r="G258" s="9">
        <v>44866</v>
      </c>
      <c r="H258" s="9">
        <v>44896</v>
      </c>
      <c r="I258" s="9">
        <v>44927</v>
      </c>
      <c r="J258" s="9">
        <v>44958</v>
      </c>
      <c r="K258" s="9">
        <v>44986</v>
      </c>
      <c r="L258" s="9">
        <v>45017</v>
      </c>
      <c r="M258" s="9">
        <v>45047</v>
      </c>
      <c r="N258" s="9">
        <v>45078</v>
      </c>
      <c r="O258" s="9">
        <v>45108</v>
      </c>
      <c r="P258" s="9">
        <v>45139</v>
      </c>
      <c r="Q258" s="9">
        <v>45170</v>
      </c>
      <c r="R258" s="9">
        <v>45200</v>
      </c>
      <c r="S258" s="9">
        <v>45231</v>
      </c>
      <c r="T258" s="9">
        <v>45261</v>
      </c>
      <c r="U258" s="9">
        <v>45292</v>
      </c>
      <c r="V258" s="9">
        <v>45323</v>
      </c>
      <c r="W258" s="9">
        <v>45352</v>
      </c>
      <c r="X258" s="9">
        <v>45383</v>
      </c>
      <c r="Y258" s="9">
        <v>45413</v>
      </c>
      <c r="Z258" s="9">
        <v>45444</v>
      </c>
      <c r="AA258" s="9">
        <v>45474</v>
      </c>
      <c r="AB258" s="9">
        <v>45505</v>
      </c>
      <c r="AC258" s="9">
        <v>45536</v>
      </c>
      <c r="AD258" s="9">
        <v>45566</v>
      </c>
      <c r="AE258" s="9">
        <v>45597</v>
      </c>
      <c r="AF258" s="9">
        <v>45627</v>
      </c>
      <c r="AG258" s="9">
        <v>45658</v>
      </c>
      <c r="AH258" s="9">
        <v>45689</v>
      </c>
      <c r="AI258" s="9">
        <v>45717</v>
      </c>
      <c r="AJ258" s="9">
        <v>45748</v>
      </c>
      <c r="AK258" s="9">
        <v>45778</v>
      </c>
      <c r="AS258" s="39" t="s">
        <v>112</v>
      </c>
      <c r="AT258" s="39" t="s">
        <v>113</v>
      </c>
      <c r="AU258" s="39" t="s">
        <v>114</v>
      </c>
      <c r="AV258" s="39" t="s">
        <v>112</v>
      </c>
      <c r="AW258" s="39" t="s">
        <v>113</v>
      </c>
      <c r="AX258" s="39" t="s">
        <v>114</v>
      </c>
      <c r="AY258" s="40" t="s">
        <v>115</v>
      </c>
    </row>
    <row r="259" spans="1:51">
      <c r="A259" s="24" t="s">
        <v>112</v>
      </c>
      <c r="B259" s="10" cm="1">
        <f t="array" ref="B259">+_xlfn.XLOOKUP($A$258,$A$241:$A$247,_xlfn.XLOOKUP(B258,$B$240:$AK$240,$B$241:$AK$247))</f>
        <v>33226</v>
      </c>
      <c r="C259" s="10" cm="1">
        <f t="array" ref="C259">+_xlfn.XLOOKUP($A$258,$A$241:$A$247,_xlfn.XLOOKUP(C258,$B$240:$AK$240,$B$241:$AK$247))</f>
        <v>29844</v>
      </c>
      <c r="D259" s="10" cm="1">
        <f t="array" ref="D259">+_xlfn.XLOOKUP($A$258,$A$241:$A$247,_xlfn.XLOOKUP(D258,$B$240:$AK$240,$B$241:$AK$247))</f>
        <v>32924</v>
      </c>
      <c r="E259" s="10" cm="1">
        <f t="array" ref="E259">+_xlfn.XLOOKUP($A$258,$A$241:$A$247,_xlfn.XLOOKUP(E258,$B$240:$AK$240,$B$241:$AK$247))</f>
        <v>28977</v>
      </c>
      <c r="F259" s="10" cm="1">
        <f t="array" ref="F259">+_xlfn.XLOOKUP($A$258,$A$241:$A$247,_xlfn.XLOOKUP(F258,$B$240:$AK$240,$B$241:$AK$247))</f>
        <v>31323</v>
      </c>
      <c r="G259" s="10" cm="1">
        <f t="array" ref="G259">+_xlfn.XLOOKUP($A$258,$A$241:$A$247,_xlfn.XLOOKUP(G258,$B$240:$AK$240,$B$241:$AK$247))</f>
        <v>29651</v>
      </c>
      <c r="H259" s="10" cm="1">
        <f t="array" ref="H259">+_xlfn.XLOOKUP($A$258,$A$241:$A$247,_xlfn.XLOOKUP(H258,$B$240:$AK$240,$B$241:$AK$247))</f>
        <v>29032</v>
      </c>
      <c r="I259" s="10" cm="1">
        <f t="array" ref="I259">+_xlfn.XLOOKUP($A$258,$A$241:$A$247,_xlfn.XLOOKUP(I258,$B$240:$AK$240,$B$241:$AK$247))</f>
        <v>31664</v>
      </c>
      <c r="J259" s="10" cm="1">
        <f t="array" ref="J259">+_xlfn.XLOOKUP($A$258,$A$241:$A$247,_xlfn.XLOOKUP(J258,$B$240:$AK$240,$B$241:$AK$247))</f>
        <v>32479</v>
      </c>
      <c r="K259" s="10" cm="1">
        <f t="array" ref="K259">+_xlfn.XLOOKUP($A$258,$A$241:$A$247,_xlfn.XLOOKUP(K258,$B$240:$AK$240,$B$241:$AK$247))</f>
        <v>27492</v>
      </c>
      <c r="L259" s="10" cm="1">
        <f t="array" ref="L259">+_xlfn.XLOOKUP($A$258,$A$241:$A$247,_xlfn.XLOOKUP(L258,$B$240:$AK$240,$B$241:$AK$247))</f>
        <v>27894</v>
      </c>
      <c r="M259" s="10" cm="1">
        <f t="array" ref="M259">+_xlfn.XLOOKUP($A$258,$A$241:$A$247,_xlfn.XLOOKUP(M258,$B$240:$AK$240,$B$241:$AK$247))</f>
        <v>21325</v>
      </c>
      <c r="N259" s="10" cm="1">
        <f t="array" ref="N259">+_xlfn.XLOOKUP($A$258,$A$241:$A$247,_xlfn.XLOOKUP(N258,$B$240:$AK$240,$B$241:$AK$247))</f>
        <v>19468</v>
      </c>
      <c r="O259" s="10" cm="1">
        <f t="array" ref="O259">+_xlfn.XLOOKUP($A$258,$A$241:$A$247,_xlfn.XLOOKUP(O258,$B$240:$AK$240,$B$241:$AK$247))</f>
        <v>21839</v>
      </c>
      <c r="P259" s="10" cm="1">
        <f t="array" ref="P259">+_xlfn.XLOOKUP($A$258,$A$241:$A$247,_xlfn.XLOOKUP(P258,$B$240:$AK$240,$B$241:$AK$247))</f>
        <v>22183</v>
      </c>
      <c r="Q259" s="10" cm="1">
        <f t="array" ref="Q259">+_xlfn.XLOOKUP($A$258,$A$241:$A$247,_xlfn.XLOOKUP(Q258,$B$240:$AK$240,$B$241:$AK$247))</f>
        <v>24333</v>
      </c>
      <c r="R259" s="10" cm="1">
        <f t="array" ref="R259">+_xlfn.XLOOKUP($A$258,$A$241:$A$247,_xlfn.XLOOKUP(R258,$B$240:$AK$240,$B$241:$AK$247))</f>
        <v>21158</v>
      </c>
      <c r="S259" s="10" cm="1">
        <f t="array" ref="S259">+_xlfn.XLOOKUP($A$258,$A$241:$A$247,_xlfn.XLOOKUP(S258,$B$240:$AK$240,$B$241:$AK$247))</f>
        <v>19586</v>
      </c>
      <c r="T259" s="10" cm="1">
        <f t="array" ref="T259">+_xlfn.XLOOKUP($A$258,$A$241:$A$247,_xlfn.XLOOKUP(T258,$B$240:$AK$240,$B$241:$AK$247))</f>
        <v>21319</v>
      </c>
      <c r="U259" s="10" cm="1">
        <f t="array" ref="U259">+_xlfn.XLOOKUP($A$258,$A$241:$A$247,_xlfn.XLOOKUP(U258,$B$240:$AK$240,$B$241:$AK$247))</f>
        <v>26161</v>
      </c>
      <c r="V259" s="10" cm="1">
        <f t="array" ref="V259">+_xlfn.XLOOKUP($A$258,$A$241:$A$247,_xlfn.XLOOKUP(V258,$B$240:$AK$240,$B$241:$AK$247))</f>
        <v>25475</v>
      </c>
      <c r="W259" s="10" cm="1">
        <f t="array" ref="W259">+_xlfn.XLOOKUP($A$258,$A$241:$A$247,_xlfn.XLOOKUP(W258,$B$240:$AK$240,$B$241:$AK$247))</f>
        <v>24948</v>
      </c>
      <c r="X259" s="10" cm="1">
        <f t="array" ref="X259">+_xlfn.XLOOKUP($A$258,$A$241:$A$247,_xlfn.XLOOKUP(X258,$B$240:$AK$240,$B$241:$AK$247))</f>
        <v>27130</v>
      </c>
      <c r="Y259" s="10" cm="1">
        <f t="array" ref="Y259">+_xlfn.XLOOKUP($A$258,$A$241:$A$247,_xlfn.XLOOKUP(Y258,$B$240:$AK$240,$B$241:$AK$247))</f>
        <v>22988</v>
      </c>
      <c r="Z259" s="10" cm="1">
        <f t="array" ref="Z259">+_xlfn.XLOOKUP($A$258,$A$241:$A$247,_xlfn.XLOOKUP(Z258,$B$240:$AK$240,$B$241:$AK$247))</f>
        <v>23155</v>
      </c>
      <c r="AA259" s="10" cm="1">
        <f t="array" ref="AA259">+_xlfn.XLOOKUP($A$258,$A$241:$A$247,_xlfn.XLOOKUP(AA258,$B$240:$AK$240,$B$241:$AK$247))</f>
        <v>22667</v>
      </c>
      <c r="AB259" s="10" cm="1">
        <f t="array" ref="AB259">+_xlfn.XLOOKUP($A$258,$A$241:$A$247,_xlfn.XLOOKUP(AB258,$B$240:$AK$240,$B$241:$AK$247))</f>
        <v>24910</v>
      </c>
      <c r="AC259" s="10" cm="1">
        <f t="array" ref="AC259">+_xlfn.XLOOKUP($A$258,$A$241:$A$247,_xlfn.XLOOKUP(AC258,$B$240:$AK$240,$B$241:$AK$247))</f>
        <v>19707</v>
      </c>
      <c r="AD259" s="10" cm="1">
        <f t="array" ref="AD259">+_xlfn.XLOOKUP($A$258,$A$241:$A$247,_xlfn.XLOOKUP(AD258,$B$240:$AK$240,$B$241:$AK$247))</f>
        <v>18982</v>
      </c>
      <c r="AE259" s="10" cm="1">
        <f t="array" ref="AE259">+_xlfn.XLOOKUP($A$258,$A$241:$A$247,_xlfn.XLOOKUP(AE258,$B$240:$AK$240,$B$241:$AK$247))</f>
        <v>16478</v>
      </c>
      <c r="AF259" s="10" cm="1">
        <f t="array" ref="AF259">+_xlfn.XLOOKUP($A$258,$A$241:$A$247,_xlfn.XLOOKUP(AF258,$B$240:$AK$240,$B$241:$AK$247))</f>
        <v>17540</v>
      </c>
      <c r="AG259" s="10" cm="1">
        <f t="array" ref="AG259">+_xlfn.XLOOKUP($A$258,$A$241:$A$247,_xlfn.XLOOKUP(AG258,$B$240:$AK$240,$B$241:$AK$247))</f>
        <v>17245</v>
      </c>
      <c r="AH259" s="10" cm="1">
        <f t="array" ref="AH259">+_xlfn.XLOOKUP($A$258,$A$241:$A$247,_xlfn.XLOOKUP(AH258,$B$240:$AK$240,$B$241:$AK$247))</f>
        <v>18818</v>
      </c>
      <c r="AI259" s="10" cm="1">
        <f t="array" ref="AI259">+_xlfn.XLOOKUP($A$258,$A$241:$A$247,_xlfn.XLOOKUP(AI258,$B$240:$AK$240,$B$241:$AK$247))</f>
        <v>17932</v>
      </c>
      <c r="AJ259" s="10" cm="1">
        <f t="array" ref="AJ259">+_xlfn.XLOOKUP($A$258,$A$241:$A$247,_xlfn.XLOOKUP(AJ258,$B$240:$AK$240,$B$241:$AK$247))</f>
        <v>14972</v>
      </c>
      <c r="AK259" s="10" cm="1">
        <f t="array" ref="AK259">+_xlfn.XLOOKUP($A$258,$A$241:$A$247,_xlfn.XLOOKUP(AK258,$B$240:$AK$240,$B$241:$AK$247))</f>
        <v>13552</v>
      </c>
      <c r="AQ259" s="45" t="s">
        <v>116</v>
      </c>
      <c r="AR259" s="41" t="s">
        <v>88</v>
      </c>
      <c r="AS259" s="43">
        <f>+AP241</f>
        <v>-5.4933578410894857E-2</v>
      </c>
      <c r="AT259" s="43">
        <f>+AP250</f>
        <v>-0.13148087330258595</v>
      </c>
      <c r="AU259" s="43">
        <f t="shared" ref="AU259:AU265" si="90">+AS259-AT259</f>
        <v>7.6547294891691098E-2</v>
      </c>
      <c r="AV259" s="43">
        <f>+AQ241</f>
        <v>-1.123328126525432E-2</v>
      </c>
      <c r="AW259" s="43">
        <f>+AQ250</f>
        <v>-2.8800440389010293E-2</v>
      </c>
      <c r="AX259" s="43">
        <f t="shared" ref="AX259:AX265" si="91">+AV259-AW259</f>
        <v>1.7567159123755973E-2</v>
      </c>
      <c r="AY259" s="21">
        <v>12</v>
      </c>
    </row>
    <row r="260" spans="1:51">
      <c r="A260" s="24" t="s">
        <v>113</v>
      </c>
      <c r="B260" s="10" cm="1">
        <f t="array" ref="B260">+_xlfn.XLOOKUP($A$258,$A$250:$A$256,_xlfn.XLOOKUP(B258,$B$249:$AK$249,$B$250:$AK$256))</f>
        <v>46205</v>
      </c>
      <c r="C260" s="10" cm="1">
        <f t="array" ref="C260">+_xlfn.XLOOKUP($A$258,$A$250:$A$256,_xlfn.XLOOKUP(C258,$B$249:$AK$249,$B$250:$AK$256))</f>
        <v>59107</v>
      </c>
      <c r="D260" s="10" cm="1">
        <f t="array" ref="D260">+_xlfn.XLOOKUP($A$258,$A$250:$A$256,_xlfn.XLOOKUP(D258,$B$249:$AK$249,$B$250:$AK$256))</f>
        <v>50385</v>
      </c>
      <c r="E260" s="10" cm="1">
        <f t="array" ref="E260">+_xlfn.XLOOKUP($A$258,$A$250:$A$256,_xlfn.XLOOKUP(E258,$B$249:$AK$249,$B$250:$AK$256))</f>
        <v>37425</v>
      </c>
      <c r="F260" s="10" cm="1">
        <f t="array" ref="F260">+_xlfn.XLOOKUP($A$258,$A$250:$A$256,_xlfn.XLOOKUP(F258,$B$249:$AK$249,$B$250:$AK$256))</f>
        <v>36697</v>
      </c>
      <c r="G260" s="10" cm="1">
        <f t="array" ref="G260">+_xlfn.XLOOKUP($A$258,$A$250:$A$256,_xlfn.XLOOKUP(G258,$B$249:$AK$249,$B$250:$AK$256))</f>
        <v>25269</v>
      </c>
      <c r="H260" s="10" cm="1">
        <f t="array" ref="H260">+_xlfn.XLOOKUP($A$258,$A$250:$A$256,_xlfn.XLOOKUP(H258,$B$249:$AK$249,$B$250:$AK$256))</f>
        <v>37958</v>
      </c>
      <c r="I260" s="10" cm="1">
        <f t="array" ref="I260">+_xlfn.XLOOKUP($A$258,$A$250:$A$256,_xlfn.XLOOKUP(I258,$B$249:$AK$249,$B$250:$AK$256))</f>
        <v>17838</v>
      </c>
      <c r="J260" s="10" cm="1">
        <f t="array" ref="J260">+_xlfn.XLOOKUP($A$258,$A$250:$A$256,_xlfn.XLOOKUP(J258,$B$249:$AK$249,$B$250:$AK$256))</f>
        <v>35703</v>
      </c>
      <c r="K260" s="10" cm="1">
        <f t="array" ref="K260">+_xlfn.XLOOKUP($A$258,$A$250:$A$256,_xlfn.XLOOKUP(K258,$B$249:$AK$249,$B$250:$AK$256))</f>
        <v>22468</v>
      </c>
      <c r="L260" s="10" cm="1">
        <f t="array" ref="L260">+_xlfn.XLOOKUP($A$258,$A$250:$A$256,_xlfn.XLOOKUP(L258,$B$249:$AK$249,$B$250:$AK$256))</f>
        <v>26647</v>
      </c>
      <c r="M260" s="10" cm="1">
        <f t="array" ref="M260">+_xlfn.XLOOKUP($A$258,$A$250:$A$256,_xlfn.XLOOKUP(M258,$B$249:$AK$249,$B$250:$AK$256))</f>
        <v>17163</v>
      </c>
      <c r="N260" s="10" cm="1">
        <f t="array" ref="N260">+_xlfn.XLOOKUP($A$258,$A$250:$A$256,_xlfn.XLOOKUP(N258,$B$249:$AK$249,$B$250:$AK$256))</f>
        <v>34224</v>
      </c>
      <c r="O260" s="10" cm="1">
        <f t="array" ref="O260">+_xlfn.XLOOKUP($A$258,$A$250:$A$256,_xlfn.XLOOKUP(O258,$B$249:$AK$249,$B$250:$AK$256))</f>
        <v>26654</v>
      </c>
      <c r="P260" s="10" cm="1">
        <f t="array" ref="P260">+_xlfn.XLOOKUP($A$258,$A$250:$A$256,_xlfn.XLOOKUP(P258,$B$249:$AK$249,$B$250:$AK$256))</f>
        <v>30304</v>
      </c>
      <c r="Q260" s="10" cm="1">
        <f t="array" ref="Q260">+_xlfn.XLOOKUP($A$258,$A$250:$A$256,_xlfn.XLOOKUP(Q258,$B$249:$AK$249,$B$250:$AK$256))</f>
        <v>20400</v>
      </c>
      <c r="R260" s="10" cm="1">
        <f t="array" ref="R260">+_xlfn.XLOOKUP($A$258,$A$250:$A$256,_xlfn.XLOOKUP(R258,$B$249:$AK$249,$B$250:$AK$256))</f>
        <v>19464</v>
      </c>
      <c r="S260" s="10" cm="1">
        <f t="array" ref="S260">+_xlfn.XLOOKUP($A$258,$A$250:$A$256,_xlfn.XLOOKUP(S258,$B$249:$AK$249,$B$250:$AK$256))</f>
        <v>13732</v>
      </c>
      <c r="T260" s="10" cm="1">
        <f t="array" ref="T260">+_xlfn.XLOOKUP($A$258,$A$250:$A$256,_xlfn.XLOOKUP(T258,$B$249:$AK$249,$B$250:$AK$256))</f>
        <v>19473</v>
      </c>
      <c r="U260" s="10" cm="1">
        <f t="array" ref="U260">+_xlfn.XLOOKUP($A$258,$A$250:$A$256,_xlfn.XLOOKUP(U258,$B$249:$AK$249,$B$250:$AK$256))</f>
        <v>13080</v>
      </c>
      <c r="V260" s="10" cm="1">
        <f t="array" ref="V260">+_xlfn.XLOOKUP($A$258,$A$250:$A$256,_xlfn.XLOOKUP(V258,$B$249:$AK$249,$B$250:$AK$256))</f>
        <v>14181</v>
      </c>
      <c r="W260" s="10" cm="1">
        <f t="array" ref="W260">+_xlfn.XLOOKUP($A$258,$A$250:$A$256,_xlfn.XLOOKUP(W258,$B$249:$AK$249,$B$250:$AK$256))</f>
        <v>5802</v>
      </c>
      <c r="X260" s="10" cm="1">
        <f t="array" ref="X260">+_xlfn.XLOOKUP($A$258,$A$250:$A$256,_xlfn.XLOOKUP(X258,$B$249:$AK$249,$B$250:$AK$256))</f>
        <v>29804</v>
      </c>
      <c r="Y260" s="10" cm="1">
        <f t="array" ref="Y260">+_xlfn.XLOOKUP($A$258,$A$250:$A$256,_xlfn.XLOOKUP(Y258,$B$249:$AK$249,$B$250:$AK$256))</f>
        <v>14877</v>
      </c>
      <c r="Z260" s="10" cm="1">
        <f t="array" ref="Z260">+_xlfn.XLOOKUP($A$258,$A$250:$A$256,_xlfn.XLOOKUP(Z258,$B$249:$AK$249,$B$250:$AK$256))</f>
        <v>17583</v>
      </c>
      <c r="AA260" s="10" cm="1">
        <f t="array" ref="AA260">+_xlfn.XLOOKUP($A$258,$A$250:$A$256,_xlfn.XLOOKUP(AA258,$B$249:$AK$249,$B$250:$AK$256))</f>
        <v>12780</v>
      </c>
      <c r="AB260" s="10" cm="1">
        <f t="array" ref="AB260">+_xlfn.XLOOKUP($A$258,$A$250:$A$256,_xlfn.XLOOKUP(AB258,$B$249:$AK$249,$B$250:$AK$256))</f>
        <v>15522</v>
      </c>
      <c r="AC260" s="10" cm="1">
        <f t="array" ref="AC260">+_xlfn.XLOOKUP($A$258,$A$250:$A$256,_xlfn.XLOOKUP(AC258,$B$249:$AK$249,$B$250:$AK$256))</f>
        <v>23711</v>
      </c>
      <c r="AD260" s="10" cm="1">
        <f t="array" ref="AD260">+_xlfn.XLOOKUP($A$258,$A$250:$A$256,_xlfn.XLOOKUP(AD258,$B$249:$AK$249,$B$250:$AK$256))</f>
        <v>10029</v>
      </c>
      <c r="AE260" s="10" cm="1">
        <f t="array" ref="AE260">+_xlfn.XLOOKUP($A$258,$A$250:$A$256,_xlfn.XLOOKUP(AE258,$B$249:$AK$249,$B$250:$AK$256))</f>
        <v>22956</v>
      </c>
      <c r="AF260" s="10" cm="1">
        <f t="array" ref="AF260">+_xlfn.XLOOKUP($A$258,$A$250:$A$256,_xlfn.XLOOKUP(AF258,$B$249:$AK$249,$B$250:$AK$256))</f>
        <v>8229</v>
      </c>
      <c r="AG260" s="10" cm="1">
        <f t="array" ref="AG260">+_xlfn.XLOOKUP($A$258,$A$250:$A$256,_xlfn.XLOOKUP(AG258,$B$249:$AK$249,$B$250:$AK$256))</f>
        <v>9285</v>
      </c>
      <c r="AH260" s="10" cm="1">
        <f t="array" ref="AH260">+_xlfn.XLOOKUP($A$258,$A$250:$A$256,_xlfn.XLOOKUP(AH258,$B$249:$AK$249,$B$250:$AK$256))</f>
        <v>6252</v>
      </c>
      <c r="AI260" s="10" cm="1">
        <f t="array" ref="AI260">+_xlfn.XLOOKUP($A$258,$A$250:$A$256,_xlfn.XLOOKUP(AI258,$B$249:$AK$249,$B$250:$AK$256))</f>
        <v>9787</v>
      </c>
      <c r="AJ260" s="10" cm="1">
        <f t="array" ref="AJ260">+_xlfn.XLOOKUP($A$258,$A$250:$A$256,_xlfn.XLOOKUP(AJ258,$B$249:$AK$249,$B$250:$AK$256))</f>
        <v>14868</v>
      </c>
      <c r="AK260" s="10" cm="1">
        <f t="array" ref="AK260">+_xlfn.XLOOKUP($A$258,$A$250:$A$256,_xlfn.XLOOKUP(AK258,$B$249:$AK$249,$B$250:$AK$256))</f>
        <v>6072</v>
      </c>
      <c r="AQ260" s="45"/>
      <c r="AR260" s="41" t="s">
        <v>94</v>
      </c>
      <c r="AS260" s="43">
        <f>+AP244</f>
        <v>-0.18825224967691601</v>
      </c>
      <c r="AT260" s="43">
        <f>+AP253</f>
        <v>-0.17737597628603308</v>
      </c>
      <c r="AU260" s="43">
        <f t="shared" si="90"/>
        <v>-1.0876273390882929E-2</v>
      </c>
      <c r="AV260" s="43">
        <f>+AQ244</f>
        <v>-3.8575124475251389E-2</v>
      </c>
      <c r="AW260" s="43">
        <f>+AQ253</f>
        <v>-4.4419445510200675E-2</v>
      </c>
      <c r="AX260" s="43">
        <f t="shared" si="91"/>
        <v>5.8443210349492861E-3</v>
      </c>
      <c r="AY260" s="21">
        <v>9</v>
      </c>
    </row>
    <row r="261" spans="1:51">
      <c r="AQ261" s="45"/>
      <c r="AR261" s="41" t="s">
        <v>104</v>
      </c>
      <c r="AS261" s="43">
        <f>+AP245</f>
        <v>-9.1509713046050711E-2</v>
      </c>
      <c r="AT261" s="43">
        <f>+AP254</f>
        <v>-0.11625934081802103</v>
      </c>
      <c r="AU261" s="43">
        <f t="shared" si="90"/>
        <v>2.4749627771970317E-2</v>
      </c>
      <c r="AV261" s="43">
        <f>+AQ245</f>
        <v>-1.4722249341013375E-2</v>
      </c>
      <c r="AW261" s="43">
        <f>+AQ254</f>
        <v>-2.0145920563164128E-2</v>
      </c>
      <c r="AX261" s="43">
        <f t="shared" si="91"/>
        <v>5.4236712221507524E-3</v>
      </c>
      <c r="AY261" s="21">
        <v>10</v>
      </c>
    </row>
    <row r="262" spans="1:51">
      <c r="AQ262" s="45"/>
      <c r="AR262" s="41" t="s">
        <v>106</v>
      </c>
      <c r="AS262" s="43">
        <f>+AP246</f>
        <v>-0.18305204853428203</v>
      </c>
      <c r="AT262" s="43">
        <f>+AP255</f>
        <v>-0.35092047356350342</v>
      </c>
      <c r="AU262" s="43">
        <f t="shared" si="90"/>
        <v>0.16786842502922139</v>
      </c>
      <c r="AV262" s="43">
        <f>+AQ246</f>
        <v>-6.1786097822903445E-2</v>
      </c>
      <c r="AW262" s="43">
        <f>+AQ255</f>
        <v>-8.8537583198492004E-2</v>
      </c>
      <c r="AX262" s="43">
        <f t="shared" si="91"/>
        <v>2.6751485375588559E-2</v>
      </c>
      <c r="AY262" s="21">
        <v>11</v>
      </c>
    </row>
    <row r="263" spans="1:51">
      <c r="AQ263" s="45" t="s">
        <v>117</v>
      </c>
      <c r="AR263" s="42" t="s">
        <v>92</v>
      </c>
      <c r="AS263" s="43">
        <f>+AP242</f>
        <v>44.669019054340154</v>
      </c>
      <c r="AT263" s="43" t="e">
        <f>+AP251</f>
        <v>#DIV/0!</v>
      </c>
      <c r="AU263" s="43" t="e">
        <f t="shared" si="90"/>
        <v>#DIV/0!</v>
      </c>
      <c r="AV263" s="43">
        <f>+AQ242</f>
        <v>0.15448599043249048</v>
      </c>
      <c r="AW263" s="43">
        <f>+AQ251</f>
        <v>0.21310907968705689</v>
      </c>
      <c r="AX263" s="43">
        <f t="shared" si="91"/>
        <v>-5.8623089254566413E-2</v>
      </c>
      <c r="AY263" s="21">
        <v>8</v>
      </c>
    </row>
    <row r="264" spans="1:51">
      <c r="E264" s="46" t="s">
        <v>82</v>
      </c>
      <c r="F264" s="46"/>
      <c r="AQ264" s="45"/>
      <c r="AR264" s="42" t="s">
        <v>93</v>
      </c>
      <c r="AS264" s="43">
        <f>+AP243</f>
        <v>0.19849806068274978</v>
      </c>
      <c r="AT264" s="43">
        <f>+AP252</f>
        <v>0.44146399618502619</v>
      </c>
      <c r="AU264" s="43">
        <f t="shared" si="90"/>
        <v>-0.24296593550227641</v>
      </c>
      <c r="AV264" s="43">
        <f>+AQ243</f>
        <v>1.7612027726252075E-2</v>
      </c>
      <c r="AW264" s="43">
        <f>+AQ252</f>
        <v>4.6328423440705958E-2</v>
      </c>
      <c r="AX264" s="43">
        <f t="shared" si="91"/>
        <v>-2.8716395714453884E-2</v>
      </c>
      <c r="AY264" s="21">
        <v>8</v>
      </c>
    </row>
    <row r="265" spans="1:51">
      <c r="E265" s="25" t="s">
        <v>112</v>
      </c>
      <c r="F265" s="26" t="s">
        <v>113</v>
      </c>
      <c r="G265" t="s">
        <v>118</v>
      </c>
      <c r="AR265" s="41" t="s">
        <v>119</v>
      </c>
      <c r="AS265" s="43">
        <f>+AP247</f>
        <v>4.5781265254319914E-2</v>
      </c>
      <c r="AT265" s="43">
        <f>+AP256</f>
        <v>7.7534113466895649E-2</v>
      </c>
      <c r="AU265" s="43">
        <f t="shared" si="90"/>
        <v>-3.1752848212575735E-2</v>
      </c>
      <c r="AV265" s="43">
        <f>+AQ247</f>
        <v>4.5781265254320025E-2</v>
      </c>
      <c r="AW265" s="43">
        <f>+AQ256</f>
        <v>7.753411346689576E-2</v>
      </c>
      <c r="AX265" s="43">
        <f t="shared" si="91"/>
        <v>-3.1752848212575735E-2</v>
      </c>
      <c r="AY265" s="21">
        <v>17</v>
      </c>
    </row>
    <row r="266" spans="1:51">
      <c r="E266" s="20">
        <f>+SUM(Z259:AK259)/SUM(N259:Y259)-1</f>
        <v>-0.18305204853428203</v>
      </c>
      <c r="F266" s="20">
        <f>+SUM(Z260:AK260)/SUM(N260:Y260)-1</f>
        <v>-0.35092047356350342</v>
      </c>
      <c r="G266" s="27">
        <f>+E266-F266</f>
        <v>0.16786842502922139</v>
      </c>
    </row>
    <row r="267" spans="1:51">
      <c r="E267" s="11"/>
    </row>
    <row r="277" spans="1:37">
      <c r="A277" t="s">
        <v>120</v>
      </c>
      <c r="B277" s="35">
        <v>44713</v>
      </c>
      <c r="C277" s="35">
        <v>44743</v>
      </c>
      <c r="D277" s="35">
        <v>44774</v>
      </c>
      <c r="E277" s="35">
        <v>44805</v>
      </c>
      <c r="F277" s="35">
        <v>44835</v>
      </c>
      <c r="G277" s="35">
        <v>44866</v>
      </c>
      <c r="H277" s="35">
        <v>44896</v>
      </c>
      <c r="I277" s="35">
        <v>44927</v>
      </c>
      <c r="J277" s="35">
        <v>44958</v>
      </c>
      <c r="K277" s="35">
        <v>44986</v>
      </c>
      <c r="L277" s="35">
        <v>45017</v>
      </c>
      <c r="M277" s="35">
        <v>45047</v>
      </c>
      <c r="N277" s="35">
        <v>45078</v>
      </c>
      <c r="O277" s="35">
        <v>45108</v>
      </c>
      <c r="P277" s="35">
        <v>45139</v>
      </c>
      <c r="Q277" s="35">
        <v>45170</v>
      </c>
      <c r="R277" s="35">
        <v>45200</v>
      </c>
      <c r="S277" s="35">
        <v>45231</v>
      </c>
      <c r="T277" s="35">
        <v>45261</v>
      </c>
      <c r="U277" s="35">
        <v>45292</v>
      </c>
      <c r="V277" s="35">
        <v>45323</v>
      </c>
      <c r="W277" s="35">
        <v>45352</v>
      </c>
      <c r="X277" s="35">
        <v>45383</v>
      </c>
      <c r="Y277" s="35">
        <v>45413</v>
      </c>
      <c r="Z277" s="35">
        <v>45444</v>
      </c>
      <c r="AA277" s="35">
        <v>45474</v>
      </c>
      <c r="AB277" s="35">
        <v>45505</v>
      </c>
      <c r="AC277" s="35">
        <v>45536</v>
      </c>
      <c r="AD277" s="35">
        <v>45566</v>
      </c>
      <c r="AE277" s="35">
        <v>45597</v>
      </c>
      <c r="AF277" s="35">
        <v>45627</v>
      </c>
      <c r="AG277" s="35">
        <v>45658</v>
      </c>
      <c r="AH277" s="35">
        <v>45689</v>
      </c>
      <c r="AI277" s="35">
        <v>45717</v>
      </c>
      <c r="AJ277" s="35">
        <v>45748</v>
      </c>
      <c r="AK277" s="35">
        <v>45778</v>
      </c>
    </row>
    <row r="278" spans="1:37">
      <c r="A278" s="33" t="s">
        <v>88</v>
      </c>
      <c r="B278" s="34">
        <v>14604</v>
      </c>
      <c r="C278" s="34">
        <v>13518</v>
      </c>
      <c r="D278" s="34">
        <v>13080</v>
      </c>
      <c r="E278" s="34">
        <v>13825</v>
      </c>
      <c r="F278" s="34">
        <v>14523</v>
      </c>
      <c r="G278" s="34">
        <v>14302</v>
      </c>
      <c r="H278" s="34">
        <v>15666</v>
      </c>
      <c r="I278" s="34">
        <v>15850</v>
      </c>
      <c r="J278" s="34">
        <v>15326</v>
      </c>
      <c r="K278" s="34">
        <v>16786</v>
      </c>
      <c r="L278" s="34">
        <v>12815</v>
      </c>
      <c r="M278" s="34">
        <v>12977</v>
      </c>
      <c r="N278" s="34">
        <v>12659</v>
      </c>
      <c r="O278" s="34">
        <v>13709</v>
      </c>
      <c r="P278" s="34">
        <v>14970</v>
      </c>
      <c r="Q278" s="34">
        <v>14355</v>
      </c>
      <c r="R278" s="34">
        <v>13965</v>
      </c>
      <c r="S278" s="34">
        <v>12626</v>
      </c>
      <c r="T278" s="34">
        <v>16075</v>
      </c>
      <c r="U278" s="34">
        <v>15131</v>
      </c>
      <c r="V278" s="34">
        <v>14034</v>
      </c>
      <c r="W278" s="34">
        <v>15523</v>
      </c>
      <c r="X278" s="34">
        <v>12172</v>
      </c>
      <c r="Y278" s="34">
        <v>12347</v>
      </c>
      <c r="Z278" s="34">
        <v>13578</v>
      </c>
      <c r="AA278" s="34">
        <v>14040</v>
      </c>
      <c r="AB278" s="34">
        <v>13030</v>
      </c>
      <c r="AC278" s="34">
        <v>14752</v>
      </c>
      <c r="AD278" s="34">
        <v>12238</v>
      </c>
      <c r="AE278" s="34">
        <v>12824</v>
      </c>
      <c r="AF278" s="34">
        <v>14467</v>
      </c>
      <c r="AG278" s="34">
        <v>12601</v>
      </c>
      <c r="AH278" s="34">
        <v>13050</v>
      </c>
      <c r="AI278" s="34">
        <v>12515</v>
      </c>
      <c r="AJ278" s="34">
        <v>12906</v>
      </c>
      <c r="AK278" s="34">
        <v>12360</v>
      </c>
    </row>
    <row r="279" spans="1:37">
      <c r="A279" s="33" t="s">
        <v>94</v>
      </c>
      <c r="B279" s="34">
        <v>13976</v>
      </c>
      <c r="C279" s="34">
        <v>13548</v>
      </c>
      <c r="D279" s="34">
        <v>14387</v>
      </c>
      <c r="E279" s="34">
        <v>14614</v>
      </c>
      <c r="F279" s="34">
        <v>15277</v>
      </c>
      <c r="G279" s="34">
        <v>16398</v>
      </c>
      <c r="H279" s="34">
        <v>17118</v>
      </c>
      <c r="I279" s="34">
        <v>19137</v>
      </c>
      <c r="J279" s="34">
        <v>19947</v>
      </c>
      <c r="K279" s="34">
        <v>19467</v>
      </c>
      <c r="L279" s="34">
        <v>24677</v>
      </c>
      <c r="M279" s="34">
        <v>14998</v>
      </c>
      <c r="N279" s="34">
        <v>11874</v>
      </c>
      <c r="O279" s="34">
        <v>14340</v>
      </c>
      <c r="P279" s="34">
        <v>14841</v>
      </c>
      <c r="Q279" s="34">
        <v>15652</v>
      </c>
      <c r="R279" s="34">
        <v>14708</v>
      </c>
      <c r="S279" s="34">
        <v>14820</v>
      </c>
      <c r="T279" s="34">
        <v>14185</v>
      </c>
      <c r="U279" s="34">
        <v>16433</v>
      </c>
      <c r="V279" s="34">
        <v>15947</v>
      </c>
      <c r="W279" s="34">
        <v>12835</v>
      </c>
      <c r="X279" s="34">
        <v>12793</v>
      </c>
      <c r="Y279" s="34">
        <v>9485</v>
      </c>
      <c r="Z279" s="34">
        <v>9938</v>
      </c>
      <c r="AA279" s="34">
        <v>11429</v>
      </c>
      <c r="AB279" s="34">
        <v>10905</v>
      </c>
      <c r="AC279" s="34">
        <v>10824</v>
      </c>
      <c r="AD279" s="34">
        <v>10903</v>
      </c>
      <c r="AE279" s="34">
        <v>10792</v>
      </c>
      <c r="AF279" s="34">
        <v>11304</v>
      </c>
      <c r="AG279" s="34">
        <v>12476</v>
      </c>
      <c r="AH279" s="34">
        <v>14671</v>
      </c>
      <c r="AI279" s="34">
        <v>12212</v>
      </c>
      <c r="AJ279" s="34">
        <v>10292</v>
      </c>
      <c r="AK279" s="34">
        <v>10557</v>
      </c>
    </row>
    <row r="280" spans="1:37">
      <c r="A280" s="33" t="s">
        <v>104</v>
      </c>
      <c r="B280" s="34">
        <v>13059</v>
      </c>
      <c r="C280" s="34">
        <v>13887</v>
      </c>
      <c r="D280" s="34">
        <v>12940</v>
      </c>
      <c r="E280" s="34">
        <v>12848</v>
      </c>
      <c r="F280" s="34">
        <v>12527</v>
      </c>
      <c r="G280" s="34">
        <v>14146</v>
      </c>
      <c r="H280" s="34">
        <v>13377</v>
      </c>
      <c r="I280" s="34">
        <v>15159</v>
      </c>
      <c r="J280" s="34">
        <v>15242</v>
      </c>
      <c r="K280" s="34">
        <v>14638</v>
      </c>
      <c r="L280" s="34">
        <v>13995</v>
      </c>
      <c r="M280" s="34">
        <v>12214</v>
      </c>
      <c r="N280" s="34">
        <v>11139</v>
      </c>
      <c r="O280" s="34">
        <v>10934</v>
      </c>
      <c r="P280" s="34">
        <v>11212</v>
      </c>
      <c r="Q280" s="34">
        <v>12261</v>
      </c>
      <c r="R280" s="34">
        <v>10624</v>
      </c>
      <c r="S280" s="34">
        <v>10059</v>
      </c>
      <c r="T280" s="34">
        <v>9442</v>
      </c>
      <c r="U280" s="34">
        <v>10663</v>
      </c>
      <c r="V280" s="34">
        <v>11957</v>
      </c>
      <c r="W280" s="34">
        <v>10455</v>
      </c>
      <c r="X280" s="34">
        <v>12745</v>
      </c>
      <c r="Y280" s="34">
        <v>10342</v>
      </c>
      <c r="Z280" s="34">
        <v>10466</v>
      </c>
      <c r="AA280" s="34">
        <v>11100</v>
      </c>
      <c r="AB280" s="34">
        <v>10092</v>
      </c>
      <c r="AC280" s="34">
        <v>10454</v>
      </c>
      <c r="AD280" s="34">
        <v>11927</v>
      </c>
      <c r="AE280" s="34">
        <v>9709</v>
      </c>
      <c r="AF280" s="34">
        <v>9129</v>
      </c>
      <c r="AG280" s="34">
        <v>10779</v>
      </c>
      <c r="AH280" s="34">
        <v>10283</v>
      </c>
      <c r="AI280" s="34">
        <v>8828</v>
      </c>
      <c r="AJ280" s="34">
        <v>9002</v>
      </c>
      <c r="AK280" s="34">
        <v>8000</v>
      </c>
    </row>
    <row r="281" spans="1:37">
      <c r="A281" s="33" t="s">
        <v>106</v>
      </c>
      <c r="B281" s="34">
        <v>33226</v>
      </c>
      <c r="C281" s="34">
        <v>29844</v>
      </c>
      <c r="D281" s="34">
        <v>32924</v>
      </c>
      <c r="E281" s="34">
        <v>28977</v>
      </c>
      <c r="F281" s="34">
        <v>31323</v>
      </c>
      <c r="G281" s="34">
        <v>29651</v>
      </c>
      <c r="H281" s="34">
        <v>29032</v>
      </c>
      <c r="I281" s="34">
        <v>31664</v>
      </c>
      <c r="J281" s="34">
        <v>32479</v>
      </c>
      <c r="K281" s="34">
        <v>27492</v>
      </c>
      <c r="L281" s="34">
        <v>27894</v>
      </c>
      <c r="M281" s="34">
        <v>21325</v>
      </c>
      <c r="N281" s="34">
        <v>19468</v>
      </c>
      <c r="O281" s="34">
        <v>21839</v>
      </c>
      <c r="P281" s="34">
        <v>22183</v>
      </c>
      <c r="Q281" s="34">
        <v>24333</v>
      </c>
      <c r="R281" s="34">
        <v>21158</v>
      </c>
      <c r="S281" s="34">
        <v>19586</v>
      </c>
      <c r="T281" s="34">
        <v>21319</v>
      </c>
      <c r="U281" s="34">
        <v>26161</v>
      </c>
      <c r="V281" s="34">
        <v>25475</v>
      </c>
      <c r="W281" s="34">
        <v>24948</v>
      </c>
      <c r="X281" s="34">
        <v>27130</v>
      </c>
      <c r="Y281" s="34">
        <v>22988</v>
      </c>
      <c r="Z281" s="34">
        <v>23155</v>
      </c>
      <c r="AA281" s="34">
        <v>22667</v>
      </c>
      <c r="AB281" s="34">
        <v>24910</v>
      </c>
      <c r="AC281" s="34">
        <v>19707</v>
      </c>
      <c r="AD281" s="34">
        <v>18982</v>
      </c>
      <c r="AE281" s="34">
        <v>16478</v>
      </c>
      <c r="AF281" s="34">
        <v>17540</v>
      </c>
      <c r="AG281" s="34">
        <v>17245</v>
      </c>
      <c r="AH281" s="34">
        <v>18818</v>
      </c>
      <c r="AI281" s="34">
        <v>17932</v>
      </c>
      <c r="AJ281" s="34">
        <v>14972</v>
      </c>
      <c r="AK281" s="34">
        <v>13552</v>
      </c>
    </row>
    <row r="282" spans="1:37">
      <c r="A282" s="33" t="s">
        <v>128</v>
      </c>
      <c r="B282" s="11">
        <f t="shared" ref="B282:AK282" si="92">+SUM(B278:B281)</f>
        <v>74865</v>
      </c>
      <c r="C282" s="11">
        <f t="shared" si="92"/>
        <v>70797</v>
      </c>
      <c r="D282" s="11">
        <f t="shared" si="92"/>
        <v>73331</v>
      </c>
      <c r="E282" s="11">
        <f t="shared" si="92"/>
        <v>70264</v>
      </c>
      <c r="F282" s="11">
        <f t="shared" si="92"/>
        <v>73650</v>
      </c>
      <c r="G282" s="11">
        <f t="shared" si="92"/>
        <v>74497</v>
      </c>
      <c r="H282" s="11">
        <f t="shared" si="92"/>
        <v>75193</v>
      </c>
      <c r="I282" s="11">
        <f t="shared" si="92"/>
        <v>81810</v>
      </c>
      <c r="J282" s="11">
        <f t="shared" si="92"/>
        <v>82994</v>
      </c>
      <c r="K282" s="11">
        <f t="shared" si="92"/>
        <v>78383</v>
      </c>
      <c r="L282" s="11">
        <f t="shared" si="92"/>
        <v>79381</v>
      </c>
      <c r="M282" s="11">
        <f t="shared" si="92"/>
        <v>61514</v>
      </c>
      <c r="N282" s="11">
        <f t="shared" si="92"/>
        <v>55140</v>
      </c>
      <c r="O282" s="11">
        <f t="shared" si="92"/>
        <v>60822</v>
      </c>
      <c r="P282" s="11">
        <f t="shared" si="92"/>
        <v>63206</v>
      </c>
      <c r="Q282" s="11">
        <f t="shared" si="92"/>
        <v>66601</v>
      </c>
      <c r="R282" s="11">
        <f t="shared" si="92"/>
        <v>60455</v>
      </c>
      <c r="S282" s="11">
        <f t="shared" si="92"/>
        <v>57091</v>
      </c>
      <c r="T282" s="11">
        <f t="shared" si="92"/>
        <v>61021</v>
      </c>
      <c r="U282" s="11">
        <f t="shared" si="92"/>
        <v>68388</v>
      </c>
      <c r="V282" s="11">
        <f t="shared" si="92"/>
        <v>67413</v>
      </c>
      <c r="W282" s="11">
        <f t="shared" si="92"/>
        <v>63761</v>
      </c>
      <c r="X282" s="11">
        <f t="shared" si="92"/>
        <v>64840</v>
      </c>
      <c r="Y282" s="11">
        <f t="shared" si="92"/>
        <v>55162</v>
      </c>
      <c r="Z282" s="11">
        <f t="shared" si="92"/>
        <v>57137</v>
      </c>
      <c r="AA282" s="11">
        <f t="shared" si="92"/>
        <v>59236</v>
      </c>
      <c r="AB282" s="11">
        <f t="shared" si="92"/>
        <v>58937</v>
      </c>
      <c r="AC282" s="11">
        <f t="shared" si="92"/>
        <v>55737</v>
      </c>
      <c r="AD282" s="11">
        <f t="shared" si="92"/>
        <v>54050</v>
      </c>
      <c r="AE282" s="11">
        <f t="shared" si="92"/>
        <v>49803</v>
      </c>
      <c r="AF282" s="11">
        <f t="shared" si="92"/>
        <v>52440</v>
      </c>
      <c r="AG282" s="11">
        <f t="shared" si="92"/>
        <v>53101</v>
      </c>
      <c r="AH282" s="11">
        <f t="shared" si="92"/>
        <v>56822</v>
      </c>
      <c r="AI282" s="11">
        <f t="shared" si="92"/>
        <v>51487</v>
      </c>
      <c r="AJ282" s="11">
        <f t="shared" si="92"/>
        <v>47172</v>
      </c>
      <c r="AK282" s="11">
        <f t="shared" si="92"/>
        <v>44469</v>
      </c>
    </row>
    <row r="284" spans="1:37">
      <c r="A284" t="s">
        <v>120</v>
      </c>
      <c r="B284" s="35">
        <v>44713</v>
      </c>
      <c r="C284" s="35">
        <v>44743</v>
      </c>
      <c r="D284" s="35">
        <v>44774</v>
      </c>
      <c r="E284" s="35">
        <v>44805</v>
      </c>
      <c r="F284" s="35">
        <v>44835</v>
      </c>
      <c r="G284" s="35">
        <v>44866</v>
      </c>
      <c r="H284" s="35">
        <v>44896</v>
      </c>
      <c r="I284" s="35">
        <v>44927</v>
      </c>
      <c r="J284" s="35">
        <v>44958</v>
      </c>
      <c r="K284" s="35">
        <v>44986</v>
      </c>
      <c r="L284" s="35">
        <v>45017</v>
      </c>
      <c r="M284" s="35">
        <v>45047</v>
      </c>
      <c r="N284" s="35">
        <v>45078</v>
      </c>
      <c r="O284" s="35">
        <v>45108</v>
      </c>
      <c r="P284" s="35">
        <v>45139</v>
      </c>
      <c r="Q284" s="35">
        <v>45170</v>
      </c>
      <c r="R284" s="35">
        <v>45200</v>
      </c>
      <c r="S284" s="35">
        <v>45231</v>
      </c>
      <c r="T284" s="35">
        <v>45261</v>
      </c>
      <c r="U284" s="35">
        <v>45292</v>
      </c>
      <c r="V284" s="35">
        <v>45323</v>
      </c>
      <c r="W284" s="35">
        <v>45352</v>
      </c>
      <c r="X284" s="35">
        <v>45383</v>
      </c>
      <c r="Y284" s="35">
        <v>45413</v>
      </c>
      <c r="Z284" s="35">
        <v>45444</v>
      </c>
      <c r="AA284" s="35">
        <v>45474</v>
      </c>
      <c r="AB284" s="35">
        <v>45505</v>
      </c>
      <c r="AC284" s="35">
        <v>45536</v>
      </c>
      <c r="AD284" s="35">
        <v>45566</v>
      </c>
      <c r="AE284" s="35">
        <v>45597</v>
      </c>
      <c r="AF284" s="35">
        <v>45627</v>
      </c>
      <c r="AG284" s="35">
        <v>45658</v>
      </c>
      <c r="AH284" s="35">
        <v>45689</v>
      </c>
      <c r="AI284" s="35">
        <v>45717</v>
      </c>
      <c r="AJ284" s="35">
        <v>45748</v>
      </c>
      <c r="AK284" s="35">
        <v>45778</v>
      </c>
    </row>
    <row r="285" spans="1:37">
      <c r="A285" s="33" t="s">
        <v>88</v>
      </c>
      <c r="B285" s="34">
        <v>23964</v>
      </c>
      <c r="C285" s="34">
        <v>24708</v>
      </c>
      <c r="D285" s="34">
        <v>19088</v>
      </c>
      <c r="E285" s="34">
        <v>13614</v>
      </c>
      <c r="F285" s="34">
        <v>22119</v>
      </c>
      <c r="G285" s="34">
        <v>23724</v>
      </c>
      <c r="H285" s="34">
        <v>15432</v>
      </c>
      <c r="I285" s="34">
        <v>10344</v>
      </c>
      <c r="J285" s="34">
        <v>18215</v>
      </c>
      <c r="K285" s="34">
        <v>21318</v>
      </c>
      <c r="L285" s="34">
        <v>10818</v>
      </c>
      <c r="M285" s="34">
        <v>13572</v>
      </c>
      <c r="N285" s="34">
        <v>23739</v>
      </c>
      <c r="O285" s="34">
        <v>15225</v>
      </c>
      <c r="P285" s="34">
        <v>24468</v>
      </c>
      <c r="Q285" s="34">
        <v>28022</v>
      </c>
      <c r="R285" s="34">
        <v>16561</v>
      </c>
      <c r="S285" s="34">
        <v>22173</v>
      </c>
      <c r="T285" s="34">
        <v>17952</v>
      </c>
      <c r="U285" s="34">
        <v>12600</v>
      </c>
      <c r="V285" s="34">
        <v>22257</v>
      </c>
      <c r="W285" s="34">
        <v>3420</v>
      </c>
      <c r="X285" s="34">
        <v>8313</v>
      </c>
      <c r="Y285" s="34">
        <v>15369</v>
      </c>
      <c r="Z285" s="34">
        <v>18705</v>
      </c>
      <c r="AA285" s="34">
        <v>13623</v>
      </c>
      <c r="AB285" s="34">
        <v>24660</v>
      </c>
      <c r="AC285" s="34">
        <v>11715</v>
      </c>
      <c r="AD285" s="34">
        <v>13769</v>
      </c>
      <c r="AE285" s="34">
        <v>14478</v>
      </c>
      <c r="AF285" s="34">
        <v>12976</v>
      </c>
      <c r="AG285" s="34">
        <v>11856</v>
      </c>
      <c r="AH285" s="34">
        <v>13006</v>
      </c>
      <c r="AI285" s="34">
        <v>25118</v>
      </c>
      <c r="AJ285" s="34">
        <v>9994</v>
      </c>
      <c r="AK285" s="34">
        <v>12575</v>
      </c>
    </row>
    <row r="286" spans="1:37">
      <c r="A286" s="33" t="s">
        <v>94</v>
      </c>
      <c r="B286" s="34">
        <v>29700</v>
      </c>
      <c r="C286" s="34">
        <v>20178</v>
      </c>
      <c r="D286" s="34">
        <v>40960</v>
      </c>
      <c r="E286" s="34">
        <v>33518</v>
      </c>
      <c r="F286" s="34">
        <v>26978</v>
      </c>
      <c r="G286" s="34">
        <v>23526</v>
      </c>
      <c r="H286" s="34">
        <v>19560</v>
      </c>
      <c r="I286" s="34">
        <v>18906</v>
      </c>
      <c r="J286" s="34">
        <v>27188</v>
      </c>
      <c r="K286" s="34">
        <v>26400</v>
      </c>
      <c r="L286" s="34">
        <v>22530</v>
      </c>
      <c r="M286" s="34">
        <v>27820</v>
      </c>
      <c r="N286" s="34">
        <v>27150</v>
      </c>
      <c r="O286" s="34">
        <v>28494</v>
      </c>
      <c r="P286" s="34">
        <v>18616</v>
      </c>
      <c r="Q286" s="34">
        <v>12548</v>
      </c>
      <c r="R286" s="34">
        <v>25156</v>
      </c>
      <c r="S286" s="34">
        <v>20634</v>
      </c>
      <c r="T286" s="34">
        <v>32262</v>
      </c>
      <c r="U286" s="34">
        <v>17736</v>
      </c>
      <c r="V286" s="34">
        <v>28014</v>
      </c>
      <c r="W286" s="34">
        <v>4236</v>
      </c>
      <c r="X286" s="34">
        <v>9858</v>
      </c>
      <c r="Y286" s="34">
        <v>15492</v>
      </c>
      <c r="Z286" s="34">
        <v>14256</v>
      </c>
      <c r="AA286" s="34">
        <v>13588</v>
      </c>
      <c r="AB286" s="34">
        <v>8736</v>
      </c>
      <c r="AC286" s="34">
        <v>11052</v>
      </c>
      <c r="AD286" s="34">
        <v>17382</v>
      </c>
      <c r="AE286" s="34">
        <v>25086</v>
      </c>
      <c r="AF286" s="34">
        <v>18522</v>
      </c>
      <c r="AG286" s="34">
        <v>8298</v>
      </c>
      <c r="AH286" s="34">
        <v>30702</v>
      </c>
      <c r="AI286" s="34">
        <v>23214</v>
      </c>
      <c r="AJ286" s="34">
        <v>9060</v>
      </c>
      <c r="AK286" s="34">
        <v>17695</v>
      </c>
    </row>
    <row r="287" spans="1:37">
      <c r="A287" s="33" t="s">
        <v>104</v>
      </c>
      <c r="B287" s="34">
        <v>9573</v>
      </c>
      <c r="C287" s="34">
        <v>24289</v>
      </c>
      <c r="D287" s="34">
        <v>21570</v>
      </c>
      <c r="E287" s="34">
        <v>21632</v>
      </c>
      <c r="F287" s="34">
        <v>19526</v>
      </c>
      <c r="G287" s="34">
        <v>18777</v>
      </c>
      <c r="H287" s="34">
        <v>14528</v>
      </c>
      <c r="I287" s="34">
        <v>15801</v>
      </c>
      <c r="J287" s="34">
        <v>13559</v>
      </c>
      <c r="K287" s="34">
        <v>20738</v>
      </c>
      <c r="L287" s="34">
        <v>12867</v>
      </c>
      <c r="M287" s="34">
        <v>17454</v>
      </c>
      <c r="N287" s="34">
        <v>19111</v>
      </c>
      <c r="O287" s="34">
        <v>16369</v>
      </c>
      <c r="P287" s="34">
        <v>20231</v>
      </c>
      <c r="Q287" s="34">
        <v>16892</v>
      </c>
      <c r="R287" s="34">
        <v>10253</v>
      </c>
      <c r="S287" s="34">
        <v>14328</v>
      </c>
      <c r="T287" s="34">
        <v>21075</v>
      </c>
      <c r="U287" s="34">
        <v>11100</v>
      </c>
      <c r="V287" s="34">
        <v>13903</v>
      </c>
      <c r="W287" s="34">
        <v>3144</v>
      </c>
      <c r="X287" s="34">
        <v>6987</v>
      </c>
      <c r="Y287" s="34">
        <v>12813</v>
      </c>
      <c r="Z287" s="34">
        <v>13422</v>
      </c>
      <c r="AA287" s="34">
        <v>14937</v>
      </c>
      <c r="AB287" s="34">
        <v>21279</v>
      </c>
      <c r="AC287" s="34">
        <v>10275</v>
      </c>
      <c r="AD287" s="34">
        <v>8694</v>
      </c>
      <c r="AE287" s="34">
        <v>12559</v>
      </c>
      <c r="AF287" s="34">
        <v>12515</v>
      </c>
      <c r="AG287" s="34">
        <v>8071</v>
      </c>
      <c r="AH287" s="34">
        <v>20358</v>
      </c>
      <c r="AI287" s="34">
        <v>7786</v>
      </c>
      <c r="AJ287" s="34">
        <v>13081</v>
      </c>
      <c r="AK287" s="34">
        <v>3906</v>
      </c>
    </row>
    <row r="288" spans="1:37">
      <c r="A288" s="33" t="s">
        <v>106</v>
      </c>
      <c r="B288" s="34">
        <v>46205</v>
      </c>
      <c r="C288" s="34">
        <v>59107</v>
      </c>
      <c r="D288" s="34">
        <v>50385</v>
      </c>
      <c r="E288" s="34">
        <v>37425</v>
      </c>
      <c r="F288" s="34">
        <v>36697</v>
      </c>
      <c r="G288" s="34">
        <v>25269</v>
      </c>
      <c r="H288" s="34">
        <v>37958</v>
      </c>
      <c r="I288" s="34">
        <v>17838</v>
      </c>
      <c r="J288" s="34">
        <v>35703</v>
      </c>
      <c r="K288" s="34">
        <v>22468</v>
      </c>
      <c r="L288" s="34">
        <v>26647</v>
      </c>
      <c r="M288" s="34">
        <v>17163</v>
      </c>
      <c r="N288" s="34">
        <v>34224</v>
      </c>
      <c r="O288" s="34">
        <v>26654</v>
      </c>
      <c r="P288" s="34">
        <v>30304</v>
      </c>
      <c r="Q288" s="34">
        <v>20400</v>
      </c>
      <c r="R288" s="34">
        <v>19464</v>
      </c>
      <c r="S288" s="34">
        <v>13732</v>
      </c>
      <c r="T288" s="34">
        <v>19473</v>
      </c>
      <c r="U288" s="34">
        <v>13080</v>
      </c>
      <c r="V288" s="34">
        <v>14181</v>
      </c>
      <c r="W288" s="34">
        <v>5802</v>
      </c>
      <c r="X288" s="34">
        <v>29804</v>
      </c>
      <c r="Y288" s="34">
        <v>14877</v>
      </c>
      <c r="Z288" s="34">
        <v>17583</v>
      </c>
      <c r="AA288" s="34">
        <v>12780</v>
      </c>
      <c r="AB288" s="34">
        <v>15522</v>
      </c>
      <c r="AC288" s="34">
        <v>23711</v>
      </c>
      <c r="AD288" s="34">
        <v>10029</v>
      </c>
      <c r="AE288" s="34">
        <v>22956</v>
      </c>
      <c r="AF288" s="34">
        <v>8229</v>
      </c>
      <c r="AG288" s="34">
        <v>9285</v>
      </c>
      <c r="AH288" s="34">
        <v>6252</v>
      </c>
      <c r="AI288" s="34">
        <v>9787</v>
      </c>
      <c r="AJ288" s="34">
        <v>14868</v>
      </c>
      <c r="AK288" s="34">
        <v>6072</v>
      </c>
    </row>
    <row r="289" spans="1:37">
      <c r="A289" s="33" t="s">
        <v>128</v>
      </c>
      <c r="B289" s="11">
        <f t="shared" ref="B289:AK289" si="93">+SUM(B285:B288)</f>
        <v>109442</v>
      </c>
      <c r="C289" s="11">
        <f t="shared" si="93"/>
        <v>128282</v>
      </c>
      <c r="D289" s="11">
        <f t="shared" si="93"/>
        <v>132003</v>
      </c>
      <c r="E289" s="11">
        <f t="shared" si="93"/>
        <v>106189</v>
      </c>
      <c r="F289" s="11">
        <f t="shared" si="93"/>
        <v>105320</v>
      </c>
      <c r="G289" s="11">
        <f t="shared" si="93"/>
        <v>91296</v>
      </c>
      <c r="H289" s="11">
        <f t="shared" si="93"/>
        <v>87478</v>
      </c>
      <c r="I289" s="11">
        <f t="shared" si="93"/>
        <v>62889</v>
      </c>
      <c r="J289" s="11">
        <f t="shared" si="93"/>
        <v>94665</v>
      </c>
      <c r="K289" s="11">
        <f t="shared" si="93"/>
        <v>90924</v>
      </c>
      <c r="L289" s="11">
        <f t="shared" si="93"/>
        <v>72862</v>
      </c>
      <c r="M289" s="11">
        <f t="shared" si="93"/>
        <v>76009</v>
      </c>
      <c r="N289" s="11">
        <f t="shared" si="93"/>
        <v>104224</v>
      </c>
      <c r="O289" s="11">
        <f t="shared" si="93"/>
        <v>86742</v>
      </c>
      <c r="P289" s="11">
        <f t="shared" si="93"/>
        <v>93619</v>
      </c>
      <c r="Q289" s="11">
        <f t="shared" si="93"/>
        <v>77862</v>
      </c>
      <c r="R289" s="11">
        <f t="shared" si="93"/>
        <v>71434</v>
      </c>
      <c r="S289" s="11">
        <f t="shared" si="93"/>
        <v>70867</v>
      </c>
      <c r="T289" s="11">
        <f t="shared" si="93"/>
        <v>90762</v>
      </c>
      <c r="U289" s="11">
        <f t="shared" si="93"/>
        <v>54516</v>
      </c>
      <c r="V289" s="11">
        <f t="shared" si="93"/>
        <v>78355</v>
      </c>
      <c r="W289" s="11">
        <f t="shared" si="93"/>
        <v>16602</v>
      </c>
      <c r="X289" s="11">
        <f t="shared" si="93"/>
        <v>54962</v>
      </c>
      <c r="Y289" s="11">
        <f t="shared" si="93"/>
        <v>58551</v>
      </c>
      <c r="Z289" s="11">
        <f t="shared" si="93"/>
        <v>63966</v>
      </c>
      <c r="AA289" s="11">
        <f t="shared" si="93"/>
        <v>54928</v>
      </c>
      <c r="AB289" s="11">
        <f t="shared" si="93"/>
        <v>70197</v>
      </c>
      <c r="AC289" s="11">
        <f t="shared" si="93"/>
        <v>56753</v>
      </c>
      <c r="AD289" s="11">
        <f t="shared" si="93"/>
        <v>49874</v>
      </c>
      <c r="AE289" s="11">
        <f t="shared" si="93"/>
        <v>75079</v>
      </c>
      <c r="AF289" s="11">
        <f t="shared" si="93"/>
        <v>52242</v>
      </c>
      <c r="AG289" s="11">
        <f t="shared" si="93"/>
        <v>37510</v>
      </c>
      <c r="AH289" s="11">
        <f t="shared" si="93"/>
        <v>70318</v>
      </c>
      <c r="AI289" s="11">
        <f t="shared" si="93"/>
        <v>65905</v>
      </c>
      <c r="AJ289" s="11">
        <f t="shared" si="93"/>
        <v>47003</v>
      </c>
      <c r="AK289" s="11">
        <f t="shared" si="93"/>
        <v>40248</v>
      </c>
    </row>
    <row r="291" spans="1:37">
      <c r="A291" t="s">
        <v>128</v>
      </c>
      <c r="B291" s="9">
        <v>44713</v>
      </c>
      <c r="C291" s="9">
        <v>44743</v>
      </c>
      <c r="D291" s="9">
        <v>44774</v>
      </c>
      <c r="E291" s="9">
        <v>44805</v>
      </c>
      <c r="F291" s="9">
        <v>44835</v>
      </c>
      <c r="G291" s="9">
        <v>44866</v>
      </c>
      <c r="H291" s="9">
        <v>44896</v>
      </c>
      <c r="I291" s="9">
        <v>44927</v>
      </c>
      <c r="J291" s="9">
        <v>44958</v>
      </c>
      <c r="K291" s="9">
        <v>44986</v>
      </c>
      <c r="L291" s="9">
        <v>45017</v>
      </c>
      <c r="M291" s="9">
        <v>45047</v>
      </c>
      <c r="N291" s="9">
        <v>45078</v>
      </c>
      <c r="O291" s="9">
        <v>45108</v>
      </c>
      <c r="P291" s="9">
        <v>45139</v>
      </c>
      <c r="Q291" s="9">
        <v>45170</v>
      </c>
      <c r="R291" s="9">
        <v>45200</v>
      </c>
      <c r="S291" s="9">
        <v>45231</v>
      </c>
      <c r="T291" s="9">
        <v>45261</v>
      </c>
      <c r="U291" s="9">
        <v>45292</v>
      </c>
      <c r="V291" s="9">
        <v>45323</v>
      </c>
      <c r="W291" s="9">
        <v>45352</v>
      </c>
      <c r="X291" s="9">
        <v>45383</v>
      </c>
      <c r="Y291" s="9">
        <v>45413</v>
      </c>
      <c r="Z291" s="9">
        <v>45444</v>
      </c>
      <c r="AA291" s="9">
        <v>45474</v>
      </c>
      <c r="AB291" s="9">
        <v>45505</v>
      </c>
      <c r="AC291" s="9">
        <v>45536</v>
      </c>
      <c r="AD291" s="9">
        <v>45566</v>
      </c>
      <c r="AE291" s="9">
        <v>45597</v>
      </c>
      <c r="AF291" s="9">
        <v>45627</v>
      </c>
      <c r="AG291" s="9">
        <v>45658</v>
      </c>
      <c r="AH291" s="9">
        <v>45689</v>
      </c>
      <c r="AI291" s="9">
        <v>45717</v>
      </c>
      <c r="AJ291" s="9">
        <v>45748</v>
      </c>
      <c r="AK291" s="9">
        <v>45778</v>
      </c>
    </row>
    <row r="292" spans="1:37">
      <c r="A292" s="24" t="s">
        <v>112</v>
      </c>
      <c r="B292" s="10" cm="1">
        <f t="array" ref="B292">+_xlfn.XLOOKUP($A$291,$A$278:$A$282,_xlfn.XLOOKUP(B291,$B$277:$AK$277,$B$278:$AK$282))</f>
        <v>74865</v>
      </c>
      <c r="C292" s="10" cm="1">
        <f t="array" ref="C292">+_xlfn.XLOOKUP($A$291,$A$278:$A$282,_xlfn.XLOOKUP(C291,$B$277:$AK$277,$B$278:$AK$282))</f>
        <v>70797</v>
      </c>
      <c r="D292" s="10" cm="1">
        <f t="array" ref="D292">+_xlfn.XLOOKUP($A$291,$A$278:$A$282,_xlfn.XLOOKUP(D291,$B$277:$AK$277,$B$278:$AK$282))</f>
        <v>73331</v>
      </c>
      <c r="E292" s="10" cm="1">
        <f t="array" ref="E292">+_xlfn.XLOOKUP($A$291,$A$278:$A$282,_xlfn.XLOOKUP(E291,$B$277:$AK$277,$B$278:$AK$282))</f>
        <v>70264</v>
      </c>
      <c r="F292" s="10" cm="1">
        <f t="array" ref="F292">+_xlfn.XLOOKUP($A$291,$A$278:$A$282,_xlfn.XLOOKUP(F291,$B$277:$AK$277,$B$278:$AK$282))</f>
        <v>73650</v>
      </c>
      <c r="G292" s="10" cm="1">
        <f t="array" ref="G292">+_xlfn.XLOOKUP($A$291,$A$278:$A$282,_xlfn.XLOOKUP(G291,$B$277:$AK$277,$B$278:$AK$282))</f>
        <v>74497</v>
      </c>
      <c r="H292" s="10" cm="1">
        <f t="array" ref="H292">+_xlfn.XLOOKUP($A$291,$A$278:$A$282,_xlfn.XLOOKUP(H291,$B$277:$AK$277,$B$278:$AK$282))</f>
        <v>75193</v>
      </c>
      <c r="I292" s="10" cm="1">
        <f t="array" ref="I292">+_xlfn.XLOOKUP($A$291,$A$278:$A$282,_xlfn.XLOOKUP(I291,$B$277:$AK$277,$B$278:$AK$282))</f>
        <v>81810</v>
      </c>
      <c r="J292" s="10" cm="1">
        <f t="array" ref="J292">+_xlfn.XLOOKUP($A$291,$A$278:$A$282,_xlfn.XLOOKUP(J291,$B$277:$AK$277,$B$278:$AK$282))</f>
        <v>82994</v>
      </c>
      <c r="K292" s="10" cm="1">
        <f t="array" ref="K292">+_xlfn.XLOOKUP($A$291,$A$278:$A$282,_xlfn.XLOOKUP(K291,$B$277:$AK$277,$B$278:$AK$282))</f>
        <v>78383</v>
      </c>
      <c r="L292" s="10" cm="1">
        <f t="array" ref="L292">+_xlfn.XLOOKUP($A$291,$A$278:$A$282,_xlfn.XLOOKUP(L291,$B$277:$AK$277,$B$278:$AK$282))</f>
        <v>79381</v>
      </c>
      <c r="M292" s="10" cm="1">
        <f t="array" ref="M292">+_xlfn.XLOOKUP($A$291,$A$278:$A$282,_xlfn.XLOOKUP(M291,$B$277:$AK$277,$B$278:$AK$282))</f>
        <v>61514</v>
      </c>
      <c r="N292" s="10" cm="1">
        <f t="array" ref="N292">+_xlfn.XLOOKUP($A$291,$A$278:$A$282,_xlfn.XLOOKUP(N291,$B$277:$AK$277,$B$278:$AK$282))</f>
        <v>55140</v>
      </c>
      <c r="O292" s="10" cm="1">
        <f t="array" ref="O292">+_xlfn.XLOOKUP($A$291,$A$278:$A$282,_xlfn.XLOOKUP(O291,$B$277:$AK$277,$B$278:$AK$282))</f>
        <v>60822</v>
      </c>
      <c r="P292" s="10" cm="1">
        <f t="array" ref="P292">+_xlfn.XLOOKUP($A$291,$A$278:$A$282,_xlfn.XLOOKUP(P291,$B$277:$AK$277,$B$278:$AK$282))</f>
        <v>63206</v>
      </c>
      <c r="Q292" s="10" cm="1">
        <f t="array" ref="Q292">+_xlfn.XLOOKUP($A$291,$A$278:$A$282,_xlfn.XLOOKUP(Q291,$B$277:$AK$277,$B$278:$AK$282))</f>
        <v>66601</v>
      </c>
      <c r="R292" s="10" cm="1">
        <f t="array" ref="R292">+_xlfn.XLOOKUP($A$291,$A$278:$A$282,_xlfn.XLOOKUP(R291,$B$277:$AK$277,$B$278:$AK$282))</f>
        <v>60455</v>
      </c>
      <c r="S292" s="10" cm="1">
        <f t="array" ref="S292">+_xlfn.XLOOKUP($A$291,$A$278:$A$282,_xlfn.XLOOKUP(S291,$B$277:$AK$277,$B$278:$AK$282))</f>
        <v>57091</v>
      </c>
      <c r="T292" s="10" cm="1">
        <f t="array" ref="T292">+_xlfn.XLOOKUP($A$291,$A$278:$A$282,_xlfn.XLOOKUP(T291,$B$277:$AK$277,$B$278:$AK$282))</f>
        <v>61021</v>
      </c>
      <c r="U292" s="10" cm="1">
        <f t="array" ref="U292">+_xlfn.XLOOKUP($A$291,$A$278:$A$282,_xlfn.XLOOKUP(U291,$B$277:$AK$277,$B$278:$AK$282))</f>
        <v>68388</v>
      </c>
      <c r="V292" s="10" cm="1">
        <f t="array" ref="V292">+_xlfn.XLOOKUP($A$291,$A$278:$A$282,_xlfn.XLOOKUP(V291,$B$277:$AK$277,$B$278:$AK$282))</f>
        <v>67413</v>
      </c>
      <c r="W292" s="10" cm="1">
        <f t="array" ref="W292">+_xlfn.XLOOKUP($A$291,$A$278:$A$282,_xlfn.XLOOKUP(W291,$B$277:$AK$277,$B$278:$AK$282))</f>
        <v>63761</v>
      </c>
      <c r="X292" s="10" cm="1">
        <f t="array" ref="X292">+_xlfn.XLOOKUP($A$291,$A$278:$A$282,_xlfn.XLOOKUP(X291,$B$277:$AK$277,$B$278:$AK$282))</f>
        <v>64840</v>
      </c>
      <c r="Y292" s="10" cm="1">
        <f t="array" ref="Y292">+_xlfn.XLOOKUP($A$291,$A$278:$A$282,_xlfn.XLOOKUP(Y291,$B$277:$AK$277,$B$278:$AK$282))</f>
        <v>55162</v>
      </c>
      <c r="Z292" s="10" cm="1">
        <f t="array" ref="Z292">+_xlfn.XLOOKUP($A$291,$A$278:$A$282,_xlfn.XLOOKUP(Z291,$B$277:$AK$277,$B$278:$AK$282))</f>
        <v>57137</v>
      </c>
      <c r="AA292" s="10" cm="1">
        <f t="array" ref="AA292">+_xlfn.XLOOKUP($A$291,$A$278:$A$282,_xlfn.XLOOKUP(AA291,$B$277:$AK$277,$B$278:$AK$282))</f>
        <v>59236</v>
      </c>
      <c r="AB292" s="10" cm="1">
        <f t="array" ref="AB292">+_xlfn.XLOOKUP($A$291,$A$278:$A$282,_xlfn.XLOOKUP(AB291,$B$277:$AK$277,$B$278:$AK$282))</f>
        <v>58937</v>
      </c>
      <c r="AC292" s="10" cm="1">
        <f t="array" ref="AC292">+_xlfn.XLOOKUP($A$291,$A$278:$A$282,_xlfn.XLOOKUP(AC291,$B$277:$AK$277,$B$278:$AK$282))</f>
        <v>55737</v>
      </c>
      <c r="AD292" s="10" cm="1">
        <f t="array" ref="AD292">+_xlfn.XLOOKUP($A$291,$A$278:$A$282,_xlfn.XLOOKUP(AD291,$B$277:$AK$277,$B$278:$AK$282))</f>
        <v>54050</v>
      </c>
      <c r="AE292" s="10" cm="1">
        <f t="array" ref="AE292">+_xlfn.XLOOKUP($A$291,$A$278:$A$282,_xlfn.XLOOKUP(AE291,$B$277:$AK$277,$B$278:$AK$282))</f>
        <v>49803</v>
      </c>
      <c r="AF292" s="10" cm="1">
        <f t="array" ref="AF292">+_xlfn.XLOOKUP($A$291,$A$278:$A$282,_xlfn.XLOOKUP(AF291,$B$277:$AK$277,$B$278:$AK$282))</f>
        <v>52440</v>
      </c>
      <c r="AG292" s="10" cm="1">
        <f t="array" ref="AG292">+_xlfn.XLOOKUP($A$291,$A$278:$A$282,_xlfn.XLOOKUP(AG291,$B$277:$AK$277,$B$278:$AK$282))</f>
        <v>53101</v>
      </c>
      <c r="AH292" s="10" cm="1">
        <f t="array" ref="AH292">+_xlfn.XLOOKUP($A$291,$A$278:$A$282,_xlfn.XLOOKUP(AH291,$B$277:$AK$277,$B$278:$AK$282))</f>
        <v>56822</v>
      </c>
      <c r="AI292" s="10" cm="1">
        <f t="array" ref="AI292">+_xlfn.XLOOKUP($A$291,$A$278:$A$282,_xlfn.XLOOKUP(AI291,$B$277:$AK$277,$B$278:$AK$282))</f>
        <v>51487</v>
      </c>
      <c r="AJ292" s="10" cm="1">
        <f t="array" ref="AJ292">+_xlfn.XLOOKUP($A$291,$A$278:$A$282,_xlfn.XLOOKUP(AJ291,$B$277:$AK$277,$B$278:$AK$282))</f>
        <v>47172</v>
      </c>
      <c r="AK292" s="10" cm="1">
        <f t="array" ref="AK292">+_xlfn.XLOOKUP($A$291,$A$278:$A$282,_xlfn.XLOOKUP(AK291,$B$277:$AK$277,$B$278:$AK$282))</f>
        <v>44469</v>
      </c>
    </row>
    <row r="293" spans="1:37">
      <c r="A293" s="24" t="s">
        <v>113</v>
      </c>
      <c r="B293" s="10" cm="1">
        <f t="array" ref="B293">+_xlfn.XLOOKUP($A$291,$A$285:$A$289,_xlfn.XLOOKUP(B291,$B$284:$AK$284,$B$285:$AK$289))</f>
        <v>109442</v>
      </c>
      <c r="C293" s="10" cm="1">
        <f t="array" ref="C293">+_xlfn.XLOOKUP($A$291,$A$285:$A$289,_xlfn.XLOOKUP(C291,$B$284:$AK$284,$B$285:$AK$289))</f>
        <v>128282</v>
      </c>
      <c r="D293" s="10" cm="1">
        <f t="array" ref="D293">+_xlfn.XLOOKUP($A$291,$A$285:$A$289,_xlfn.XLOOKUP(D291,$B$284:$AK$284,$B$285:$AK$289))</f>
        <v>132003</v>
      </c>
      <c r="E293" s="10" cm="1">
        <f t="array" ref="E293">+_xlfn.XLOOKUP($A$291,$A$285:$A$289,_xlfn.XLOOKUP(E291,$B$284:$AK$284,$B$285:$AK$289))</f>
        <v>106189</v>
      </c>
      <c r="F293" s="10" cm="1">
        <f t="array" ref="F293">+_xlfn.XLOOKUP($A$291,$A$285:$A$289,_xlfn.XLOOKUP(F291,$B$284:$AK$284,$B$285:$AK$289))</f>
        <v>105320</v>
      </c>
      <c r="G293" s="10" cm="1">
        <f t="array" ref="G293">+_xlfn.XLOOKUP($A$291,$A$285:$A$289,_xlfn.XLOOKUP(G291,$B$284:$AK$284,$B$285:$AK$289))</f>
        <v>91296</v>
      </c>
      <c r="H293" s="10" cm="1">
        <f t="array" ref="H293">+_xlfn.XLOOKUP($A$291,$A$285:$A$289,_xlfn.XLOOKUP(H291,$B$284:$AK$284,$B$285:$AK$289))</f>
        <v>87478</v>
      </c>
      <c r="I293" s="10" cm="1">
        <f t="array" ref="I293">+_xlfn.XLOOKUP($A$291,$A$285:$A$289,_xlfn.XLOOKUP(I291,$B$284:$AK$284,$B$285:$AK$289))</f>
        <v>62889</v>
      </c>
      <c r="J293" s="10" cm="1">
        <f t="array" ref="J293">+_xlfn.XLOOKUP($A$291,$A$285:$A$289,_xlfn.XLOOKUP(J291,$B$284:$AK$284,$B$285:$AK$289))</f>
        <v>94665</v>
      </c>
      <c r="K293" s="10" cm="1">
        <f t="array" ref="K293">+_xlfn.XLOOKUP($A$291,$A$285:$A$289,_xlfn.XLOOKUP(K291,$B$284:$AK$284,$B$285:$AK$289))</f>
        <v>90924</v>
      </c>
      <c r="L293" s="10" cm="1">
        <f t="array" ref="L293">+_xlfn.XLOOKUP($A$291,$A$285:$A$289,_xlfn.XLOOKUP(L291,$B$284:$AK$284,$B$285:$AK$289))</f>
        <v>72862</v>
      </c>
      <c r="M293" s="10" cm="1">
        <f t="array" ref="M293">+_xlfn.XLOOKUP($A$291,$A$285:$A$289,_xlfn.XLOOKUP(M291,$B$284:$AK$284,$B$285:$AK$289))</f>
        <v>76009</v>
      </c>
      <c r="N293" s="10" cm="1">
        <f t="array" ref="N293">+_xlfn.XLOOKUP($A$291,$A$285:$A$289,_xlfn.XLOOKUP(N291,$B$284:$AK$284,$B$285:$AK$289))</f>
        <v>104224</v>
      </c>
      <c r="O293" s="10" cm="1">
        <f t="array" ref="O293">+_xlfn.XLOOKUP($A$291,$A$285:$A$289,_xlfn.XLOOKUP(O291,$B$284:$AK$284,$B$285:$AK$289))</f>
        <v>86742</v>
      </c>
      <c r="P293" s="10" cm="1">
        <f t="array" ref="P293">+_xlfn.XLOOKUP($A$291,$A$285:$A$289,_xlfn.XLOOKUP(P291,$B$284:$AK$284,$B$285:$AK$289))</f>
        <v>93619</v>
      </c>
      <c r="Q293" s="10" cm="1">
        <f t="array" ref="Q293">+_xlfn.XLOOKUP($A$291,$A$285:$A$289,_xlfn.XLOOKUP(Q291,$B$284:$AK$284,$B$285:$AK$289))</f>
        <v>77862</v>
      </c>
      <c r="R293" s="10" cm="1">
        <f t="array" ref="R293">+_xlfn.XLOOKUP($A$291,$A$285:$A$289,_xlfn.XLOOKUP(R291,$B$284:$AK$284,$B$285:$AK$289))</f>
        <v>71434</v>
      </c>
      <c r="S293" s="10" cm="1">
        <f t="array" ref="S293">+_xlfn.XLOOKUP($A$291,$A$285:$A$289,_xlfn.XLOOKUP(S291,$B$284:$AK$284,$B$285:$AK$289))</f>
        <v>70867</v>
      </c>
      <c r="T293" s="10" cm="1">
        <f t="array" ref="T293">+_xlfn.XLOOKUP($A$291,$A$285:$A$289,_xlfn.XLOOKUP(T291,$B$284:$AK$284,$B$285:$AK$289))</f>
        <v>90762</v>
      </c>
      <c r="U293" s="10" cm="1">
        <f t="array" ref="U293">+_xlfn.XLOOKUP($A$291,$A$285:$A$289,_xlfn.XLOOKUP(U291,$B$284:$AK$284,$B$285:$AK$289))</f>
        <v>54516</v>
      </c>
      <c r="V293" s="10" cm="1">
        <f t="array" ref="V293">+_xlfn.XLOOKUP($A$291,$A$285:$A$289,_xlfn.XLOOKUP(V291,$B$284:$AK$284,$B$285:$AK$289))</f>
        <v>78355</v>
      </c>
      <c r="W293" s="10" cm="1">
        <f t="array" ref="W293">+_xlfn.XLOOKUP($A$291,$A$285:$A$289,_xlfn.XLOOKUP(W291,$B$284:$AK$284,$B$285:$AK$289))</f>
        <v>16602</v>
      </c>
      <c r="X293" s="10" cm="1">
        <f t="array" ref="X293">+_xlfn.XLOOKUP($A$291,$A$285:$A$289,_xlfn.XLOOKUP(X291,$B$284:$AK$284,$B$285:$AK$289))</f>
        <v>54962</v>
      </c>
      <c r="Y293" s="10" cm="1">
        <f t="array" ref="Y293">+_xlfn.XLOOKUP($A$291,$A$285:$A$289,_xlfn.XLOOKUP(Y291,$B$284:$AK$284,$B$285:$AK$289))</f>
        <v>58551</v>
      </c>
      <c r="Z293" s="10" cm="1">
        <f t="array" ref="Z293">+_xlfn.XLOOKUP($A$291,$A$285:$A$289,_xlfn.XLOOKUP(Z291,$B$284:$AK$284,$B$285:$AK$289))</f>
        <v>63966</v>
      </c>
      <c r="AA293" s="10" cm="1">
        <f t="array" ref="AA293">+_xlfn.XLOOKUP($A$291,$A$285:$A$289,_xlfn.XLOOKUP(AA291,$B$284:$AK$284,$B$285:$AK$289))</f>
        <v>54928</v>
      </c>
      <c r="AB293" s="10" cm="1">
        <f t="array" ref="AB293">+_xlfn.XLOOKUP($A$291,$A$285:$A$289,_xlfn.XLOOKUP(AB291,$B$284:$AK$284,$B$285:$AK$289))</f>
        <v>70197</v>
      </c>
      <c r="AC293" s="10" cm="1">
        <f t="array" ref="AC293">+_xlfn.XLOOKUP($A$291,$A$285:$A$289,_xlfn.XLOOKUP(AC291,$B$284:$AK$284,$B$285:$AK$289))</f>
        <v>56753</v>
      </c>
      <c r="AD293" s="10" cm="1">
        <f t="array" ref="AD293">+_xlfn.XLOOKUP($A$291,$A$285:$A$289,_xlfn.XLOOKUP(AD291,$B$284:$AK$284,$B$285:$AK$289))</f>
        <v>49874</v>
      </c>
      <c r="AE293" s="10" cm="1">
        <f t="array" ref="AE293">+_xlfn.XLOOKUP($A$291,$A$285:$A$289,_xlfn.XLOOKUP(AE291,$B$284:$AK$284,$B$285:$AK$289))</f>
        <v>75079</v>
      </c>
      <c r="AF293" s="10" cm="1">
        <f t="array" ref="AF293">+_xlfn.XLOOKUP($A$291,$A$285:$A$289,_xlfn.XLOOKUP(AF291,$B$284:$AK$284,$B$285:$AK$289))</f>
        <v>52242</v>
      </c>
      <c r="AG293" s="10" cm="1">
        <f t="array" ref="AG293">+_xlfn.XLOOKUP($A$291,$A$285:$A$289,_xlfn.XLOOKUP(AG291,$B$284:$AK$284,$B$285:$AK$289))</f>
        <v>37510</v>
      </c>
      <c r="AH293" s="10" cm="1">
        <f t="array" ref="AH293">+_xlfn.XLOOKUP($A$291,$A$285:$A$289,_xlfn.XLOOKUP(AH291,$B$284:$AK$284,$B$285:$AK$289))</f>
        <v>70318</v>
      </c>
      <c r="AI293" s="10" cm="1">
        <f t="array" ref="AI293">+_xlfn.XLOOKUP($A$291,$A$285:$A$289,_xlfn.XLOOKUP(AI291,$B$284:$AK$284,$B$285:$AK$289))</f>
        <v>65905</v>
      </c>
      <c r="AJ293" s="10" cm="1">
        <f t="array" ref="AJ293">+_xlfn.XLOOKUP($A$291,$A$285:$A$289,_xlfn.XLOOKUP(AJ291,$B$284:$AK$284,$B$285:$AK$289))</f>
        <v>47003</v>
      </c>
      <c r="AK293" s="10" cm="1">
        <f t="array" ref="AK293">+_xlfn.XLOOKUP($A$291,$A$285:$A$289,_xlfn.XLOOKUP(AK291,$B$284:$AK$284,$B$285:$AK$289))</f>
        <v>40248</v>
      </c>
    </row>
    <row r="297" spans="1:37">
      <c r="E297" s="46" t="s">
        <v>82</v>
      </c>
      <c r="F297" s="46"/>
    </row>
    <row r="298" spans="1:37">
      <c r="E298" s="25" t="s">
        <v>112</v>
      </c>
      <c r="F298" s="26" t="s">
        <v>113</v>
      </c>
      <c r="G298" t="s">
        <v>118</v>
      </c>
    </row>
    <row r="299" spans="1:37">
      <c r="E299" s="20">
        <f>+SUM(Z292:AK292)/SUM(N292:Y292)-1</f>
        <v>-0.13914370211049876</v>
      </c>
      <c r="F299" s="20">
        <f>+SUM(Z293:AK293)/SUM(N293:Y293)-1</f>
        <v>-0.20323099932905919</v>
      </c>
      <c r="G299" s="27">
        <f>+E299-F299</f>
        <v>6.4087297218560435E-2</v>
      </c>
    </row>
    <row r="300" spans="1:37">
      <c r="E300" s="11"/>
    </row>
    <row r="310" spans="1:37">
      <c r="A310" t="s">
        <v>122</v>
      </c>
      <c r="B310" s="35">
        <v>44713</v>
      </c>
      <c r="C310" s="35">
        <v>44743</v>
      </c>
      <c r="D310" s="35">
        <v>44774</v>
      </c>
      <c r="E310" s="35">
        <v>44805</v>
      </c>
      <c r="F310" s="35">
        <v>44835</v>
      </c>
      <c r="G310" s="35">
        <v>44866</v>
      </c>
      <c r="H310" s="35">
        <v>44896</v>
      </c>
      <c r="I310" s="35">
        <v>44927</v>
      </c>
      <c r="J310" s="35">
        <v>44958</v>
      </c>
      <c r="K310" s="35">
        <v>44986</v>
      </c>
      <c r="L310" s="35">
        <v>45017</v>
      </c>
      <c r="M310" s="35">
        <v>45047</v>
      </c>
      <c r="N310" s="35">
        <v>45078</v>
      </c>
      <c r="O310" s="35">
        <v>45108</v>
      </c>
      <c r="P310" s="35">
        <v>45139</v>
      </c>
      <c r="Q310" s="35">
        <v>45170</v>
      </c>
      <c r="R310" s="35">
        <v>45200</v>
      </c>
      <c r="S310" s="35">
        <v>45231</v>
      </c>
      <c r="T310" s="35">
        <v>45261</v>
      </c>
      <c r="U310" s="35">
        <v>45292</v>
      </c>
      <c r="V310" s="35">
        <v>45323</v>
      </c>
      <c r="W310" s="35">
        <v>45352</v>
      </c>
      <c r="X310" s="35">
        <v>45383</v>
      </c>
      <c r="Y310" s="35">
        <v>45413</v>
      </c>
      <c r="Z310" s="35">
        <v>45444</v>
      </c>
      <c r="AA310" s="35">
        <v>45474</v>
      </c>
      <c r="AB310" s="35">
        <v>45505</v>
      </c>
      <c r="AC310" s="35">
        <v>45536</v>
      </c>
      <c r="AD310" s="35">
        <v>45566</v>
      </c>
      <c r="AE310" s="35">
        <v>45597</v>
      </c>
      <c r="AF310" s="35">
        <v>45627</v>
      </c>
      <c r="AG310" s="35">
        <v>45658</v>
      </c>
      <c r="AH310" s="35">
        <v>45689</v>
      </c>
      <c r="AI310" s="35">
        <v>45717</v>
      </c>
      <c r="AJ310" s="35">
        <v>45748</v>
      </c>
      <c r="AK310" s="35">
        <v>45778</v>
      </c>
    </row>
    <row r="311" spans="1:37">
      <c r="A311" s="24" t="s">
        <v>92</v>
      </c>
      <c r="B311" s="11">
        <v>0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2834</v>
      </c>
      <c r="Z311" s="11">
        <v>5031</v>
      </c>
      <c r="AA311" s="11">
        <v>6379</v>
      </c>
      <c r="AB311" s="11">
        <v>7390</v>
      </c>
      <c r="AC311" s="11">
        <v>9595</v>
      </c>
      <c r="AD311" s="11">
        <v>10483</v>
      </c>
      <c r="AE311" s="11">
        <v>11873</v>
      </c>
      <c r="AF311" s="11">
        <v>16468</v>
      </c>
      <c r="AG311" s="11">
        <v>11858</v>
      </c>
      <c r="AH311" s="11">
        <v>11762</v>
      </c>
      <c r="AI311" s="11">
        <v>15469</v>
      </c>
      <c r="AJ311" s="11">
        <v>10553</v>
      </c>
      <c r="AK311" s="11">
        <v>12565</v>
      </c>
    </row>
    <row r="312" spans="1:37">
      <c r="A312" s="24" t="s">
        <v>93</v>
      </c>
      <c r="B312" s="11">
        <v>0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523</v>
      </c>
      <c r="N312" s="11">
        <v>3221</v>
      </c>
      <c r="O312" s="11">
        <v>4814</v>
      </c>
      <c r="P312" s="11">
        <v>5598</v>
      </c>
      <c r="Q312" s="11">
        <v>5954</v>
      </c>
      <c r="R312" s="11">
        <v>8314</v>
      </c>
      <c r="S312" s="11">
        <v>7047</v>
      </c>
      <c r="T312" s="11">
        <v>6189</v>
      </c>
      <c r="U312" s="11">
        <v>6348</v>
      </c>
      <c r="V312" s="11">
        <v>5471</v>
      </c>
      <c r="W312" s="11">
        <v>6103</v>
      </c>
      <c r="X312" s="11">
        <v>7612</v>
      </c>
      <c r="Y312" s="11">
        <v>6035</v>
      </c>
      <c r="Z312" s="11">
        <v>6301</v>
      </c>
      <c r="AA312" s="11">
        <v>7435</v>
      </c>
      <c r="AB312" s="11">
        <v>6284</v>
      </c>
      <c r="AC312" s="11">
        <v>6736</v>
      </c>
      <c r="AD312" s="11">
        <v>7140</v>
      </c>
      <c r="AE312" s="11">
        <v>6472</v>
      </c>
      <c r="AF312" s="11">
        <v>6983</v>
      </c>
      <c r="AG312" s="11">
        <v>7415</v>
      </c>
      <c r="AH312" s="11">
        <v>8455</v>
      </c>
      <c r="AI312" s="11">
        <v>7995</v>
      </c>
      <c r="AJ312" s="11">
        <v>7847</v>
      </c>
      <c r="AK312" s="11">
        <v>8075</v>
      </c>
    </row>
    <row r="313" spans="1:37">
      <c r="A313" s="33" t="s">
        <v>129</v>
      </c>
      <c r="B313" s="11">
        <f t="shared" ref="B313:AK313" si="94">+SUM(B311:B312)</f>
        <v>0</v>
      </c>
      <c r="C313" s="11">
        <f t="shared" si="94"/>
        <v>0</v>
      </c>
      <c r="D313" s="11">
        <f t="shared" si="94"/>
        <v>0</v>
      </c>
      <c r="E313" s="11">
        <f t="shared" si="94"/>
        <v>0</v>
      </c>
      <c r="F313" s="11">
        <f t="shared" si="94"/>
        <v>0</v>
      </c>
      <c r="G313" s="11">
        <f t="shared" si="94"/>
        <v>0</v>
      </c>
      <c r="H313" s="11">
        <f t="shared" si="94"/>
        <v>0</v>
      </c>
      <c r="I313" s="11">
        <f t="shared" si="94"/>
        <v>0</v>
      </c>
      <c r="J313" s="11">
        <f t="shared" si="94"/>
        <v>0</v>
      </c>
      <c r="K313" s="11">
        <f t="shared" si="94"/>
        <v>0</v>
      </c>
      <c r="L313" s="11">
        <f t="shared" si="94"/>
        <v>0</v>
      </c>
      <c r="M313" s="11">
        <f t="shared" si="94"/>
        <v>523</v>
      </c>
      <c r="N313" s="11">
        <f t="shared" si="94"/>
        <v>3221</v>
      </c>
      <c r="O313" s="11">
        <f t="shared" si="94"/>
        <v>4814</v>
      </c>
      <c r="P313" s="11">
        <f t="shared" si="94"/>
        <v>5598</v>
      </c>
      <c r="Q313" s="11">
        <f t="shared" si="94"/>
        <v>5954</v>
      </c>
      <c r="R313" s="11">
        <f t="shared" si="94"/>
        <v>8314</v>
      </c>
      <c r="S313" s="11">
        <f t="shared" si="94"/>
        <v>7047</v>
      </c>
      <c r="T313" s="11">
        <f t="shared" si="94"/>
        <v>6189</v>
      </c>
      <c r="U313" s="11">
        <f t="shared" si="94"/>
        <v>6348</v>
      </c>
      <c r="V313" s="11">
        <f t="shared" si="94"/>
        <v>5471</v>
      </c>
      <c r="W313" s="11">
        <f t="shared" si="94"/>
        <v>6103</v>
      </c>
      <c r="X313" s="11">
        <f t="shared" si="94"/>
        <v>7612</v>
      </c>
      <c r="Y313" s="11">
        <f t="shared" si="94"/>
        <v>8869</v>
      </c>
      <c r="Z313" s="11">
        <f t="shared" si="94"/>
        <v>11332</v>
      </c>
      <c r="AA313" s="11">
        <f t="shared" si="94"/>
        <v>13814</v>
      </c>
      <c r="AB313" s="11">
        <f t="shared" si="94"/>
        <v>13674</v>
      </c>
      <c r="AC313" s="11">
        <f t="shared" si="94"/>
        <v>16331</v>
      </c>
      <c r="AD313" s="11">
        <f t="shared" si="94"/>
        <v>17623</v>
      </c>
      <c r="AE313" s="11">
        <f t="shared" si="94"/>
        <v>18345</v>
      </c>
      <c r="AF313" s="11">
        <f t="shared" si="94"/>
        <v>23451</v>
      </c>
      <c r="AG313" s="11">
        <f t="shared" si="94"/>
        <v>19273</v>
      </c>
      <c r="AH313" s="11">
        <f t="shared" si="94"/>
        <v>20217</v>
      </c>
      <c r="AI313" s="11">
        <f t="shared" si="94"/>
        <v>23464</v>
      </c>
      <c r="AJ313" s="11">
        <f t="shared" si="94"/>
        <v>18400</v>
      </c>
      <c r="AK313" s="11">
        <f t="shared" si="94"/>
        <v>20640</v>
      </c>
    </row>
    <row r="315" spans="1:37">
      <c r="A315" t="s">
        <v>130</v>
      </c>
      <c r="B315" s="35">
        <v>44713</v>
      </c>
      <c r="C315" s="35">
        <v>44743</v>
      </c>
      <c r="D315" s="35">
        <v>44774</v>
      </c>
      <c r="E315" s="35">
        <v>44805</v>
      </c>
      <c r="F315" s="35">
        <v>44835</v>
      </c>
      <c r="G315" s="35">
        <v>44866</v>
      </c>
      <c r="H315" s="35">
        <v>44896</v>
      </c>
      <c r="I315" s="35">
        <v>44927</v>
      </c>
      <c r="J315" s="35">
        <v>44958</v>
      </c>
      <c r="K315" s="35">
        <v>44986</v>
      </c>
      <c r="L315" s="35">
        <v>45017</v>
      </c>
      <c r="M315" s="35">
        <v>45047</v>
      </c>
      <c r="N315" s="35">
        <v>45078</v>
      </c>
      <c r="O315" s="35">
        <v>45108</v>
      </c>
      <c r="P315" s="35">
        <v>45139</v>
      </c>
      <c r="Q315" s="35">
        <v>45170</v>
      </c>
      <c r="R315" s="35">
        <v>45200</v>
      </c>
      <c r="S315" s="35">
        <v>45231</v>
      </c>
      <c r="T315" s="35">
        <v>45261</v>
      </c>
      <c r="U315" s="35">
        <v>45292</v>
      </c>
      <c r="V315" s="35">
        <v>45323</v>
      </c>
      <c r="W315" s="35">
        <v>45352</v>
      </c>
      <c r="X315" s="35">
        <v>45383</v>
      </c>
      <c r="Y315" s="35">
        <v>45413</v>
      </c>
      <c r="Z315" s="35">
        <v>45444</v>
      </c>
      <c r="AA315" s="35">
        <v>45474</v>
      </c>
      <c r="AB315" s="35">
        <v>45505</v>
      </c>
      <c r="AC315" s="35">
        <v>45536</v>
      </c>
      <c r="AD315" s="35">
        <v>45566</v>
      </c>
      <c r="AE315" s="35">
        <v>45597</v>
      </c>
      <c r="AF315" s="35">
        <v>45627</v>
      </c>
      <c r="AG315" s="35">
        <v>45658</v>
      </c>
      <c r="AH315" s="35">
        <v>45689</v>
      </c>
      <c r="AI315" s="35">
        <v>45717</v>
      </c>
      <c r="AJ315" s="35">
        <v>45748</v>
      </c>
      <c r="AK315" s="35">
        <v>45778</v>
      </c>
    </row>
    <row r="316" spans="1:37">
      <c r="A316" s="24" t="s">
        <v>92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27300</v>
      </c>
      <c r="AC316" s="7">
        <v>22401</v>
      </c>
      <c r="AD316" s="7">
        <v>405</v>
      </c>
      <c r="AE316" s="7">
        <v>8429</v>
      </c>
      <c r="AF316" s="7">
        <v>28104</v>
      </c>
      <c r="AG316" s="7">
        <v>14628</v>
      </c>
      <c r="AH316" s="7">
        <v>32252</v>
      </c>
      <c r="AI316" s="7">
        <v>51819</v>
      </c>
      <c r="AJ316" s="7">
        <v>6013</v>
      </c>
      <c r="AK316" s="7">
        <v>13053</v>
      </c>
    </row>
    <row r="317" spans="1:37">
      <c r="A317" s="24" t="s">
        <v>93</v>
      </c>
      <c r="B317" s="7">
        <v>0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21270</v>
      </c>
      <c r="R317" s="7">
        <v>13140</v>
      </c>
      <c r="S317" s="7">
        <v>10472</v>
      </c>
      <c r="T317" s="7">
        <v>10320</v>
      </c>
      <c r="U317" s="7">
        <v>14808</v>
      </c>
      <c r="V317" s="7">
        <v>16888</v>
      </c>
      <c r="W317" s="7">
        <v>2730</v>
      </c>
      <c r="X317" s="7">
        <v>4656</v>
      </c>
      <c r="Y317" s="7">
        <v>6372</v>
      </c>
      <c r="Z317" s="7">
        <v>14736</v>
      </c>
      <c r="AA317" s="7">
        <v>10578</v>
      </c>
      <c r="AB317" s="7">
        <v>21108</v>
      </c>
      <c r="AC317" s="7">
        <v>3576</v>
      </c>
      <c r="AD317" s="7">
        <v>9834</v>
      </c>
      <c r="AE317" s="7">
        <v>9624</v>
      </c>
      <c r="AF317" s="7">
        <v>11928</v>
      </c>
      <c r="AG317" s="7">
        <v>8838</v>
      </c>
      <c r="AH317" s="7">
        <v>16818</v>
      </c>
      <c r="AI317" s="7">
        <v>11088</v>
      </c>
      <c r="AJ317" s="7">
        <v>12582</v>
      </c>
      <c r="AK317" s="7">
        <v>14382</v>
      </c>
    </row>
    <row r="318" spans="1:37">
      <c r="A318" s="33" t="s">
        <v>129</v>
      </c>
      <c r="B318" s="11">
        <f t="shared" ref="B318:AK318" si="95">+SUM(B316:B317)</f>
        <v>0</v>
      </c>
      <c r="C318" s="11">
        <f t="shared" si="95"/>
        <v>0</v>
      </c>
      <c r="D318" s="11">
        <f t="shared" si="95"/>
        <v>0</v>
      </c>
      <c r="E318" s="11">
        <f t="shared" si="95"/>
        <v>0</v>
      </c>
      <c r="F318" s="11">
        <f t="shared" si="95"/>
        <v>0</v>
      </c>
      <c r="G318" s="11">
        <f t="shared" si="95"/>
        <v>0</v>
      </c>
      <c r="H318" s="11">
        <f t="shared" si="95"/>
        <v>0</v>
      </c>
      <c r="I318" s="11">
        <f t="shared" si="95"/>
        <v>0</v>
      </c>
      <c r="J318" s="11">
        <f t="shared" si="95"/>
        <v>0</v>
      </c>
      <c r="K318" s="11">
        <f t="shared" si="95"/>
        <v>0</v>
      </c>
      <c r="L318" s="11">
        <f t="shared" si="95"/>
        <v>0</v>
      </c>
      <c r="M318" s="11">
        <f t="shared" si="95"/>
        <v>0</v>
      </c>
      <c r="N318" s="11">
        <f t="shared" si="95"/>
        <v>0</v>
      </c>
      <c r="O318" s="11">
        <f t="shared" si="95"/>
        <v>0</v>
      </c>
      <c r="P318" s="11">
        <f t="shared" si="95"/>
        <v>0</v>
      </c>
      <c r="Q318" s="11">
        <f t="shared" si="95"/>
        <v>21270</v>
      </c>
      <c r="R318" s="11">
        <f t="shared" si="95"/>
        <v>13140</v>
      </c>
      <c r="S318" s="11">
        <f t="shared" si="95"/>
        <v>10472</v>
      </c>
      <c r="T318" s="11">
        <f t="shared" si="95"/>
        <v>10320</v>
      </c>
      <c r="U318" s="11">
        <f t="shared" si="95"/>
        <v>14808</v>
      </c>
      <c r="V318" s="11">
        <f t="shared" si="95"/>
        <v>16888</v>
      </c>
      <c r="W318" s="11">
        <f t="shared" si="95"/>
        <v>2730</v>
      </c>
      <c r="X318" s="11">
        <f t="shared" si="95"/>
        <v>4656</v>
      </c>
      <c r="Y318" s="11">
        <f t="shared" si="95"/>
        <v>6372</v>
      </c>
      <c r="Z318" s="11">
        <f t="shared" si="95"/>
        <v>14736</v>
      </c>
      <c r="AA318" s="11">
        <f t="shared" si="95"/>
        <v>10578</v>
      </c>
      <c r="AB318" s="11">
        <f t="shared" si="95"/>
        <v>48408</v>
      </c>
      <c r="AC318" s="11">
        <f t="shared" si="95"/>
        <v>25977</v>
      </c>
      <c r="AD318" s="11">
        <f t="shared" si="95"/>
        <v>10239</v>
      </c>
      <c r="AE318" s="11">
        <f t="shared" si="95"/>
        <v>18053</v>
      </c>
      <c r="AF318" s="11">
        <f t="shared" si="95"/>
        <v>40032</v>
      </c>
      <c r="AG318" s="11">
        <f t="shared" si="95"/>
        <v>23466</v>
      </c>
      <c r="AH318" s="11">
        <f t="shared" si="95"/>
        <v>49070</v>
      </c>
      <c r="AI318" s="11">
        <f t="shared" si="95"/>
        <v>62907</v>
      </c>
      <c r="AJ318" s="11">
        <f t="shared" si="95"/>
        <v>18595</v>
      </c>
      <c r="AK318" s="11">
        <f t="shared" si="95"/>
        <v>27435</v>
      </c>
    </row>
    <row r="320" spans="1:37">
      <c r="A320" t="s">
        <v>129</v>
      </c>
      <c r="B320" s="9">
        <v>44713</v>
      </c>
      <c r="C320" s="9">
        <v>44743</v>
      </c>
      <c r="D320" s="9">
        <v>44774</v>
      </c>
      <c r="E320" s="9">
        <v>44805</v>
      </c>
      <c r="F320" s="9">
        <v>44835</v>
      </c>
      <c r="G320" s="9">
        <v>44866</v>
      </c>
      <c r="H320" s="9">
        <v>44896</v>
      </c>
      <c r="I320" s="9">
        <v>44927</v>
      </c>
      <c r="J320" s="9">
        <v>44958</v>
      </c>
      <c r="K320" s="9">
        <v>44986</v>
      </c>
      <c r="L320" s="9">
        <v>45017</v>
      </c>
      <c r="M320" s="9">
        <v>45047</v>
      </c>
      <c r="N320" s="9">
        <v>45078</v>
      </c>
      <c r="O320" s="9">
        <v>45108</v>
      </c>
      <c r="P320" s="9">
        <v>45139</v>
      </c>
      <c r="Q320" s="9">
        <v>45170</v>
      </c>
      <c r="R320" s="9">
        <v>45200</v>
      </c>
      <c r="S320" s="9">
        <v>45231</v>
      </c>
      <c r="T320" s="9">
        <v>45261</v>
      </c>
      <c r="U320" s="9">
        <v>45292</v>
      </c>
      <c r="V320" s="9">
        <v>45323</v>
      </c>
      <c r="W320" s="9">
        <v>45352</v>
      </c>
      <c r="X320" s="9">
        <v>45383</v>
      </c>
      <c r="Y320" s="9">
        <v>45413</v>
      </c>
      <c r="Z320" s="9">
        <v>45444</v>
      </c>
      <c r="AA320" s="9">
        <v>45474</v>
      </c>
      <c r="AB320" s="9">
        <v>45505</v>
      </c>
      <c r="AC320" s="9">
        <v>45536</v>
      </c>
      <c r="AD320" s="9">
        <v>45566</v>
      </c>
      <c r="AE320" s="9">
        <v>45597</v>
      </c>
      <c r="AF320" s="9">
        <v>45627</v>
      </c>
      <c r="AG320" s="9">
        <v>45658</v>
      </c>
      <c r="AH320" s="9">
        <v>45689</v>
      </c>
      <c r="AI320" s="9">
        <v>45717</v>
      </c>
      <c r="AJ320" s="9">
        <v>45748</v>
      </c>
      <c r="AK320" s="9">
        <v>45778</v>
      </c>
    </row>
    <row r="321" spans="1:37">
      <c r="A321" s="24" t="s">
        <v>112</v>
      </c>
      <c r="B321" s="10" cm="1">
        <f t="array" ref="B321">+_xlfn.XLOOKUP($A$320,$A$311:$A$313,_xlfn.XLOOKUP(B320,$B$310:$AK$310,$B$311:$AK$313))</f>
        <v>0</v>
      </c>
      <c r="C321" s="10" cm="1">
        <f t="array" ref="C321">+_xlfn.XLOOKUP($A$320,$A$311:$A$313,_xlfn.XLOOKUP(C320,$B$310:$AK$310,$B$311:$AK$313))</f>
        <v>0</v>
      </c>
      <c r="D321" s="10" cm="1">
        <f t="array" ref="D321">+_xlfn.XLOOKUP($A$320,$A$311:$A$313,_xlfn.XLOOKUP(D320,$B$310:$AK$310,$B$311:$AK$313))</f>
        <v>0</v>
      </c>
      <c r="E321" s="10" cm="1">
        <f t="array" ref="E321">+_xlfn.XLOOKUP($A$320,$A$311:$A$313,_xlfn.XLOOKUP(E320,$B$310:$AK$310,$B$311:$AK$313))</f>
        <v>0</v>
      </c>
      <c r="F321" s="10" cm="1">
        <f t="array" ref="F321">+_xlfn.XLOOKUP($A$320,$A$311:$A$313,_xlfn.XLOOKUP(F320,$B$310:$AK$310,$B$311:$AK$313))</f>
        <v>0</v>
      </c>
      <c r="G321" s="10" cm="1">
        <f t="array" ref="G321">+_xlfn.XLOOKUP($A$320,$A$311:$A$313,_xlfn.XLOOKUP(G320,$B$310:$AK$310,$B$311:$AK$313))</f>
        <v>0</v>
      </c>
      <c r="H321" s="10" cm="1">
        <f t="array" ref="H321">+_xlfn.XLOOKUP($A$320,$A$311:$A$313,_xlfn.XLOOKUP(H320,$B$310:$AK$310,$B$311:$AK$313))</f>
        <v>0</v>
      </c>
      <c r="I321" s="10" cm="1">
        <f t="array" ref="I321">+_xlfn.XLOOKUP($A$320,$A$311:$A$313,_xlfn.XLOOKUP(I320,$B$310:$AK$310,$B$311:$AK$313))</f>
        <v>0</v>
      </c>
      <c r="J321" s="10" cm="1">
        <f t="array" ref="J321">+_xlfn.XLOOKUP($A$320,$A$311:$A$313,_xlfn.XLOOKUP(J320,$B$310:$AK$310,$B$311:$AK$313))</f>
        <v>0</v>
      </c>
      <c r="K321" s="10" cm="1">
        <f t="array" ref="K321">+_xlfn.XLOOKUP($A$320,$A$311:$A$313,_xlfn.XLOOKUP(K320,$B$310:$AK$310,$B$311:$AK$313))</f>
        <v>0</v>
      </c>
      <c r="L321" s="10" cm="1">
        <f t="array" ref="L321">+_xlfn.XLOOKUP($A$320,$A$311:$A$313,_xlfn.XLOOKUP(L320,$B$310:$AK$310,$B$311:$AK$313))</f>
        <v>0</v>
      </c>
      <c r="M321" s="10" cm="1">
        <f t="array" ref="M321">+_xlfn.XLOOKUP($A$320,$A$311:$A$313,_xlfn.XLOOKUP(M320,$B$310:$AK$310,$B$311:$AK$313))</f>
        <v>523</v>
      </c>
      <c r="N321" s="10" cm="1">
        <f t="array" ref="N321">+_xlfn.XLOOKUP($A$320,$A$311:$A$313,_xlfn.XLOOKUP(N320,$B$310:$AK$310,$B$311:$AK$313))</f>
        <v>3221</v>
      </c>
      <c r="O321" s="10" cm="1">
        <f t="array" ref="O321">+_xlfn.XLOOKUP($A$320,$A$311:$A$313,_xlfn.XLOOKUP(O320,$B$310:$AK$310,$B$311:$AK$313))</f>
        <v>4814</v>
      </c>
      <c r="P321" s="10" cm="1">
        <f t="array" ref="P321">+_xlfn.XLOOKUP($A$320,$A$311:$A$313,_xlfn.XLOOKUP(P320,$B$310:$AK$310,$B$311:$AK$313))</f>
        <v>5598</v>
      </c>
      <c r="Q321" s="10" cm="1">
        <f t="array" ref="Q321">+_xlfn.XLOOKUP($A$320,$A$311:$A$313,_xlfn.XLOOKUP(Q320,$B$310:$AK$310,$B$311:$AK$313))</f>
        <v>5954</v>
      </c>
      <c r="R321" s="10" cm="1">
        <f t="array" ref="R321">+_xlfn.XLOOKUP($A$320,$A$311:$A$313,_xlfn.XLOOKUP(R320,$B$310:$AK$310,$B$311:$AK$313))</f>
        <v>8314</v>
      </c>
      <c r="S321" s="10" cm="1">
        <f t="array" ref="S321">+_xlfn.XLOOKUP($A$320,$A$311:$A$313,_xlfn.XLOOKUP(S320,$B$310:$AK$310,$B$311:$AK$313))</f>
        <v>7047</v>
      </c>
      <c r="T321" s="10" cm="1">
        <f t="array" ref="T321">+_xlfn.XLOOKUP($A$320,$A$311:$A$313,_xlfn.XLOOKUP(T320,$B$310:$AK$310,$B$311:$AK$313))</f>
        <v>6189</v>
      </c>
      <c r="U321" s="10" cm="1">
        <f t="array" ref="U321">+_xlfn.XLOOKUP($A$320,$A$311:$A$313,_xlfn.XLOOKUP(U320,$B$310:$AK$310,$B$311:$AK$313))</f>
        <v>6348</v>
      </c>
      <c r="V321" s="10" cm="1">
        <f t="array" ref="V321">+_xlfn.XLOOKUP($A$320,$A$311:$A$313,_xlfn.XLOOKUP(V320,$B$310:$AK$310,$B$311:$AK$313))</f>
        <v>5471</v>
      </c>
      <c r="W321" s="10" cm="1">
        <f t="array" ref="W321">+_xlfn.XLOOKUP($A$320,$A$311:$A$313,_xlfn.XLOOKUP(W320,$B$310:$AK$310,$B$311:$AK$313))</f>
        <v>6103</v>
      </c>
      <c r="X321" s="10" cm="1">
        <f t="array" ref="X321">+_xlfn.XLOOKUP($A$320,$A$311:$A$313,_xlfn.XLOOKUP(X320,$B$310:$AK$310,$B$311:$AK$313))</f>
        <v>7612</v>
      </c>
      <c r="Y321" s="10" cm="1">
        <f t="array" ref="Y321">+_xlfn.XLOOKUP($A$320,$A$311:$A$313,_xlfn.XLOOKUP(Y320,$B$310:$AK$310,$B$311:$AK$313))</f>
        <v>8869</v>
      </c>
      <c r="Z321" s="10" cm="1">
        <f t="array" ref="Z321">+_xlfn.XLOOKUP($A$320,$A$311:$A$313,_xlfn.XLOOKUP(Z320,$B$310:$AK$310,$B$311:$AK$313))</f>
        <v>11332</v>
      </c>
      <c r="AA321" s="10" cm="1">
        <f t="array" ref="AA321">+_xlfn.XLOOKUP($A$320,$A$311:$A$313,_xlfn.XLOOKUP(AA320,$B$310:$AK$310,$B$311:$AK$313))</f>
        <v>13814</v>
      </c>
      <c r="AB321" s="10" cm="1">
        <f t="array" ref="AB321">+_xlfn.XLOOKUP($A$320,$A$311:$A$313,_xlfn.XLOOKUP(AB320,$B$310:$AK$310,$B$311:$AK$313))</f>
        <v>13674</v>
      </c>
      <c r="AC321" s="10" cm="1">
        <f t="array" ref="AC321">+_xlfn.XLOOKUP($A$320,$A$311:$A$313,_xlfn.XLOOKUP(AC320,$B$310:$AK$310,$B$311:$AK$313))</f>
        <v>16331</v>
      </c>
      <c r="AD321" s="10" cm="1">
        <f t="array" ref="AD321">+_xlfn.XLOOKUP($A$320,$A$311:$A$313,_xlfn.XLOOKUP(AD320,$B$310:$AK$310,$B$311:$AK$313))</f>
        <v>17623</v>
      </c>
      <c r="AE321" s="10" cm="1">
        <f t="array" ref="AE321">+_xlfn.XLOOKUP($A$320,$A$311:$A$313,_xlfn.XLOOKUP(AE320,$B$310:$AK$310,$B$311:$AK$313))</f>
        <v>18345</v>
      </c>
      <c r="AF321" s="10" cm="1">
        <f t="array" ref="AF321">+_xlfn.XLOOKUP($A$320,$A$311:$A$313,_xlfn.XLOOKUP(AF320,$B$310:$AK$310,$B$311:$AK$313))</f>
        <v>23451</v>
      </c>
      <c r="AG321" s="10" cm="1">
        <f t="array" ref="AG321">+_xlfn.XLOOKUP($A$320,$A$311:$A$313,_xlfn.XLOOKUP(AG320,$B$310:$AK$310,$B$311:$AK$313))</f>
        <v>19273</v>
      </c>
      <c r="AH321" s="10" cm="1">
        <f t="array" ref="AH321">+_xlfn.XLOOKUP($A$320,$A$311:$A$313,_xlfn.XLOOKUP(AH320,$B$310:$AK$310,$B$311:$AK$313))</f>
        <v>20217</v>
      </c>
      <c r="AI321" s="10" cm="1">
        <f t="array" ref="AI321">+_xlfn.XLOOKUP($A$320,$A$311:$A$313,_xlfn.XLOOKUP(AI320,$B$310:$AK$310,$B$311:$AK$313))</f>
        <v>23464</v>
      </c>
      <c r="AJ321" s="10" cm="1">
        <f t="array" ref="AJ321">+_xlfn.XLOOKUP($A$320,$A$311:$A$313,_xlfn.XLOOKUP(AJ320,$B$310:$AK$310,$B$311:$AK$313))</f>
        <v>18400</v>
      </c>
      <c r="AK321" s="10" cm="1">
        <f t="array" ref="AK321">+_xlfn.XLOOKUP($A$320,$A$311:$A$313,_xlfn.XLOOKUP(AK320,$B$310:$AK$310,$B$311:$AK$313))</f>
        <v>20640</v>
      </c>
    </row>
    <row r="322" spans="1:37">
      <c r="A322" s="24" t="s">
        <v>113</v>
      </c>
      <c r="B322" s="10" cm="1">
        <f t="array" ref="B322">+_xlfn.XLOOKUP($A$320,$A$316:$A$318,_xlfn.XLOOKUP(B320,$B$315:$AK$315,$B$316:$AK$318))</f>
        <v>0</v>
      </c>
      <c r="C322" s="10" cm="1">
        <f t="array" ref="C322">+_xlfn.XLOOKUP($A$320,$A$316:$A$318,_xlfn.XLOOKUP(C320,$B$315:$AK$315,$B$316:$AK$318))</f>
        <v>0</v>
      </c>
      <c r="D322" s="10" cm="1">
        <f t="array" ref="D322">+_xlfn.XLOOKUP($A$320,$A$316:$A$318,_xlfn.XLOOKUP(D320,$B$315:$AK$315,$B$316:$AK$318))</f>
        <v>0</v>
      </c>
      <c r="E322" s="10" cm="1">
        <f t="array" ref="E322">+_xlfn.XLOOKUP($A$320,$A$316:$A$318,_xlfn.XLOOKUP(E320,$B$315:$AK$315,$B$316:$AK$318))</f>
        <v>0</v>
      </c>
      <c r="F322" s="10" cm="1">
        <f t="array" ref="F322">+_xlfn.XLOOKUP($A$320,$A$316:$A$318,_xlfn.XLOOKUP(F320,$B$315:$AK$315,$B$316:$AK$318))</f>
        <v>0</v>
      </c>
      <c r="G322" s="10" cm="1">
        <f t="array" ref="G322">+_xlfn.XLOOKUP($A$320,$A$316:$A$318,_xlfn.XLOOKUP(G320,$B$315:$AK$315,$B$316:$AK$318))</f>
        <v>0</v>
      </c>
      <c r="H322" s="10" cm="1">
        <f t="array" ref="H322">+_xlfn.XLOOKUP($A$320,$A$316:$A$318,_xlfn.XLOOKUP(H320,$B$315:$AK$315,$B$316:$AK$318))</f>
        <v>0</v>
      </c>
      <c r="I322" s="10" cm="1">
        <f t="array" ref="I322">+_xlfn.XLOOKUP($A$320,$A$316:$A$318,_xlfn.XLOOKUP(I320,$B$315:$AK$315,$B$316:$AK$318))</f>
        <v>0</v>
      </c>
      <c r="J322" s="10" cm="1">
        <f t="array" ref="J322">+_xlfn.XLOOKUP($A$320,$A$316:$A$318,_xlfn.XLOOKUP(J320,$B$315:$AK$315,$B$316:$AK$318))</f>
        <v>0</v>
      </c>
      <c r="K322" s="10" cm="1">
        <f t="array" ref="K322">+_xlfn.XLOOKUP($A$320,$A$316:$A$318,_xlfn.XLOOKUP(K320,$B$315:$AK$315,$B$316:$AK$318))</f>
        <v>0</v>
      </c>
      <c r="L322" s="10" cm="1">
        <f t="array" ref="L322">+_xlfn.XLOOKUP($A$320,$A$316:$A$318,_xlfn.XLOOKUP(L320,$B$315:$AK$315,$B$316:$AK$318))</f>
        <v>0</v>
      </c>
      <c r="M322" s="10" cm="1">
        <f t="array" ref="M322">+_xlfn.XLOOKUP($A$320,$A$316:$A$318,_xlfn.XLOOKUP(M320,$B$315:$AK$315,$B$316:$AK$318))</f>
        <v>0</v>
      </c>
      <c r="N322" s="10" cm="1">
        <f t="array" ref="N322">+_xlfn.XLOOKUP($A$320,$A$316:$A$318,_xlfn.XLOOKUP(N320,$B$315:$AK$315,$B$316:$AK$318))</f>
        <v>0</v>
      </c>
      <c r="O322" s="10" cm="1">
        <f t="array" ref="O322">+_xlfn.XLOOKUP($A$320,$A$316:$A$318,_xlfn.XLOOKUP(O320,$B$315:$AK$315,$B$316:$AK$318))</f>
        <v>0</v>
      </c>
      <c r="P322" s="10" cm="1">
        <f t="array" ref="P322">+_xlfn.XLOOKUP($A$320,$A$316:$A$318,_xlfn.XLOOKUP(P320,$B$315:$AK$315,$B$316:$AK$318))</f>
        <v>0</v>
      </c>
      <c r="Q322" s="10" cm="1">
        <f t="array" ref="Q322">+_xlfn.XLOOKUP($A$320,$A$316:$A$318,_xlfn.XLOOKUP(Q320,$B$315:$AK$315,$B$316:$AK$318))</f>
        <v>21270</v>
      </c>
      <c r="R322" s="10" cm="1">
        <f t="array" ref="R322">+_xlfn.XLOOKUP($A$320,$A$316:$A$318,_xlfn.XLOOKUP(R320,$B$315:$AK$315,$B$316:$AK$318))</f>
        <v>13140</v>
      </c>
      <c r="S322" s="10" cm="1">
        <f t="array" ref="S322">+_xlfn.XLOOKUP($A$320,$A$316:$A$318,_xlfn.XLOOKUP(S320,$B$315:$AK$315,$B$316:$AK$318))</f>
        <v>10472</v>
      </c>
      <c r="T322" s="10" cm="1">
        <f t="array" ref="T322">+_xlfn.XLOOKUP($A$320,$A$316:$A$318,_xlfn.XLOOKUP(T320,$B$315:$AK$315,$B$316:$AK$318))</f>
        <v>10320</v>
      </c>
      <c r="U322" s="10" cm="1">
        <f t="array" ref="U322">+_xlfn.XLOOKUP($A$320,$A$316:$A$318,_xlfn.XLOOKUP(U320,$B$315:$AK$315,$B$316:$AK$318))</f>
        <v>14808</v>
      </c>
      <c r="V322" s="10" cm="1">
        <f t="array" ref="V322">+_xlfn.XLOOKUP($A$320,$A$316:$A$318,_xlfn.XLOOKUP(V320,$B$315:$AK$315,$B$316:$AK$318))</f>
        <v>16888</v>
      </c>
      <c r="W322" s="10" cm="1">
        <f t="array" ref="W322">+_xlfn.XLOOKUP($A$320,$A$316:$A$318,_xlfn.XLOOKUP(W320,$B$315:$AK$315,$B$316:$AK$318))</f>
        <v>2730</v>
      </c>
      <c r="X322" s="10" cm="1">
        <f t="array" ref="X322">+_xlfn.XLOOKUP($A$320,$A$316:$A$318,_xlfn.XLOOKUP(X320,$B$315:$AK$315,$B$316:$AK$318))</f>
        <v>4656</v>
      </c>
      <c r="Y322" s="10" cm="1">
        <f t="array" ref="Y322">+_xlfn.XLOOKUP($A$320,$A$316:$A$318,_xlfn.XLOOKUP(Y320,$B$315:$AK$315,$B$316:$AK$318))</f>
        <v>6372</v>
      </c>
      <c r="Z322" s="10" cm="1">
        <f t="array" ref="Z322">+_xlfn.XLOOKUP($A$320,$A$316:$A$318,_xlfn.XLOOKUP(Z320,$B$315:$AK$315,$B$316:$AK$318))</f>
        <v>14736</v>
      </c>
      <c r="AA322" s="10" cm="1">
        <f t="array" ref="AA322">+_xlfn.XLOOKUP($A$320,$A$316:$A$318,_xlfn.XLOOKUP(AA320,$B$315:$AK$315,$B$316:$AK$318))</f>
        <v>10578</v>
      </c>
      <c r="AB322" s="10" cm="1">
        <f t="array" ref="AB322">+_xlfn.XLOOKUP($A$320,$A$316:$A$318,_xlfn.XLOOKUP(AB320,$B$315:$AK$315,$B$316:$AK$318))</f>
        <v>48408</v>
      </c>
      <c r="AC322" s="10" cm="1">
        <f t="array" ref="AC322">+_xlfn.XLOOKUP($A$320,$A$316:$A$318,_xlfn.XLOOKUP(AC320,$B$315:$AK$315,$B$316:$AK$318))</f>
        <v>25977</v>
      </c>
      <c r="AD322" s="10" cm="1">
        <f t="array" ref="AD322">+_xlfn.XLOOKUP($A$320,$A$316:$A$318,_xlfn.XLOOKUP(AD320,$B$315:$AK$315,$B$316:$AK$318))</f>
        <v>10239</v>
      </c>
      <c r="AE322" s="10" cm="1">
        <f t="array" ref="AE322">+_xlfn.XLOOKUP($A$320,$A$316:$A$318,_xlfn.XLOOKUP(AE320,$B$315:$AK$315,$B$316:$AK$318))</f>
        <v>18053</v>
      </c>
      <c r="AF322" s="10" cm="1">
        <f t="array" ref="AF322">+_xlfn.XLOOKUP($A$320,$A$316:$A$318,_xlfn.XLOOKUP(AF320,$B$315:$AK$315,$B$316:$AK$318))</f>
        <v>40032</v>
      </c>
      <c r="AG322" s="10" cm="1">
        <f t="array" ref="AG322">+_xlfn.XLOOKUP($A$320,$A$316:$A$318,_xlfn.XLOOKUP(AG320,$B$315:$AK$315,$B$316:$AK$318))</f>
        <v>23466</v>
      </c>
      <c r="AH322" s="10" cm="1">
        <f t="array" ref="AH322">+_xlfn.XLOOKUP($A$320,$A$316:$A$318,_xlfn.XLOOKUP(AH320,$B$315:$AK$315,$B$316:$AK$318))</f>
        <v>49070</v>
      </c>
      <c r="AI322" s="10" cm="1">
        <f t="array" ref="AI322">+_xlfn.XLOOKUP($A$320,$A$316:$A$318,_xlfn.XLOOKUP(AI320,$B$315:$AK$315,$B$316:$AK$318))</f>
        <v>62907</v>
      </c>
      <c r="AJ322" s="10" cm="1">
        <f t="array" ref="AJ322">+_xlfn.XLOOKUP($A$320,$A$316:$A$318,_xlfn.XLOOKUP(AJ320,$B$315:$AK$315,$B$316:$AK$318))</f>
        <v>18595</v>
      </c>
      <c r="AK322" s="10" cm="1">
        <f t="array" ref="AK322">+_xlfn.XLOOKUP($A$320,$A$316:$A$318,_xlfn.XLOOKUP(AK320,$B$315:$AK$315,$B$316:$AK$318))</f>
        <v>27435</v>
      </c>
    </row>
    <row r="326" spans="1:37">
      <c r="E326" s="46" t="s">
        <v>82</v>
      </c>
      <c r="F326" s="46"/>
    </row>
    <row r="327" spans="1:37">
      <c r="E327" s="25" t="s">
        <v>112</v>
      </c>
      <c r="F327" s="26" t="s">
        <v>113</v>
      </c>
      <c r="G327" t="s">
        <v>118</v>
      </c>
    </row>
    <row r="328" spans="1:37">
      <c r="E328" s="20">
        <f>+SUM(Z321:AK321)/SUM(N321:Y321)-1</f>
        <v>1.866878474980143</v>
      </c>
      <c r="F328" s="20">
        <f>+SUM(Z322:AK322)/SUM(N322:Y322)-1</f>
        <v>2.4721824829120966</v>
      </c>
      <c r="G328" s="27">
        <f>+E328-F328</f>
        <v>-0.6053040079319536</v>
      </c>
    </row>
    <row r="329" spans="1:37">
      <c r="E329" s="11"/>
    </row>
    <row r="339" spans="1:39">
      <c r="A339" t="s">
        <v>128</v>
      </c>
      <c r="B339" s="9">
        <v>44713</v>
      </c>
      <c r="C339" s="9">
        <v>44743</v>
      </c>
      <c r="D339" s="9">
        <v>44774</v>
      </c>
      <c r="E339" s="9">
        <v>44805</v>
      </c>
      <c r="F339" s="9">
        <v>44835</v>
      </c>
      <c r="G339" s="9">
        <v>44866</v>
      </c>
      <c r="H339" s="9">
        <v>44896</v>
      </c>
      <c r="I339" s="9">
        <v>44927</v>
      </c>
      <c r="J339" s="9">
        <v>44958</v>
      </c>
      <c r="K339" s="9">
        <v>44986</v>
      </c>
      <c r="L339" s="9">
        <v>45017</v>
      </c>
      <c r="M339" s="9">
        <v>45047</v>
      </c>
      <c r="N339" s="9">
        <v>45078</v>
      </c>
      <c r="O339" s="9">
        <v>45108</v>
      </c>
      <c r="P339" s="9">
        <v>45139</v>
      </c>
      <c r="Q339" s="9">
        <v>45170</v>
      </c>
      <c r="R339" s="9">
        <v>45200</v>
      </c>
      <c r="S339" s="9">
        <v>45231</v>
      </c>
      <c r="T339" s="9">
        <v>45261</v>
      </c>
      <c r="U339" s="9">
        <v>45292</v>
      </c>
      <c r="V339" s="9">
        <v>45323</v>
      </c>
      <c r="W339" s="9">
        <v>45352</v>
      </c>
      <c r="X339" s="9">
        <v>45383</v>
      </c>
      <c r="Y339" s="9">
        <v>45413</v>
      </c>
      <c r="Z339" s="9">
        <v>45444</v>
      </c>
      <c r="AA339" s="9">
        <v>45474</v>
      </c>
      <c r="AB339" s="9">
        <v>45505</v>
      </c>
      <c r="AC339" s="9">
        <v>45536</v>
      </c>
      <c r="AD339" s="9">
        <v>45566</v>
      </c>
      <c r="AE339" s="9">
        <v>45597</v>
      </c>
      <c r="AF339" s="9">
        <v>45627</v>
      </c>
      <c r="AG339" s="9">
        <v>45658</v>
      </c>
      <c r="AH339" s="9">
        <v>45689</v>
      </c>
      <c r="AI339" s="9">
        <v>45717</v>
      </c>
      <c r="AJ339" s="9">
        <v>45748</v>
      </c>
      <c r="AK339" s="9">
        <v>45778</v>
      </c>
    </row>
    <row r="340" spans="1:39">
      <c r="A340" s="24" t="s">
        <v>112</v>
      </c>
      <c r="B340" s="10" cm="1">
        <f t="array" ref="B340">+_xlfn.XLOOKUP($A$291,$A$278:$A$282,_xlfn.XLOOKUP(B339,$B$277:$AK$277,$B$278:$AK$282))</f>
        <v>74865</v>
      </c>
      <c r="C340" s="10" cm="1">
        <f t="array" ref="C340">+_xlfn.XLOOKUP($A$291,$A$278:$A$282,_xlfn.XLOOKUP(C339,$B$277:$AK$277,$B$278:$AK$282))</f>
        <v>70797</v>
      </c>
      <c r="D340" s="10" cm="1">
        <f t="array" ref="D340">+_xlfn.XLOOKUP($A$291,$A$278:$A$282,_xlfn.XLOOKUP(D339,$B$277:$AK$277,$B$278:$AK$282))</f>
        <v>73331</v>
      </c>
      <c r="E340" s="10" cm="1">
        <f t="array" ref="E340">+_xlfn.XLOOKUP($A$291,$A$278:$A$282,_xlfn.XLOOKUP(E339,$B$277:$AK$277,$B$278:$AK$282))</f>
        <v>70264</v>
      </c>
      <c r="F340" s="10" cm="1">
        <f t="array" ref="F340">+_xlfn.XLOOKUP($A$291,$A$278:$A$282,_xlfn.XLOOKUP(F339,$B$277:$AK$277,$B$278:$AK$282))</f>
        <v>73650</v>
      </c>
      <c r="G340" s="10" cm="1">
        <f t="array" ref="G340">+_xlfn.XLOOKUP($A$291,$A$278:$A$282,_xlfn.XLOOKUP(G339,$B$277:$AK$277,$B$278:$AK$282))</f>
        <v>74497</v>
      </c>
      <c r="H340" s="10" cm="1">
        <f t="array" ref="H340">+_xlfn.XLOOKUP($A$291,$A$278:$A$282,_xlfn.XLOOKUP(H339,$B$277:$AK$277,$B$278:$AK$282))</f>
        <v>75193</v>
      </c>
      <c r="I340" s="10" cm="1">
        <f t="array" ref="I340">+_xlfn.XLOOKUP($A$291,$A$278:$A$282,_xlfn.XLOOKUP(I339,$B$277:$AK$277,$B$278:$AK$282))</f>
        <v>81810</v>
      </c>
      <c r="J340" s="10" cm="1">
        <f t="array" ref="J340">+_xlfn.XLOOKUP($A$291,$A$278:$A$282,_xlfn.XLOOKUP(J339,$B$277:$AK$277,$B$278:$AK$282))</f>
        <v>82994</v>
      </c>
      <c r="K340" s="10" cm="1">
        <f t="array" ref="K340">+_xlfn.XLOOKUP($A$291,$A$278:$A$282,_xlfn.XLOOKUP(K339,$B$277:$AK$277,$B$278:$AK$282))</f>
        <v>78383</v>
      </c>
      <c r="L340" s="10" cm="1">
        <f t="array" ref="L340">+_xlfn.XLOOKUP($A$291,$A$278:$A$282,_xlfn.XLOOKUP(L339,$B$277:$AK$277,$B$278:$AK$282))</f>
        <v>79381</v>
      </c>
      <c r="M340" s="10" cm="1">
        <f t="array" ref="M340">+_xlfn.XLOOKUP($A$291,$A$278:$A$282,_xlfn.XLOOKUP(M339,$B$277:$AK$277,$B$278:$AK$282))</f>
        <v>61514</v>
      </c>
      <c r="N340" s="10" cm="1">
        <f t="array" ref="N340">+_xlfn.XLOOKUP($A$291,$A$278:$A$282,_xlfn.XLOOKUP(N339,$B$277:$AK$277,$B$278:$AK$282))</f>
        <v>55140</v>
      </c>
      <c r="O340" s="10" cm="1">
        <f t="array" ref="O340">+_xlfn.XLOOKUP($A$291,$A$278:$A$282,_xlfn.XLOOKUP(O339,$B$277:$AK$277,$B$278:$AK$282))</f>
        <v>60822</v>
      </c>
      <c r="P340" s="10" cm="1">
        <f t="array" ref="P340">+_xlfn.XLOOKUP($A$291,$A$278:$A$282,_xlfn.XLOOKUP(P339,$B$277:$AK$277,$B$278:$AK$282))</f>
        <v>63206</v>
      </c>
      <c r="Q340" s="10" cm="1">
        <f t="array" ref="Q340">+_xlfn.XLOOKUP($A$291,$A$278:$A$282,_xlfn.XLOOKUP(Q339,$B$277:$AK$277,$B$278:$AK$282))</f>
        <v>66601</v>
      </c>
      <c r="R340" s="10" cm="1">
        <f t="array" ref="R340">+_xlfn.XLOOKUP($A$291,$A$278:$A$282,_xlfn.XLOOKUP(R339,$B$277:$AK$277,$B$278:$AK$282))</f>
        <v>60455</v>
      </c>
      <c r="S340" s="10" cm="1">
        <f t="array" ref="S340">+_xlfn.XLOOKUP($A$291,$A$278:$A$282,_xlfn.XLOOKUP(S339,$B$277:$AK$277,$B$278:$AK$282))</f>
        <v>57091</v>
      </c>
      <c r="T340" s="10" cm="1">
        <f t="array" ref="T340">+_xlfn.XLOOKUP($A$291,$A$278:$A$282,_xlfn.XLOOKUP(T339,$B$277:$AK$277,$B$278:$AK$282))</f>
        <v>61021</v>
      </c>
      <c r="U340" s="10" cm="1">
        <f t="array" ref="U340">+_xlfn.XLOOKUP($A$291,$A$278:$A$282,_xlfn.XLOOKUP(U339,$B$277:$AK$277,$B$278:$AK$282))</f>
        <v>68388</v>
      </c>
      <c r="V340" s="10" cm="1">
        <f t="array" ref="V340">+_xlfn.XLOOKUP($A$291,$A$278:$A$282,_xlfn.XLOOKUP(V339,$B$277:$AK$277,$B$278:$AK$282))</f>
        <v>67413</v>
      </c>
      <c r="W340" s="10" cm="1">
        <f t="array" ref="W340">+_xlfn.XLOOKUP($A$291,$A$278:$A$282,_xlfn.XLOOKUP(W339,$B$277:$AK$277,$B$278:$AK$282))</f>
        <v>63761</v>
      </c>
      <c r="X340" s="10" cm="1">
        <f t="array" ref="X340">+_xlfn.XLOOKUP($A$291,$A$278:$A$282,_xlfn.XLOOKUP(X339,$B$277:$AK$277,$B$278:$AK$282))</f>
        <v>64840</v>
      </c>
      <c r="Y340" s="10" cm="1">
        <f t="array" ref="Y340">+_xlfn.XLOOKUP($A$291,$A$278:$A$282,_xlfn.XLOOKUP(Y339,$B$277:$AK$277,$B$278:$AK$282))</f>
        <v>55162</v>
      </c>
      <c r="Z340" s="10" cm="1">
        <f t="array" ref="Z340">+_xlfn.XLOOKUP($A$291,$A$278:$A$282,_xlfn.XLOOKUP(Z339,$B$277:$AK$277,$B$278:$AK$282))</f>
        <v>57137</v>
      </c>
      <c r="AA340" s="10" cm="1">
        <f t="array" ref="AA340">+_xlfn.XLOOKUP($A$291,$A$278:$A$282,_xlfn.XLOOKUP(AA339,$B$277:$AK$277,$B$278:$AK$282))</f>
        <v>59236</v>
      </c>
      <c r="AB340" s="10" cm="1">
        <f t="array" ref="AB340">+_xlfn.XLOOKUP($A$291,$A$278:$A$282,_xlfn.XLOOKUP(AB339,$B$277:$AK$277,$B$278:$AK$282))</f>
        <v>58937</v>
      </c>
      <c r="AC340" s="10" cm="1">
        <f t="array" ref="AC340">+_xlfn.XLOOKUP($A$291,$A$278:$A$282,_xlfn.XLOOKUP(AC339,$B$277:$AK$277,$B$278:$AK$282))</f>
        <v>55737</v>
      </c>
      <c r="AD340" s="10" cm="1">
        <f t="array" ref="AD340">+_xlfn.XLOOKUP($A$291,$A$278:$A$282,_xlfn.XLOOKUP(AD339,$B$277:$AK$277,$B$278:$AK$282))</f>
        <v>54050</v>
      </c>
      <c r="AE340" s="10" cm="1">
        <f t="array" ref="AE340">+_xlfn.XLOOKUP($A$291,$A$278:$A$282,_xlfn.XLOOKUP(AE339,$B$277:$AK$277,$B$278:$AK$282))</f>
        <v>49803</v>
      </c>
      <c r="AF340" s="10" cm="1">
        <f t="array" ref="AF340">+_xlfn.XLOOKUP($A$291,$A$278:$A$282,_xlfn.XLOOKUP(AF339,$B$277:$AK$277,$B$278:$AK$282))</f>
        <v>52440</v>
      </c>
      <c r="AG340" s="10" cm="1">
        <f t="array" ref="AG340">+_xlfn.XLOOKUP($A$291,$A$278:$A$282,_xlfn.XLOOKUP(AG339,$B$277:$AK$277,$B$278:$AK$282))</f>
        <v>53101</v>
      </c>
      <c r="AH340" s="10" cm="1">
        <f t="array" ref="AH340">+_xlfn.XLOOKUP($A$291,$A$278:$A$282,_xlfn.XLOOKUP(AH339,$B$277:$AK$277,$B$278:$AK$282))</f>
        <v>56822</v>
      </c>
      <c r="AI340" s="10" cm="1">
        <f t="array" ref="AI340">+_xlfn.XLOOKUP($A$291,$A$278:$A$282,_xlfn.XLOOKUP(AI339,$B$277:$AK$277,$B$278:$AK$282))</f>
        <v>51487</v>
      </c>
      <c r="AJ340" s="10" cm="1">
        <f t="array" ref="AJ340">+_xlfn.XLOOKUP($A$291,$A$278:$A$282,_xlfn.XLOOKUP(AJ339,$B$277:$AK$277,$B$278:$AK$282))</f>
        <v>47172</v>
      </c>
      <c r="AK340" s="10" cm="1">
        <f t="array" ref="AK340">+_xlfn.XLOOKUP($A$291,$A$278:$A$282,_xlfn.XLOOKUP(AK339,$B$277:$AK$277,$B$278:$AK$282))</f>
        <v>44469</v>
      </c>
    </row>
    <row r="341" spans="1:39">
      <c r="A341" s="24" t="s">
        <v>113</v>
      </c>
      <c r="B341" s="10" cm="1">
        <f t="array" ref="B341">+_xlfn.XLOOKUP($A$291,$A$285:$A$289,_xlfn.XLOOKUP(B339,$B$284:$AK$284,$B$285:$AK$289))</f>
        <v>109442</v>
      </c>
      <c r="C341" s="10" cm="1">
        <f t="array" ref="C341">+_xlfn.XLOOKUP($A$291,$A$285:$A$289,_xlfn.XLOOKUP(C339,$B$284:$AK$284,$B$285:$AK$289))</f>
        <v>128282</v>
      </c>
      <c r="D341" s="10" cm="1">
        <f t="array" ref="D341">+_xlfn.XLOOKUP($A$291,$A$285:$A$289,_xlfn.XLOOKUP(D339,$B$284:$AK$284,$B$285:$AK$289))</f>
        <v>132003</v>
      </c>
      <c r="E341" s="10" cm="1">
        <f t="array" ref="E341">+_xlfn.XLOOKUP($A$291,$A$285:$A$289,_xlfn.XLOOKUP(E339,$B$284:$AK$284,$B$285:$AK$289))</f>
        <v>106189</v>
      </c>
      <c r="F341" s="10" cm="1">
        <f t="array" ref="F341">+_xlfn.XLOOKUP($A$291,$A$285:$A$289,_xlfn.XLOOKUP(F339,$B$284:$AK$284,$B$285:$AK$289))</f>
        <v>105320</v>
      </c>
      <c r="G341" s="10" cm="1">
        <f t="array" ref="G341">+_xlfn.XLOOKUP($A$291,$A$285:$A$289,_xlfn.XLOOKUP(G339,$B$284:$AK$284,$B$285:$AK$289))</f>
        <v>91296</v>
      </c>
      <c r="H341" s="10" cm="1">
        <f t="array" ref="H341">+_xlfn.XLOOKUP($A$291,$A$285:$A$289,_xlfn.XLOOKUP(H339,$B$284:$AK$284,$B$285:$AK$289))</f>
        <v>87478</v>
      </c>
      <c r="I341" s="10" cm="1">
        <f t="array" ref="I341">+_xlfn.XLOOKUP($A$291,$A$285:$A$289,_xlfn.XLOOKUP(I339,$B$284:$AK$284,$B$285:$AK$289))</f>
        <v>62889</v>
      </c>
      <c r="J341" s="10" cm="1">
        <f t="array" ref="J341">+_xlfn.XLOOKUP($A$291,$A$285:$A$289,_xlfn.XLOOKUP(J339,$B$284:$AK$284,$B$285:$AK$289))</f>
        <v>94665</v>
      </c>
      <c r="K341" s="10" cm="1">
        <f t="array" ref="K341">+_xlfn.XLOOKUP($A$291,$A$285:$A$289,_xlfn.XLOOKUP(K339,$B$284:$AK$284,$B$285:$AK$289))</f>
        <v>90924</v>
      </c>
      <c r="L341" s="10" cm="1">
        <f t="array" ref="L341">+_xlfn.XLOOKUP($A$291,$A$285:$A$289,_xlfn.XLOOKUP(L339,$B$284:$AK$284,$B$285:$AK$289))</f>
        <v>72862</v>
      </c>
      <c r="M341" s="10" cm="1">
        <f t="array" ref="M341">+_xlfn.XLOOKUP($A$291,$A$285:$A$289,_xlfn.XLOOKUP(M339,$B$284:$AK$284,$B$285:$AK$289))</f>
        <v>76009</v>
      </c>
      <c r="N341" s="10" cm="1">
        <f t="array" ref="N341">+_xlfn.XLOOKUP($A$291,$A$285:$A$289,_xlfn.XLOOKUP(N339,$B$284:$AK$284,$B$285:$AK$289))</f>
        <v>104224</v>
      </c>
      <c r="O341" s="10" cm="1">
        <f t="array" ref="O341">+_xlfn.XLOOKUP($A$291,$A$285:$A$289,_xlfn.XLOOKUP(O339,$B$284:$AK$284,$B$285:$AK$289))</f>
        <v>86742</v>
      </c>
      <c r="P341" s="10" cm="1">
        <f t="array" ref="P341">+_xlfn.XLOOKUP($A$291,$A$285:$A$289,_xlfn.XLOOKUP(P339,$B$284:$AK$284,$B$285:$AK$289))</f>
        <v>93619</v>
      </c>
      <c r="Q341" s="10" cm="1">
        <f t="array" ref="Q341">+_xlfn.XLOOKUP($A$291,$A$285:$A$289,_xlfn.XLOOKUP(Q339,$B$284:$AK$284,$B$285:$AK$289))</f>
        <v>77862</v>
      </c>
      <c r="R341" s="10" cm="1">
        <f t="array" ref="R341">+_xlfn.XLOOKUP($A$291,$A$285:$A$289,_xlfn.XLOOKUP(R339,$B$284:$AK$284,$B$285:$AK$289))</f>
        <v>71434</v>
      </c>
      <c r="S341" s="10" cm="1">
        <f t="array" ref="S341">+_xlfn.XLOOKUP($A$291,$A$285:$A$289,_xlfn.XLOOKUP(S339,$B$284:$AK$284,$B$285:$AK$289))</f>
        <v>70867</v>
      </c>
      <c r="T341" s="10" cm="1">
        <f t="array" ref="T341">+_xlfn.XLOOKUP($A$291,$A$285:$A$289,_xlfn.XLOOKUP(T339,$B$284:$AK$284,$B$285:$AK$289))</f>
        <v>90762</v>
      </c>
      <c r="U341" s="10" cm="1">
        <f t="array" ref="U341">+_xlfn.XLOOKUP($A$291,$A$285:$A$289,_xlfn.XLOOKUP(U339,$B$284:$AK$284,$B$285:$AK$289))</f>
        <v>54516</v>
      </c>
      <c r="V341" s="10" cm="1">
        <f t="array" ref="V341">+_xlfn.XLOOKUP($A$291,$A$285:$A$289,_xlfn.XLOOKUP(V339,$B$284:$AK$284,$B$285:$AK$289))</f>
        <v>78355</v>
      </c>
      <c r="W341" s="10" cm="1">
        <f t="array" ref="W341">+_xlfn.XLOOKUP($A$291,$A$285:$A$289,_xlfn.XLOOKUP(W339,$B$284:$AK$284,$B$285:$AK$289))</f>
        <v>16602</v>
      </c>
      <c r="X341" s="10" cm="1">
        <f t="array" ref="X341">+_xlfn.XLOOKUP($A$291,$A$285:$A$289,_xlfn.XLOOKUP(X339,$B$284:$AK$284,$B$285:$AK$289))</f>
        <v>54962</v>
      </c>
      <c r="Y341" s="10" cm="1">
        <f t="array" ref="Y341">+_xlfn.XLOOKUP($A$291,$A$285:$A$289,_xlfn.XLOOKUP(Y339,$B$284:$AK$284,$B$285:$AK$289))</f>
        <v>58551</v>
      </c>
      <c r="Z341" s="10" cm="1">
        <f t="array" ref="Z341">+_xlfn.XLOOKUP($A$291,$A$285:$A$289,_xlfn.XLOOKUP(Z339,$B$284:$AK$284,$B$285:$AK$289))</f>
        <v>63966</v>
      </c>
      <c r="AA341" s="10" cm="1">
        <f t="array" ref="AA341">+_xlfn.XLOOKUP($A$291,$A$285:$A$289,_xlfn.XLOOKUP(AA339,$B$284:$AK$284,$B$285:$AK$289))</f>
        <v>54928</v>
      </c>
      <c r="AB341" s="10" cm="1">
        <f t="array" ref="AB341">+_xlfn.XLOOKUP($A$291,$A$285:$A$289,_xlfn.XLOOKUP(AB339,$B$284:$AK$284,$B$285:$AK$289))</f>
        <v>70197</v>
      </c>
      <c r="AC341" s="10" cm="1">
        <f t="array" ref="AC341">+_xlfn.XLOOKUP($A$291,$A$285:$A$289,_xlfn.XLOOKUP(AC339,$B$284:$AK$284,$B$285:$AK$289))</f>
        <v>56753</v>
      </c>
      <c r="AD341" s="10" cm="1">
        <f t="array" ref="AD341">+_xlfn.XLOOKUP($A$291,$A$285:$A$289,_xlfn.XLOOKUP(AD339,$B$284:$AK$284,$B$285:$AK$289))</f>
        <v>49874</v>
      </c>
      <c r="AE341" s="10" cm="1">
        <f t="array" ref="AE341">+_xlfn.XLOOKUP($A$291,$A$285:$A$289,_xlfn.XLOOKUP(AE339,$B$284:$AK$284,$B$285:$AK$289))</f>
        <v>75079</v>
      </c>
      <c r="AF341" s="10" cm="1">
        <f t="array" ref="AF341">+_xlfn.XLOOKUP($A$291,$A$285:$A$289,_xlfn.XLOOKUP(AF339,$B$284:$AK$284,$B$285:$AK$289))</f>
        <v>52242</v>
      </c>
      <c r="AG341" s="10" cm="1">
        <f t="array" ref="AG341">+_xlfn.XLOOKUP($A$291,$A$285:$A$289,_xlfn.XLOOKUP(AG339,$B$284:$AK$284,$B$285:$AK$289))</f>
        <v>37510</v>
      </c>
      <c r="AH341" s="10" cm="1">
        <f t="array" ref="AH341">+_xlfn.XLOOKUP($A$291,$A$285:$A$289,_xlfn.XLOOKUP(AH339,$B$284:$AK$284,$B$285:$AK$289))</f>
        <v>70318</v>
      </c>
      <c r="AI341" s="10" cm="1">
        <f t="array" ref="AI341">+_xlfn.XLOOKUP($A$291,$A$285:$A$289,_xlfn.XLOOKUP(AI339,$B$284:$AK$284,$B$285:$AK$289))</f>
        <v>65905</v>
      </c>
      <c r="AJ341" s="10" cm="1">
        <f t="array" ref="AJ341">+_xlfn.XLOOKUP($A$291,$A$285:$A$289,_xlfn.XLOOKUP(AJ339,$B$284:$AK$284,$B$285:$AK$289))</f>
        <v>47003</v>
      </c>
      <c r="AK341" s="10" cm="1">
        <f t="array" ref="AK341">+_xlfn.XLOOKUP($A$291,$A$285:$A$289,_xlfn.XLOOKUP(AK339,$B$284:$AK$284,$B$285:$AK$289))</f>
        <v>40248</v>
      </c>
    </row>
    <row r="342" spans="1:39">
      <c r="A342" t="s">
        <v>115</v>
      </c>
      <c r="B342" s="27">
        <v>0.17699999999999999</v>
      </c>
      <c r="C342" s="27">
        <v>0.18</v>
      </c>
      <c r="D342" s="27">
        <v>0.18099999999999999</v>
      </c>
      <c r="E342" s="27">
        <v>0.183</v>
      </c>
      <c r="F342" s="27">
        <v>0.187</v>
      </c>
      <c r="G342" s="27">
        <v>0.191</v>
      </c>
      <c r="H342" s="27">
        <v>0.192</v>
      </c>
      <c r="I342" s="27">
        <v>0.186</v>
      </c>
      <c r="J342" s="27">
        <v>0.185</v>
      </c>
      <c r="K342" s="27">
        <v>0.185</v>
      </c>
      <c r="L342" s="27">
        <v>0.17399999999999999</v>
      </c>
      <c r="M342" s="27">
        <v>0.183</v>
      </c>
      <c r="N342" s="27">
        <v>0.183</v>
      </c>
      <c r="O342" s="27">
        <v>0.18</v>
      </c>
      <c r="P342" s="27">
        <v>0.17499999999999999</v>
      </c>
      <c r="Q342" s="27">
        <v>0.17299999999999999</v>
      </c>
      <c r="R342" s="27">
        <v>0.17799999999999999</v>
      </c>
      <c r="S342" s="27">
        <v>0.184</v>
      </c>
      <c r="T342" s="27">
        <v>0.18099999999999999</v>
      </c>
      <c r="U342" s="27">
        <v>0.17299999999999999</v>
      </c>
      <c r="V342" s="27">
        <v>0.16900000000000001</v>
      </c>
      <c r="W342" s="27">
        <v>0.17100000000000001</v>
      </c>
      <c r="X342" s="27">
        <v>0.17599999999999999</v>
      </c>
      <c r="Y342" s="27">
        <v>0.17899999999999999</v>
      </c>
      <c r="Z342" s="27">
        <v>0.18099999999999999</v>
      </c>
      <c r="AA342" s="27">
        <v>0.17399999999999999</v>
      </c>
      <c r="AB342" s="27">
        <v>0.17599999999999999</v>
      </c>
      <c r="AC342" s="27">
        <v>0.184</v>
      </c>
      <c r="AD342" s="27">
        <v>0.17299999999999999</v>
      </c>
      <c r="AE342" s="27">
        <v>0.17599999999999999</v>
      </c>
      <c r="AF342" s="27">
        <v>0.17100000000000001</v>
      </c>
      <c r="AG342" s="27">
        <v>0.17100000000000001</v>
      </c>
      <c r="AH342" s="27">
        <v>0.17199999999999999</v>
      </c>
      <c r="AI342" s="27">
        <v>0.16400000000000001</v>
      </c>
      <c r="AJ342" s="27">
        <v>0.16600000000000001</v>
      </c>
      <c r="AK342" s="27">
        <v>0.16300000000000001</v>
      </c>
      <c r="AL342" s="44"/>
      <c r="AM342" s="44"/>
    </row>
    <row r="343" spans="1:39">
      <c r="A343" t="s">
        <v>131</v>
      </c>
      <c r="B343" s="27">
        <v>0.84299999999999997</v>
      </c>
      <c r="C343" s="27">
        <v>0.85399999999999998</v>
      </c>
      <c r="D343" s="27">
        <v>0.83699999999999997</v>
      </c>
      <c r="E343" s="27">
        <v>0.84</v>
      </c>
      <c r="F343" s="27">
        <v>0.84599999999999997</v>
      </c>
      <c r="G343" s="27">
        <v>0.83899999999999997</v>
      </c>
      <c r="H343" s="27">
        <v>0.83899999999999997</v>
      </c>
      <c r="I343" s="27">
        <v>0.84699999999999998</v>
      </c>
      <c r="J343" s="27">
        <v>0.85499999999999998</v>
      </c>
      <c r="K343" s="27">
        <v>0.85699999999999998</v>
      </c>
      <c r="L343" s="27">
        <v>0.84</v>
      </c>
      <c r="M343" s="27">
        <v>0.84699999999999998</v>
      </c>
      <c r="N343" s="27">
        <v>0.84799999999999998</v>
      </c>
      <c r="O343" s="27">
        <v>0.85399999999999998</v>
      </c>
      <c r="P343" s="27">
        <v>0.85799999999999998</v>
      </c>
      <c r="Q343" s="27">
        <v>0.84099999999999997</v>
      </c>
      <c r="R343" s="27">
        <v>0.84</v>
      </c>
      <c r="S343" s="27">
        <v>0.84699999999999998</v>
      </c>
      <c r="T343" s="27">
        <v>0.85099999999999998</v>
      </c>
      <c r="U343" s="27">
        <v>0.86099999999999999</v>
      </c>
      <c r="V343" s="27">
        <v>0.85899999999999999</v>
      </c>
      <c r="W343" s="27">
        <v>0.85299999999999998</v>
      </c>
      <c r="X343" s="27">
        <v>0.84699999999999998</v>
      </c>
      <c r="Y343" s="27">
        <v>0.84499999999999997</v>
      </c>
      <c r="Z343" s="27">
        <v>0.83499999999999996</v>
      </c>
      <c r="AA343" s="27">
        <v>0.82899999999999996</v>
      </c>
      <c r="AB343" s="27">
        <v>0.83299999999999996</v>
      </c>
      <c r="AC343" s="27">
        <v>0.84599999999999997</v>
      </c>
      <c r="AD343" s="27">
        <v>0.83299999999999996</v>
      </c>
      <c r="AE343" s="27">
        <v>0.85499999999999998</v>
      </c>
      <c r="AF343" s="27">
        <v>0.85599999999999998</v>
      </c>
      <c r="AG343" s="27">
        <v>0.872</v>
      </c>
      <c r="AH343" s="27">
        <v>0.86599999999999999</v>
      </c>
      <c r="AI343" s="27">
        <v>0.85</v>
      </c>
      <c r="AJ343" s="27">
        <v>0.84199999999999997</v>
      </c>
      <c r="AK343" s="27">
        <v>0.84499999999999997</v>
      </c>
      <c r="AL343" s="44"/>
      <c r="AM343" s="44"/>
    </row>
    <row r="360" spans="1:37">
      <c r="A360" t="s">
        <v>129</v>
      </c>
      <c r="B360" s="9">
        <v>44713</v>
      </c>
      <c r="C360" s="9">
        <v>44743</v>
      </c>
      <c r="D360" s="9">
        <v>44774</v>
      </c>
      <c r="E360" s="9">
        <v>44805</v>
      </c>
      <c r="F360" s="9">
        <v>44835</v>
      </c>
      <c r="G360" s="9">
        <v>44866</v>
      </c>
      <c r="H360" s="9">
        <v>44896</v>
      </c>
      <c r="I360" s="9">
        <v>44927</v>
      </c>
      <c r="J360" s="9">
        <v>44958</v>
      </c>
      <c r="K360" s="9">
        <v>44986</v>
      </c>
      <c r="L360" s="9">
        <v>45017</v>
      </c>
      <c r="M360" s="9">
        <v>45047</v>
      </c>
      <c r="N360" s="9">
        <v>45078</v>
      </c>
      <c r="O360" s="9">
        <v>45108</v>
      </c>
      <c r="P360" s="9">
        <v>45139</v>
      </c>
      <c r="Q360" s="9">
        <v>45170</v>
      </c>
      <c r="R360" s="9">
        <v>45200</v>
      </c>
      <c r="S360" s="9">
        <v>45231</v>
      </c>
      <c r="T360" s="9">
        <v>45261</v>
      </c>
      <c r="U360" s="9">
        <v>45292</v>
      </c>
      <c r="V360" s="9">
        <v>45323</v>
      </c>
      <c r="W360" s="9">
        <v>45352</v>
      </c>
      <c r="X360" s="9">
        <v>45383</v>
      </c>
      <c r="Y360" s="9">
        <v>45413</v>
      </c>
      <c r="Z360" s="9">
        <v>45444</v>
      </c>
      <c r="AA360" s="9">
        <v>45474</v>
      </c>
      <c r="AB360" s="9">
        <v>45505</v>
      </c>
      <c r="AC360" s="9">
        <v>45536</v>
      </c>
      <c r="AD360" s="9">
        <v>45566</v>
      </c>
      <c r="AE360" s="9">
        <v>45597</v>
      </c>
      <c r="AF360" s="9">
        <v>45627</v>
      </c>
      <c r="AG360" s="9">
        <v>45658</v>
      </c>
      <c r="AH360" s="9">
        <v>45689</v>
      </c>
      <c r="AI360" s="9">
        <v>45717</v>
      </c>
      <c r="AJ360" s="9">
        <v>45748</v>
      </c>
      <c r="AK360" s="9">
        <v>45778</v>
      </c>
    </row>
    <row r="361" spans="1:37">
      <c r="A361" s="24" t="s">
        <v>112</v>
      </c>
      <c r="B361" s="10" cm="1">
        <f t="array" ref="B361">+_xlfn.XLOOKUP($A$320,$A$311:$A$313,_xlfn.XLOOKUP(B360,$B$310:$AK$310,$B$311:$AK$313))</f>
        <v>0</v>
      </c>
      <c r="C361" s="10" cm="1">
        <f t="array" ref="C361">+_xlfn.XLOOKUP($A$320,$A$311:$A$313,_xlfn.XLOOKUP(C360,$B$310:$AK$310,$B$311:$AK$313))</f>
        <v>0</v>
      </c>
      <c r="D361" s="10" cm="1">
        <f t="array" ref="D361">+_xlfn.XLOOKUP($A$320,$A$311:$A$313,_xlfn.XLOOKUP(D360,$B$310:$AK$310,$B$311:$AK$313))</f>
        <v>0</v>
      </c>
      <c r="E361" s="10" cm="1">
        <f t="array" ref="E361">+_xlfn.XLOOKUP($A$320,$A$311:$A$313,_xlfn.XLOOKUP(E360,$B$310:$AK$310,$B$311:$AK$313))</f>
        <v>0</v>
      </c>
      <c r="F361" s="10" cm="1">
        <f t="array" ref="F361">+_xlfn.XLOOKUP($A$320,$A$311:$A$313,_xlfn.XLOOKUP(F360,$B$310:$AK$310,$B$311:$AK$313))</f>
        <v>0</v>
      </c>
      <c r="G361" s="10" cm="1">
        <f t="array" ref="G361">+_xlfn.XLOOKUP($A$320,$A$311:$A$313,_xlfn.XLOOKUP(G360,$B$310:$AK$310,$B$311:$AK$313))</f>
        <v>0</v>
      </c>
      <c r="H361" s="10" cm="1">
        <f t="array" ref="H361">+_xlfn.XLOOKUP($A$320,$A$311:$A$313,_xlfn.XLOOKUP(H360,$B$310:$AK$310,$B$311:$AK$313))</f>
        <v>0</v>
      </c>
      <c r="I361" s="10" cm="1">
        <f t="array" ref="I361">+_xlfn.XLOOKUP($A$320,$A$311:$A$313,_xlfn.XLOOKUP(I360,$B$310:$AK$310,$B$311:$AK$313))</f>
        <v>0</v>
      </c>
      <c r="J361" s="10" cm="1">
        <f t="array" ref="J361">+_xlfn.XLOOKUP($A$320,$A$311:$A$313,_xlfn.XLOOKUP(J360,$B$310:$AK$310,$B$311:$AK$313))</f>
        <v>0</v>
      </c>
      <c r="K361" s="10" cm="1">
        <f t="array" ref="K361">+_xlfn.XLOOKUP($A$320,$A$311:$A$313,_xlfn.XLOOKUP(K360,$B$310:$AK$310,$B$311:$AK$313))</f>
        <v>0</v>
      </c>
      <c r="L361" s="10" cm="1">
        <f t="array" ref="L361">+_xlfn.XLOOKUP($A$320,$A$311:$A$313,_xlfn.XLOOKUP(L360,$B$310:$AK$310,$B$311:$AK$313))</f>
        <v>0</v>
      </c>
      <c r="M361" s="10" cm="1">
        <f t="array" ref="M361">+_xlfn.XLOOKUP($A$320,$A$311:$A$313,_xlfn.XLOOKUP(M360,$B$310:$AK$310,$B$311:$AK$313))</f>
        <v>523</v>
      </c>
      <c r="N361" s="10" cm="1">
        <f t="array" ref="N361">+_xlfn.XLOOKUP($A$320,$A$311:$A$313,_xlfn.XLOOKUP(N360,$B$310:$AK$310,$B$311:$AK$313))</f>
        <v>3221</v>
      </c>
      <c r="O361" s="10" cm="1">
        <f t="array" ref="O361">+_xlfn.XLOOKUP($A$320,$A$311:$A$313,_xlfn.XLOOKUP(O360,$B$310:$AK$310,$B$311:$AK$313))</f>
        <v>4814</v>
      </c>
      <c r="P361" s="10" cm="1">
        <f t="array" ref="P361">+_xlfn.XLOOKUP($A$320,$A$311:$A$313,_xlfn.XLOOKUP(P360,$B$310:$AK$310,$B$311:$AK$313))</f>
        <v>5598</v>
      </c>
      <c r="Q361" s="10" cm="1">
        <f t="array" ref="Q361">+_xlfn.XLOOKUP($A$320,$A$311:$A$313,_xlfn.XLOOKUP(Q360,$B$310:$AK$310,$B$311:$AK$313))</f>
        <v>5954</v>
      </c>
      <c r="R361" s="10" cm="1">
        <f t="array" ref="R361">+_xlfn.XLOOKUP($A$320,$A$311:$A$313,_xlfn.XLOOKUP(R360,$B$310:$AK$310,$B$311:$AK$313))</f>
        <v>8314</v>
      </c>
      <c r="S361" s="10" cm="1">
        <f t="array" ref="S361">+_xlfn.XLOOKUP($A$320,$A$311:$A$313,_xlfn.XLOOKUP(S360,$B$310:$AK$310,$B$311:$AK$313))</f>
        <v>7047</v>
      </c>
      <c r="T361" s="10" cm="1">
        <f t="array" ref="T361">+_xlfn.XLOOKUP($A$320,$A$311:$A$313,_xlfn.XLOOKUP(T360,$B$310:$AK$310,$B$311:$AK$313))</f>
        <v>6189</v>
      </c>
      <c r="U361" s="10" cm="1">
        <f t="array" ref="U361">+_xlfn.XLOOKUP($A$320,$A$311:$A$313,_xlfn.XLOOKUP(U360,$B$310:$AK$310,$B$311:$AK$313))</f>
        <v>6348</v>
      </c>
      <c r="V361" s="10" cm="1">
        <f t="array" ref="V361">+_xlfn.XLOOKUP($A$320,$A$311:$A$313,_xlfn.XLOOKUP(V360,$B$310:$AK$310,$B$311:$AK$313))</f>
        <v>5471</v>
      </c>
      <c r="W361" s="10" cm="1">
        <f t="array" ref="W361">+_xlfn.XLOOKUP($A$320,$A$311:$A$313,_xlfn.XLOOKUP(W360,$B$310:$AK$310,$B$311:$AK$313))</f>
        <v>6103</v>
      </c>
      <c r="X361" s="10" cm="1">
        <f t="array" ref="X361">+_xlfn.XLOOKUP($A$320,$A$311:$A$313,_xlfn.XLOOKUP(X360,$B$310:$AK$310,$B$311:$AK$313))</f>
        <v>7612</v>
      </c>
      <c r="Y361" s="10" cm="1">
        <f t="array" ref="Y361">+_xlfn.XLOOKUP($A$320,$A$311:$A$313,_xlfn.XLOOKUP(Y360,$B$310:$AK$310,$B$311:$AK$313))</f>
        <v>8869</v>
      </c>
      <c r="Z361" s="10" cm="1">
        <f t="array" ref="Z361">+_xlfn.XLOOKUP($A$320,$A$311:$A$313,_xlfn.XLOOKUP(Z360,$B$310:$AK$310,$B$311:$AK$313))</f>
        <v>11332</v>
      </c>
      <c r="AA361" s="10" cm="1">
        <f t="array" ref="AA361">+_xlfn.XLOOKUP($A$320,$A$311:$A$313,_xlfn.XLOOKUP(AA360,$B$310:$AK$310,$B$311:$AK$313))</f>
        <v>13814</v>
      </c>
      <c r="AB361" s="10" cm="1">
        <f t="array" ref="AB361">+_xlfn.XLOOKUP($A$320,$A$311:$A$313,_xlfn.XLOOKUP(AB360,$B$310:$AK$310,$B$311:$AK$313))</f>
        <v>13674</v>
      </c>
      <c r="AC361" s="10" cm="1">
        <f t="array" ref="AC361">+_xlfn.XLOOKUP($A$320,$A$311:$A$313,_xlfn.XLOOKUP(AC360,$B$310:$AK$310,$B$311:$AK$313))</f>
        <v>16331</v>
      </c>
      <c r="AD361" s="10" cm="1">
        <f t="array" ref="AD361">+_xlfn.XLOOKUP($A$320,$A$311:$A$313,_xlfn.XLOOKUP(AD360,$B$310:$AK$310,$B$311:$AK$313))</f>
        <v>17623</v>
      </c>
      <c r="AE361" s="10" cm="1">
        <f t="array" ref="AE361">+_xlfn.XLOOKUP($A$320,$A$311:$A$313,_xlfn.XLOOKUP(AE360,$B$310:$AK$310,$B$311:$AK$313))</f>
        <v>18345</v>
      </c>
      <c r="AF361" s="10" cm="1">
        <f t="array" ref="AF361">+_xlfn.XLOOKUP($A$320,$A$311:$A$313,_xlfn.XLOOKUP(AF360,$B$310:$AK$310,$B$311:$AK$313))</f>
        <v>23451</v>
      </c>
      <c r="AG361" s="10" cm="1">
        <f t="array" ref="AG361">+_xlfn.XLOOKUP($A$320,$A$311:$A$313,_xlfn.XLOOKUP(AG360,$B$310:$AK$310,$B$311:$AK$313))</f>
        <v>19273</v>
      </c>
      <c r="AH361" s="10" cm="1">
        <f t="array" ref="AH361">+_xlfn.XLOOKUP($A$320,$A$311:$A$313,_xlfn.XLOOKUP(AH360,$B$310:$AK$310,$B$311:$AK$313))</f>
        <v>20217</v>
      </c>
      <c r="AI361" s="10" cm="1">
        <f t="array" ref="AI361">+_xlfn.XLOOKUP($A$320,$A$311:$A$313,_xlfn.XLOOKUP(AI360,$B$310:$AK$310,$B$311:$AK$313))</f>
        <v>23464</v>
      </c>
      <c r="AJ361" s="10" cm="1">
        <f t="array" ref="AJ361">+_xlfn.XLOOKUP($A$320,$A$311:$A$313,_xlfn.XLOOKUP(AJ360,$B$310:$AK$310,$B$311:$AK$313))</f>
        <v>18400</v>
      </c>
      <c r="AK361" s="10" cm="1">
        <f t="array" ref="AK361">+_xlfn.XLOOKUP($A$320,$A$311:$A$313,_xlfn.XLOOKUP(AK360,$B$310:$AK$310,$B$311:$AK$313))</f>
        <v>20640</v>
      </c>
    </row>
    <row r="362" spans="1:37">
      <c r="A362" s="24" t="s">
        <v>113</v>
      </c>
      <c r="B362" s="10" cm="1">
        <f t="array" ref="B362">+_xlfn.XLOOKUP($A$320,$A$316:$A$318,_xlfn.XLOOKUP(B360,$B$315:$AK$315,$B$316:$AK$318))</f>
        <v>0</v>
      </c>
      <c r="C362" s="10" cm="1">
        <f t="array" ref="C362">+_xlfn.XLOOKUP($A$320,$A$316:$A$318,_xlfn.XLOOKUP(C360,$B$315:$AK$315,$B$316:$AK$318))</f>
        <v>0</v>
      </c>
      <c r="D362" s="10" cm="1">
        <f t="array" ref="D362">+_xlfn.XLOOKUP($A$320,$A$316:$A$318,_xlfn.XLOOKUP(D360,$B$315:$AK$315,$B$316:$AK$318))</f>
        <v>0</v>
      </c>
      <c r="E362" s="10" cm="1">
        <f t="array" ref="E362">+_xlfn.XLOOKUP($A$320,$A$316:$A$318,_xlfn.XLOOKUP(E360,$B$315:$AK$315,$B$316:$AK$318))</f>
        <v>0</v>
      </c>
      <c r="F362" s="10" cm="1">
        <f t="array" ref="F362">+_xlfn.XLOOKUP($A$320,$A$316:$A$318,_xlfn.XLOOKUP(F360,$B$315:$AK$315,$B$316:$AK$318))</f>
        <v>0</v>
      </c>
      <c r="G362" s="10" cm="1">
        <f t="array" ref="G362">+_xlfn.XLOOKUP($A$320,$A$316:$A$318,_xlfn.XLOOKUP(G360,$B$315:$AK$315,$B$316:$AK$318))</f>
        <v>0</v>
      </c>
      <c r="H362" s="10" cm="1">
        <f t="array" ref="H362">+_xlfn.XLOOKUP($A$320,$A$316:$A$318,_xlfn.XLOOKUP(H360,$B$315:$AK$315,$B$316:$AK$318))</f>
        <v>0</v>
      </c>
      <c r="I362" s="10" cm="1">
        <f t="array" ref="I362">+_xlfn.XLOOKUP($A$320,$A$316:$A$318,_xlfn.XLOOKUP(I360,$B$315:$AK$315,$B$316:$AK$318))</f>
        <v>0</v>
      </c>
      <c r="J362" s="10" cm="1">
        <f t="array" ref="J362">+_xlfn.XLOOKUP($A$320,$A$316:$A$318,_xlfn.XLOOKUP(J360,$B$315:$AK$315,$B$316:$AK$318))</f>
        <v>0</v>
      </c>
      <c r="K362" s="10" cm="1">
        <f t="array" ref="K362">+_xlfn.XLOOKUP($A$320,$A$316:$A$318,_xlfn.XLOOKUP(K360,$B$315:$AK$315,$B$316:$AK$318))</f>
        <v>0</v>
      </c>
      <c r="L362" s="10" cm="1">
        <f t="array" ref="L362">+_xlfn.XLOOKUP($A$320,$A$316:$A$318,_xlfn.XLOOKUP(L360,$B$315:$AK$315,$B$316:$AK$318))</f>
        <v>0</v>
      </c>
      <c r="M362" s="10" cm="1">
        <f t="array" ref="M362">+_xlfn.XLOOKUP($A$320,$A$316:$A$318,_xlfn.XLOOKUP(M360,$B$315:$AK$315,$B$316:$AK$318))</f>
        <v>0</v>
      </c>
      <c r="N362" s="10" cm="1">
        <f t="array" ref="N362">+_xlfn.XLOOKUP($A$320,$A$316:$A$318,_xlfn.XLOOKUP(N360,$B$315:$AK$315,$B$316:$AK$318))</f>
        <v>0</v>
      </c>
      <c r="O362" s="10" cm="1">
        <f t="array" ref="O362">+_xlfn.XLOOKUP($A$320,$A$316:$A$318,_xlfn.XLOOKUP(O360,$B$315:$AK$315,$B$316:$AK$318))</f>
        <v>0</v>
      </c>
      <c r="P362" s="10" cm="1">
        <f t="array" ref="P362">+_xlfn.XLOOKUP($A$320,$A$316:$A$318,_xlfn.XLOOKUP(P360,$B$315:$AK$315,$B$316:$AK$318))</f>
        <v>0</v>
      </c>
      <c r="Q362" s="10" cm="1">
        <f t="array" ref="Q362">+_xlfn.XLOOKUP($A$320,$A$316:$A$318,_xlfn.XLOOKUP(Q360,$B$315:$AK$315,$B$316:$AK$318))</f>
        <v>21270</v>
      </c>
      <c r="R362" s="10" cm="1">
        <f t="array" ref="R362">+_xlfn.XLOOKUP($A$320,$A$316:$A$318,_xlfn.XLOOKUP(R360,$B$315:$AK$315,$B$316:$AK$318))</f>
        <v>13140</v>
      </c>
      <c r="S362" s="10" cm="1">
        <f t="array" ref="S362">+_xlfn.XLOOKUP($A$320,$A$316:$A$318,_xlfn.XLOOKUP(S360,$B$315:$AK$315,$B$316:$AK$318))</f>
        <v>10472</v>
      </c>
      <c r="T362" s="10" cm="1">
        <f t="array" ref="T362">+_xlfn.XLOOKUP($A$320,$A$316:$A$318,_xlfn.XLOOKUP(T360,$B$315:$AK$315,$B$316:$AK$318))</f>
        <v>10320</v>
      </c>
      <c r="U362" s="10" cm="1">
        <f t="array" ref="U362">+_xlfn.XLOOKUP($A$320,$A$316:$A$318,_xlfn.XLOOKUP(U360,$B$315:$AK$315,$B$316:$AK$318))</f>
        <v>14808</v>
      </c>
      <c r="V362" s="10" cm="1">
        <f t="array" ref="V362">+_xlfn.XLOOKUP($A$320,$A$316:$A$318,_xlfn.XLOOKUP(V360,$B$315:$AK$315,$B$316:$AK$318))</f>
        <v>16888</v>
      </c>
      <c r="W362" s="10" cm="1">
        <f t="array" ref="W362">+_xlfn.XLOOKUP($A$320,$A$316:$A$318,_xlfn.XLOOKUP(W360,$B$315:$AK$315,$B$316:$AK$318))</f>
        <v>2730</v>
      </c>
      <c r="X362" s="10" cm="1">
        <f t="array" ref="X362">+_xlfn.XLOOKUP($A$320,$A$316:$A$318,_xlfn.XLOOKUP(X360,$B$315:$AK$315,$B$316:$AK$318))</f>
        <v>4656</v>
      </c>
      <c r="Y362" s="10" cm="1">
        <f t="array" ref="Y362">+_xlfn.XLOOKUP($A$320,$A$316:$A$318,_xlfn.XLOOKUP(Y360,$B$315:$AK$315,$B$316:$AK$318))</f>
        <v>6372</v>
      </c>
      <c r="Z362" s="10" cm="1">
        <f t="array" ref="Z362">+_xlfn.XLOOKUP($A$320,$A$316:$A$318,_xlfn.XLOOKUP(Z360,$B$315:$AK$315,$B$316:$AK$318))</f>
        <v>14736</v>
      </c>
      <c r="AA362" s="10" cm="1">
        <f t="array" ref="AA362">+_xlfn.XLOOKUP($A$320,$A$316:$A$318,_xlfn.XLOOKUP(AA360,$B$315:$AK$315,$B$316:$AK$318))</f>
        <v>10578</v>
      </c>
      <c r="AB362" s="10" cm="1">
        <f t="array" ref="AB362">+_xlfn.XLOOKUP($A$320,$A$316:$A$318,_xlfn.XLOOKUP(AB360,$B$315:$AK$315,$B$316:$AK$318))</f>
        <v>48408</v>
      </c>
      <c r="AC362" s="10" cm="1">
        <f t="array" ref="AC362">+_xlfn.XLOOKUP($A$320,$A$316:$A$318,_xlfn.XLOOKUP(AC360,$B$315:$AK$315,$B$316:$AK$318))</f>
        <v>25977</v>
      </c>
      <c r="AD362" s="10" cm="1">
        <f t="array" ref="AD362">+_xlfn.XLOOKUP($A$320,$A$316:$A$318,_xlfn.XLOOKUP(AD360,$B$315:$AK$315,$B$316:$AK$318))</f>
        <v>10239</v>
      </c>
      <c r="AE362" s="10" cm="1">
        <f t="array" ref="AE362">+_xlfn.XLOOKUP($A$320,$A$316:$A$318,_xlfn.XLOOKUP(AE360,$B$315:$AK$315,$B$316:$AK$318))</f>
        <v>18053</v>
      </c>
      <c r="AF362" s="10" cm="1">
        <f t="array" ref="AF362">+_xlfn.XLOOKUP($A$320,$A$316:$A$318,_xlfn.XLOOKUP(AF360,$B$315:$AK$315,$B$316:$AK$318))</f>
        <v>40032</v>
      </c>
      <c r="AG362" s="10" cm="1">
        <f t="array" ref="AG362">+_xlfn.XLOOKUP($A$320,$A$316:$A$318,_xlfn.XLOOKUP(AG360,$B$315:$AK$315,$B$316:$AK$318))</f>
        <v>23466</v>
      </c>
      <c r="AH362" s="10" cm="1">
        <f t="array" ref="AH362">+_xlfn.XLOOKUP($A$320,$A$316:$A$318,_xlfn.XLOOKUP(AH360,$B$315:$AK$315,$B$316:$AK$318))</f>
        <v>49070</v>
      </c>
      <c r="AI362" s="10" cm="1">
        <f t="array" ref="AI362">+_xlfn.XLOOKUP($A$320,$A$316:$A$318,_xlfn.XLOOKUP(AI360,$B$315:$AK$315,$B$316:$AK$318))</f>
        <v>62907</v>
      </c>
      <c r="AJ362" s="10" cm="1">
        <f t="array" ref="AJ362">+_xlfn.XLOOKUP($A$320,$A$316:$A$318,_xlfn.XLOOKUP(AJ360,$B$315:$AK$315,$B$316:$AK$318))</f>
        <v>18595</v>
      </c>
      <c r="AK362" s="10" cm="1">
        <f t="array" ref="AK362">+_xlfn.XLOOKUP($A$320,$A$316:$A$318,_xlfn.XLOOKUP(AK360,$B$315:$AK$315,$B$316:$AK$318))</f>
        <v>27435</v>
      </c>
    </row>
    <row r="363" spans="1:37">
      <c r="A363" t="s">
        <v>115</v>
      </c>
      <c r="B363" s="27">
        <v>0</v>
      </c>
      <c r="C363" s="27">
        <v>0</v>
      </c>
      <c r="D363" s="27">
        <v>0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4.2000000000000003E-2</v>
      </c>
      <c r="M363" s="27">
        <v>0.04</v>
      </c>
      <c r="N363" s="27">
        <v>5.0999999999999997E-2</v>
      </c>
      <c r="O363" s="27">
        <v>5.6000000000000001E-2</v>
      </c>
      <c r="P363" s="27">
        <v>0.06</v>
      </c>
      <c r="Q363" s="27">
        <v>6.3E-2</v>
      </c>
      <c r="R363" s="27">
        <v>7.2999999999999995E-2</v>
      </c>
      <c r="S363" s="27">
        <v>7.4999999999999997E-2</v>
      </c>
      <c r="T363" s="27">
        <v>7.4999999999999997E-2</v>
      </c>
      <c r="U363" s="27">
        <v>8.4000000000000005E-2</v>
      </c>
      <c r="V363" s="27">
        <v>8.7999999999999995E-2</v>
      </c>
      <c r="W363" s="27">
        <v>9.7000000000000003E-2</v>
      </c>
      <c r="X363" s="27">
        <v>0.104</v>
      </c>
      <c r="Y363" s="27">
        <v>0.12</v>
      </c>
      <c r="Z363" s="27">
        <v>6.9000000000000006E-2</v>
      </c>
      <c r="AA363" s="27">
        <v>6.9000000000000006E-2</v>
      </c>
      <c r="AB363" s="27">
        <v>7.0000000000000007E-2</v>
      </c>
      <c r="AC363" s="27">
        <v>7.9000000000000001E-2</v>
      </c>
      <c r="AD363" s="27">
        <v>9.5000000000000001E-2</v>
      </c>
      <c r="AE363" s="27">
        <v>9.9000000000000005E-2</v>
      </c>
      <c r="AF363" s="27">
        <v>9.6000000000000002E-2</v>
      </c>
      <c r="AG363" s="27">
        <v>0.1</v>
      </c>
      <c r="AH363" s="27">
        <v>9.7000000000000003E-2</v>
      </c>
      <c r="AI363" s="27">
        <v>9.5000000000000001E-2</v>
      </c>
      <c r="AJ363" s="27">
        <v>9.0999999999999998E-2</v>
      </c>
      <c r="AK363" s="27">
        <v>9.2999999999999999E-2</v>
      </c>
    </row>
    <row r="364" spans="1:37">
      <c r="A364" t="s">
        <v>131</v>
      </c>
      <c r="B364" s="27">
        <v>0</v>
      </c>
      <c r="C364" s="27">
        <v>0</v>
      </c>
      <c r="D364" s="27">
        <v>0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0.24399999999999999</v>
      </c>
      <c r="M364" s="27">
        <v>0.47</v>
      </c>
      <c r="N364" s="27">
        <v>0.51700000000000002</v>
      </c>
      <c r="O364" s="27">
        <v>0.52500000000000002</v>
      </c>
      <c r="P364" s="27">
        <v>0.56599999999999995</v>
      </c>
      <c r="Q364" s="27">
        <v>0.54300000000000004</v>
      </c>
      <c r="R364" s="27">
        <v>0.59799999999999998</v>
      </c>
      <c r="S364" s="27">
        <v>0.65600000000000003</v>
      </c>
      <c r="T364" s="27">
        <v>0.65700000000000003</v>
      </c>
      <c r="U364" s="27">
        <v>0.67400000000000004</v>
      </c>
      <c r="V364" s="27">
        <v>0.66</v>
      </c>
      <c r="W364" s="27">
        <v>0.66100000000000003</v>
      </c>
      <c r="X364" s="27">
        <v>0.66600000000000004</v>
      </c>
      <c r="Y364" s="27">
        <v>0.68899999999999995</v>
      </c>
      <c r="Z364" s="27">
        <v>0.68600000000000005</v>
      </c>
      <c r="AA364" s="27">
        <v>0.66600000000000004</v>
      </c>
      <c r="AB364" s="27">
        <v>0.69599999999999995</v>
      </c>
      <c r="AC364" s="27">
        <v>0.74399999999999999</v>
      </c>
      <c r="AD364" s="27">
        <v>0.749</v>
      </c>
      <c r="AE364" s="27">
        <v>0.77200000000000002</v>
      </c>
      <c r="AF364" s="27">
        <v>0.77700000000000002</v>
      </c>
      <c r="AG364" s="27">
        <v>0.80900000000000005</v>
      </c>
      <c r="AH364" s="27">
        <v>0.79200000000000004</v>
      </c>
      <c r="AI364" s="27">
        <v>0.78</v>
      </c>
      <c r="AJ364" s="27">
        <v>0.77400000000000002</v>
      </c>
      <c r="AK364" s="27">
        <v>0.79300000000000004</v>
      </c>
    </row>
    <row r="381" spans="1:43">
      <c r="A381" s="15" t="s">
        <v>50</v>
      </c>
      <c r="B381" s="37">
        <v>44562</v>
      </c>
      <c r="C381" s="37">
        <v>44593</v>
      </c>
      <c r="D381" s="37">
        <v>44621</v>
      </c>
      <c r="E381" s="37">
        <v>44652</v>
      </c>
      <c r="F381" s="37">
        <v>44682</v>
      </c>
      <c r="G381" s="37">
        <v>44713</v>
      </c>
      <c r="H381" s="37">
        <v>44743</v>
      </c>
      <c r="I381" s="37">
        <v>44774</v>
      </c>
      <c r="J381" s="37">
        <v>44805</v>
      </c>
      <c r="K381" s="37">
        <v>44835</v>
      </c>
      <c r="L381" s="37">
        <v>44866</v>
      </c>
      <c r="M381" s="37">
        <v>44896</v>
      </c>
      <c r="N381" s="37">
        <v>44927</v>
      </c>
      <c r="O381" s="37">
        <v>44958</v>
      </c>
      <c r="P381" s="37">
        <v>44986</v>
      </c>
      <c r="Q381" s="37">
        <v>45017</v>
      </c>
      <c r="R381" s="37">
        <v>45047</v>
      </c>
      <c r="S381" s="37">
        <v>45078</v>
      </c>
      <c r="T381" s="37">
        <v>45108</v>
      </c>
      <c r="U381" s="37">
        <v>45139</v>
      </c>
      <c r="V381" s="37">
        <v>45170</v>
      </c>
      <c r="W381" s="37">
        <v>45200</v>
      </c>
      <c r="X381" s="37">
        <v>45231</v>
      </c>
      <c r="Y381" s="37">
        <v>45261</v>
      </c>
      <c r="Z381" s="37">
        <v>45292</v>
      </c>
      <c r="AA381" s="37">
        <v>45323</v>
      </c>
      <c r="AB381" s="37">
        <v>45352</v>
      </c>
      <c r="AC381" s="37">
        <v>45383</v>
      </c>
      <c r="AD381" s="37">
        <v>45413</v>
      </c>
      <c r="AE381" s="37">
        <v>45444</v>
      </c>
      <c r="AF381" s="37">
        <v>45474</v>
      </c>
      <c r="AG381" s="37">
        <v>45505</v>
      </c>
      <c r="AH381" s="37">
        <v>45536</v>
      </c>
      <c r="AI381" s="37">
        <v>45566</v>
      </c>
      <c r="AJ381" s="37">
        <v>45597</v>
      </c>
      <c r="AK381" s="37">
        <v>45627</v>
      </c>
      <c r="AL381" s="37">
        <v>45658</v>
      </c>
      <c r="AM381" s="37">
        <v>45689</v>
      </c>
      <c r="AN381" s="37">
        <v>45717</v>
      </c>
      <c r="AO381" s="37">
        <v>45748</v>
      </c>
      <c r="AP381" s="37">
        <v>45778</v>
      </c>
      <c r="AQ381" s="37">
        <v>45809</v>
      </c>
    </row>
    <row r="382" spans="1:43">
      <c r="A382" t="s">
        <v>132</v>
      </c>
      <c r="B382" s="7">
        <v>0</v>
      </c>
      <c r="C382" s="7">
        <v>0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6912</v>
      </c>
      <c r="T382" s="7">
        <v>11820</v>
      </c>
      <c r="U382" s="7">
        <v>1116</v>
      </c>
      <c r="V382" s="7">
        <v>2436</v>
      </c>
      <c r="W382" s="7">
        <v>7200</v>
      </c>
      <c r="X382" s="7">
        <v>432</v>
      </c>
      <c r="Y382" s="7">
        <v>1572</v>
      </c>
      <c r="Z382" s="7">
        <v>2148</v>
      </c>
      <c r="AA382" s="7">
        <v>1176</v>
      </c>
      <c r="AB382" s="7">
        <v>1152</v>
      </c>
      <c r="AC382" s="7">
        <v>1224</v>
      </c>
      <c r="AD382" s="7">
        <v>2388</v>
      </c>
      <c r="AE382" s="7">
        <v>1344</v>
      </c>
      <c r="AF382" s="7">
        <v>1764</v>
      </c>
      <c r="AG382" s="7">
        <v>1944</v>
      </c>
      <c r="AH382" s="7">
        <v>1968</v>
      </c>
      <c r="AI382" s="7">
        <v>3492</v>
      </c>
      <c r="AJ382" s="7">
        <v>3360</v>
      </c>
      <c r="AK382" s="7">
        <v>2028</v>
      </c>
      <c r="AL382" s="7">
        <v>2436</v>
      </c>
      <c r="AM382" s="7">
        <v>2940</v>
      </c>
      <c r="AN382" s="7">
        <v>2580</v>
      </c>
      <c r="AO382" s="7">
        <v>1884</v>
      </c>
      <c r="AP382" s="7">
        <v>2520</v>
      </c>
      <c r="AQ382" s="7">
        <v>2220</v>
      </c>
    </row>
    <row r="383" spans="1:43">
      <c r="A383" t="s">
        <v>133</v>
      </c>
      <c r="B383" s="7">
        <v>4680</v>
      </c>
      <c r="C383" s="7">
        <v>4740</v>
      </c>
      <c r="D383" s="7">
        <v>5208</v>
      </c>
      <c r="E383" s="7">
        <v>6780</v>
      </c>
      <c r="F383" s="7">
        <v>3240</v>
      </c>
      <c r="G383" s="7">
        <v>8988</v>
      </c>
      <c r="H383" s="7">
        <v>2544</v>
      </c>
      <c r="I383" s="7">
        <v>1020</v>
      </c>
      <c r="J383" s="7">
        <v>4308</v>
      </c>
      <c r="K383" s="7">
        <v>4044</v>
      </c>
      <c r="L383" s="7">
        <v>2136</v>
      </c>
      <c r="M383" s="7">
        <v>3540</v>
      </c>
      <c r="N383" s="7">
        <v>4824</v>
      </c>
      <c r="O383" s="7">
        <v>4860</v>
      </c>
      <c r="P383" s="7">
        <v>1944</v>
      </c>
      <c r="Q383" s="7">
        <v>432</v>
      </c>
      <c r="R383" s="7">
        <v>1716</v>
      </c>
      <c r="S383" s="7">
        <v>683</v>
      </c>
      <c r="T383" s="7">
        <v>624</v>
      </c>
      <c r="U383" s="7">
        <v>1500</v>
      </c>
      <c r="V383" s="7">
        <v>1848</v>
      </c>
      <c r="W383" s="7">
        <v>828</v>
      </c>
      <c r="X383" s="7">
        <v>792</v>
      </c>
      <c r="Y383" s="7">
        <v>996</v>
      </c>
      <c r="Z383" s="7">
        <v>1572</v>
      </c>
      <c r="AA383" s="7">
        <v>648</v>
      </c>
      <c r="AB383" s="7">
        <v>3276</v>
      </c>
      <c r="AC383" s="7">
        <v>1692</v>
      </c>
      <c r="AD383" s="7">
        <v>732</v>
      </c>
      <c r="AE383" s="7">
        <v>480</v>
      </c>
      <c r="AF383" s="7">
        <v>1020</v>
      </c>
      <c r="AG383" s="7">
        <v>1104</v>
      </c>
      <c r="AH383" s="7">
        <v>600</v>
      </c>
      <c r="AI383" s="7">
        <v>1968</v>
      </c>
      <c r="AJ383" s="7">
        <v>2100</v>
      </c>
      <c r="AK383" s="7">
        <v>1248</v>
      </c>
      <c r="AL383" s="7">
        <v>1344</v>
      </c>
      <c r="AM383" s="7">
        <v>1476</v>
      </c>
      <c r="AN383" s="7">
        <v>996</v>
      </c>
      <c r="AO383" s="7">
        <v>1068</v>
      </c>
      <c r="AP383" s="7">
        <v>1992</v>
      </c>
      <c r="AQ383" s="7">
        <v>756</v>
      </c>
    </row>
    <row r="384" spans="1:43">
      <c r="A384" t="s">
        <v>134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1296</v>
      </c>
      <c r="AC384" s="7">
        <v>228</v>
      </c>
      <c r="AD384" s="7">
        <v>12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</row>
    <row r="385" spans="1:43">
      <c r="A385" t="s">
        <v>135</v>
      </c>
      <c r="B385" s="7">
        <v>120</v>
      </c>
      <c r="C385" s="7">
        <v>180</v>
      </c>
      <c r="D385" s="7">
        <v>120</v>
      </c>
      <c r="E385" s="7">
        <v>132</v>
      </c>
      <c r="F385" s="7">
        <v>144</v>
      </c>
      <c r="G385" s="7">
        <v>132</v>
      </c>
      <c r="H385" s="7">
        <v>60</v>
      </c>
      <c r="I385" s="7">
        <v>156</v>
      </c>
      <c r="J385" s="7">
        <v>156</v>
      </c>
      <c r="K385" s="7">
        <v>120</v>
      </c>
      <c r="L385" s="7">
        <v>132</v>
      </c>
      <c r="M385" s="7">
        <v>36</v>
      </c>
      <c r="N385" s="7">
        <v>144</v>
      </c>
      <c r="O385" s="7">
        <v>96</v>
      </c>
      <c r="P385" s="7">
        <v>108</v>
      </c>
      <c r="Q385" s="7">
        <v>120</v>
      </c>
      <c r="R385" s="7">
        <v>216</v>
      </c>
      <c r="S385" s="7">
        <v>120</v>
      </c>
      <c r="T385" s="7">
        <v>72</v>
      </c>
      <c r="U385" s="7">
        <v>0</v>
      </c>
      <c r="V385" s="7">
        <v>0</v>
      </c>
      <c r="W385" s="7">
        <v>252</v>
      </c>
      <c r="X385" s="7">
        <v>84</v>
      </c>
      <c r="Y385" s="7">
        <v>120</v>
      </c>
      <c r="Z385" s="7">
        <v>204</v>
      </c>
      <c r="AA385" s="7">
        <v>144</v>
      </c>
      <c r="AB385" s="7">
        <v>83</v>
      </c>
      <c r="AC385" s="7">
        <v>120</v>
      </c>
      <c r="AD385" s="7">
        <v>192</v>
      </c>
      <c r="AE385" s="7">
        <v>60</v>
      </c>
      <c r="AF385" s="7">
        <v>192</v>
      </c>
      <c r="AG385" s="7">
        <v>48</v>
      </c>
      <c r="AH385" s="7">
        <v>252</v>
      </c>
      <c r="AI385" s="7">
        <v>156</v>
      </c>
      <c r="AJ385" s="7">
        <v>156</v>
      </c>
      <c r="AK385" s="7">
        <v>72</v>
      </c>
      <c r="AL385" s="7">
        <v>144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</row>
    <row r="386" spans="1:43">
      <c r="A386" t="s">
        <v>136</v>
      </c>
      <c r="B386" s="7">
        <v>885</v>
      </c>
      <c r="C386" s="7">
        <v>594</v>
      </c>
      <c r="D386" s="7">
        <v>294</v>
      </c>
      <c r="E386" s="7">
        <v>450</v>
      </c>
      <c r="F386" s="7">
        <v>294</v>
      </c>
      <c r="G386" s="7">
        <v>282</v>
      </c>
      <c r="H386" s="7">
        <v>198</v>
      </c>
      <c r="I386" s="7">
        <v>342</v>
      </c>
      <c r="J386" s="7">
        <v>192</v>
      </c>
      <c r="K386" s="7">
        <v>384</v>
      </c>
      <c r="L386" s="7">
        <v>321</v>
      </c>
      <c r="M386" s="7">
        <v>426</v>
      </c>
      <c r="N386" s="7">
        <v>465</v>
      </c>
      <c r="O386" s="7">
        <v>480</v>
      </c>
      <c r="P386" s="7">
        <v>351</v>
      </c>
      <c r="Q386" s="7">
        <v>291</v>
      </c>
      <c r="R386" s="7">
        <v>318</v>
      </c>
      <c r="S386" s="7">
        <v>216</v>
      </c>
      <c r="T386" s="7">
        <v>324</v>
      </c>
      <c r="U386" s="7">
        <v>261</v>
      </c>
      <c r="V386" s="7">
        <v>624</v>
      </c>
      <c r="W386" s="7">
        <v>128</v>
      </c>
      <c r="X386" s="7">
        <v>246</v>
      </c>
      <c r="Y386" s="7">
        <v>246</v>
      </c>
      <c r="Z386" s="7">
        <v>300</v>
      </c>
      <c r="AA386" s="7">
        <v>500</v>
      </c>
      <c r="AB386" s="7">
        <v>261</v>
      </c>
      <c r="AC386" s="7">
        <v>555</v>
      </c>
      <c r="AD386" s="7">
        <v>447</v>
      </c>
      <c r="AE386" s="7">
        <v>303</v>
      </c>
      <c r="AF386" s="7">
        <v>396</v>
      </c>
      <c r="AG386" s="7">
        <v>291</v>
      </c>
      <c r="AH386" s="7">
        <v>180</v>
      </c>
      <c r="AI386" s="7">
        <v>1419</v>
      </c>
      <c r="AJ386" s="7">
        <v>369</v>
      </c>
      <c r="AK386" s="7">
        <v>209</v>
      </c>
      <c r="AL386" s="7">
        <v>564</v>
      </c>
      <c r="AM386" s="7">
        <v>426</v>
      </c>
      <c r="AN386" s="7">
        <v>255</v>
      </c>
      <c r="AO386" s="7">
        <v>306</v>
      </c>
      <c r="AP386" s="7">
        <v>183</v>
      </c>
      <c r="AQ386" s="7">
        <v>264</v>
      </c>
    </row>
    <row r="387" spans="1:43">
      <c r="A387" t="s">
        <v>137</v>
      </c>
      <c r="B387" s="7">
        <v>6264</v>
      </c>
      <c r="C387" s="7">
        <v>5412</v>
      </c>
      <c r="D387" s="7">
        <v>2052</v>
      </c>
      <c r="E387" s="7">
        <v>2628</v>
      </c>
      <c r="F387" s="7">
        <v>2964</v>
      </c>
      <c r="G387" s="7">
        <v>7188</v>
      </c>
      <c r="H387" s="7">
        <v>1248</v>
      </c>
      <c r="I387" s="7">
        <v>2892</v>
      </c>
      <c r="J387" s="7">
        <v>5196</v>
      </c>
      <c r="K387" s="7">
        <v>2832</v>
      </c>
      <c r="L387" s="7">
        <v>3816</v>
      </c>
      <c r="M387" s="7">
        <v>5400</v>
      </c>
      <c r="N387" s="7">
        <v>6144</v>
      </c>
      <c r="O387" s="7">
        <v>4152</v>
      </c>
      <c r="P387" s="7">
        <v>3804</v>
      </c>
      <c r="Q387" s="7">
        <v>3204</v>
      </c>
      <c r="R387" s="7">
        <v>3540</v>
      </c>
      <c r="S387" s="7">
        <v>3564</v>
      </c>
      <c r="T387" s="7">
        <v>5064</v>
      </c>
      <c r="U387" s="7">
        <v>1332</v>
      </c>
      <c r="V387" s="7">
        <v>1116</v>
      </c>
      <c r="W387" s="7">
        <v>210</v>
      </c>
      <c r="X387" s="7">
        <v>564</v>
      </c>
      <c r="Y387" s="7">
        <v>1212</v>
      </c>
      <c r="Z387" s="7">
        <v>1776</v>
      </c>
      <c r="AA387" s="7">
        <v>864</v>
      </c>
      <c r="AB387" s="7">
        <v>3576</v>
      </c>
      <c r="AC387" s="7">
        <v>1128</v>
      </c>
      <c r="AD387" s="7">
        <v>1128</v>
      </c>
      <c r="AE387" s="7">
        <v>540</v>
      </c>
      <c r="AF387" s="7">
        <v>1152</v>
      </c>
      <c r="AG387" s="7">
        <v>1416</v>
      </c>
      <c r="AH387" s="7">
        <v>1308</v>
      </c>
      <c r="AI387" s="7">
        <v>2436</v>
      </c>
      <c r="AJ387" s="7">
        <v>2748</v>
      </c>
      <c r="AK387" s="7">
        <v>2292</v>
      </c>
      <c r="AL387" s="7">
        <v>1404</v>
      </c>
      <c r="AM387" s="7">
        <v>2028</v>
      </c>
      <c r="AN387" s="7">
        <v>1296</v>
      </c>
      <c r="AO387" s="7">
        <v>2076</v>
      </c>
      <c r="AP387" s="7">
        <v>840</v>
      </c>
      <c r="AQ387" s="7">
        <v>600</v>
      </c>
    </row>
    <row r="388" spans="1:43">
      <c r="A388" t="s">
        <v>138</v>
      </c>
      <c r="B388" s="7">
        <v>5406</v>
      </c>
      <c r="C388" s="7">
        <v>5862</v>
      </c>
      <c r="D388" s="7">
        <v>3048</v>
      </c>
      <c r="E388" s="7">
        <v>3186</v>
      </c>
      <c r="F388" s="7">
        <v>2088</v>
      </c>
      <c r="G388" s="7">
        <v>2388</v>
      </c>
      <c r="H388" s="7">
        <v>5394</v>
      </c>
      <c r="I388" s="7">
        <v>3834</v>
      </c>
      <c r="J388" s="7">
        <v>2670</v>
      </c>
      <c r="K388" s="7">
        <v>3156</v>
      </c>
      <c r="L388" s="7">
        <v>3126</v>
      </c>
      <c r="M388" s="7">
        <v>3948</v>
      </c>
      <c r="N388" s="7">
        <v>5676</v>
      </c>
      <c r="O388" s="7">
        <v>7962</v>
      </c>
      <c r="P388" s="7">
        <v>5112</v>
      </c>
      <c r="Q388" s="7">
        <v>2628</v>
      </c>
      <c r="R388" s="7">
        <v>3822</v>
      </c>
      <c r="S388" s="7">
        <v>1885</v>
      </c>
      <c r="T388" s="7">
        <v>2064</v>
      </c>
      <c r="U388" s="7">
        <v>2550</v>
      </c>
      <c r="V388" s="7">
        <v>5166</v>
      </c>
      <c r="W388" s="7">
        <v>1182</v>
      </c>
      <c r="X388" s="7">
        <v>2808</v>
      </c>
      <c r="Y388" s="7">
        <v>3390</v>
      </c>
      <c r="Z388" s="7">
        <v>4374</v>
      </c>
      <c r="AA388" s="7">
        <v>2472</v>
      </c>
      <c r="AB388" s="7">
        <v>3618</v>
      </c>
      <c r="AC388" s="7">
        <v>3972</v>
      </c>
      <c r="AD388" s="7">
        <v>3012</v>
      </c>
      <c r="AE388" s="7">
        <v>2946</v>
      </c>
      <c r="AF388" s="7">
        <v>1782</v>
      </c>
      <c r="AG388" s="7">
        <v>2514</v>
      </c>
      <c r="AH388" s="7">
        <v>2508</v>
      </c>
      <c r="AI388" s="7">
        <v>2490</v>
      </c>
      <c r="AJ388" s="7">
        <v>3612</v>
      </c>
      <c r="AK388" s="7">
        <v>2484</v>
      </c>
      <c r="AL388" s="7">
        <v>3504</v>
      </c>
      <c r="AM388" s="7">
        <v>2820</v>
      </c>
      <c r="AN388" s="7">
        <v>2772</v>
      </c>
      <c r="AO388" s="7">
        <v>1398</v>
      </c>
      <c r="AP388" s="7">
        <v>4968</v>
      </c>
      <c r="AQ388" s="7">
        <v>4032</v>
      </c>
    </row>
    <row r="389" spans="1:43">
      <c r="A389" t="s">
        <v>139</v>
      </c>
      <c r="B389" s="7">
        <v>8186</v>
      </c>
      <c r="C389" s="7">
        <v>7644</v>
      </c>
      <c r="D389" s="7">
        <v>2915</v>
      </c>
      <c r="E389" s="7">
        <v>4728</v>
      </c>
      <c r="F389" s="7">
        <v>6264</v>
      </c>
      <c r="G389" s="7">
        <v>7464</v>
      </c>
      <c r="H389" s="7">
        <v>2796</v>
      </c>
      <c r="I389" s="7">
        <v>3108</v>
      </c>
      <c r="J389" s="7">
        <v>5610</v>
      </c>
      <c r="K389" s="7">
        <v>5796</v>
      </c>
      <c r="L389" s="7">
        <v>2988</v>
      </c>
      <c r="M389" s="7">
        <v>4374</v>
      </c>
      <c r="N389" s="7">
        <v>5706</v>
      </c>
      <c r="O389" s="7">
        <v>636</v>
      </c>
      <c r="P389" s="7">
        <v>3012</v>
      </c>
      <c r="Q389" s="7">
        <v>3360</v>
      </c>
      <c r="R389" s="7">
        <v>1678</v>
      </c>
      <c r="S389" s="7">
        <v>2136</v>
      </c>
      <c r="T389" s="7">
        <v>336</v>
      </c>
      <c r="U389" s="7">
        <v>264</v>
      </c>
      <c r="V389" s="7">
        <v>648</v>
      </c>
      <c r="W389" s="7">
        <v>354</v>
      </c>
      <c r="X389" s="7">
        <v>1014</v>
      </c>
      <c r="Y389" s="7">
        <v>528</v>
      </c>
      <c r="Z389" s="7">
        <v>504</v>
      </c>
      <c r="AA389" s="7">
        <v>468</v>
      </c>
      <c r="AB389" s="7">
        <v>636</v>
      </c>
      <c r="AC389" s="7">
        <v>510</v>
      </c>
      <c r="AD389" s="7">
        <v>1566</v>
      </c>
      <c r="AE389" s="7">
        <v>1224</v>
      </c>
      <c r="AF389" s="7">
        <v>1572</v>
      </c>
      <c r="AG389" s="7">
        <v>4098</v>
      </c>
      <c r="AH389" s="7">
        <v>4470</v>
      </c>
      <c r="AI389" s="7">
        <v>3855</v>
      </c>
      <c r="AJ389" s="7">
        <v>3864</v>
      </c>
      <c r="AK389" s="7">
        <v>4278</v>
      </c>
      <c r="AL389" s="7">
        <v>2928</v>
      </c>
      <c r="AM389" s="7">
        <v>2988</v>
      </c>
      <c r="AN389" s="7">
        <v>2994</v>
      </c>
      <c r="AO389" s="7">
        <v>2838</v>
      </c>
      <c r="AP389" s="7">
        <v>2394</v>
      </c>
      <c r="AQ389" s="7">
        <v>1401</v>
      </c>
    </row>
    <row r="390" spans="1:43">
      <c r="A390" t="s">
        <v>140</v>
      </c>
      <c r="B390" s="7">
        <v>357</v>
      </c>
      <c r="C390" s="7">
        <v>198</v>
      </c>
      <c r="D390" s="7">
        <v>285</v>
      </c>
      <c r="E390" s="7">
        <v>165</v>
      </c>
      <c r="F390" s="7">
        <v>282</v>
      </c>
      <c r="G390" s="7">
        <v>165</v>
      </c>
      <c r="H390" s="7">
        <v>219</v>
      </c>
      <c r="I390" s="7">
        <v>141</v>
      </c>
      <c r="J390" s="7">
        <v>210</v>
      </c>
      <c r="K390" s="7">
        <v>255</v>
      </c>
      <c r="L390" s="7">
        <v>123</v>
      </c>
      <c r="M390" s="7">
        <v>207</v>
      </c>
      <c r="N390" s="7">
        <v>408</v>
      </c>
      <c r="O390" s="7">
        <v>576</v>
      </c>
      <c r="P390" s="7">
        <v>684</v>
      </c>
      <c r="Q390" s="7">
        <v>881</v>
      </c>
      <c r="R390" s="7">
        <v>132</v>
      </c>
      <c r="S390" s="7">
        <v>30</v>
      </c>
      <c r="T390" s="7">
        <v>714</v>
      </c>
      <c r="U390" s="7">
        <v>672</v>
      </c>
      <c r="V390" s="7">
        <v>228</v>
      </c>
      <c r="W390" s="7">
        <v>324</v>
      </c>
      <c r="X390" s="7">
        <v>168</v>
      </c>
      <c r="Y390" s="7">
        <v>240</v>
      </c>
      <c r="Z390" s="7">
        <v>300</v>
      </c>
      <c r="AA390" s="7">
        <v>24</v>
      </c>
      <c r="AB390" s="7">
        <v>0</v>
      </c>
      <c r="AC390" s="7">
        <v>12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</row>
    <row r="391" spans="1:43">
      <c r="A391" t="s">
        <v>141</v>
      </c>
      <c r="B391" s="7">
        <v>0</v>
      </c>
      <c r="C391" s="7">
        <v>0</v>
      </c>
      <c r="D391" s="7">
        <v>0</v>
      </c>
      <c r="E391" s="7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108</v>
      </c>
      <c r="AG391" s="7">
        <v>528</v>
      </c>
      <c r="AH391" s="7">
        <v>864</v>
      </c>
      <c r="AI391" s="7">
        <v>60</v>
      </c>
      <c r="AJ391" s="7">
        <v>0</v>
      </c>
      <c r="AK391" s="7">
        <v>792</v>
      </c>
      <c r="AL391" s="7">
        <v>444</v>
      </c>
      <c r="AM391" s="7">
        <v>444</v>
      </c>
      <c r="AN391" s="7">
        <v>336</v>
      </c>
      <c r="AO391" s="7">
        <v>264</v>
      </c>
      <c r="AP391" s="7">
        <v>168</v>
      </c>
      <c r="AQ391" s="7">
        <v>312</v>
      </c>
    </row>
    <row r="392" spans="1:43">
      <c r="A392" t="s">
        <v>142</v>
      </c>
      <c r="B392" s="7">
        <v>10152</v>
      </c>
      <c r="C392" s="7">
        <v>7685</v>
      </c>
      <c r="D392" s="7">
        <v>2157</v>
      </c>
      <c r="E392" s="7">
        <v>6688</v>
      </c>
      <c r="F392" s="7">
        <v>3240</v>
      </c>
      <c r="G392" s="7">
        <v>6663</v>
      </c>
      <c r="H392" s="7">
        <v>1512</v>
      </c>
      <c r="I392" s="7">
        <v>13455</v>
      </c>
      <c r="J392" s="7">
        <v>8100</v>
      </c>
      <c r="K392" s="7">
        <v>2781</v>
      </c>
      <c r="L392" s="7">
        <v>1977</v>
      </c>
      <c r="M392" s="7">
        <v>3558</v>
      </c>
      <c r="N392" s="7">
        <v>5676</v>
      </c>
      <c r="O392" s="7">
        <v>5808</v>
      </c>
      <c r="P392" s="7">
        <v>3297</v>
      </c>
      <c r="Q392" s="7">
        <v>2565</v>
      </c>
      <c r="R392" s="7">
        <v>3507</v>
      </c>
      <c r="S392" s="7">
        <v>2037</v>
      </c>
      <c r="T392" s="7">
        <v>3625</v>
      </c>
      <c r="U392" s="7">
        <v>1872</v>
      </c>
      <c r="V392" s="7">
        <v>2844</v>
      </c>
      <c r="W392" s="7">
        <v>678</v>
      </c>
      <c r="X392" s="7">
        <v>1620</v>
      </c>
      <c r="Y392" s="7">
        <v>1503</v>
      </c>
      <c r="Z392" s="7">
        <v>2468</v>
      </c>
      <c r="AA392" s="7">
        <v>1257</v>
      </c>
      <c r="AB392" s="7">
        <v>1110</v>
      </c>
      <c r="AC392" s="7">
        <v>2190</v>
      </c>
      <c r="AD392" s="7">
        <v>1477</v>
      </c>
      <c r="AE392" s="7">
        <v>963</v>
      </c>
      <c r="AF392" s="7">
        <v>1083</v>
      </c>
      <c r="AG392" s="7">
        <v>948</v>
      </c>
      <c r="AH392" s="7">
        <v>1812</v>
      </c>
      <c r="AI392" s="7">
        <v>2469</v>
      </c>
      <c r="AJ392" s="7">
        <v>2167</v>
      </c>
      <c r="AK392" s="7">
        <v>1386</v>
      </c>
      <c r="AL392" s="7">
        <v>2631</v>
      </c>
      <c r="AM392" s="7">
        <v>2436</v>
      </c>
      <c r="AN392" s="7">
        <v>1784</v>
      </c>
      <c r="AO392" s="7">
        <v>1872</v>
      </c>
      <c r="AP392" s="7">
        <v>1875</v>
      </c>
      <c r="AQ392" s="7">
        <v>1808</v>
      </c>
    </row>
    <row r="393" spans="1:43">
      <c r="A393" t="s">
        <v>143</v>
      </c>
      <c r="B393" s="7">
        <v>0</v>
      </c>
      <c r="C393" s="7">
        <v>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5532</v>
      </c>
      <c r="AG393" s="7">
        <v>9168</v>
      </c>
      <c r="AH393" s="7">
        <v>4884</v>
      </c>
      <c r="AI393" s="7">
        <v>2676</v>
      </c>
      <c r="AJ393" s="7">
        <v>4044</v>
      </c>
      <c r="AK393" s="7">
        <v>2388</v>
      </c>
      <c r="AL393" s="7">
        <v>1128</v>
      </c>
      <c r="AM393" s="7">
        <v>3120</v>
      </c>
      <c r="AN393" s="7">
        <v>4788</v>
      </c>
      <c r="AO393" s="7">
        <v>5880</v>
      </c>
      <c r="AP393" s="7">
        <v>5328</v>
      </c>
      <c r="AQ393" s="7">
        <v>5028</v>
      </c>
    </row>
    <row r="394" spans="1:43">
      <c r="A394" t="s">
        <v>144</v>
      </c>
      <c r="B394" s="7">
        <v>0</v>
      </c>
      <c r="C394" s="7">
        <v>0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1092</v>
      </c>
      <c r="T394" s="7">
        <v>1449</v>
      </c>
      <c r="U394" s="7">
        <v>330</v>
      </c>
      <c r="V394" s="7">
        <v>258</v>
      </c>
      <c r="W394" s="7">
        <v>21</v>
      </c>
      <c r="X394" s="7">
        <v>0</v>
      </c>
      <c r="Y394" s="7">
        <v>450</v>
      </c>
      <c r="Z394" s="7">
        <v>186</v>
      </c>
      <c r="AA394" s="7">
        <v>0</v>
      </c>
      <c r="AB394" s="7">
        <v>24</v>
      </c>
      <c r="AC394" s="7">
        <v>300</v>
      </c>
      <c r="AD394" s="7">
        <v>198</v>
      </c>
      <c r="AE394" s="7">
        <v>108</v>
      </c>
      <c r="AF394" s="7">
        <v>162</v>
      </c>
      <c r="AG394" s="7">
        <v>156</v>
      </c>
      <c r="AH394" s="7">
        <v>96</v>
      </c>
      <c r="AI394" s="7">
        <v>108</v>
      </c>
      <c r="AJ394" s="7">
        <v>156</v>
      </c>
      <c r="AK394" s="7">
        <v>120</v>
      </c>
      <c r="AL394" s="7">
        <v>72</v>
      </c>
      <c r="AM394" s="7">
        <v>120</v>
      </c>
      <c r="AN394" s="7">
        <v>66</v>
      </c>
      <c r="AO394" s="7">
        <v>102</v>
      </c>
      <c r="AP394" s="7">
        <v>60</v>
      </c>
      <c r="AQ394" s="7">
        <v>66</v>
      </c>
    </row>
    <row r="395" spans="1:43">
      <c r="A395" t="s">
        <v>145</v>
      </c>
      <c r="B395" s="7">
        <v>0</v>
      </c>
      <c r="C395" s="7">
        <v>0</v>
      </c>
      <c r="D395" s="7">
        <v>0</v>
      </c>
      <c r="E395" s="7">
        <v>0</v>
      </c>
      <c r="F395" s="7">
        <v>3021</v>
      </c>
      <c r="G395" s="7">
        <v>3993</v>
      </c>
      <c r="H395" s="7">
        <v>486</v>
      </c>
      <c r="I395" s="7">
        <v>195</v>
      </c>
      <c r="J395" s="7">
        <v>243</v>
      </c>
      <c r="K395" s="7">
        <v>321</v>
      </c>
      <c r="L395" s="7">
        <v>237</v>
      </c>
      <c r="M395" s="7">
        <v>471</v>
      </c>
      <c r="N395" s="7">
        <v>525</v>
      </c>
      <c r="O395" s="7">
        <v>1074</v>
      </c>
      <c r="P395" s="7">
        <v>228</v>
      </c>
      <c r="Q395" s="7">
        <v>381</v>
      </c>
      <c r="R395" s="7">
        <v>531</v>
      </c>
      <c r="S395" s="7">
        <v>135</v>
      </c>
      <c r="T395" s="7">
        <v>279</v>
      </c>
      <c r="U395" s="7">
        <v>399</v>
      </c>
      <c r="V395" s="7">
        <v>606</v>
      </c>
      <c r="W395" s="7">
        <v>135</v>
      </c>
      <c r="X395" s="7">
        <v>276</v>
      </c>
      <c r="Y395" s="7">
        <v>261</v>
      </c>
      <c r="Z395" s="7">
        <v>336</v>
      </c>
      <c r="AA395" s="7">
        <v>273</v>
      </c>
      <c r="AB395" s="7">
        <v>351</v>
      </c>
      <c r="AC395" s="7">
        <v>351</v>
      </c>
      <c r="AD395" s="7">
        <v>285</v>
      </c>
      <c r="AE395" s="7">
        <v>312</v>
      </c>
      <c r="AF395" s="7">
        <v>306</v>
      </c>
      <c r="AG395" s="7">
        <v>219</v>
      </c>
      <c r="AH395" s="7">
        <v>141</v>
      </c>
      <c r="AI395" s="7">
        <v>747</v>
      </c>
      <c r="AJ395" s="7">
        <v>273</v>
      </c>
      <c r="AK395" s="7">
        <v>141</v>
      </c>
      <c r="AL395" s="7">
        <v>540</v>
      </c>
      <c r="AM395" s="7">
        <v>297</v>
      </c>
      <c r="AN395" s="7">
        <v>321</v>
      </c>
      <c r="AO395" s="7">
        <v>171</v>
      </c>
      <c r="AP395" s="7">
        <v>147</v>
      </c>
      <c r="AQ395" s="7">
        <v>315</v>
      </c>
    </row>
    <row r="396" spans="1:43">
      <c r="A396" t="s">
        <v>146</v>
      </c>
      <c r="B396" s="7">
        <v>0</v>
      </c>
      <c r="C396" s="7">
        <v>0</v>
      </c>
      <c r="D396" s="7">
        <v>0</v>
      </c>
      <c r="E396" s="7">
        <v>0</v>
      </c>
      <c r="F396" s="7">
        <v>1752</v>
      </c>
      <c r="G396" s="7">
        <v>2592</v>
      </c>
      <c r="H396" s="7">
        <v>300</v>
      </c>
      <c r="I396" s="7">
        <v>192</v>
      </c>
      <c r="J396" s="7">
        <v>384</v>
      </c>
      <c r="K396" s="7">
        <v>348</v>
      </c>
      <c r="L396" s="7">
        <v>264</v>
      </c>
      <c r="M396" s="7">
        <v>516</v>
      </c>
      <c r="N396" s="7">
        <v>696</v>
      </c>
      <c r="O396" s="7">
        <v>588</v>
      </c>
      <c r="P396" s="7">
        <v>396</v>
      </c>
      <c r="Q396" s="7">
        <v>324</v>
      </c>
      <c r="R396" s="7">
        <v>756</v>
      </c>
      <c r="S396" s="7">
        <v>336</v>
      </c>
      <c r="T396" s="7">
        <v>180</v>
      </c>
      <c r="U396" s="7">
        <v>216</v>
      </c>
      <c r="V396" s="7">
        <v>0</v>
      </c>
      <c r="W396" s="7">
        <v>180</v>
      </c>
      <c r="X396" s="7">
        <v>660</v>
      </c>
      <c r="Y396" s="7">
        <v>468</v>
      </c>
      <c r="Z396" s="7">
        <v>348</v>
      </c>
      <c r="AA396" s="7">
        <v>240</v>
      </c>
      <c r="AB396" s="7">
        <v>240</v>
      </c>
      <c r="AC396" s="7">
        <v>672</v>
      </c>
      <c r="AD396" s="7">
        <v>456</v>
      </c>
      <c r="AE396" s="7">
        <v>732</v>
      </c>
      <c r="AF396" s="7">
        <v>372</v>
      </c>
      <c r="AG396" s="7">
        <v>156</v>
      </c>
      <c r="AH396" s="7">
        <v>240</v>
      </c>
      <c r="AI396" s="7">
        <v>1068</v>
      </c>
      <c r="AJ396" s="7">
        <v>768</v>
      </c>
      <c r="AK396" s="7">
        <v>180</v>
      </c>
      <c r="AL396" s="7">
        <v>252</v>
      </c>
      <c r="AM396" s="7">
        <v>132</v>
      </c>
      <c r="AN396" s="7">
        <v>276</v>
      </c>
      <c r="AO396" s="7">
        <v>396</v>
      </c>
      <c r="AP396" s="7">
        <v>276</v>
      </c>
      <c r="AQ396" s="7">
        <v>252</v>
      </c>
    </row>
    <row r="397" spans="1:43">
      <c r="A397" t="s">
        <v>147</v>
      </c>
      <c r="B397" s="7">
        <v>5952</v>
      </c>
      <c r="C397" s="7">
        <v>5856</v>
      </c>
      <c r="D397" s="7">
        <v>2784</v>
      </c>
      <c r="E397" s="7">
        <v>7308</v>
      </c>
      <c r="F397" s="7">
        <v>7020</v>
      </c>
      <c r="G397" s="7">
        <v>6984</v>
      </c>
      <c r="H397" s="7">
        <v>3456</v>
      </c>
      <c r="I397" s="7">
        <v>3672</v>
      </c>
      <c r="J397" s="7">
        <v>5940</v>
      </c>
      <c r="K397" s="7">
        <v>5388</v>
      </c>
      <c r="L397" s="7">
        <v>3936</v>
      </c>
      <c r="M397" s="7">
        <v>5520</v>
      </c>
      <c r="N397" s="7">
        <v>9576</v>
      </c>
      <c r="O397" s="7">
        <v>5736</v>
      </c>
      <c r="P397" s="7">
        <v>2412</v>
      </c>
      <c r="Q397" s="7">
        <v>3108</v>
      </c>
      <c r="R397" s="7">
        <v>4200</v>
      </c>
      <c r="S397" s="7">
        <v>4320</v>
      </c>
      <c r="T397" s="7">
        <v>7860</v>
      </c>
      <c r="U397" s="7">
        <v>3924</v>
      </c>
      <c r="V397" s="7">
        <v>5676</v>
      </c>
      <c r="W397" s="7">
        <v>768</v>
      </c>
      <c r="X397" s="7">
        <v>2280</v>
      </c>
      <c r="Y397" s="7">
        <v>1692</v>
      </c>
      <c r="Z397" s="7">
        <v>1440</v>
      </c>
      <c r="AA397" s="7">
        <v>1140</v>
      </c>
      <c r="AB397" s="7">
        <v>3672</v>
      </c>
      <c r="AC397" s="7">
        <v>2184</v>
      </c>
      <c r="AD397" s="7">
        <v>1644</v>
      </c>
      <c r="AE397" s="7">
        <v>3288</v>
      </c>
      <c r="AF397" s="7">
        <v>1356</v>
      </c>
      <c r="AG397" s="7">
        <v>1728</v>
      </c>
      <c r="AH397" s="7">
        <v>1980</v>
      </c>
      <c r="AI397" s="7">
        <v>3180</v>
      </c>
      <c r="AJ397" s="7">
        <v>5136</v>
      </c>
      <c r="AK397" s="7">
        <v>2364</v>
      </c>
      <c r="AL397" s="7">
        <v>1656</v>
      </c>
      <c r="AM397" s="7">
        <v>1836</v>
      </c>
      <c r="AN397" s="7">
        <v>2016</v>
      </c>
      <c r="AO397" s="7">
        <v>1464</v>
      </c>
      <c r="AP397" s="7">
        <v>2136</v>
      </c>
      <c r="AQ397" s="7">
        <v>1656</v>
      </c>
    </row>
    <row r="398" spans="1:43">
      <c r="A398" s="16" t="s">
        <v>38</v>
      </c>
      <c r="B398" s="18">
        <v>42002</v>
      </c>
      <c r="C398" s="18">
        <v>38171</v>
      </c>
      <c r="D398" s="18">
        <v>18863</v>
      </c>
      <c r="E398" s="18">
        <v>32065</v>
      </c>
      <c r="F398" s="18">
        <v>30309</v>
      </c>
      <c r="G398" s="18">
        <v>46839</v>
      </c>
      <c r="H398" s="18">
        <v>18213</v>
      </c>
      <c r="I398" s="18">
        <v>29007</v>
      </c>
      <c r="J398" s="18">
        <v>33009</v>
      </c>
      <c r="K398" s="18">
        <v>25425</v>
      </c>
      <c r="L398" s="18">
        <v>19056</v>
      </c>
      <c r="M398" s="18">
        <v>27996</v>
      </c>
      <c r="N398" s="18">
        <v>39840</v>
      </c>
      <c r="O398" s="18">
        <v>31968</v>
      </c>
      <c r="P398" s="18">
        <v>21348</v>
      </c>
      <c r="Q398" s="18">
        <v>17294</v>
      </c>
      <c r="R398" s="18">
        <v>20416</v>
      </c>
      <c r="S398" s="18">
        <v>23466</v>
      </c>
      <c r="T398" s="18">
        <v>34411</v>
      </c>
      <c r="U398" s="18">
        <v>14436</v>
      </c>
      <c r="V398" s="18">
        <v>21450</v>
      </c>
      <c r="W398" s="18">
        <v>12260</v>
      </c>
      <c r="X398" s="18">
        <v>10944</v>
      </c>
      <c r="Y398" s="18">
        <v>12678</v>
      </c>
      <c r="Z398" s="18">
        <v>15956</v>
      </c>
      <c r="AA398" s="18">
        <v>9206</v>
      </c>
      <c r="AB398" s="18">
        <v>19295</v>
      </c>
      <c r="AC398" s="18">
        <v>15138</v>
      </c>
      <c r="AD398" s="18">
        <v>13537</v>
      </c>
      <c r="AE398" s="18">
        <v>12300</v>
      </c>
      <c r="AF398" s="18">
        <v>16797</v>
      </c>
      <c r="AG398" s="18">
        <v>24318</v>
      </c>
      <c r="AH398" s="18">
        <v>21303</v>
      </c>
      <c r="AI398" s="18">
        <v>26124</v>
      </c>
      <c r="AJ398" s="18">
        <v>28753</v>
      </c>
      <c r="AK398" s="18">
        <v>19982</v>
      </c>
      <c r="AL398" s="18">
        <v>19047</v>
      </c>
      <c r="AM398" s="18">
        <v>21063</v>
      </c>
      <c r="AN398" s="18">
        <v>20480</v>
      </c>
      <c r="AO398" s="18">
        <v>19719</v>
      </c>
      <c r="AP398" s="18">
        <v>22887</v>
      </c>
      <c r="AQ398" s="18">
        <v>18710</v>
      </c>
    </row>
  </sheetData>
  <mergeCells count="14">
    <mergeCell ref="AQ263:AQ264"/>
    <mergeCell ref="E264:F264"/>
    <mergeCell ref="E297:F297"/>
    <mergeCell ref="E326:F326"/>
    <mergeCell ref="AV128:AX128"/>
    <mergeCell ref="AQ134:AQ135"/>
    <mergeCell ref="AS257:AU257"/>
    <mergeCell ref="AV257:AX257"/>
    <mergeCell ref="AQ259:AQ262"/>
    <mergeCell ref="E135:F135"/>
    <mergeCell ref="E168:F168"/>
    <mergeCell ref="E197:F197"/>
    <mergeCell ref="AQ130:AQ133"/>
    <mergeCell ref="AS128:AU128"/>
  </mergeCells>
  <dataValidations count="6">
    <dataValidation type="list" allowBlank="1" showInputMessage="1" showErrorMessage="1" sqref="A129" xr:uid="{79C615BE-FEC1-427F-A318-2E601267854C}">
      <formula1>$A$121:$A$127</formula1>
    </dataValidation>
    <dataValidation type="list" allowBlank="1" showInputMessage="1" showErrorMessage="1" sqref="A191" xr:uid="{C7C8394D-E8FF-4514-9DB8-5F959F8EEA67}">
      <formula1>$A$189:$A$191</formula1>
    </dataValidation>
    <dataValidation type="list" allowBlank="1" showInputMessage="1" showErrorMessage="1" sqref="A162" xr:uid="{5792FD97-08B4-45D8-B48D-0319DB12CDCA}">
      <formula1>$A$158:$A$162</formula1>
    </dataValidation>
    <dataValidation type="list" allowBlank="1" showInputMessage="1" showErrorMessage="1" sqref="A258" xr:uid="{B148A914-1B37-44C6-A770-33972B16ED29}">
      <formula1>$A$250:$A$256</formula1>
    </dataValidation>
    <dataValidation type="list" allowBlank="1" showInputMessage="1" showErrorMessage="1" sqref="A291" xr:uid="{14425E7E-70D1-4020-94C5-6BD753A78831}">
      <formula1>$A$285:$A$289</formula1>
    </dataValidation>
    <dataValidation type="list" allowBlank="1" showInputMessage="1" showErrorMessage="1" sqref="A320" xr:uid="{74BA1572-43DA-40D3-9204-986F2305C4C1}">
      <formula1>$A$316:$A$318</formula1>
    </dataValidation>
  </dataValidation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0F64-BD46-457B-8D5C-27A4ACCE3D4D}">
  <dimension ref="A1:AW1729"/>
  <sheetViews>
    <sheetView showGridLines="0" tabSelected="1" workbookViewId="0">
      <selection activeCell="F13" sqref="F13"/>
    </sheetView>
  </sheetViews>
  <sheetFormatPr defaultColWidth="10.85546875" defaultRowHeight="15"/>
  <cols>
    <col min="1" max="1" width="13.42578125" style="4" bestFit="1" customWidth="1"/>
    <col min="2" max="3" width="13.42578125" style="4" customWidth="1"/>
    <col min="4" max="4" width="18.7109375" style="4" bestFit="1" customWidth="1"/>
    <col min="5" max="5" width="19" style="24" customWidth="1"/>
    <col min="6" max="6" width="67.28515625" style="24" bestFit="1" customWidth="1"/>
    <col min="8" max="8" width="11.28515625" style="4" bestFit="1" customWidth="1"/>
    <col min="9" max="9" width="10.85546875" style="4"/>
    <col min="10" max="10" width="11.42578125" style="4" bestFit="1" customWidth="1"/>
    <col min="11" max="11" width="10.85546875" style="4" bestFit="1" customWidth="1"/>
    <col min="12" max="12" width="11.5703125" style="4" bestFit="1" customWidth="1"/>
    <col min="13" max="13" width="10.7109375" style="4" bestFit="1" customWidth="1"/>
    <col min="14" max="14" width="10.140625" style="4" bestFit="1" customWidth="1"/>
    <col min="15" max="16" width="11" style="4" bestFit="1" customWidth="1"/>
    <col min="17" max="17" width="10.5703125" style="4" bestFit="1" customWidth="1"/>
    <col min="18" max="18" width="11.140625" style="4" bestFit="1" customWidth="1"/>
    <col min="19" max="19" width="10.42578125" style="4" bestFit="1" customWidth="1"/>
    <col min="20" max="20" width="11.28515625" style="4" bestFit="1" customWidth="1"/>
    <col min="21" max="21" width="10.85546875" style="4"/>
    <col min="22" max="22" width="11.42578125" style="4" bestFit="1" customWidth="1"/>
    <col min="23" max="23" width="10.85546875" style="4" bestFit="1" customWidth="1"/>
    <col min="24" max="24" width="11.5703125" style="4" bestFit="1" customWidth="1"/>
    <col min="25" max="25" width="10.7109375" style="4" bestFit="1" customWidth="1"/>
    <col min="26" max="26" width="10.140625" style="4" bestFit="1" customWidth="1"/>
    <col min="27" max="28" width="11" style="4" bestFit="1" customWidth="1"/>
    <col min="29" max="29" width="10.5703125" style="4" bestFit="1" customWidth="1"/>
    <col min="30" max="30" width="11.140625" style="4" bestFit="1" customWidth="1"/>
    <col min="31" max="31" width="10.42578125" style="4" bestFit="1" customWidth="1"/>
    <col min="32" max="32" width="11.28515625" style="4" bestFit="1" customWidth="1"/>
    <col min="33" max="33" width="10.85546875" style="4"/>
    <col min="34" max="34" width="11.42578125" style="4" bestFit="1" customWidth="1"/>
    <col min="35" max="35" width="10.85546875" style="4" bestFit="1" customWidth="1"/>
    <col min="36" max="36" width="11.5703125" style="4" bestFit="1" customWidth="1"/>
    <col min="37" max="37" width="10.7109375" style="4" bestFit="1" customWidth="1"/>
    <col min="38" max="38" width="10.140625" style="4" bestFit="1" customWidth="1"/>
    <col min="39" max="40" width="11" style="4" bestFit="1" customWidth="1"/>
    <col min="41" max="41" width="10.5703125" style="4" bestFit="1" customWidth="1"/>
    <col min="42" max="42" width="11.140625" style="4" bestFit="1" customWidth="1"/>
    <col min="43" max="43" width="10.42578125" style="4" bestFit="1" customWidth="1"/>
    <col min="44" max="44" width="11.28515625" style="4" bestFit="1" customWidth="1"/>
    <col min="45" max="45" width="10.85546875" style="4"/>
    <col min="46" max="46" width="11.42578125" style="4" bestFit="1" customWidth="1"/>
    <col min="47" max="47" width="10.85546875" style="4" bestFit="1" customWidth="1"/>
    <col min="48" max="48" width="11.5703125" style="4" bestFit="1" customWidth="1"/>
    <col min="49" max="49" width="10.7109375" style="4" bestFit="1" customWidth="1"/>
    <col min="50" max="16384" width="10.85546875" style="4"/>
  </cols>
  <sheetData>
    <row r="1" spans="1:49">
      <c r="A1" s="1" t="s">
        <v>1781</v>
      </c>
      <c r="B1" s="1" t="s">
        <v>1783</v>
      </c>
      <c r="C1" s="1" t="s">
        <v>1785</v>
      </c>
      <c r="D1" s="1" t="s">
        <v>1784</v>
      </c>
      <c r="E1" s="48" t="s">
        <v>50</v>
      </c>
      <c r="F1" s="48" t="s">
        <v>1782</v>
      </c>
      <c r="G1" s="4" t="s">
        <v>638</v>
      </c>
      <c r="H1" s="2">
        <v>44562</v>
      </c>
      <c r="I1" s="2">
        <v>44593</v>
      </c>
      <c r="J1" s="2">
        <v>44621</v>
      </c>
      <c r="K1" s="2">
        <v>44652</v>
      </c>
      <c r="L1" s="2">
        <v>44682</v>
      </c>
      <c r="M1" s="2">
        <v>44713</v>
      </c>
      <c r="N1" s="2">
        <v>44743</v>
      </c>
      <c r="O1" s="2">
        <v>44774</v>
      </c>
      <c r="P1" s="2">
        <v>44805</v>
      </c>
      <c r="Q1" s="2">
        <v>44835</v>
      </c>
      <c r="R1" s="2">
        <v>44866</v>
      </c>
      <c r="S1" s="2">
        <v>44896</v>
      </c>
      <c r="T1" s="2">
        <v>44927</v>
      </c>
      <c r="U1" s="2">
        <v>44958</v>
      </c>
      <c r="V1" s="2">
        <v>44986</v>
      </c>
      <c r="W1" s="2">
        <v>45017</v>
      </c>
      <c r="X1" s="2">
        <v>45047</v>
      </c>
      <c r="Y1" s="2">
        <v>45078</v>
      </c>
      <c r="Z1" s="2">
        <v>45108</v>
      </c>
      <c r="AA1" s="2">
        <v>45139</v>
      </c>
      <c r="AB1" s="2">
        <v>45170</v>
      </c>
      <c r="AC1" s="2">
        <v>45200</v>
      </c>
      <c r="AD1" s="2">
        <v>45231</v>
      </c>
      <c r="AE1" s="2">
        <v>45261</v>
      </c>
      <c r="AF1" s="2">
        <v>45292</v>
      </c>
      <c r="AG1" s="2">
        <v>45323</v>
      </c>
      <c r="AH1" s="2">
        <v>45352</v>
      </c>
      <c r="AI1" s="2">
        <v>45383</v>
      </c>
      <c r="AJ1" s="2">
        <v>45413</v>
      </c>
      <c r="AK1" s="2">
        <v>45444</v>
      </c>
      <c r="AL1" s="2">
        <v>45474</v>
      </c>
      <c r="AM1" s="2">
        <v>45505</v>
      </c>
      <c r="AN1" s="2">
        <v>45536</v>
      </c>
      <c r="AO1" s="2">
        <v>45566</v>
      </c>
      <c r="AP1" s="2">
        <v>45597</v>
      </c>
      <c r="AQ1" s="2">
        <v>45627</v>
      </c>
      <c r="AR1" s="2">
        <v>45658</v>
      </c>
      <c r="AS1" s="2">
        <v>45689</v>
      </c>
      <c r="AT1" s="2">
        <v>45717</v>
      </c>
      <c r="AU1" s="2">
        <v>45748</v>
      </c>
      <c r="AV1" s="2">
        <v>45778</v>
      </c>
      <c r="AW1" s="2">
        <v>45809</v>
      </c>
    </row>
    <row r="2" spans="1:49">
      <c r="A2" s="4" t="s">
        <v>40</v>
      </c>
      <c r="B2" s="4" t="str">
        <f>A2</f>
        <v>Hair Care</v>
      </c>
      <c r="C2" s="4" t="s">
        <v>1786</v>
      </c>
      <c r="D2" s="4" t="s">
        <v>150</v>
      </c>
      <c r="E2" s="24" t="s">
        <v>151</v>
      </c>
      <c r="F2" s="12" t="s">
        <v>152</v>
      </c>
      <c r="G2" s="4" t="s">
        <v>1787</v>
      </c>
      <c r="H2" s="3">
        <v>324</v>
      </c>
      <c r="I2" s="3">
        <v>204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</row>
    <row r="3" spans="1:49">
      <c r="A3" s="4" t="s">
        <v>40</v>
      </c>
      <c r="B3" s="4" t="str">
        <f t="shared" ref="B3:B66" si="0">A3</f>
        <v>Hair Care</v>
      </c>
      <c r="C3" s="4" t="s">
        <v>1786</v>
      </c>
      <c r="D3" s="4" t="s">
        <v>150</v>
      </c>
      <c r="E3" s="24" t="s">
        <v>151</v>
      </c>
      <c r="F3" s="12" t="s">
        <v>152</v>
      </c>
      <c r="G3" s="4" t="s">
        <v>1787</v>
      </c>
      <c r="H3" s="3">
        <v>228</v>
      </c>
      <c r="I3" s="3">
        <v>90</v>
      </c>
      <c r="J3" s="3">
        <v>0</v>
      </c>
      <c r="K3" s="3">
        <v>0</v>
      </c>
      <c r="L3" s="3">
        <v>264</v>
      </c>
      <c r="M3" s="3">
        <v>0</v>
      </c>
      <c r="N3" s="3">
        <v>372</v>
      </c>
      <c r="O3" s="3">
        <v>156</v>
      </c>
      <c r="P3" s="3">
        <v>0</v>
      </c>
      <c r="Q3" s="3">
        <v>0</v>
      </c>
      <c r="R3" s="3">
        <v>12</v>
      </c>
      <c r="S3" s="3">
        <v>0</v>
      </c>
      <c r="T3" s="3">
        <v>0</v>
      </c>
      <c r="U3" s="3">
        <v>90</v>
      </c>
      <c r="V3" s="3">
        <v>0</v>
      </c>
      <c r="W3" s="3">
        <v>108</v>
      </c>
      <c r="X3" s="3">
        <v>0</v>
      </c>
      <c r="Y3" s="3">
        <v>0</v>
      </c>
      <c r="Z3" s="3">
        <v>36</v>
      </c>
      <c r="AA3" s="3">
        <v>0</v>
      </c>
      <c r="AB3" s="3">
        <v>0</v>
      </c>
      <c r="AC3" s="3">
        <v>24</v>
      </c>
      <c r="AD3" s="3">
        <v>996</v>
      </c>
      <c r="AE3" s="3">
        <v>132</v>
      </c>
      <c r="AF3" s="3">
        <v>192</v>
      </c>
      <c r="AG3" s="3">
        <v>72</v>
      </c>
      <c r="AH3" s="3">
        <v>84</v>
      </c>
      <c r="AI3" s="3">
        <v>240</v>
      </c>
      <c r="AJ3" s="3">
        <v>120</v>
      </c>
      <c r="AK3" s="3">
        <v>96</v>
      </c>
      <c r="AL3" s="3">
        <v>54</v>
      </c>
      <c r="AM3" s="3">
        <v>120</v>
      </c>
      <c r="AN3" s="3">
        <v>108</v>
      </c>
      <c r="AO3" s="3">
        <v>156</v>
      </c>
      <c r="AP3" s="3">
        <v>156</v>
      </c>
      <c r="AQ3" s="3">
        <v>276</v>
      </c>
      <c r="AR3" s="3">
        <v>186</v>
      </c>
      <c r="AS3" s="3">
        <v>96</v>
      </c>
      <c r="AT3" s="3">
        <v>120</v>
      </c>
      <c r="AU3" s="3">
        <v>156</v>
      </c>
      <c r="AV3" s="3">
        <v>132</v>
      </c>
      <c r="AW3" s="3">
        <v>108</v>
      </c>
    </row>
    <row r="4" spans="1:49">
      <c r="A4" s="4" t="s">
        <v>40</v>
      </c>
      <c r="B4" s="4" t="str">
        <f t="shared" si="0"/>
        <v>Hair Care</v>
      </c>
      <c r="C4" s="4" t="s">
        <v>1786</v>
      </c>
      <c r="D4" s="4" t="s">
        <v>150</v>
      </c>
      <c r="E4" s="24" t="s">
        <v>125</v>
      </c>
      <c r="F4" s="12" t="s">
        <v>153</v>
      </c>
      <c r="G4" s="4" t="s">
        <v>1787</v>
      </c>
      <c r="H4" s="3">
        <v>1734</v>
      </c>
      <c r="I4" s="3">
        <v>876</v>
      </c>
      <c r="J4" s="3">
        <v>672</v>
      </c>
      <c r="K4" s="3">
        <v>768</v>
      </c>
      <c r="L4" s="3">
        <v>888</v>
      </c>
      <c r="M4" s="3">
        <v>924</v>
      </c>
      <c r="N4" s="3">
        <v>1766</v>
      </c>
      <c r="O4" s="3">
        <v>1060</v>
      </c>
      <c r="P4" s="3">
        <v>1630</v>
      </c>
      <c r="Q4" s="3">
        <v>962</v>
      </c>
      <c r="R4" s="3">
        <v>938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</row>
    <row r="5" spans="1:49">
      <c r="A5" s="4" t="s">
        <v>40</v>
      </c>
      <c r="B5" s="4" t="str">
        <f t="shared" si="0"/>
        <v>Hair Care</v>
      </c>
      <c r="C5" s="4" t="s">
        <v>1786</v>
      </c>
      <c r="D5" s="4" t="s">
        <v>150</v>
      </c>
      <c r="E5" s="24" t="s">
        <v>125</v>
      </c>
      <c r="F5" s="12" t="s">
        <v>154</v>
      </c>
      <c r="G5" s="4" t="s">
        <v>1787</v>
      </c>
      <c r="H5" s="3">
        <v>1002</v>
      </c>
      <c r="I5" s="3">
        <v>576</v>
      </c>
      <c r="J5" s="3">
        <v>534</v>
      </c>
      <c r="K5" s="3">
        <v>516</v>
      </c>
      <c r="L5" s="3">
        <v>522</v>
      </c>
      <c r="M5" s="3">
        <v>432</v>
      </c>
      <c r="N5" s="3">
        <v>1208</v>
      </c>
      <c r="O5" s="3">
        <v>304</v>
      </c>
      <c r="P5" s="3">
        <v>712</v>
      </c>
      <c r="Q5" s="3">
        <v>296</v>
      </c>
      <c r="R5" s="3">
        <v>512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</row>
    <row r="6" spans="1:49">
      <c r="A6" s="4" t="s">
        <v>40</v>
      </c>
      <c r="B6" s="4" t="str">
        <f t="shared" si="0"/>
        <v>Hair Care</v>
      </c>
      <c r="C6" s="4" t="s">
        <v>1786</v>
      </c>
      <c r="D6" s="4" t="s">
        <v>150</v>
      </c>
      <c r="E6" s="24" t="s">
        <v>125</v>
      </c>
      <c r="F6" s="12" t="s">
        <v>155</v>
      </c>
      <c r="G6" s="4" t="s">
        <v>1787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654</v>
      </c>
      <c r="AE6" s="3">
        <v>-3</v>
      </c>
      <c r="AF6" s="3">
        <v>684</v>
      </c>
      <c r="AG6" s="3">
        <v>-19</v>
      </c>
      <c r="AH6" s="3">
        <v>248</v>
      </c>
      <c r="AI6" s="3">
        <v>81</v>
      </c>
      <c r="AJ6" s="3">
        <v>234</v>
      </c>
      <c r="AK6" s="3">
        <v>264</v>
      </c>
      <c r="AL6" s="3">
        <v>219</v>
      </c>
      <c r="AM6" s="3">
        <v>186</v>
      </c>
      <c r="AN6" s="3">
        <v>42</v>
      </c>
      <c r="AO6" s="3">
        <v>73</v>
      </c>
      <c r="AP6" s="3">
        <v>36</v>
      </c>
      <c r="AQ6" s="3">
        <v>60</v>
      </c>
      <c r="AR6" s="3">
        <v>61</v>
      </c>
      <c r="AS6" s="3">
        <v>36</v>
      </c>
      <c r="AT6" s="3">
        <v>45</v>
      </c>
      <c r="AU6" s="3">
        <v>30</v>
      </c>
      <c r="AV6" s="3">
        <v>6</v>
      </c>
      <c r="AW6" s="3">
        <v>6</v>
      </c>
    </row>
    <row r="7" spans="1:49">
      <c r="A7" s="4" t="s">
        <v>40</v>
      </c>
      <c r="B7" s="4" t="str">
        <f t="shared" si="0"/>
        <v>Hair Care</v>
      </c>
      <c r="C7" s="4" t="s">
        <v>1786</v>
      </c>
      <c r="D7" s="4" t="s">
        <v>150</v>
      </c>
      <c r="E7" s="24" t="s">
        <v>125</v>
      </c>
      <c r="F7" s="12" t="s">
        <v>156</v>
      </c>
      <c r="G7" s="4" t="s">
        <v>1787</v>
      </c>
      <c r="H7" s="3">
        <v>2898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</row>
    <row r="8" spans="1:49">
      <c r="A8" s="4" t="s">
        <v>40</v>
      </c>
      <c r="B8" s="4" t="str">
        <f t="shared" si="0"/>
        <v>Hair Care</v>
      </c>
      <c r="C8" s="4" t="s">
        <v>1786</v>
      </c>
      <c r="D8" s="4" t="s">
        <v>150</v>
      </c>
      <c r="E8" s="24" t="s">
        <v>125</v>
      </c>
      <c r="F8" s="12" t="s">
        <v>157</v>
      </c>
      <c r="G8" s="4" t="s">
        <v>1787</v>
      </c>
      <c r="H8" s="3">
        <v>1218</v>
      </c>
      <c r="I8" s="3">
        <v>732</v>
      </c>
      <c r="J8" s="3">
        <v>1374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</row>
    <row r="9" spans="1:49">
      <c r="A9" s="4" t="s">
        <v>40</v>
      </c>
      <c r="B9" s="4" t="str">
        <f t="shared" si="0"/>
        <v>Hair Care</v>
      </c>
      <c r="C9" s="4" t="s">
        <v>1786</v>
      </c>
      <c r="D9" s="4" t="s">
        <v>150</v>
      </c>
      <c r="E9" s="24" t="s">
        <v>125</v>
      </c>
      <c r="F9" s="12" t="s">
        <v>158</v>
      </c>
      <c r="G9" s="4" t="s">
        <v>1787</v>
      </c>
      <c r="H9" s="3">
        <v>1032</v>
      </c>
      <c r="I9" s="3">
        <v>240</v>
      </c>
      <c r="J9" s="3">
        <v>-12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</row>
    <row r="10" spans="1:49">
      <c r="A10" s="4" t="s">
        <v>40</v>
      </c>
      <c r="B10" s="4" t="str">
        <f t="shared" si="0"/>
        <v>Hair Care</v>
      </c>
      <c r="C10" s="4" t="s">
        <v>1786</v>
      </c>
      <c r="D10" s="4" t="s">
        <v>150</v>
      </c>
      <c r="E10" s="24" t="s">
        <v>125</v>
      </c>
      <c r="F10" s="12" t="s">
        <v>159</v>
      </c>
      <c r="G10" s="4" t="s">
        <v>1787</v>
      </c>
      <c r="H10" s="3">
        <v>480</v>
      </c>
      <c r="I10" s="3">
        <v>312</v>
      </c>
      <c r="J10" s="3">
        <v>336</v>
      </c>
      <c r="K10" s="3">
        <v>-12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</row>
    <row r="11" spans="1:49">
      <c r="A11" s="4" t="s">
        <v>40</v>
      </c>
      <c r="B11" s="4" t="str">
        <f t="shared" si="0"/>
        <v>Hair Care</v>
      </c>
      <c r="C11" s="4" t="s">
        <v>1786</v>
      </c>
      <c r="D11" s="4" t="s">
        <v>150</v>
      </c>
      <c r="E11" s="24" t="s">
        <v>125</v>
      </c>
      <c r="F11" s="12" t="s">
        <v>160</v>
      </c>
      <c r="G11" s="4" t="s">
        <v>1787</v>
      </c>
      <c r="H11" s="3">
        <v>537</v>
      </c>
      <c r="I11" s="3">
        <v>201</v>
      </c>
      <c r="J11" s="3">
        <v>351</v>
      </c>
      <c r="K11" s="3">
        <v>438</v>
      </c>
      <c r="L11" s="3">
        <v>69</v>
      </c>
      <c r="M11" s="3">
        <v>87</v>
      </c>
      <c r="N11" s="3">
        <v>207</v>
      </c>
      <c r="O11" s="3">
        <v>105</v>
      </c>
      <c r="P11" s="3">
        <v>192</v>
      </c>
      <c r="Q11" s="3">
        <v>267</v>
      </c>
      <c r="R11" s="3">
        <v>297</v>
      </c>
      <c r="S11" s="3">
        <v>225</v>
      </c>
      <c r="T11" s="3">
        <v>444</v>
      </c>
      <c r="U11" s="3">
        <v>162</v>
      </c>
      <c r="V11" s="3">
        <v>117</v>
      </c>
      <c r="W11" s="3">
        <v>159</v>
      </c>
      <c r="X11" s="3">
        <v>249</v>
      </c>
      <c r="Y11" s="3">
        <v>159</v>
      </c>
      <c r="Z11" s="3">
        <v>105</v>
      </c>
      <c r="AA11" s="3">
        <v>126</v>
      </c>
      <c r="AB11" s="3">
        <v>303</v>
      </c>
      <c r="AC11" s="3">
        <v>42</v>
      </c>
      <c r="AD11" s="3">
        <v>210</v>
      </c>
      <c r="AE11" s="3">
        <v>381</v>
      </c>
      <c r="AF11" s="3">
        <v>594</v>
      </c>
      <c r="AG11" s="3">
        <v>54</v>
      </c>
      <c r="AH11" s="3">
        <v>72</v>
      </c>
      <c r="AI11" s="3">
        <v>492</v>
      </c>
      <c r="AJ11" s="3">
        <v>219</v>
      </c>
      <c r="AK11" s="3">
        <v>186</v>
      </c>
      <c r="AL11" s="3">
        <v>15</v>
      </c>
      <c r="AM11" s="3">
        <v>558</v>
      </c>
      <c r="AN11" s="3">
        <v>72</v>
      </c>
      <c r="AO11" s="3">
        <v>120</v>
      </c>
      <c r="AP11" s="3">
        <v>108</v>
      </c>
      <c r="AQ11" s="3">
        <v>216</v>
      </c>
      <c r="AR11" s="3">
        <v>237</v>
      </c>
      <c r="AS11" s="3">
        <v>825</v>
      </c>
      <c r="AT11" s="3">
        <v>216</v>
      </c>
      <c r="AU11" s="3">
        <v>123</v>
      </c>
      <c r="AV11" s="3">
        <v>162</v>
      </c>
      <c r="AW11" s="3">
        <v>114</v>
      </c>
    </row>
    <row r="12" spans="1:49">
      <c r="A12" s="4" t="s">
        <v>40</v>
      </c>
      <c r="B12" s="4" t="str">
        <f t="shared" si="0"/>
        <v>Hair Care</v>
      </c>
      <c r="C12" s="4" t="s">
        <v>1786</v>
      </c>
      <c r="D12" s="4" t="s">
        <v>150</v>
      </c>
      <c r="E12" s="24" t="s">
        <v>125</v>
      </c>
      <c r="F12" s="12" t="s">
        <v>161</v>
      </c>
      <c r="G12" s="4" t="s">
        <v>1787</v>
      </c>
      <c r="H12" s="3">
        <v>1572</v>
      </c>
      <c r="I12" s="3">
        <v>816</v>
      </c>
      <c r="J12" s="3">
        <v>1080</v>
      </c>
      <c r="K12" s="3">
        <v>1092</v>
      </c>
      <c r="L12" s="3">
        <v>936</v>
      </c>
      <c r="M12" s="3">
        <v>420</v>
      </c>
      <c r="N12" s="3">
        <v>636</v>
      </c>
      <c r="O12" s="3">
        <v>912</v>
      </c>
      <c r="P12" s="3">
        <v>1068</v>
      </c>
      <c r="Q12" s="3">
        <v>1020</v>
      </c>
      <c r="R12" s="3">
        <v>756</v>
      </c>
      <c r="S12" s="3">
        <v>1632</v>
      </c>
      <c r="T12" s="3">
        <v>1416</v>
      </c>
      <c r="U12" s="3">
        <v>1020</v>
      </c>
      <c r="V12" s="3">
        <v>708</v>
      </c>
      <c r="W12" s="3">
        <v>516</v>
      </c>
      <c r="X12" s="3">
        <v>828</v>
      </c>
      <c r="Y12" s="3">
        <v>468</v>
      </c>
      <c r="Z12" s="3">
        <v>600</v>
      </c>
      <c r="AA12" s="3">
        <v>420</v>
      </c>
      <c r="AB12" s="3">
        <v>1068</v>
      </c>
      <c r="AC12" s="3">
        <v>768</v>
      </c>
      <c r="AD12" s="3">
        <v>252</v>
      </c>
      <c r="AE12" s="3">
        <v>0</v>
      </c>
      <c r="AF12" s="3">
        <v>1920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</row>
    <row r="13" spans="1:49">
      <c r="A13" s="4" t="s">
        <v>40</v>
      </c>
      <c r="B13" s="4" t="str">
        <f t="shared" si="0"/>
        <v>Hair Care</v>
      </c>
      <c r="C13" s="4" t="s">
        <v>1786</v>
      </c>
      <c r="D13" s="4" t="s">
        <v>150</v>
      </c>
      <c r="E13" s="24" t="s">
        <v>125</v>
      </c>
      <c r="F13" s="12" t="s">
        <v>162</v>
      </c>
      <c r="G13" s="4" t="s">
        <v>1787</v>
      </c>
      <c r="H13" s="3">
        <v>996</v>
      </c>
      <c r="I13" s="3">
        <v>636</v>
      </c>
      <c r="J13" s="3">
        <v>1548</v>
      </c>
      <c r="K13" s="3">
        <v>1236</v>
      </c>
      <c r="L13" s="3">
        <v>420</v>
      </c>
      <c r="M13" s="3">
        <v>324</v>
      </c>
      <c r="N13" s="3">
        <v>252</v>
      </c>
      <c r="O13" s="3">
        <v>720</v>
      </c>
      <c r="P13" s="3">
        <v>480</v>
      </c>
      <c r="Q13" s="3">
        <v>612</v>
      </c>
      <c r="R13" s="3">
        <v>636</v>
      </c>
      <c r="S13" s="3">
        <v>792</v>
      </c>
      <c r="T13" s="3">
        <v>1836</v>
      </c>
      <c r="U13" s="3">
        <v>696</v>
      </c>
      <c r="V13" s="3">
        <v>1344</v>
      </c>
      <c r="W13" s="3">
        <v>564</v>
      </c>
      <c r="X13" s="3">
        <v>900</v>
      </c>
      <c r="Y13" s="3">
        <v>288</v>
      </c>
      <c r="Z13" s="3">
        <v>648</v>
      </c>
      <c r="AA13" s="3">
        <v>528</v>
      </c>
      <c r="AB13" s="3">
        <v>672</v>
      </c>
      <c r="AC13" s="3">
        <v>300</v>
      </c>
      <c r="AD13" s="3">
        <v>396</v>
      </c>
      <c r="AE13" s="3">
        <v>780</v>
      </c>
      <c r="AF13" s="3">
        <v>948</v>
      </c>
      <c r="AG13" s="3">
        <v>0</v>
      </c>
      <c r="AH13" s="3">
        <v>0</v>
      </c>
      <c r="AI13" s="3">
        <v>756</v>
      </c>
      <c r="AJ13" s="3">
        <v>648</v>
      </c>
      <c r="AK13" s="3">
        <v>828</v>
      </c>
      <c r="AL13" s="3">
        <v>276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</row>
    <row r="14" spans="1:49">
      <c r="A14" s="4" t="s">
        <v>40</v>
      </c>
      <c r="B14" s="4" t="str">
        <f t="shared" si="0"/>
        <v>Hair Care</v>
      </c>
      <c r="C14" s="4" t="s">
        <v>1786</v>
      </c>
      <c r="D14" s="4" t="s">
        <v>150</v>
      </c>
      <c r="E14" s="24" t="s">
        <v>125</v>
      </c>
      <c r="F14" s="12" t="s">
        <v>163</v>
      </c>
      <c r="G14" s="4" t="s">
        <v>1787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156</v>
      </c>
      <c r="X14" s="3">
        <v>168</v>
      </c>
      <c r="Y14" s="3">
        <v>72</v>
      </c>
      <c r="Z14" s="3">
        <v>132</v>
      </c>
      <c r="AA14" s="3">
        <v>84</v>
      </c>
      <c r="AB14" s="3">
        <v>132</v>
      </c>
      <c r="AC14" s="3">
        <v>96</v>
      </c>
      <c r="AD14" s="3">
        <v>156</v>
      </c>
      <c r="AE14" s="3">
        <v>180</v>
      </c>
      <c r="AF14" s="3">
        <v>108</v>
      </c>
      <c r="AG14" s="3">
        <v>144</v>
      </c>
      <c r="AH14" s="3">
        <v>84</v>
      </c>
      <c r="AI14" s="3">
        <v>72</v>
      </c>
      <c r="AJ14" s="3">
        <v>12</v>
      </c>
      <c r="AK14" s="3">
        <v>72</v>
      </c>
      <c r="AL14" s="3">
        <v>48</v>
      </c>
      <c r="AM14" s="3">
        <v>36</v>
      </c>
      <c r="AN14" s="3">
        <v>36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</row>
    <row r="15" spans="1:49">
      <c r="A15" s="4" t="s">
        <v>40</v>
      </c>
      <c r="B15" s="4" t="str">
        <f t="shared" si="0"/>
        <v>Hair Care</v>
      </c>
      <c r="C15" s="4" t="s">
        <v>1786</v>
      </c>
      <c r="D15" s="4" t="s">
        <v>150</v>
      </c>
      <c r="E15" s="24" t="s">
        <v>125</v>
      </c>
      <c r="F15" s="12" t="s">
        <v>164</v>
      </c>
      <c r="G15" s="4" t="s">
        <v>1787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12</v>
      </c>
      <c r="P15" s="3">
        <v>12</v>
      </c>
      <c r="Q15" s="3">
        <v>36</v>
      </c>
      <c r="R15" s="3">
        <v>150</v>
      </c>
      <c r="S15" s="3">
        <v>204</v>
      </c>
      <c r="T15" s="3">
        <v>330</v>
      </c>
      <c r="U15" s="3">
        <v>384</v>
      </c>
      <c r="V15" s="3">
        <v>306</v>
      </c>
      <c r="W15" s="3">
        <v>564</v>
      </c>
      <c r="X15" s="3">
        <v>660</v>
      </c>
      <c r="Y15" s="3">
        <v>432</v>
      </c>
      <c r="Z15" s="3">
        <v>360</v>
      </c>
      <c r="AA15" s="3">
        <v>186</v>
      </c>
      <c r="AB15" s="3">
        <v>672</v>
      </c>
      <c r="AC15" s="3">
        <v>588</v>
      </c>
      <c r="AD15" s="3">
        <v>360</v>
      </c>
      <c r="AE15" s="3">
        <v>354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</row>
    <row r="16" spans="1:49">
      <c r="A16" s="4" t="s">
        <v>40</v>
      </c>
      <c r="B16" s="4" t="str">
        <f t="shared" si="0"/>
        <v>Hair Care</v>
      </c>
      <c r="C16" s="4" t="s">
        <v>1786</v>
      </c>
      <c r="D16" s="4" t="s">
        <v>150</v>
      </c>
      <c r="E16" s="24" t="s">
        <v>125</v>
      </c>
      <c r="F16" s="12" t="s">
        <v>165</v>
      </c>
      <c r="G16" s="4" t="s">
        <v>1787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12</v>
      </c>
      <c r="AM16" s="3">
        <v>72</v>
      </c>
      <c r="AN16" s="3">
        <v>60</v>
      </c>
      <c r="AO16" s="3">
        <v>180</v>
      </c>
      <c r="AP16" s="3">
        <v>36</v>
      </c>
      <c r="AQ16" s="3">
        <v>0</v>
      </c>
      <c r="AR16" s="3">
        <v>12</v>
      </c>
      <c r="AS16" s="3">
        <v>60</v>
      </c>
      <c r="AT16" s="3">
        <v>12</v>
      </c>
      <c r="AU16" s="3">
        <v>72</v>
      </c>
      <c r="AV16" s="3">
        <v>192</v>
      </c>
      <c r="AW16" s="3">
        <v>48</v>
      </c>
    </row>
    <row r="17" spans="1:49">
      <c r="A17" s="4" t="s">
        <v>40</v>
      </c>
      <c r="B17" s="4" t="str">
        <f t="shared" si="0"/>
        <v>Hair Care</v>
      </c>
      <c r="C17" s="4" t="s">
        <v>1786</v>
      </c>
      <c r="D17" s="4" t="s">
        <v>150</v>
      </c>
      <c r="E17" s="24" t="s">
        <v>125</v>
      </c>
      <c r="F17" s="12" t="s">
        <v>166</v>
      </c>
      <c r="G17" s="4" t="s">
        <v>1787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96</v>
      </c>
      <c r="AK17" s="3">
        <v>744</v>
      </c>
      <c r="AL17" s="3">
        <v>420</v>
      </c>
      <c r="AM17" s="3">
        <v>48</v>
      </c>
      <c r="AN17" s="3">
        <v>36</v>
      </c>
      <c r="AO17" s="3">
        <v>36</v>
      </c>
      <c r="AP17" s="3">
        <v>12</v>
      </c>
      <c r="AQ17" s="3">
        <v>12</v>
      </c>
      <c r="AR17" s="3">
        <v>12</v>
      </c>
      <c r="AS17" s="3">
        <v>24</v>
      </c>
      <c r="AT17" s="3">
        <v>0</v>
      </c>
      <c r="AU17" s="3">
        <v>0</v>
      </c>
      <c r="AV17" s="3">
        <v>108</v>
      </c>
      <c r="AW17" s="3">
        <v>0</v>
      </c>
    </row>
    <row r="18" spans="1:49">
      <c r="A18" s="4" t="s">
        <v>40</v>
      </c>
      <c r="B18" s="4" t="str">
        <f t="shared" si="0"/>
        <v>Hair Care</v>
      </c>
      <c r="C18" s="4" t="s">
        <v>1786</v>
      </c>
      <c r="D18" s="4" t="s">
        <v>150</v>
      </c>
      <c r="E18" s="24" t="s">
        <v>125</v>
      </c>
      <c r="F18" s="12" t="s">
        <v>167</v>
      </c>
      <c r="G18" s="4" t="s">
        <v>1787</v>
      </c>
      <c r="H18" s="3">
        <v>240</v>
      </c>
      <c r="I18" s="3">
        <v>264</v>
      </c>
      <c r="J18" s="3">
        <v>108</v>
      </c>
      <c r="K18" s="3">
        <v>84</v>
      </c>
      <c r="L18" s="3">
        <v>144</v>
      </c>
      <c r="M18" s="3">
        <v>48</v>
      </c>
      <c r="N18" s="3">
        <v>120</v>
      </c>
      <c r="O18" s="3">
        <v>132</v>
      </c>
      <c r="P18" s="3">
        <v>96</v>
      </c>
      <c r="Q18" s="3">
        <v>324</v>
      </c>
      <c r="R18" s="3">
        <v>168</v>
      </c>
      <c r="S18" s="3">
        <v>156</v>
      </c>
      <c r="T18" s="3">
        <v>216</v>
      </c>
      <c r="U18" s="3">
        <v>84</v>
      </c>
      <c r="V18" s="3">
        <v>144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</row>
    <row r="19" spans="1:49">
      <c r="A19" s="4" t="s">
        <v>40</v>
      </c>
      <c r="B19" s="4" t="str">
        <f t="shared" si="0"/>
        <v>Hair Care</v>
      </c>
      <c r="C19" s="4" t="s">
        <v>1786</v>
      </c>
      <c r="D19" s="4" t="s">
        <v>150</v>
      </c>
      <c r="E19" s="24" t="s">
        <v>125</v>
      </c>
      <c r="F19" s="12" t="s">
        <v>168</v>
      </c>
      <c r="G19" s="4" t="s">
        <v>1787</v>
      </c>
      <c r="H19" s="3">
        <v>36</v>
      </c>
      <c r="I19" s="3">
        <v>0</v>
      </c>
      <c r="J19" s="3">
        <v>12</v>
      </c>
      <c r="K19" s="3">
        <v>48</v>
      </c>
      <c r="L19" s="3">
        <v>0</v>
      </c>
      <c r="M19" s="3">
        <v>72</v>
      </c>
      <c r="N19" s="3">
        <v>12</v>
      </c>
      <c r="O19" s="3">
        <v>36</v>
      </c>
      <c r="P19" s="3">
        <v>84</v>
      </c>
      <c r="Q19" s="3">
        <v>48</v>
      </c>
      <c r="R19" s="3">
        <v>36</v>
      </c>
      <c r="S19" s="3">
        <v>0</v>
      </c>
      <c r="T19" s="3">
        <v>48</v>
      </c>
      <c r="U19" s="3">
        <v>48</v>
      </c>
      <c r="V19" s="3">
        <v>0</v>
      </c>
      <c r="W19" s="3">
        <v>72</v>
      </c>
      <c r="X19" s="3">
        <v>120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</row>
    <row r="20" spans="1:49">
      <c r="A20" s="4" t="s">
        <v>40</v>
      </c>
      <c r="B20" s="4" t="str">
        <f t="shared" si="0"/>
        <v>Hair Care</v>
      </c>
      <c r="C20" s="4" t="s">
        <v>1786</v>
      </c>
      <c r="D20" s="4" t="s">
        <v>150</v>
      </c>
      <c r="E20" s="24" t="s">
        <v>125</v>
      </c>
      <c r="F20" s="12" t="s">
        <v>169</v>
      </c>
      <c r="G20" s="4" t="s">
        <v>1787</v>
      </c>
      <c r="H20" s="3">
        <v>288</v>
      </c>
      <c r="I20" s="3">
        <v>1585</v>
      </c>
      <c r="J20" s="3">
        <v>900</v>
      </c>
      <c r="K20" s="3">
        <v>867</v>
      </c>
      <c r="L20" s="3">
        <v>1302</v>
      </c>
      <c r="M20" s="3">
        <v>1482</v>
      </c>
      <c r="N20" s="3">
        <v>888</v>
      </c>
      <c r="O20" s="3">
        <v>714</v>
      </c>
      <c r="P20" s="3">
        <v>882</v>
      </c>
      <c r="Q20" s="3">
        <v>462</v>
      </c>
      <c r="R20" s="3">
        <v>126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</row>
    <row r="21" spans="1:49">
      <c r="A21" s="4" t="s">
        <v>40</v>
      </c>
      <c r="B21" s="4" t="str">
        <f t="shared" si="0"/>
        <v>Hair Care</v>
      </c>
      <c r="C21" s="4" t="s">
        <v>1786</v>
      </c>
      <c r="D21" s="4" t="s">
        <v>150</v>
      </c>
      <c r="E21" s="24" t="s">
        <v>125</v>
      </c>
      <c r="F21" s="12" t="s">
        <v>170</v>
      </c>
      <c r="G21" s="4" t="s">
        <v>1787</v>
      </c>
      <c r="H21" s="3">
        <v>288</v>
      </c>
      <c r="I21" s="3">
        <v>108</v>
      </c>
      <c r="J21" s="3">
        <v>240</v>
      </c>
      <c r="K21" s="3">
        <v>240</v>
      </c>
      <c r="L21" s="3">
        <v>126</v>
      </c>
      <c r="M21" s="3">
        <v>60</v>
      </c>
      <c r="N21" s="3">
        <v>108</v>
      </c>
      <c r="O21" s="3">
        <v>60</v>
      </c>
      <c r="P21" s="3">
        <v>150</v>
      </c>
      <c r="Q21" s="3">
        <v>66</v>
      </c>
      <c r="R21" s="3">
        <v>156</v>
      </c>
      <c r="S21" s="3">
        <v>312</v>
      </c>
      <c r="T21" s="3">
        <v>264</v>
      </c>
      <c r="U21" s="3">
        <v>-6</v>
      </c>
      <c r="V21" s="3">
        <v>216</v>
      </c>
      <c r="W21" s="3">
        <v>234</v>
      </c>
      <c r="X21" s="3">
        <v>186</v>
      </c>
      <c r="Y21" s="3">
        <v>138</v>
      </c>
      <c r="Z21" s="3">
        <v>78</v>
      </c>
      <c r="AA21" s="3">
        <v>42</v>
      </c>
      <c r="AB21" s="3">
        <v>222</v>
      </c>
      <c r="AC21" s="3">
        <v>60</v>
      </c>
      <c r="AD21" s="3">
        <v>96</v>
      </c>
      <c r="AE21" s="3">
        <v>60</v>
      </c>
      <c r="AF21" s="3">
        <v>0</v>
      </c>
      <c r="AG21" s="3">
        <v>0</v>
      </c>
      <c r="AH21" s="3">
        <v>0</v>
      </c>
      <c r="AI21" s="3">
        <v>240</v>
      </c>
      <c r="AJ21" s="3">
        <v>114</v>
      </c>
      <c r="AK21" s="3">
        <v>78</v>
      </c>
      <c r="AL21" s="3">
        <v>78</v>
      </c>
      <c r="AM21" s="3">
        <v>96</v>
      </c>
      <c r="AN21" s="3">
        <v>78</v>
      </c>
      <c r="AO21" s="3">
        <v>60</v>
      </c>
      <c r="AP21" s="3">
        <v>102</v>
      </c>
      <c r="AQ21" s="3">
        <v>66</v>
      </c>
      <c r="AR21" s="3">
        <v>198</v>
      </c>
      <c r="AS21" s="3">
        <v>243</v>
      </c>
      <c r="AT21" s="3">
        <v>0</v>
      </c>
      <c r="AU21" s="3">
        <v>318</v>
      </c>
      <c r="AV21" s="3">
        <v>162</v>
      </c>
      <c r="AW21" s="3">
        <v>438</v>
      </c>
    </row>
    <row r="22" spans="1:49">
      <c r="A22" s="4" t="s">
        <v>40</v>
      </c>
      <c r="B22" s="4" t="str">
        <f t="shared" si="0"/>
        <v>Hair Care</v>
      </c>
      <c r="C22" s="4" t="s">
        <v>1786</v>
      </c>
      <c r="D22" s="4" t="s">
        <v>150</v>
      </c>
      <c r="E22" s="24" t="s">
        <v>125</v>
      </c>
      <c r="F22" s="12" t="s">
        <v>171</v>
      </c>
      <c r="G22" s="4" t="s">
        <v>1787</v>
      </c>
      <c r="H22" s="3">
        <v>276</v>
      </c>
      <c r="I22" s="3">
        <v>408</v>
      </c>
      <c r="J22" s="3">
        <v>612</v>
      </c>
      <c r="K22" s="3">
        <v>972</v>
      </c>
      <c r="L22" s="3">
        <v>288</v>
      </c>
      <c r="M22" s="3">
        <v>252</v>
      </c>
      <c r="N22" s="3">
        <v>240</v>
      </c>
      <c r="O22" s="3">
        <v>1044</v>
      </c>
      <c r="P22" s="3">
        <v>666</v>
      </c>
      <c r="Q22" s="3">
        <v>954</v>
      </c>
      <c r="R22" s="3">
        <v>480</v>
      </c>
      <c r="S22" s="3">
        <v>630</v>
      </c>
      <c r="T22" s="3">
        <v>960</v>
      </c>
      <c r="U22" s="3">
        <v>690</v>
      </c>
      <c r="V22" s="3">
        <v>330</v>
      </c>
      <c r="W22" s="3">
        <v>258</v>
      </c>
      <c r="X22" s="3">
        <v>666</v>
      </c>
      <c r="Y22" s="3">
        <v>192</v>
      </c>
      <c r="Z22" s="3">
        <v>336</v>
      </c>
      <c r="AA22" s="3">
        <v>180</v>
      </c>
      <c r="AB22" s="3">
        <v>1044</v>
      </c>
      <c r="AC22" s="3">
        <v>228</v>
      </c>
      <c r="AD22" s="3">
        <v>258</v>
      </c>
      <c r="AE22" s="3">
        <v>462</v>
      </c>
      <c r="AF22" s="3">
        <v>684</v>
      </c>
      <c r="AG22" s="3">
        <v>486</v>
      </c>
      <c r="AH22" s="3">
        <v>900</v>
      </c>
      <c r="AI22" s="3">
        <v>996</v>
      </c>
      <c r="AJ22" s="3">
        <v>672</v>
      </c>
      <c r="AK22" s="3">
        <v>504</v>
      </c>
      <c r="AL22" s="3">
        <v>48</v>
      </c>
      <c r="AM22" s="3">
        <v>1440</v>
      </c>
      <c r="AN22" s="3">
        <v>1188</v>
      </c>
      <c r="AO22" s="3">
        <v>204</v>
      </c>
      <c r="AP22" s="3">
        <v>1980</v>
      </c>
      <c r="AQ22" s="3">
        <v>114</v>
      </c>
      <c r="AR22" s="3">
        <v>462</v>
      </c>
      <c r="AS22" s="3">
        <v>486</v>
      </c>
      <c r="AT22" s="3">
        <v>1302</v>
      </c>
      <c r="AU22" s="3">
        <v>714</v>
      </c>
      <c r="AV22" s="3">
        <v>474</v>
      </c>
      <c r="AW22" s="3">
        <v>366</v>
      </c>
    </row>
    <row r="23" spans="1:49">
      <c r="A23" s="4" t="s">
        <v>40</v>
      </c>
      <c r="B23" s="4" t="str">
        <f t="shared" si="0"/>
        <v>Hair Care</v>
      </c>
      <c r="C23" s="4" t="s">
        <v>1786</v>
      </c>
      <c r="D23" s="4" t="s">
        <v>150</v>
      </c>
      <c r="E23" s="24" t="s">
        <v>125</v>
      </c>
      <c r="F23" s="12" t="s">
        <v>172</v>
      </c>
      <c r="G23" s="4" t="s">
        <v>1787</v>
      </c>
      <c r="H23" s="3">
        <v>918</v>
      </c>
      <c r="I23" s="3">
        <v>720</v>
      </c>
      <c r="J23" s="3">
        <v>228</v>
      </c>
      <c r="K23" s="3">
        <v>0</v>
      </c>
      <c r="L23" s="3">
        <v>732</v>
      </c>
      <c r="M23" s="3">
        <v>276</v>
      </c>
      <c r="N23" s="3">
        <v>306</v>
      </c>
      <c r="O23" s="3">
        <v>456</v>
      </c>
      <c r="P23" s="3">
        <v>906</v>
      </c>
      <c r="Q23" s="3">
        <v>600</v>
      </c>
      <c r="R23" s="3">
        <v>252</v>
      </c>
      <c r="S23" s="3">
        <v>648</v>
      </c>
      <c r="T23" s="3">
        <v>642</v>
      </c>
      <c r="U23" s="3">
        <v>708</v>
      </c>
      <c r="V23" s="3">
        <v>294</v>
      </c>
      <c r="W23" s="3">
        <v>324</v>
      </c>
      <c r="X23" s="3">
        <v>324</v>
      </c>
      <c r="Y23" s="3">
        <v>252</v>
      </c>
      <c r="Z23" s="3">
        <v>210</v>
      </c>
      <c r="AA23" s="3">
        <v>432</v>
      </c>
      <c r="AB23" s="3">
        <v>534</v>
      </c>
      <c r="AC23" s="3">
        <v>204</v>
      </c>
      <c r="AD23" s="3">
        <v>354</v>
      </c>
      <c r="AE23" s="3">
        <v>318</v>
      </c>
      <c r="AF23" s="3">
        <v>534</v>
      </c>
      <c r="AG23" s="3">
        <v>384</v>
      </c>
      <c r="AH23" s="3">
        <v>594</v>
      </c>
      <c r="AI23" s="3">
        <v>726</v>
      </c>
      <c r="AJ23" s="3">
        <v>522</v>
      </c>
      <c r="AK23" s="3">
        <v>240</v>
      </c>
      <c r="AL23" s="3">
        <v>108</v>
      </c>
      <c r="AM23" s="3">
        <v>1158</v>
      </c>
      <c r="AN23" s="3">
        <v>840</v>
      </c>
      <c r="AO23" s="3">
        <v>882</v>
      </c>
      <c r="AP23" s="3">
        <v>126</v>
      </c>
      <c r="AQ23" s="3">
        <v>1368</v>
      </c>
      <c r="AR23" s="3">
        <v>204</v>
      </c>
      <c r="AS23" s="3">
        <v>924</v>
      </c>
      <c r="AT23" s="3">
        <v>1332</v>
      </c>
      <c r="AU23" s="3">
        <v>2310</v>
      </c>
      <c r="AV23" s="3">
        <v>432</v>
      </c>
      <c r="AW23" s="3">
        <v>204</v>
      </c>
    </row>
    <row r="24" spans="1:49">
      <c r="A24" s="4" t="s">
        <v>40</v>
      </c>
      <c r="B24" s="4" t="str">
        <f t="shared" si="0"/>
        <v>Hair Care</v>
      </c>
      <c r="C24" s="4" t="s">
        <v>1786</v>
      </c>
      <c r="D24" s="4" t="s">
        <v>150</v>
      </c>
      <c r="E24" s="24" t="s">
        <v>125</v>
      </c>
      <c r="F24" s="12" t="s">
        <v>173</v>
      </c>
      <c r="G24" s="4" t="s">
        <v>1787</v>
      </c>
      <c r="H24" s="3">
        <v>124</v>
      </c>
      <c r="I24" s="3">
        <v>36</v>
      </c>
      <c r="J24" s="3">
        <v>696</v>
      </c>
      <c r="K24" s="3">
        <v>336</v>
      </c>
      <c r="L24" s="3">
        <v>156</v>
      </c>
      <c r="M24" s="3">
        <v>84</v>
      </c>
      <c r="N24" s="3">
        <v>318</v>
      </c>
      <c r="O24" s="3">
        <v>492</v>
      </c>
      <c r="P24" s="3">
        <v>756</v>
      </c>
      <c r="Q24" s="3">
        <v>630</v>
      </c>
      <c r="R24" s="3">
        <v>288</v>
      </c>
      <c r="S24" s="3">
        <v>390</v>
      </c>
      <c r="T24" s="3">
        <v>432</v>
      </c>
      <c r="U24" s="3">
        <v>462</v>
      </c>
      <c r="V24" s="3">
        <v>264</v>
      </c>
      <c r="W24" s="3">
        <v>312</v>
      </c>
      <c r="X24" s="3">
        <v>426</v>
      </c>
      <c r="Y24" s="3">
        <v>234</v>
      </c>
      <c r="Z24" s="3">
        <v>144</v>
      </c>
      <c r="AA24" s="3">
        <v>132</v>
      </c>
      <c r="AB24" s="3">
        <v>480</v>
      </c>
      <c r="AC24" s="3">
        <v>132</v>
      </c>
      <c r="AD24" s="3">
        <v>228</v>
      </c>
      <c r="AE24" s="3">
        <v>180</v>
      </c>
      <c r="AF24" s="3">
        <v>492</v>
      </c>
      <c r="AG24" s="3">
        <v>408</v>
      </c>
      <c r="AH24" s="3">
        <v>294</v>
      </c>
      <c r="AI24" s="3">
        <v>834</v>
      </c>
      <c r="AJ24" s="3">
        <v>144</v>
      </c>
      <c r="AK24" s="3">
        <v>528</v>
      </c>
      <c r="AL24" s="3">
        <v>24</v>
      </c>
      <c r="AM24" s="3">
        <v>72</v>
      </c>
      <c r="AN24" s="3">
        <v>108</v>
      </c>
      <c r="AO24" s="3">
        <v>180</v>
      </c>
      <c r="AP24" s="3">
        <v>156</v>
      </c>
      <c r="AQ24" s="3">
        <v>96</v>
      </c>
      <c r="AR24" s="3">
        <v>108</v>
      </c>
      <c r="AS24" s="3">
        <v>96</v>
      </c>
      <c r="AT24" s="3">
        <v>72</v>
      </c>
      <c r="AU24" s="3">
        <v>144</v>
      </c>
      <c r="AV24" s="3">
        <v>180</v>
      </c>
      <c r="AW24" s="3">
        <v>24</v>
      </c>
    </row>
    <row r="25" spans="1:49">
      <c r="A25" s="4" t="s">
        <v>40</v>
      </c>
      <c r="B25" s="4" t="str">
        <f t="shared" si="0"/>
        <v>Hair Care</v>
      </c>
      <c r="C25" s="4" t="s">
        <v>1786</v>
      </c>
      <c r="D25" s="4" t="s">
        <v>150</v>
      </c>
      <c r="E25" s="24" t="s">
        <v>125</v>
      </c>
      <c r="F25" s="12" t="s">
        <v>174</v>
      </c>
      <c r="G25" s="4" t="s">
        <v>1787</v>
      </c>
      <c r="H25" s="3">
        <v>1102</v>
      </c>
      <c r="I25" s="3">
        <v>132</v>
      </c>
      <c r="J25" s="3">
        <v>96</v>
      </c>
      <c r="K25" s="3">
        <v>84</v>
      </c>
      <c r="L25" s="3">
        <v>72</v>
      </c>
      <c r="M25" s="3">
        <v>24</v>
      </c>
      <c r="N25" s="3">
        <v>24</v>
      </c>
      <c r="O25" s="3">
        <v>48</v>
      </c>
      <c r="P25" s="3">
        <v>24</v>
      </c>
      <c r="Q25" s="3">
        <v>48</v>
      </c>
      <c r="R25" s="3">
        <v>60</v>
      </c>
      <c r="S25" s="3">
        <v>72</v>
      </c>
      <c r="T25" s="3">
        <v>36</v>
      </c>
      <c r="U25" s="3">
        <v>24</v>
      </c>
      <c r="V25" s="3">
        <v>72</v>
      </c>
      <c r="W25" s="3">
        <v>24</v>
      </c>
      <c r="X25" s="3">
        <v>108</v>
      </c>
      <c r="Y25" s="3">
        <v>72</v>
      </c>
      <c r="Z25" s="3">
        <v>24</v>
      </c>
      <c r="AA25" s="3">
        <v>48</v>
      </c>
      <c r="AB25" s="3">
        <v>48</v>
      </c>
      <c r="AC25" s="3">
        <v>36</v>
      </c>
      <c r="AD25" s="3">
        <v>12</v>
      </c>
      <c r="AE25" s="3">
        <v>12</v>
      </c>
      <c r="AF25" s="3">
        <v>48</v>
      </c>
      <c r="AG25" s="3">
        <v>24</v>
      </c>
      <c r="AH25" s="3">
        <v>48</v>
      </c>
      <c r="AI25" s="3">
        <v>12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</row>
    <row r="26" spans="1:49">
      <c r="A26" s="4" t="s">
        <v>40</v>
      </c>
      <c r="B26" s="4" t="str">
        <f t="shared" si="0"/>
        <v>Hair Care</v>
      </c>
      <c r="C26" s="4" t="s">
        <v>1786</v>
      </c>
      <c r="D26" s="4" t="s">
        <v>150</v>
      </c>
      <c r="E26" s="24" t="s">
        <v>125</v>
      </c>
      <c r="F26" s="12" t="s">
        <v>175</v>
      </c>
      <c r="G26" s="4" t="s">
        <v>1787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1560</v>
      </c>
      <c r="S26" s="3">
        <v>912</v>
      </c>
      <c r="T26" s="3">
        <v>852</v>
      </c>
      <c r="U26" s="3">
        <v>1596</v>
      </c>
      <c r="V26" s="3">
        <v>456</v>
      </c>
      <c r="W26" s="3">
        <v>468</v>
      </c>
      <c r="X26" s="3">
        <v>168</v>
      </c>
      <c r="Y26" s="3">
        <v>576</v>
      </c>
      <c r="Z26" s="3">
        <v>228</v>
      </c>
      <c r="AA26" s="3">
        <v>480</v>
      </c>
      <c r="AB26" s="3">
        <v>696</v>
      </c>
      <c r="AC26" s="3">
        <v>204</v>
      </c>
      <c r="AD26" s="3">
        <v>216</v>
      </c>
      <c r="AE26" s="3">
        <v>264</v>
      </c>
      <c r="AF26" s="3">
        <v>696</v>
      </c>
      <c r="AG26" s="3">
        <v>120</v>
      </c>
      <c r="AH26" s="3">
        <v>312</v>
      </c>
      <c r="AI26" s="3">
        <v>552</v>
      </c>
      <c r="AJ26" s="3">
        <v>240</v>
      </c>
      <c r="AK26" s="3">
        <v>228</v>
      </c>
      <c r="AL26" s="3">
        <v>204</v>
      </c>
      <c r="AM26" s="3">
        <v>144</v>
      </c>
      <c r="AN26" s="3">
        <v>324</v>
      </c>
      <c r="AO26" s="3">
        <v>456</v>
      </c>
      <c r="AP26" s="3">
        <v>288</v>
      </c>
      <c r="AQ26" s="3">
        <v>228</v>
      </c>
      <c r="AR26" s="3">
        <v>636</v>
      </c>
      <c r="AS26" s="3">
        <v>384</v>
      </c>
      <c r="AT26" s="3">
        <v>360</v>
      </c>
      <c r="AU26" s="3">
        <v>252</v>
      </c>
      <c r="AV26" s="3">
        <v>84</v>
      </c>
      <c r="AW26" s="3">
        <v>336</v>
      </c>
    </row>
    <row r="27" spans="1:49">
      <c r="A27" s="4" t="s">
        <v>40</v>
      </c>
      <c r="B27" s="4" t="str">
        <f t="shared" si="0"/>
        <v>Hair Care</v>
      </c>
      <c r="C27" s="4" t="s">
        <v>1786</v>
      </c>
      <c r="D27" s="4" t="s">
        <v>150</v>
      </c>
      <c r="E27" s="24" t="s">
        <v>125</v>
      </c>
      <c r="F27" s="12" t="s">
        <v>176</v>
      </c>
      <c r="G27" s="4" t="s">
        <v>1787</v>
      </c>
      <c r="H27" s="3">
        <v>1194</v>
      </c>
      <c r="I27" s="3">
        <v>558</v>
      </c>
      <c r="J27" s="3">
        <v>96</v>
      </c>
      <c r="K27" s="3">
        <v>12</v>
      </c>
      <c r="L27" s="3">
        <v>84</v>
      </c>
      <c r="M27" s="3">
        <v>0</v>
      </c>
      <c r="N27" s="3">
        <v>12</v>
      </c>
      <c r="O27" s="3">
        <v>0</v>
      </c>
      <c r="P27" s="3">
        <v>0</v>
      </c>
      <c r="Q27" s="3">
        <v>24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</row>
    <row r="28" spans="1:49">
      <c r="A28" s="4" t="s">
        <v>40</v>
      </c>
      <c r="B28" s="4" t="str">
        <f t="shared" si="0"/>
        <v>Hair Care</v>
      </c>
      <c r="C28" s="4" t="s">
        <v>1786</v>
      </c>
      <c r="D28" s="4" t="s">
        <v>150</v>
      </c>
      <c r="E28" s="24" t="s">
        <v>125</v>
      </c>
      <c r="F28" s="12" t="s">
        <v>177</v>
      </c>
      <c r="G28" s="4" t="s">
        <v>1787</v>
      </c>
      <c r="H28" s="3">
        <v>954</v>
      </c>
      <c r="I28" s="3">
        <v>738</v>
      </c>
      <c r="J28" s="3">
        <v>1110</v>
      </c>
      <c r="K28" s="3">
        <v>1374</v>
      </c>
      <c r="L28" s="3">
        <v>1068</v>
      </c>
      <c r="M28" s="3">
        <v>978</v>
      </c>
      <c r="N28" s="3">
        <v>774</v>
      </c>
      <c r="O28" s="3">
        <v>1392</v>
      </c>
      <c r="P28" s="3">
        <v>600</v>
      </c>
      <c r="Q28" s="3">
        <v>444</v>
      </c>
      <c r="R28" s="3">
        <v>294</v>
      </c>
      <c r="S28" s="3">
        <v>558</v>
      </c>
      <c r="T28" s="3">
        <v>1002</v>
      </c>
      <c r="U28" s="3">
        <v>1248</v>
      </c>
      <c r="V28" s="3">
        <v>612</v>
      </c>
      <c r="W28" s="3">
        <v>534</v>
      </c>
      <c r="X28" s="3">
        <v>588</v>
      </c>
      <c r="Y28" s="3">
        <v>324</v>
      </c>
      <c r="Z28" s="3">
        <v>408</v>
      </c>
      <c r="AA28" s="3">
        <v>846</v>
      </c>
      <c r="AB28" s="3">
        <v>1218</v>
      </c>
      <c r="AC28" s="3">
        <v>732</v>
      </c>
      <c r="AD28" s="3">
        <v>384</v>
      </c>
      <c r="AE28" s="3">
        <v>1008</v>
      </c>
      <c r="AF28" s="3">
        <v>516</v>
      </c>
      <c r="AG28" s="3">
        <v>1806</v>
      </c>
      <c r="AH28" s="3">
        <v>1230</v>
      </c>
      <c r="AI28" s="3">
        <v>1974</v>
      </c>
      <c r="AJ28" s="3">
        <v>12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</row>
    <row r="29" spans="1:49">
      <c r="A29" s="4" t="s">
        <v>40</v>
      </c>
      <c r="B29" s="4" t="str">
        <f t="shared" si="0"/>
        <v>Hair Care</v>
      </c>
      <c r="C29" s="4" t="s">
        <v>1786</v>
      </c>
      <c r="D29" s="4" t="s">
        <v>150</v>
      </c>
      <c r="E29" s="24" t="s">
        <v>125</v>
      </c>
      <c r="F29" s="12" t="s">
        <v>178</v>
      </c>
      <c r="G29" s="4" t="s">
        <v>1787</v>
      </c>
      <c r="H29" s="3">
        <v>240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</row>
    <row r="30" spans="1:49">
      <c r="A30" s="4" t="s">
        <v>40</v>
      </c>
      <c r="B30" s="4" t="str">
        <f t="shared" si="0"/>
        <v>Hair Care</v>
      </c>
      <c r="C30" s="4" t="s">
        <v>1786</v>
      </c>
      <c r="D30" s="4" t="s">
        <v>150</v>
      </c>
      <c r="E30" s="24" t="s">
        <v>125</v>
      </c>
      <c r="F30" s="12" t="s">
        <v>179</v>
      </c>
      <c r="G30" s="4" t="s">
        <v>1787</v>
      </c>
      <c r="H30" s="3">
        <v>24</v>
      </c>
      <c r="I30" s="3">
        <v>384</v>
      </c>
      <c r="J30" s="3">
        <v>672</v>
      </c>
      <c r="K30" s="3">
        <v>384</v>
      </c>
      <c r="L30" s="3">
        <v>144</v>
      </c>
      <c r="M30" s="3">
        <v>12</v>
      </c>
      <c r="N30" s="3">
        <v>108</v>
      </c>
      <c r="O30" s="3">
        <v>96</v>
      </c>
      <c r="P30" s="3">
        <v>456</v>
      </c>
      <c r="Q30" s="3">
        <v>108</v>
      </c>
      <c r="R30" s="3">
        <v>96</v>
      </c>
      <c r="S30" s="3">
        <v>156</v>
      </c>
      <c r="T30" s="3">
        <v>156</v>
      </c>
      <c r="U30" s="3">
        <v>84</v>
      </c>
      <c r="V30" s="3">
        <v>60</v>
      </c>
      <c r="W30" s="3">
        <v>48</v>
      </c>
      <c r="X30" s="3">
        <v>312</v>
      </c>
      <c r="Y30" s="3">
        <v>96</v>
      </c>
      <c r="Z30" s="3">
        <v>60</v>
      </c>
      <c r="AA30" s="3">
        <v>24</v>
      </c>
      <c r="AB30" s="3">
        <v>168</v>
      </c>
      <c r="AC30" s="3">
        <v>0</v>
      </c>
      <c r="AD30" s="3">
        <v>0</v>
      </c>
      <c r="AE30" s="3">
        <v>0</v>
      </c>
      <c r="AF30" s="3">
        <v>348</v>
      </c>
      <c r="AG30" s="3">
        <v>168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</row>
    <row r="31" spans="1:49">
      <c r="A31" s="4" t="s">
        <v>40</v>
      </c>
      <c r="B31" s="4" t="str">
        <f t="shared" si="0"/>
        <v>Hair Care</v>
      </c>
      <c r="C31" s="4" t="s">
        <v>1786</v>
      </c>
      <c r="D31" s="4" t="s">
        <v>150</v>
      </c>
      <c r="E31" s="24" t="s">
        <v>125</v>
      </c>
      <c r="F31" s="12" t="s">
        <v>180</v>
      </c>
      <c r="G31" s="4" t="s">
        <v>1787</v>
      </c>
      <c r="H31" s="3">
        <v>93</v>
      </c>
      <c r="I31" s="3">
        <v>78</v>
      </c>
      <c r="J31" s="3">
        <v>279</v>
      </c>
      <c r="K31" s="3">
        <v>165</v>
      </c>
      <c r="L31" s="3">
        <v>51</v>
      </c>
      <c r="M31" s="3">
        <v>159</v>
      </c>
      <c r="N31" s="3">
        <v>81</v>
      </c>
      <c r="O31" s="3">
        <v>33</v>
      </c>
      <c r="P31" s="3">
        <v>15</v>
      </c>
      <c r="Q31" s="3">
        <v>42</v>
      </c>
      <c r="R31" s="3">
        <v>36</v>
      </c>
      <c r="S31" s="3">
        <v>66</v>
      </c>
      <c r="T31" s="3">
        <v>102</v>
      </c>
      <c r="U31" s="3">
        <v>39</v>
      </c>
      <c r="V31" s="3">
        <v>33</v>
      </c>
      <c r="W31" s="3">
        <v>36</v>
      </c>
      <c r="X31" s="3">
        <v>138</v>
      </c>
      <c r="Y31" s="3">
        <v>99</v>
      </c>
      <c r="Z31" s="3">
        <v>51</v>
      </c>
      <c r="AA31" s="3">
        <v>183</v>
      </c>
      <c r="AB31" s="3">
        <v>18</v>
      </c>
      <c r="AC31" s="3">
        <v>69</v>
      </c>
      <c r="AD31" s="3">
        <v>60</v>
      </c>
      <c r="AE31" s="3">
        <v>57</v>
      </c>
      <c r="AF31" s="3">
        <v>72</v>
      </c>
      <c r="AG31" s="3">
        <v>45</v>
      </c>
      <c r="AH31" s="3">
        <v>372</v>
      </c>
      <c r="AI31" s="3">
        <v>0</v>
      </c>
      <c r="AJ31" s="3">
        <v>48</v>
      </c>
      <c r="AK31" s="3">
        <v>12</v>
      </c>
      <c r="AL31" s="3">
        <v>6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</row>
    <row r="32" spans="1:49">
      <c r="A32" s="4" t="s">
        <v>40</v>
      </c>
      <c r="B32" s="4" t="str">
        <f t="shared" si="0"/>
        <v>Hair Care</v>
      </c>
      <c r="C32" s="4" t="s">
        <v>1786</v>
      </c>
      <c r="D32" s="4" t="s">
        <v>150</v>
      </c>
      <c r="E32" s="24" t="s">
        <v>125</v>
      </c>
      <c r="F32" s="12" t="s">
        <v>181</v>
      </c>
      <c r="G32" s="4" t="s">
        <v>1787</v>
      </c>
      <c r="H32" s="3">
        <v>1092</v>
      </c>
      <c r="I32" s="3">
        <v>1308</v>
      </c>
      <c r="J32" s="3">
        <v>1422</v>
      </c>
      <c r="K32" s="3">
        <v>1797</v>
      </c>
      <c r="L32" s="3">
        <v>2316</v>
      </c>
      <c r="M32" s="3">
        <v>1038</v>
      </c>
      <c r="N32" s="3">
        <v>990</v>
      </c>
      <c r="O32" s="3">
        <v>2166</v>
      </c>
      <c r="P32" s="3">
        <v>1152</v>
      </c>
      <c r="Q32" s="3">
        <v>876</v>
      </c>
      <c r="R32" s="3">
        <v>1110</v>
      </c>
      <c r="S32" s="3">
        <v>1098</v>
      </c>
      <c r="T32" s="3">
        <v>1656</v>
      </c>
      <c r="U32" s="3">
        <v>1704</v>
      </c>
      <c r="V32" s="3">
        <v>1026</v>
      </c>
      <c r="W32" s="3">
        <v>948</v>
      </c>
      <c r="X32" s="3">
        <v>2562</v>
      </c>
      <c r="Y32" s="3">
        <v>4446</v>
      </c>
      <c r="Z32" s="3">
        <v>474</v>
      </c>
      <c r="AA32" s="3">
        <v>228</v>
      </c>
      <c r="AB32" s="3">
        <v>714</v>
      </c>
      <c r="AC32" s="3">
        <v>288</v>
      </c>
      <c r="AD32" s="3">
        <v>624</v>
      </c>
      <c r="AE32" s="3">
        <v>1248</v>
      </c>
      <c r="AF32" s="3">
        <v>852</v>
      </c>
      <c r="AG32" s="3">
        <v>1920</v>
      </c>
      <c r="AH32" s="3">
        <v>1038</v>
      </c>
      <c r="AI32" s="3">
        <v>4050</v>
      </c>
      <c r="AJ32" s="3">
        <v>744</v>
      </c>
      <c r="AK32" s="3">
        <v>252</v>
      </c>
      <c r="AL32" s="3">
        <v>96</v>
      </c>
      <c r="AM32" s="3">
        <v>-144</v>
      </c>
      <c r="AN32" s="3">
        <v>144</v>
      </c>
      <c r="AO32" s="3">
        <v>180</v>
      </c>
      <c r="AP32" s="3">
        <v>240</v>
      </c>
      <c r="AQ32" s="3">
        <v>180</v>
      </c>
      <c r="AR32" s="3">
        <v>276</v>
      </c>
      <c r="AS32" s="3">
        <v>408</v>
      </c>
      <c r="AT32" s="3">
        <v>1584</v>
      </c>
      <c r="AU32" s="3">
        <v>0</v>
      </c>
      <c r="AV32" s="3">
        <v>0</v>
      </c>
      <c r="AW32" s="3">
        <v>0</v>
      </c>
    </row>
    <row r="33" spans="1:49">
      <c r="A33" s="4" t="s">
        <v>40</v>
      </c>
      <c r="B33" s="4" t="str">
        <f t="shared" si="0"/>
        <v>Hair Care</v>
      </c>
      <c r="C33" s="4" t="s">
        <v>1786</v>
      </c>
      <c r="D33" s="4" t="s">
        <v>150</v>
      </c>
      <c r="E33" s="24" t="s">
        <v>125</v>
      </c>
      <c r="F33" s="12" t="s">
        <v>182</v>
      </c>
      <c r="G33" s="4" t="s">
        <v>1787</v>
      </c>
      <c r="H33" s="3">
        <v>384</v>
      </c>
      <c r="I33" s="3">
        <v>180</v>
      </c>
      <c r="J33" s="3">
        <v>240</v>
      </c>
      <c r="K33" s="3">
        <v>336</v>
      </c>
      <c r="L33" s="3">
        <v>60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</row>
    <row r="34" spans="1:49">
      <c r="A34" s="4" t="s">
        <v>40</v>
      </c>
      <c r="B34" s="4" t="str">
        <f t="shared" si="0"/>
        <v>Hair Care</v>
      </c>
      <c r="C34" s="4" t="s">
        <v>1786</v>
      </c>
      <c r="D34" s="4" t="s">
        <v>150</v>
      </c>
      <c r="E34" s="24" t="s">
        <v>125</v>
      </c>
      <c r="F34" s="12" t="s">
        <v>183</v>
      </c>
      <c r="G34" s="4" t="s">
        <v>1787</v>
      </c>
      <c r="H34" s="3">
        <v>1854</v>
      </c>
      <c r="I34" s="3">
        <v>84</v>
      </c>
      <c r="J34" s="3">
        <v>24</v>
      </c>
      <c r="K34" s="3">
        <v>36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</row>
    <row r="35" spans="1:49">
      <c r="A35" s="4" t="s">
        <v>40</v>
      </c>
      <c r="B35" s="4" t="str">
        <f t="shared" si="0"/>
        <v>Hair Care</v>
      </c>
      <c r="C35" s="4" t="s">
        <v>1786</v>
      </c>
      <c r="D35" s="4" t="s">
        <v>150</v>
      </c>
      <c r="E35" s="24" t="s">
        <v>125</v>
      </c>
      <c r="F35" s="12" t="s">
        <v>184</v>
      </c>
      <c r="G35" s="4" t="s">
        <v>1787</v>
      </c>
      <c r="H35" s="3">
        <v>192</v>
      </c>
      <c r="I35" s="3">
        <v>36</v>
      </c>
      <c r="J35" s="3">
        <v>24</v>
      </c>
      <c r="K35" s="3">
        <v>144</v>
      </c>
      <c r="L35" s="3">
        <v>60</v>
      </c>
      <c r="M35" s="3">
        <v>0</v>
      </c>
      <c r="N35" s="3">
        <v>-24</v>
      </c>
      <c r="O35" s="3">
        <v>-24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</row>
    <row r="36" spans="1:49">
      <c r="A36" s="4" t="s">
        <v>40</v>
      </c>
      <c r="B36" s="4" t="str">
        <f t="shared" si="0"/>
        <v>Hair Care</v>
      </c>
      <c r="C36" s="4" t="s">
        <v>1786</v>
      </c>
      <c r="D36" s="4" t="s">
        <v>150</v>
      </c>
      <c r="E36" s="24" t="s">
        <v>125</v>
      </c>
      <c r="F36" s="12" t="s">
        <v>185</v>
      </c>
      <c r="G36" s="4" t="s">
        <v>1787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36</v>
      </c>
      <c r="P36" s="3">
        <v>120</v>
      </c>
      <c r="Q36" s="3">
        <v>324</v>
      </c>
      <c r="R36" s="3">
        <v>312</v>
      </c>
      <c r="S36" s="3">
        <v>636</v>
      </c>
      <c r="T36" s="3">
        <v>492</v>
      </c>
      <c r="U36" s="3">
        <v>144</v>
      </c>
      <c r="V36" s="3">
        <v>132</v>
      </c>
      <c r="W36" s="3">
        <v>48</v>
      </c>
      <c r="X36" s="3">
        <v>96</v>
      </c>
      <c r="Y36" s="3">
        <v>132</v>
      </c>
      <c r="Z36" s="3">
        <v>72</v>
      </c>
      <c r="AA36" s="3">
        <v>72</v>
      </c>
      <c r="AB36" s="3">
        <v>144</v>
      </c>
      <c r="AC36" s="3">
        <v>84</v>
      </c>
      <c r="AD36" s="3">
        <v>216</v>
      </c>
      <c r="AE36" s="3">
        <v>84</v>
      </c>
      <c r="AF36" s="3">
        <v>132</v>
      </c>
      <c r="AG36" s="3">
        <v>24</v>
      </c>
      <c r="AH36" s="3">
        <v>24</v>
      </c>
      <c r="AI36" s="3">
        <v>24</v>
      </c>
      <c r="AJ36" s="3">
        <v>84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</row>
    <row r="37" spans="1:49">
      <c r="A37" s="4" t="s">
        <v>40</v>
      </c>
      <c r="B37" s="4" t="str">
        <f t="shared" si="0"/>
        <v>Hair Care</v>
      </c>
      <c r="C37" s="4" t="s">
        <v>1786</v>
      </c>
      <c r="D37" s="4" t="s">
        <v>150</v>
      </c>
      <c r="E37" s="24" t="s">
        <v>125</v>
      </c>
      <c r="F37" s="12" t="s">
        <v>186</v>
      </c>
      <c r="G37" s="4" t="s">
        <v>1787</v>
      </c>
      <c r="H37" s="3">
        <v>2034</v>
      </c>
      <c r="I37" s="3">
        <v>648</v>
      </c>
      <c r="J37" s="3">
        <v>1080</v>
      </c>
      <c r="K37" s="3">
        <v>603</v>
      </c>
      <c r="L37" s="3">
        <v>912</v>
      </c>
      <c r="M37" s="3">
        <v>768</v>
      </c>
      <c r="N37" s="3">
        <v>936</v>
      </c>
      <c r="O37" s="3">
        <v>966</v>
      </c>
      <c r="P37" s="3">
        <v>840</v>
      </c>
      <c r="Q37" s="3">
        <v>630</v>
      </c>
      <c r="R37" s="3">
        <v>444</v>
      </c>
      <c r="S37" s="3">
        <v>552</v>
      </c>
      <c r="T37" s="3">
        <v>1128</v>
      </c>
      <c r="U37" s="3">
        <v>1164</v>
      </c>
      <c r="V37" s="3">
        <v>720</v>
      </c>
      <c r="W37" s="3">
        <v>378</v>
      </c>
      <c r="X37" s="3">
        <v>420</v>
      </c>
      <c r="Y37" s="3">
        <v>936</v>
      </c>
      <c r="Z37" s="3">
        <v>330</v>
      </c>
      <c r="AA37" s="3">
        <v>804</v>
      </c>
      <c r="AB37" s="3">
        <v>360</v>
      </c>
      <c r="AC37" s="3">
        <v>60</v>
      </c>
      <c r="AD37" s="3">
        <v>156</v>
      </c>
      <c r="AE37" s="3">
        <v>264</v>
      </c>
      <c r="AF37" s="3">
        <v>252</v>
      </c>
      <c r="AG37" s="3">
        <v>96</v>
      </c>
      <c r="AH37" s="3">
        <v>48</v>
      </c>
      <c r="AI37" s="3">
        <v>132</v>
      </c>
      <c r="AJ37" s="3">
        <v>72</v>
      </c>
      <c r="AK37" s="3">
        <v>24</v>
      </c>
      <c r="AL37" s="3">
        <v>96</v>
      </c>
      <c r="AM37" s="3">
        <v>12</v>
      </c>
      <c r="AN37" s="3">
        <v>12</v>
      </c>
      <c r="AO37" s="3">
        <v>0</v>
      </c>
      <c r="AP37" s="3">
        <v>0</v>
      </c>
      <c r="AQ37" s="3">
        <v>0</v>
      </c>
      <c r="AR37" s="3">
        <v>96</v>
      </c>
      <c r="AS37" s="3">
        <v>216</v>
      </c>
      <c r="AT37" s="3">
        <v>12</v>
      </c>
      <c r="AU37" s="3">
        <v>0</v>
      </c>
      <c r="AV37" s="3">
        <v>0</v>
      </c>
      <c r="AW37" s="3">
        <v>0</v>
      </c>
    </row>
    <row r="38" spans="1:49">
      <c r="A38" s="4" t="s">
        <v>40</v>
      </c>
      <c r="B38" s="4" t="str">
        <f t="shared" si="0"/>
        <v>Hair Care</v>
      </c>
      <c r="C38" s="4" t="s">
        <v>1786</v>
      </c>
      <c r="D38" s="4" t="s">
        <v>150</v>
      </c>
      <c r="E38" s="24" t="s">
        <v>125</v>
      </c>
      <c r="F38" s="12" t="s">
        <v>187</v>
      </c>
      <c r="G38" s="4" t="s">
        <v>1787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708</v>
      </c>
      <c r="T38" s="3">
        <v>1344</v>
      </c>
      <c r="U38" s="3">
        <v>972</v>
      </c>
      <c r="V38" s="3">
        <v>672</v>
      </c>
      <c r="W38" s="3">
        <v>636</v>
      </c>
      <c r="X38" s="3">
        <v>216</v>
      </c>
      <c r="Y38" s="3">
        <v>552</v>
      </c>
      <c r="Z38" s="3">
        <v>192</v>
      </c>
      <c r="AA38" s="3">
        <v>2052</v>
      </c>
      <c r="AB38" s="3">
        <v>1068</v>
      </c>
      <c r="AC38" s="3">
        <v>660</v>
      </c>
      <c r="AD38" s="3">
        <v>552</v>
      </c>
      <c r="AE38" s="3">
        <v>804</v>
      </c>
      <c r="AF38" s="3">
        <v>1236</v>
      </c>
      <c r="AG38" s="3">
        <v>600</v>
      </c>
      <c r="AH38" s="3">
        <v>396</v>
      </c>
      <c r="AI38" s="3">
        <v>864</v>
      </c>
      <c r="AJ38" s="3">
        <v>540</v>
      </c>
      <c r="AK38" s="3">
        <v>1056</v>
      </c>
      <c r="AL38" s="3">
        <v>468</v>
      </c>
      <c r="AM38" s="3">
        <v>504</v>
      </c>
      <c r="AN38" s="3">
        <v>288</v>
      </c>
      <c r="AO38" s="3">
        <v>1116</v>
      </c>
      <c r="AP38" s="3">
        <v>636</v>
      </c>
      <c r="AQ38" s="3">
        <v>144</v>
      </c>
      <c r="AR38" s="3">
        <v>1584</v>
      </c>
      <c r="AS38" s="3">
        <v>768</v>
      </c>
      <c r="AT38" s="3">
        <v>984</v>
      </c>
      <c r="AU38" s="3">
        <v>216</v>
      </c>
      <c r="AV38" s="3">
        <v>0</v>
      </c>
      <c r="AW38" s="3">
        <v>0</v>
      </c>
    </row>
    <row r="39" spans="1:49">
      <c r="A39" s="4" t="s">
        <v>40</v>
      </c>
      <c r="B39" s="4" t="str">
        <f t="shared" si="0"/>
        <v>Hair Care</v>
      </c>
      <c r="C39" s="4" t="s">
        <v>1786</v>
      </c>
      <c r="D39" s="4" t="s">
        <v>150</v>
      </c>
      <c r="E39" s="24" t="s">
        <v>125</v>
      </c>
      <c r="F39" s="12" t="s">
        <v>188</v>
      </c>
      <c r="G39" s="4" t="s">
        <v>1787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420</v>
      </c>
      <c r="Q39" s="3">
        <v>1248</v>
      </c>
      <c r="R39" s="3">
        <v>540</v>
      </c>
      <c r="S39" s="3">
        <v>354</v>
      </c>
      <c r="T39" s="3">
        <v>636</v>
      </c>
      <c r="U39" s="3">
        <v>684</v>
      </c>
      <c r="V39" s="3">
        <v>300</v>
      </c>
      <c r="W39" s="3">
        <v>540</v>
      </c>
      <c r="X39" s="3">
        <v>420</v>
      </c>
      <c r="Y39" s="3">
        <v>360</v>
      </c>
      <c r="Z39" s="3">
        <v>96</v>
      </c>
      <c r="AA39" s="3">
        <v>240</v>
      </c>
      <c r="AB39" s="3">
        <v>864</v>
      </c>
      <c r="AC39" s="3">
        <v>324</v>
      </c>
      <c r="AD39" s="3">
        <v>324</v>
      </c>
      <c r="AE39" s="3">
        <v>480</v>
      </c>
      <c r="AF39" s="3">
        <v>648</v>
      </c>
      <c r="AG39" s="3">
        <v>360</v>
      </c>
      <c r="AH39" s="3">
        <v>324</v>
      </c>
      <c r="AI39" s="3">
        <v>293</v>
      </c>
      <c r="AJ39" s="3">
        <v>528</v>
      </c>
      <c r="AK39" s="3">
        <v>288</v>
      </c>
      <c r="AL39" s="3">
        <v>444</v>
      </c>
      <c r="AM39" s="3">
        <v>480</v>
      </c>
      <c r="AN39" s="3">
        <v>312</v>
      </c>
      <c r="AO39" s="3">
        <v>589</v>
      </c>
      <c r="AP39" s="3">
        <v>636</v>
      </c>
      <c r="AQ39" s="3">
        <v>534</v>
      </c>
      <c r="AR39" s="3">
        <v>900</v>
      </c>
      <c r="AS39" s="3">
        <v>576</v>
      </c>
      <c r="AT39" s="3">
        <v>588</v>
      </c>
      <c r="AU39" s="3">
        <v>300</v>
      </c>
      <c r="AV39" s="3">
        <v>0</v>
      </c>
      <c r="AW39" s="3">
        <v>0</v>
      </c>
    </row>
    <row r="40" spans="1:49">
      <c r="A40" s="4" t="s">
        <v>40</v>
      </c>
      <c r="B40" s="4" t="str">
        <f t="shared" si="0"/>
        <v>Hair Care</v>
      </c>
      <c r="C40" s="4" t="s">
        <v>1786</v>
      </c>
      <c r="D40" s="4" t="s">
        <v>150</v>
      </c>
      <c r="E40" s="24" t="s">
        <v>125</v>
      </c>
      <c r="F40" s="12" t="s">
        <v>189</v>
      </c>
      <c r="G40" s="4" t="s">
        <v>1787</v>
      </c>
      <c r="H40" s="3">
        <v>228</v>
      </c>
      <c r="I40" s="3">
        <v>0</v>
      </c>
      <c r="J40" s="3">
        <v>0</v>
      </c>
      <c r="K40" s="3">
        <v>0</v>
      </c>
      <c r="L40" s="3">
        <v>0</v>
      </c>
      <c r="M40" s="3">
        <v>312</v>
      </c>
      <c r="N40" s="3">
        <v>150</v>
      </c>
      <c r="O40" s="3">
        <v>48</v>
      </c>
      <c r="P40" s="3">
        <v>174</v>
      </c>
      <c r="Q40" s="3">
        <v>66</v>
      </c>
      <c r="R40" s="3">
        <v>126</v>
      </c>
      <c r="S40" s="3">
        <v>288</v>
      </c>
      <c r="T40" s="3">
        <v>348</v>
      </c>
      <c r="U40" s="3">
        <v>156</v>
      </c>
      <c r="V40" s="3">
        <v>24</v>
      </c>
      <c r="W40" s="3">
        <v>0</v>
      </c>
      <c r="X40" s="3">
        <v>0</v>
      </c>
      <c r="Y40" s="3">
        <v>90</v>
      </c>
      <c r="Z40" s="3">
        <v>36</v>
      </c>
      <c r="AA40" s="3">
        <v>60</v>
      </c>
      <c r="AB40" s="3">
        <v>54</v>
      </c>
      <c r="AC40" s="3">
        <v>36</v>
      </c>
      <c r="AD40" s="3">
        <v>120</v>
      </c>
      <c r="AE40" s="3">
        <v>102</v>
      </c>
      <c r="AF40" s="3">
        <v>84</v>
      </c>
      <c r="AG40" s="3">
        <v>6</v>
      </c>
      <c r="AH40" s="3">
        <v>0</v>
      </c>
      <c r="AI40" s="3">
        <v>18</v>
      </c>
      <c r="AJ40" s="3">
        <v>54</v>
      </c>
      <c r="AK40" s="3">
        <v>78</v>
      </c>
      <c r="AL40" s="3">
        <v>6</v>
      </c>
      <c r="AM40" s="3">
        <v>6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</row>
    <row r="41" spans="1:49">
      <c r="A41" s="4" t="s">
        <v>40</v>
      </c>
      <c r="B41" s="4" t="str">
        <f t="shared" si="0"/>
        <v>Hair Care</v>
      </c>
      <c r="C41" s="4" t="s">
        <v>1786</v>
      </c>
      <c r="D41" s="4" t="s">
        <v>150</v>
      </c>
      <c r="E41" s="24" t="s">
        <v>125</v>
      </c>
      <c r="F41" s="12" t="s">
        <v>190</v>
      </c>
      <c r="G41" s="4" t="s">
        <v>1787</v>
      </c>
      <c r="H41" s="3">
        <v>4488</v>
      </c>
      <c r="I41" s="3">
        <v>1056</v>
      </c>
      <c r="J41" s="3">
        <v>1440</v>
      </c>
      <c r="K41" s="3">
        <v>2424</v>
      </c>
      <c r="L41" s="3">
        <v>780</v>
      </c>
      <c r="M41" s="3">
        <v>624</v>
      </c>
      <c r="N41" s="3">
        <v>1032</v>
      </c>
      <c r="O41" s="3">
        <v>1488</v>
      </c>
      <c r="P41" s="3">
        <v>864</v>
      </c>
      <c r="Q41" s="3">
        <v>768</v>
      </c>
      <c r="R41" s="3">
        <v>948</v>
      </c>
      <c r="S41" s="3">
        <v>1020</v>
      </c>
      <c r="T41" s="3">
        <v>1404</v>
      </c>
      <c r="U41" s="3">
        <v>1860</v>
      </c>
      <c r="V41" s="3">
        <v>540</v>
      </c>
      <c r="W41" s="3">
        <v>900</v>
      </c>
      <c r="X41" s="3">
        <v>756</v>
      </c>
      <c r="Y41" s="3">
        <v>780</v>
      </c>
      <c r="Z41" s="3">
        <v>912</v>
      </c>
      <c r="AA41" s="3">
        <v>756</v>
      </c>
      <c r="AB41" s="3">
        <v>1320</v>
      </c>
      <c r="AC41" s="3">
        <v>756</v>
      </c>
      <c r="AD41" s="3">
        <v>600</v>
      </c>
      <c r="AE41" s="3">
        <v>408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</row>
    <row r="42" spans="1:49">
      <c r="A42" s="4" t="s">
        <v>40</v>
      </c>
      <c r="B42" s="4" t="str">
        <f t="shared" si="0"/>
        <v>Hair Care</v>
      </c>
      <c r="C42" s="4" t="s">
        <v>1786</v>
      </c>
      <c r="D42" s="4" t="s">
        <v>150</v>
      </c>
      <c r="E42" s="24" t="s">
        <v>125</v>
      </c>
      <c r="F42" s="12" t="s">
        <v>191</v>
      </c>
      <c r="G42" s="4" t="s">
        <v>1787</v>
      </c>
      <c r="H42" s="3">
        <v>3048</v>
      </c>
      <c r="I42" s="3">
        <v>1008</v>
      </c>
      <c r="J42" s="3">
        <v>3908</v>
      </c>
      <c r="K42" s="3">
        <v>2729</v>
      </c>
      <c r="L42" s="3">
        <v>2280</v>
      </c>
      <c r="M42" s="3">
        <v>1830</v>
      </c>
      <c r="N42" s="3">
        <v>2706</v>
      </c>
      <c r="O42" s="3">
        <v>5268</v>
      </c>
      <c r="P42" s="3">
        <v>2328</v>
      </c>
      <c r="Q42" s="3">
        <v>3240</v>
      </c>
      <c r="R42" s="3">
        <v>6588</v>
      </c>
      <c r="S42" s="3">
        <v>2514</v>
      </c>
      <c r="T42" s="3">
        <v>5532</v>
      </c>
      <c r="U42" s="3">
        <v>3972</v>
      </c>
      <c r="V42" s="3">
        <v>2442</v>
      </c>
      <c r="W42" s="3">
        <v>1500</v>
      </c>
      <c r="X42" s="3">
        <v>2811</v>
      </c>
      <c r="Y42" s="3">
        <v>1830</v>
      </c>
      <c r="Z42" s="3">
        <v>2076</v>
      </c>
      <c r="AA42" s="3">
        <v>2298</v>
      </c>
      <c r="AB42" s="3">
        <v>5424</v>
      </c>
      <c r="AC42" s="3">
        <v>2166</v>
      </c>
      <c r="AD42" s="3">
        <v>1494</v>
      </c>
      <c r="AE42" s="3">
        <v>2358</v>
      </c>
      <c r="AF42" s="3">
        <v>1824</v>
      </c>
      <c r="AG42" s="3">
        <v>3048</v>
      </c>
      <c r="AH42" s="3">
        <v>2346</v>
      </c>
      <c r="AI42" s="3">
        <v>852</v>
      </c>
      <c r="AJ42" s="3">
        <v>2568</v>
      </c>
      <c r="AK42" s="3">
        <v>3486</v>
      </c>
      <c r="AL42" s="3">
        <v>3606</v>
      </c>
      <c r="AM42" s="3">
        <v>690</v>
      </c>
      <c r="AN42" s="3">
        <v>3774</v>
      </c>
      <c r="AO42" s="3">
        <v>5568</v>
      </c>
      <c r="AP42" s="3">
        <v>1998</v>
      </c>
      <c r="AQ42" s="3">
        <v>3708</v>
      </c>
      <c r="AR42" s="3">
        <v>4242</v>
      </c>
      <c r="AS42" s="3">
        <v>3450</v>
      </c>
      <c r="AT42" s="3">
        <v>4998</v>
      </c>
      <c r="AU42" s="3">
        <v>3354</v>
      </c>
      <c r="AV42" s="3">
        <v>2544</v>
      </c>
      <c r="AW42" s="3">
        <v>2172</v>
      </c>
    </row>
    <row r="43" spans="1:49">
      <c r="A43" s="4" t="s">
        <v>40</v>
      </c>
      <c r="B43" s="4" t="str">
        <f t="shared" si="0"/>
        <v>Hair Care</v>
      </c>
      <c r="C43" s="4" t="s">
        <v>1786</v>
      </c>
      <c r="D43" s="4" t="s">
        <v>150</v>
      </c>
      <c r="E43" s="24" t="s">
        <v>125</v>
      </c>
      <c r="F43" s="12" t="s">
        <v>192</v>
      </c>
      <c r="G43" s="4" t="s">
        <v>1787</v>
      </c>
      <c r="H43" s="3">
        <v>1212</v>
      </c>
      <c r="I43" s="3">
        <v>264</v>
      </c>
      <c r="J43" s="3">
        <v>2772</v>
      </c>
      <c r="K43" s="3">
        <v>1164</v>
      </c>
      <c r="L43" s="3">
        <v>594</v>
      </c>
      <c r="M43" s="3">
        <v>660</v>
      </c>
      <c r="N43" s="3">
        <v>366</v>
      </c>
      <c r="O43" s="3">
        <v>1464</v>
      </c>
      <c r="P43" s="3">
        <v>1794</v>
      </c>
      <c r="Q43" s="3">
        <v>588</v>
      </c>
      <c r="R43" s="3">
        <v>1458</v>
      </c>
      <c r="S43" s="3">
        <v>612</v>
      </c>
      <c r="T43" s="3">
        <v>2130</v>
      </c>
      <c r="U43" s="3">
        <v>1800</v>
      </c>
      <c r="V43" s="3">
        <v>852</v>
      </c>
      <c r="W43" s="3">
        <v>738</v>
      </c>
      <c r="X43" s="3">
        <v>1128</v>
      </c>
      <c r="Y43" s="3">
        <v>654</v>
      </c>
      <c r="Z43" s="3">
        <v>576</v>
      </c>
      <c r="AA43" s="3">
        <v>720</v>
      </c>
      <c r="AB43" s="3">
        <v>1914</v>
      </c>
      <c r="AC43" s="3">
        <v>342</v>
      </c>
      <c r="AD43" s="3">
        <v>660</v>
      </c>
      <c r="AE43" s="3">
        <v>552</v>
      </c>
      <c r="AF43" s="3">
        <v>1554</v>
      </c>
      <c r="AG43" s="3">
        <v>1026</v>
      </c>
      <c r="AH43" s="3">
        <v>930</v>
      </c>
      <c r="AI43" s="3">
        <v>1710</v>
      </c>
      <c r="AJ43" s="3">
        <v>1170</v>
      </c>
      <c r="AK43" s="3">
        <v>1314</v>
      </c>
      <c r="AL43" s="3">
        <v>366</v>
      </c>
      <c r="AM43" s="3">
        <v>1236</v>
      </c>
      <c r="AN43" s="3">
        <v>1200</v>
      </c>
      <c r="AO43" s="3">
        <v>1068</v>
      </c>
      <c r="AP43" s="3">
        <v>816</v>
      </c>
      <c r="AQ43" s="3">
        <v>1824</v>
      </c>
      <c r="AR43" s="3">
        <v>1764</v>
      </c>
      <c r="AS43" s="3">
        <v>1296</v>
      </c>
      <c r="AT43" s="3">
        <v>1068</v>
      </c>
      <c r="AU43" s="3">
        <v>1326</v>
      </c>
      <c r="AV43" s="3">
        <v>1620</v>
      </c>
      <c r="AW43" s="3">
        <v>1830</v>
      </c>
    </row>
    <row r="44" spans="1:49">
      <c r="A44" s="4" t="s">
        <v>40</v>
      </c>
      <c r="B44" s="4" t="str">
        <f t="shared" si="0"/>
        <v>Hair Care</v>
      </c>
      <c r="C44" s="4" t="s">
        <v>1786</v>
      </c>
      <c r="D44" s="4" t="s">
        <v>150</v>
      </c>
      <c r="E44" s="24" t="s">
        <v>125</v>
      </c>
      <c r="F44" s="12" t="s">
        <v>193</v>
      </c>
      <c r="G44" s="4" t="s">
        <v>1787</v>
      </c>
      <c r="H44" s="3">
        <v>3408</v>
      </c>
      <c r="I44" s="3">
        <v>790</v>
      </c>
      <c r="J44" s="3">
        <v>1422</v>
      </c>
      <c r="K44" s="3">
        <v>2853</v>
      </c>
      <c r="L44" s="3">
        <v>1896</v>
      </c>
      <c r="M44" s="3">
        <v>1950</v>
      </c>
      <c r="N44" s="3">
        <v>2562</v>
      </c>
      <c r="O44" s="3">
        <v>5064</v>
      </c>
      <c r="P44" s="3">
        <v>2316</v>
      </c>
      <c r="Q44" s="3">
        <v>2754</v>
      </c>
      <c r="R44" s="3">
        <v>5982</v>
      </c>
      <c r="S44" s="3">
        <v>2172</v>
      </c>
      <c r="T44" s="3">
        <v>5664</v>
      </c>
      <c r="U44" s="3">
        <v>4128</v>
      </c>
      <c r="V44" s="3">
        <v>1470</v>
      </c>
      <c r="W44" s="3">
        <v>1860</v>
      </c>
      <c r="X44" s="3">
        <v>2991</v>
      </c>
      <c r="Y44" s="3">
        <v>1818</v>
      </c>
      <c r="Z44" s="3">
        <v>2028</v>
      </c>
      <c r="AA44" s="3">
        <v>2238</v>
      </c>
      <c r="AB44" s="3">
        <v>4536</v>
      </c>
      <c r="AC44" s="3">
        <v>2166</v>
      </c>
      <c r="AD44" s="3">
        <v>1482</v>
      </c>
      <c r="AE44" s="3">
        <v>2250</v>
      </c>
      <c r="AF44" s="3">
        <v>936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</row>
    <row r="45" spans="1:49">
      <c r="A45" s="4" t="s">
        <v>40</v>
      </c>
      <c r="B45" s="4" t="str">
        <f t="shared" si="0"/>
        <v>Hair Care</v>
      </c>
      <c r="C45" s="4" t="s">
        <v>1786</v>
      </c>
      <c r="D45" s="4" t="s">
        <v>150</v>
      </c>
      <c r="E45" s="24" t="s">
        <v>125</v>
      </c>
      <c r="F45" s="12" t="s">
        <v>194</v>
      </c>
      <c r="G45" s="4" t="s">
        <v>1787</v>
      </c>
      <c r="H45" s="3">
        <v>3132</v>
      </c>
      <c r="I45" s="3">
        <v>924</v>
      </c>
      <c r="J45" s="3">
        <v>6038</v>
      </c>
      <c r="K45" s="3">
        <v>2360</v>
      </c>
      <c r="L45" s="3">
        <v>1590</v>
      </c>
      <c r="M45" s="3">
        <v>936</v>
      </c>
      <c r="N45" s="3">
        <v>1158</v>
      </c>
      <c r="O45" s="3">
        <v>2652</v>
      </c>
      <c r="P45" s="3">
        <v>2394</v>
      </c>
      <c r="Q45" s="3">
        <v>1662</v>
      </c>
      <c r="R45" s="3">
        <v>2928</v>
      </c>
      <c r="S45" s="3">
        <v>1902</v>
      </c>
      <c r="T45" s="3">
        <v>2562</v>
      </c>
      <c r="U45" s="3">
        <v>3060</v>
      </c>
      <c r="V45" s="3">
        <v>2352</v>
      </c>
      <c r="W45" s="3">
        <v>1578</v>
      </c>
      <c r="X45" s="3">
        <v>1896</v>
      </c>
      <c r="Y45" s="3">
        <v>978</v>
      </c>
      <c r="Z45" s="3">
        <v>1596</v>
      </c>
      <c r="AA45" s="3">
        <v>1728</v>
      </c>
      <c r="AB45" s="3">
        <v>3594</v>
      </c>
      <c r="AC45" s="3">
        <v>810</v>
      </c>
      <c r="AD45" s="3">
        <v>1080</v>
      </c>
      <c r="AE45" s="3">
        <v>1548</v>
      </c>
      <c r="AF45" s="3">
        <v>2862</v>
      </c>
      <c r="AG45" s="3">
        <v>2574</v>
      </c>
      <c r="AH45" s="3">
        <v>3396</v>
      </c>
      <c r="AI45" s="3">
        <v>2694</v>
      </c>
      <c r="AJ45" s="3">
        <v>1746</v>
      </c>
      <c r="AK45" s="3">
        <v>2874</v>
      </c>
      <c r="AL45" s="3">
        <v>1026</v>
      </c>
      <c r="AM45" s="3">
        <v>2160</v>
      </c>
      <c r="AN45" s="3">
        <v>2388</v>
      </c>
      <c r="AO45" s="3">
        <v>1956</v>
      </c>
      <c r="AP45" s="3">
        <v>2292</v>
      </c>
      <c r="AQ45" s="3">
        <v>3888</v>
      </c>
      <c r="AR45" s="3">
        <v>2808</v>
      </c>
      <c r="AS45" s="3">
        <v>3396</v>
      </c>
      <c r="AT45" s="3">
        <v>3936</v>
      </c>
      <c r="AU45" s="3">
        <v>1998</v>
      </c>
      <c r="AV45" s="3">
        <v>1236</v>
      </c>
      <c r="AW45" s="3">
        <v>2538</v>
      </c>
    </row>
    <row r="46" spans="1:49">
      <c r="A46" s="4" t="s">
        <v>40</v>
      </c>
      <c r="B46" s="4" t="str">
        <f t="shared" si="0"/>
        <v>Hair Care</v>
      </c>
      <c r="C46" s="4" t="s">
        <v>1786</v>
      </c>
      <c r="D46" s="4" t="s">
        <v>150</v>
      </c>
      <c r="E46" s="24" t="s">
        <v>125</v>
      </c>
      <c r="F46" s="12" t="s">
        <v>195</v>
      </c>
      <c r="G46" s="4" t="s">
        <v>1787</v>
      </c>
      <c r="H46" s="3">
        <v>1920</v>
      </c>
      <c r="I46" s="3">
        <v>432</v>
      </c>
      <c r="J46" s="3">
        <v>642</v>
      </c>
      <c r="K46" s="3">
        <v>552</v>
      </c>
      <c r="L46" s="3">
        <v>222</v>
      </c>
      <c r="M46" s="3">
        <v>300</v>
      </c>
      <c r="N46" s="3">
        <v>576</v>
      </c>
      <c r="O46" s="3">
        <v>780</v>
      </c>
      <c r="P46" s="3">
        <v>144</v>
      </c>
      <c r="Q46" s="3">
        <v>264</v>
      </c>
      <c r="R46" s="3">
        <v>660</v>
      </c>
      <c r="S46" s="3">
        <v>504</v>
      </c>
      <c r="T46" s="3">
        <v>1248</v>
      </c>
      <c r="U46" s="3">
        <v>630</v>
      </c>
      <c r="V46" s="3">
        <v>354</v>
      </c>
      <c r="W46" s="3">
        <v>336</v>
      </c>
      <c r="X46" s="3">
        <v>210</v>
      </c>
      <c r="Y46" s="3">
        <v>192</v>
      </c>
      <c r="Z46" s="3">
        <v>222</v>
      </c>
      <c r="AA46" s="3">
        <v>378</v>
      </c>
      <c r="AB46" s="3">
        <v>1098</v>
      </c>
      <c r="AC46" s="3">
        <v>156</v>
      </c>
      <c r="AD46" s="3">
        <v>210</v>
      </c>
      <c r="AE46" s="3">
        <v>420</v>
      </c>
      <c r="AF46" s="3">
        <v>366</v>
      </c>
      <c r="AG46" s="3">
        <v>0</v>
      </c>
      <c r="AH46" s="3">
        <v>540</v>
      </c>
      <c r="AI46" s="3">
        <v>618</v>
      </c>
      <c r="AJ46" s="3">
        <v>372</v>
      </c>
      <c r="AK46" s="3">
        <v>288</v>
      </c>
      <c r="AL46" s="3">
        <v>228</v>
      </c>
      <c r="AM46" s="3">
        <v>282</v>
      </c>
      <c r="AN46" s="3">
        <v>246</v>
      </c>
      <c r="AO46" s="3">
        <v>456</v>
      </c>
      <c r="AP46" s="3">
        <v>210</v>
      </c>
      <c r="AQ46" s="3">
        <v>738</v>
      </c>
      <c r="AR46" s="3">
        <v>882</v>
      </c>
      <c r="AS46" s="3">
        <v>762</v>
      </c>
      <c r="AT46" s="3">
        <v>930</v>
      </c>
      <c r="AU46" s="3">
        <v>336</v>
      </c>
      <c r="AV46" s="3">
        <v>174</v>
      </c>
      <c r="AW46" s="3">
        <v>180</v>
      </c>
    </row>
    <row r="47" spans="1:49">
      <c r="A47" s="4" t="s">
        <v>40</v>
      </c>
      <c r="B47" s="4" t="str">
        <f t="shared" si="0"/>
        <v>Hair Care</v>
      </c>
      <c r="C47" s="4" t="s">
        <v>1786</v>
      </c>
      <c r="D47" s="4" t="s">
        <v>150</v>
      </c>
      <c r="E47" s="24" t="s">
        <v>125</v>
      </c>
      <c r="F47" s="12" t="s">
        <v>196</v>
      </c>
      <c r="G47" s="4" t="s">
        <v>1787</v>
      </c>
      <c r="H47" s="3">
        <v>120</v>
      </c>
      <c r="I47" s="3">
        <v>2790</v>
      </c>
      <c r="J47" s="3">
        <v>4494</v>
      </c>
      <c r="K47" s="3">
        <v>1563</v>
      </c>
      <c r="L47" s="3">
        <v>2250</v>
      </c>
      <c r="M47" s="3">
        <v>2406</v>
      </c>
      <c r="N47" s="3">
        <v>2472</v>
      </c>
      <c r="O47" s="3">
        <v>2460</v>
      </c>
      <c r="P47" s="3">
        <v>2418</v>
      </c>
      <c r="Q47" s="3">
        <v>2430</v>
      </c>
      <c r="R47" s="3">
        <v>2508</v>
      </c>
      <c r="S47" s="3">
        <v>1422</v>
      </c>
      <c r="T47" s="3">
        <v>3312</v>
      </c>
      <c r="U47" s="3">
        <v>966</v>
      </c>
      <c r="V47" s="3">
        <v>2478</v>
      </c>
      <c r="W47" s="3">
        <v>1950</v>
      </c>
      <c r="X47" s="3">
        <v>1416</v>
      </c>
      <c r="Y47" s="3">
        <v>1662</v>
      </c>
      <c r="Z47" s="3">
        <v>1272</v>
      </c>
      <c r="AA47" s="3">
        <v>1062</v>
      </c>
      <c r="AB47" s="3">
        <v>3264</v>
      </c>
      <c r="AC47" s="3">
        <v>828</v>
      </c>
      <c r="AD47" s="3">
        <v>1260</v>
      </c>
      <c r="AE47" s="3">
        <v>2376</v>
      </c>
      <c r="AF47" s="3">
        <v>2070</v>
      </c>
      <c r="AG47" s="3">
        <v>702</v>
      </c>
      <c r="AH47" s="3">
        <v>666</v>
      </c>
      <c r="AI47" s="3">
        <v>2310</v>
      </c>
      <c r="AJ47" s="3">
        <v>2442</v>
      </c>
      <c r="AK47" s="3">
        <v>3042</v>
      </c>
      <c r="AL47" s="3">
        <v>1302</v>
      </c>
      <c r="AM47" s="3">
        <v>1734</v>
      </c>
      <c r="AN47" s="3">
        <v>792</v>
      </c>
      <c r="AO47" s="3">
        <v>4050</v>
      </c>
      <c r="AP47" s="3">
        <v>1080</v>
      </c>
      <c r="AQ47" s="3">
        <v>1446</v>
      </c>
      <c r="AR47" s="3">
        <v>3690</v>
      </c>
      <c r="AS47" s="3">
        <v>2424</v>
      </c>
      <c r="AT47" s="3">
        <v>2346</v>
      </c>
      <c r="AU47" s="3">
        <v>2718</v>
      </c>
      <c r="AV47" s="3">
        <v>2736</v>
      </c>
      <c r="AW47" s="3">
        <v>1392</v>
      </c>
    </row>
    <row r="48" spans="1:49">
      <c r="A48" s="4" t="s">
        <v>40</v>
      </c>
      <c r="B48" s="4" t="str">
        <f t="shared" si="0"/>
        <v>Hair Care</v>
      </c>
      <c r="C48" s="4" t="s">
        <v>1786</v>
      </c>
      <c r="D48" s="4" t="s">
        <v>150</v>
      </c>
      <c r="E48" s="24" t="s">
        <v>125</v>
      </c>
      <c r="F48" s="12" t="s">
        <v>197</v>
      </c>
      <c r="G48" s="4" t="s">
        <v>1787</v>
      </c>
      <c r="H48" s="3">
        <v>0</v>
      </c>
      <c r="I48" s="3">
        <v>1296</v>
      </c>
      <c r="J48" s="3">
        <v>528</v>
      </c>
      <c r="K48" s="3">
        <v>288</v>
      </c>
      <c r="L48" s="3">
        <v>132</v>
      </c>
      <c r="M48" s="3">
        <v>120</v>
      </c>
      <c r="N48" s="3">
        <v>156</v>
      </c>
      <c r="O48" s="3">
        <v>204</v>
      </c>
      <c r="P48" s="3">
        <v>492</v>
      </c>
      <c r="Q48" s="3">
        <v>312</v>
      </c>
      <c r="R48" s="3">
        <v>276</v>
      </c>
      <c r="S48" s="3">
        <v>516</v>
      </c>
      <c r="T48" s="3">
        <v>912</v>
      </c>
      <c r="U48" s="3">
        <v>312</v>
      </c>
      <c r="V48" s="3">
        <v>360</v>
      </c>
      <c r="W48" s="3">
        <v>144</v>
      </c>
      <c r="X48" s="3">
        <v>432</v>
      </c>
      <c r="Y48" s="3">
        <v>144</v>
      </c>
      <c r="Z48" s="3">
        <v>240</v>
      </c>
      <c r="AA48" s="3">
        <v>216</v>
      </c>
      <c r="AB48" s="3">
        <v>588</v>
      </c>
      <c r="AC48" s="3">
        <v>180</v>
      </c>
      <c r="AD48" s="3">
        <v>480</v>
      </c>
      <c r="AE48" s="3">
        <v>408</v>
      </c>
      <c r="AF48" s="3">
        <v>204</v>
      </c>
      <c r="AG48" s="3">
        <v>12</v>
      </c>
      <c r="AH48" s="3">
        <v>0</v>
      </c>
      <c r="AI48" s="3">
        <v>900</v>
      </c>
      <c r="AJ48" s="3">
        <v>216</v>
      </c>
      <c r="AK48" s="3">
        <v>24</v>
      </c>
      <c r="AL48" s="3">
        <v>0</v>
      </c>
      <c r="AM48" s="3">
        <v>0</v>
      </c>
      <c r="AN48" s="3">
        <v>0</v>
      </c>
      <c r="AO48" s="3">
        <v>744</v>
      </c>
      <c r="AP48" s="3">
        <v>288</v>
      </c>
      <c r="AQ48" s="3">
        <v>420</v>
      </c>
      <c r="AR48" s="3">
        <v>384</v>
      </c>
      <c r="AS48" s="3">
        <v>360</v>
      </c>
      <c r="AT48" s="3">
        <v>468</v>
      </c>
      <c r="AU48" s="3">
        <v>264</v>
      </c>
      <c r="AV48" s="3">
        <v>156</v>
      </c>
      <c r="AW48" s="3">
        <v>300</v>
      </c>
    </row>
    <row r="49" spans="1:49">
      <c r="A49" s="4" t="s">
        <v>40</v>
      </c>
      <c r="B49" s="4" t="str">
        <f t="shared" si="0"/>
        <v>Hair Care</v>
      </c>
      <c r="C49" s="4" t="s">
        <v>1786</v>
      </c>
      <c r="D49" s="4" t="s">
        <v>150</v>
      </c>
      <c r="E49" s="24" t="s">
        <v>125</v>
      </c>
      <c r="F49" s="12" t="s">
        <v>198</v>
      </c>
      <c r="G49" s="4" t="s">
        <v>1787</v>
      </c>
      <c r="H49" s="3">
        <v>0</v>
      </c>
      <c r="I49" s="3">
        <v>1008</v>
      </c>
      <c r="J49" s="3">
        <v>1128</v>
      </c>
      <c r="K49" s="3">
        <v>408</v>
      </c>
      <c r="L49" s="3">
        <v>240</v>
      </c>
      <c r="M49" s="3">
        <v>96</v>
      </c>
      <c r="N49" s="3">
        <v>330</v>
      </c>
      <c r="O49" s="3">
        <v>648</v>
      </c>
      <c r="P49" s="3">
        <v>1128</v>
      </c>
      <c r="Q49" s="3">
        <v>750</v>
      </c>
      <c r="R49" s="3">
        <v>564</v>
      </c>
      <c r="S49" s="3">
        <v>534</v>
      </c>
      <c r="T49" s="3">
        <v>1092</v>
      </c>
      <c r="U49" s="3">
        <v>666</v>
      </c>
      <c r="V49" s="3">
        <v>420</v>
      </c>
      <c r="W49" s="3">
        <v>408</v>
      </c>
      <c r="X49" s="3">
        <v>774</v>
      </c>
      <c r="Y49" s="3">
        <v>366</v>
      </c>
      <c r="Z49" s="3">
        <v>228</v>
      </c>
      <c r="AA49" s="3">
        <v>288</v>
      </c>
      <c r="AB49" s="3">
        <v>779</v>
      </c>
      <c r="AC49" s="3">
        <v>300</v>
      </c>
      <c r="AD49" s="3">
        <v>408</v>
      </c>
      <c r="AE49" s="3">
        <v>408</v>
      </c>
      <c r="AF49" s="3">
        <v>1440</v>
      </c>
      <c r="AG49" s="3">
        <v>660</v>
      </c>
      <c r="AH49" s="3">
        <v>1110</v>
      </c>
      <c r="AI49" s="3">
        <v>1050</v>
      </c>
      <c r="AJ49" s="3">
        <v>312</v>
      </c>
      <c r="AK49" s="3">
        <v>708</v>
      </c>
      <c r="AL49" s="3">
        <v>918</v>
      </c>
      <c r="AM49" s="3">
        <v>444</v>
      </c>
      <c r="AN49" s="3">
        <v>612</v>
      </c>
      <c r="AO49" s="3">
        <v>348</v>
      </c>
      <c r="AP49" s="3">
        <v>492</v>
      </c>
      <c r="AQ49" s="3">
        <v>384</v>
      </c>
      <c r="AR49" s="3">
        <v>672</v>
      </c>
      <c r="AS49" s="3">
        <v>504</v>
      </c>
      <c r="AT49" s="3">
        <v>516</v>
      </c>
      <c r="AU49" s="3">
        <v>300</v>
      </c>
      <c r="AV49" s="3">
        <v>372</v>
      </c>
      <c r="AW49" s="3">
        <v>396</v>
      </c>
    </row>
    <row r="50" spans="1:49">
      <c r="A50" s="4" t="s">
        <v>40</v>
      </c>
      <c r="B50" s="4" t="str">
        <f t="shared" si="0"/>
        <v>Hair Care</v>
      </c>
      <c r="C50" s="4" t="s">
        <v>1786</v>
      </c>
      <c r="D50" s="4" t="s">
        <v>150</v>
      </c>
      <c r="E50" s="24" t="s">
        <v>125</v>
      </c>
      <c r="F50" s="12" t="s">
        <v>199</v>
      </c>
      <c r="G50" s="4" t="s">
        <v>1787</v>
      </c>
      <c r="H50" s="3">
        <v>0</v>
      </c>
      <c r="I50" s="3">
        <v>1416</v>
      </c>
      <c r="J50" s="3">
        <v>4764</v>
      </c>
      <c r="K50" s="3">
        <v>1773</v>
      </c>
      <c r="L50" s="3">
        <v>2088</v>
      </c>
      <c r="M50" s="3">
        <v>918</v>
      </c>
      <c r="N50" s="3">
        <v>1062</v>
      </c>
      <c r="O50" s="3">
        <v>2094</v>
      </c>
      <c r="P50" s="3">
        <v>1008</v>
      </c>
      <c r="Q50" s="3">
        <v>708</v>
      </c>
      <c r="R50" s="3">
        <v>1074</v>
      </c>
      <c r="S50" s="3">
        <v>1002</v>
      </c>
      <c r="T50" s="3">
        <v>1320</v>
      </c>
      <c r="U50" s="3">
        <v>2058</v>
      </c>
      <c r="V50" s="3">
        <v>2664</v>
      </c>
      <c r="W50" s="3">
        <v>684</v>
      </c>
      <c r="X50" s="3">
        <v>2310</v>
      </c>
      <c r="Y50" s="3">
        <v>1926</v>
      </c>
      <c r="Z50" s="3">
        <v>606</v>
      </c>
      <c r="AA50" s="3">
        <v>252</v>
      </c>
      <c r="AB50" s="3">
        <v>882</v>
      </c>
      <c r="AC50" s="3">
        <v>240</v>
      </c>
      <c r="AD50" s="3">
        <v>756</v>
      </c>
      <c r="AE50" s="3">
        <v>1236</v>
      </c>
      <c r="AF50" s="3">
        <v>1056</v>
      </c>
      <c r="AG50" s="3">
        <v>2124</v>
      </c>
      <c r="AH50" s="3">
        <v>1350</v>
      </c>
      <c r="AI50" s="3">
        <v>4122</v>
      </c>
      <c r="AJ50" s="3">
        <v>780</v>
      </c>
      <c r="AK50" s="3">
        <v>156</v>
      </c>
      <c r="AL50" s="3">
        <v>144</v>
      </c>
      <c r="AM50" s="3">
        <v>-144</v>
      </c>
      <c r="AN50" s="3">
        <v>684</v>
      </c>
      <c r="AO50" s="3">
        <v>360</v>
      </c>
      <c r="AP50" s="3">
        <v>240</v>
      </c>
      <c r="AQ50" s="3">
        <v>96</v>
      </c>
      <c r="AR50" s="3">
        <v>120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</row>
    <row r="51" spans="1:49">
      <c r="A51" s="4" t="s">
        <v>40</v>
      </c>
      <c r="B51" s="4" t="str">
        <f t="shared" si="0"/>
        <v>Hair Care</v>
      </c>
      <c r="C51" s="4" t="s">
        <v>1786</v>
      </c>
      <c r="D51" s="4" t="s">
        <v>150</v>
      </c>
      <c r="E51" s="24" t="s">
        <v>125</v>
      </c>
      <c r="F51" s="12" t="s">
        <v>200</v>
      </c>
      <c r="G51" s="4" t="s">
        <v>1787</v>
      </c>
      <c r="H51" s="3">
        <v>120</v>
      </c>
      <c r="I51" s="3">
        <v>792</v>
      </c>
      <c r="J51" s="3">
        <v>3510</v>
      </c>
      <c r="K51" s="3">
        <v>168</v>
      </c>
      <c r="L51" s="3">
        <v>72</v>
      </c>
      <c r="M51" s="3">
        <v>48</v>
      </c>
      <c r="N51" s="3">
        <v>84</v>
      </c>
      <c r="O51" s="3">
        <v>132</v>
      </c>
      <c r="P51" s="3">
        <v>372</v>
      </c>
      <c r="Q51" s="3">
        <v>240</v>
      </c>
      <c r="R51" s="3">
        <v>204</v>
      </c>
      <c r="S51" s="3">
        <v>204</v>
      </c>
      <c r="T51" s="3">
        <v>144</v>
      </c>
      <c r="U51" s="3">
        <v>618</v>
      </c>
      <c r="V51" s="3">
        <v>1890</v>
      </c>
      <c r="W51" s="3">
        <v>144</v>
      </c>
      <c r="X51" s="3">
        <v>252</v>
      </c>
      <c r="Y51" s="3">
        <v>132</v>
      </c>
      <c r="Z51" s="3">
        <v>276</v>
      </c>
      <c r="AA51" s="3">
        <v>84</v>
      </c>
      <c r="AB51" s="3">
        <v>420</v>
      </c>
      <c r="AC51" s="3">
        <v>108</v>
      </c>
      <c r="AD51" s="3">
        <v>276</v>
      </c>
      <c r="AE51" s="3">
        <v>276</v>
      </c>
      <c r="AF51" s="3">
        <v>504</v>
      </c>
      <c r="AG51" s="3">
        <v>252</v>
      </c>
      <c r="AH51" s="3">
        <v>516</v>
      </c>
      <c r="AI51" s="3">
        <v>156</v>
      </c>
      <c r="AJ51" s="3">
        <v>108</v>
      </c>
      <c r="AK51" s="3">
        <v>144</v>
      </c>
      <c r="AL51" s="3">
        <v>84</v>
      </c>
      <c r="AM51" s="3">
        <v>396</v>
      </c>
      <c r="AN51" s="3">
        <v>852</v>
      </c>
      <c r="AO51" s="3">
        <v>600</v>
      </c>
      <c r="AP51" s="3">
        <v>312</v>
      </c>
      <c r="AQ51" s="3">
        <v>516</v>
      </c>
      <c r="AR51" s="3">
        <v>348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</row>
    <row r="52" spans="1:49">
      <c r="A52" s="4" t="s">
        <v>40</v>
      </c>
      <c r="B52" s="4" t="str">
        <f t="shared" si="0"/>
        <v>Hair Care</v>
      </c>
      <c r="C52" s="4" t="s">
        <v>1786</v>
      </c>
      <c r="D52" s="4" t="s">
        <v>150</v>
      </c>
      <c r="E52" s="24" t="s">
        <v>125</v>
      </c>
      <c r="F52" s="12" t="s">
        <v>201</v>
      </c>
      <c r="G52" s="4" t="s">
        <v>1787</v>
      </c>
      <c r="H52" s="3">
        <v>0</v>
      </c>
      <c r="I52" s="3">
        <v>0</v>
      </c>
      <c r="J52" s="3">
        <v>972</v>
      </c>
      <c r="K52" s="3">
        <v>288</v>
      </c>
      <c r="L52" s="3">
        <v>168</v>
      </c>
      <c r="M52" s="3">
        <v>144</v>
      </c>
      <c r="N52" s="3">
        <v>132</v>
      </c>
      <c r="O52" s="3">
        <v>228</v>
      </c>
      <c r="P52" s="3">
        <v>588</v>
      </c>
      <c r="Q52" s="3">
        <v>240</v>
      </c>
      <c r="R52" s="3">
        <v>192</v>
      </c>
      <c r="S52" s="3">
        <v>300</v>
      </c>
      <c r="T52" s="3">
        <v>312</v>
      </c>
      <c r="U52" s="3">
        <v>228</v>
      </c>
      <c r="V52" s="3">
        <v>288</v>
      </c>
      <c r="W52" s="3">
        <v>240</v>
      </c>
      <c r="X52" s="3">
        <v>300</v>
      </c>
      <c r="Y52" s="3">
        <v>12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</row>
    <row r="53" spans="1:49">
      <c r="A53" s="4" t="s">
        <v>40</v>
      </c>
      <c r="B53" s="4" t="str">
        <f t="shared" si="0"/>
        <v>Hair Care</v>
      </c>
      <c r="C53" s="4" t="s">
        <v>1786</v>
      </c>
      <c r="D53" s="4" t="s">
        <v>150</v>
      </c>
      <c r="E53" s="24" t="s">
        <v>125</v>
      </c>
      <c r="F53" s="12" t="s">
        <v>202</v>
      </c>
      <c r="G53" s="4" t="s">
        <v>1787</v>
      </c>
      <c r="H53" s="3">
        <v>0</v>
      </c>
      <c r="I53" s="3">
        <v>2113</v>
      </c>
      <c r="J53" s="3">
        <v>1068</v>
      </c>
      <c r="K53" s="3">
        <v>807</v>
      </c>
      <c r="L53" s="3">
        <v>1206</v>
      </c>
      <c r="M53" s="3">
        <v>1542</v>
      </c>
      <c r="N53" s="3">
        <v>924</v>
      </c>
      <c r="O53" s="3">
        <v>810</v>
      </c>
      <c r="P53" s="3">
        <v>1134</v>
      </c>
      <c r="Q53" s="3">
        <v>678</v>
      </c>
      <c r="R53" s="3">
        <v>408</v>
      </c>
      <c r="S53" s="3">
        <v>432</v>
      </c>
      <c r="T53" s="3">
        <v>402</v>
      </c>
      <c r="U53" s="3">
        <v>564</v>
      </c>
      <c r="V53" s="3">
        <v>342</v>
      </c>
      <c r="W53" s="3">
        <v>396</v>
      </c>
      <c r="X53" s="3">
        <v>576</v>
      </c>
      <c r="Y53" s="3">
        <v>588</v>
      </c>
      <c r="Z53" s="3">
        <v>324</v>
      </c>
      <c r="AA53" s="3">
        <v>270</v>
      </c>
      <c r="AB53" s="3">
        <v>732</v>
      </c>
      <c r="AC53" s="3">
        <v>672</v>
      </c>
      <c r="AD53" s="3">
        <v>396</v>
      </c>
      <c r="AE53" s="3">
        <v>510</v>
      </c>
      <c r="AF53" s="3">
        <v>144</v>
      </c>
      <c r="AG53" s="3">
        <v>48</v>
      </c>
      <c r="AH53" s="3">
        <v>84</v>
      </c>
      <c r="AI53" s="3">
        <v>264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</row>
    <row r="54" spans="1:49">
      <c r="A54" s="4" t="s">
        <v>40</v>
      </c>
      <c r="B54" s="4" t="str">
        <f t="shared" si="0"/>
        <v>Hair Care</v>
      </c>
      <c r="C54" s="4" t="s">
        <v>1786</v>
      </c>
      <c r="D54" s="4" t="s">
        <v>150</v>
      </c>
      <c r="E54" s="24" t="s">
        <v>125</v>
      </c>
      <c r="F54" s="12" t="s">
        <v>203</v>
      </c>
      <c r="G54" s="4" t="s">
        <v>1787</v>
      </c>
      <c r="H54" s="3">
        <v>0</v>
      </c>
      <c r="I54" s="3">
        <v>828</v>
      </c>
      <c r="J54" s="3">
        <v>96</v>
      </c>
      <c r="K54" s="3">
        <v>276</v>
      </c>
      <c r="L54" s="3">
        <v>36</v>
      </c>
      <c r="M54" s="3">
        <v>72</v>
      </c>
      <c r="N54" s="3">
        <v>144</v>
      </c>
      <c r="O54" s="3">
        <v>108</v>
      </c>
      <c r="P54" s="3">
        <v>156</v>
      </c>
      <c r="Q54" s="3">
        <v>168</v>
      </c>
      <c r="R54" s="3">
        <v>144</v>
      </c>
      <c r="S54" s="3">
        <v>120</v>
      </c>
      <c r="T54" s="3">
        <v>648</v>
      </c>
      <c r="U54" s="3">
        <v>108</v>
      </c>
      <c r="V54" s="3">
        <v>120</v>
      </c>
      <c r="W54" s="3">
        <v>144</v>
      </c>
      <c r="X54" s="3">
        <v>60</v>
      </c>
      <c r="Y54" s="3">
        <v>72</v>
      </c>
      <c r="Z54" s="3">
        <v>144</v>
      </c>
      <c r="AA54" s="3">
        <v>48</v>
      </c>
      <c r="AB54" s="3">
        <v>252</v>
      </c>
      <c r="AC54" s="3">
        <v>180</v>
      </c>
      <c r="AD54" s="3">
        <v>72</v>
      </c>
      <c r="AE54" s="3">
        <v>132</v>
      </c>
      <c r="AF54" s="3">
        <v>252</v>
      </c>
      <c r="AG54" s="3">
        <v>108</v>
      </c>
      <c r="AH54" s="3">
        <v>60</v>
      </c>
      <c r="AI54" s="3">
        <v>168</v>
      </c>
      <c r="AJ54" s="3">
        <v>12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</row>
    <row r="55" spans="1:49">
      <c r="A55" s="4" t="s">
        <v>40</v>
      </c>
      <c r="B55" s="4" t="str">
        <f t="shared" si="0"/>
        <v>Hair Care</v>
      </c>
      <c r="C55" s="4" t="s">
        <v>1786</v>
      </c>
      <c r="D55" s="4" t="s">
        <v>150</v>
      </c>
      <c r="E55" s="24" t="s">
        <v>125</v>
      </c>
      <c r="F55" s="12" t="s">
        <v>204</v>
      </c>
      <c r="G55" s="4" t="s">
        <v>1787</v>
      </c>
      <c r="H55" s="3">
        <v>0</v>
      </c>
      <c r="I55" s="3">
        <v>636</v>
      </c>
      <c r="J55" s="3">
        <v>1206</v>
      </c>
      <c r="K55" s="3">
        <v>1734</v>
      </c>
      <c r="L55" s="3">
        <v>1068</v>
      </c>
      <c r="M55" s="3">
        <v>918</v>
      </c>
      <c r="N55" s="3">
        <v>798</v>
      </c>
      <c r="O55" s="3">
        <v>1404</v>
      </c>
      <c r="P55" s="3">
        <v>768</v>
      </c>
      <c r="Q55" s="3">
        <v>492</v>
      </c>
      <c r="R55" s="3">
        <v>402</v>
      </c>
      <c r="S55" s="3">
        <v>654</v>
      </c>
      <c r="T55" s="3">
        <v>1458</v>
      </c>
      <c r="U55" s="3">
        <v>1260</v>
      </c>
      <c r="V55" s="3">
        <v>624</v>
      </c>
      <c r="W55" s="3">
        <v>498</v>
      </c>
      <c r="X55" s="3">
        <v>576</v>
      </c>
      <c r="Y55" s="3">
        <v>396</v>
      </c>
      <c r="Z55" s="3">
        <v>396</v>
      </c>
      <c r="AA55" s="3">
        <v>486</v>
      </c>
      <c r="AB55" s="3">
        <v>1194</v>
      </c>
      <c r="AC55" s="3">
        <v>744</v>
      </c>
      <c r="AD55" s="3">
        <v>456</v>
      </c>
      <c r="AE55" s="3">
        <v>1044</v>
      </c>
      <c r="AF55" s="3">
        <v>588</v>
      </c>
      <c r="AG55" s="3">
        <v>1722</v>
      </c>
      <c r="AH55" s="3">
        <v>1122</v>
      </c>
      <c r="AI55" s="3">
        <v>2058</v>
      </c>
      <c r="AJ55" s="3">
        <v>12</v>
      </c>
      <c r="AK55" s="3">
        <v>36</v>
      </c>
      <c r="AL55" s="3">
        <v>48</v>
      </c>
      <c r="AM55" s="3">
        <v>12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</row>
    <row r="56" spans="1:49">
      <c r="A56" s="4" t="s">
        <v>40</v>
      </c>
      <c r="B56" s="4" t="str">
        <f t="shared" si="0"/>
        <v>Hair Care</v>
      </c>
      <c r="C56" s="4" t="s">
        <v>1786</v>
      </c>
      <c r="D56" s="4" t="s">
        <v>150</v>
      </c>
      <c r="E56" s="24" t="s">
        <v>125</v>
      </c>
      <c r="F56" s="12" t="s">
        <v>205</v>
      </c>
      <c r="G56" s="4" t="s">
        <v>1787</v>
      </c>
      <c r="H56" s="3">
        <v>0</v>
      </c>
      <c r="I56" s="3">
        <v>1344</v>
      </c>
      <c r="J56" s="3">
        <v>4320</v>
      </c>
      <c r="K56" s="3">
        <v>543</v>
      </c>
      <c r="L56" s="3">
        <v>708</v>
      </c>
      <c r="M56" s="3">
        <v>708</v>
      </c>
      <c r="N56" s="3">
        <v>960</v>
      </c>
      <c r="O56" s="3">
        <v>918</v>
      </c>
      <c r="P56" s="3">
        <v>1188</v>
      </c>
      <c r="Q56" s="3">
        <v>678</v>
      </c>
      <c r="R56" s="3">
        <v>504</v>
      </c>
      <c r="S56" s="3">
        <v>564</v>
      </c>
      <c r="T56" s="3">
        <v>948</v>
      </c>
      <c r="U56" s="3">
        <v>1152</v>
      </c>
      <c r="V56" s="3">
        <v>708</v>
      </c>
      <c r="W56" s="3">
        <v>366</v>
      </c>
      <c r="X56" s="3">
        <v>444</v>
      </c>
      <c r="Y56" s="3">
        <v>852</v>
      </c>
      <c r="Z56" s="3">
        <v>486</v>
      </c>
      <c r="AA56" s="3">
        <v>792</v>
      </c>
      <c r="AB56" s="3">
        <v>480</v>
      </c>
      <c r="AC56" s="3">
        <v>276</v>
      </c>
      <c r="AD56" s="3">
        <v>72</v>
      </c>
      <c r="AE56" s="3">
        <v>168</v>
      </c>
      <c r="AF56" s="3">
        <v>120</v>
      </c>
      <c r="AG56" s="3">
        <v>108</v>
      </c>
      <c r="AH56" s="3">
        <v>132</v>
      </c>
      <c r="AI56" s="3">
        <v>120</v>
      </c>
      <c r="AJ56" s="3">
        <v>12</v>
      </c>
      <c r="AK56" s="3">
        <v>36</v>
      </c>
      <c r="AL56" s="3">
        <v>0</v>
      </c>
      <c r="AM56" s="3">
        <v>12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</row>
    <row r="57" spans="1:49">
      <c r="A57" s="4" t="s">
        <v>40</v>
      </c>
      <c r="B57" s="4" t="str">
        <f t="shared" si="0"/>
        <v>Hair Care</v>
      </c>
      <c r="C57" s="4" t="s">
        <v>1786</v>
      </c>
      <c r="D57" s="4" t="s">
        <v>150</v>
      </c>
      <c r="E57" s="24" t="s">
        <v>125</v>
      </c>
      <c r="F57" s="12" t="s">
        <v>206</v>
      </c>
      <c r="G57" s="4" t="s">
        <v>1787</v>
      </c>
      <c r="H57" s="3">
        <v>2340</v>
      </c>
      <c r="I57" s="3">
        <v>300</v>
      </c>
      <c r="J57" s="3">
        <v>876</v>
      </c>
      <c r="K57" s="3">
        <v>600</v>
      </c>
      <c r="L57" s="3">
        <v>408</v>
      </c>
      <c r="M57" s="3">
        <v>246</v>
      </c>
      <c r="N57" s="3">
        <v>684</v>
      </c>
      <c r="O57" s="3">
        <v>642</v>
      </c>
      <c r="P57" s="3">
        <v>474</v>
      </c>
      <c r="Q57" s="3">
        <v>420</v>
      </c>
      <c r="R57" s="3">
        <v>1032</v>
      </c>
      <c r="S57" s="3">
        <v>282</v>
      </c>
      <c r="T57" s="3">
        <v>936</v>
      </c>
      <c r="U57" s="3">
        <v>714</v>
      </c>
      <c r="V57" s="3">
        <v>324</v>
      </c>
      <c r="W57" s="3">
        <v>678</v>
      </c>
      <c r="X57" s="3">
        <v>318</v>
      </c>
      <c r="Y57" s="3">
        <v>384</v>
      </c>
      <c r="Z57" s="3">
        <v>258</v>
      </c>
      <c r="AA57" s="3">
        <v>396</v>
      </c>
      <c r="AB57" s="3">
        <v>1176</v>
      </c>
      <c r="AC57" s="3">
        <v>54</v>
      </c>
      <c r="AD57" s="3">
        <v>252</v>
      </c>
      <c r="AE57" s="3">
        <v>582</v>
      </c>
      <c r="AF57" s="3">
        <v>774</v>
      </c>
      <c r="AG57" s="3">
        <v>480</v>
      </c>
      <c r="AH57" s="3">
        <v>-12</v>
      </c>
      <c r="AI57" s="3">
        <v>1512</v>
      </c>
      <c r="AJ57" s="3">
        <v>450</v>
      </c>
      <c r="AK57" s="3">
        <v>882</v>
      </c>
      <c r="AL57" s="3">
        <v>450</v>
      </c>
      <c r="AM57" s="3">
        <v>552</v>
      </c>
      <c r="AN57" s="3">
        <v>564</v>
      </c>
      <c r="AO57" s="3">
        <v>612</v>
      </c>
      <c r="AP57" s="3">
        <v>498</v>
      </c>
      <c r="AQ57" s="3">
        <v>798</v>
      </c>
      <c r="AR57" s="3">
        <v>804</v>
      </c>
      <c r="AS57" s="3">
        <v>0</v>
      </c>
      <c r="AT57" s="3">
        <v>1530</v>
      </c>
      <c r="AU57" s="3">
        <v>288</v>
      </c>
      <c r="AV57" s="3">
        <v>240</v>
      </c>
      <c r="AW57" s="3">
        <v>450</v>
      </c>
    </row>
    <row r="58" spans="1:49">
      <c r="A58" s="4" t="s">
        <v>40</v>
      </c>
      <c r="B58" s="4" t="str">
        <f t="shared" si="0"/>
        <v>Hair Care</v>
      </c>
      <c r="C58" s="4" t="s">
        <v>1786</v>
      </c>
      <c r="D58" s="4" t="s">
        <v>150</v>
      </c>
      <c r="E58" s="24" t="s">
        <v>125</v>
      </c>
      <c r="F58" s="12" t="s">
        <v>207</v>
      </c>
      <c r="G58" s="4" t="s">
        <v>1787</v>
      </c>
      <c r="H58" s="3">
        <v>144</v>
      </c>
      <c r="I58" s="3">
        <v>3144</v>
      </c>
      <c r="J58" s="3">
        <v>5629</v>
      </c>
      <c r="K58" s="3">
        <v>4834</v>
      </c>
      <c r="L58" s="3">
        <v>4062</v>
      </c>
      <c r="M58" s="3">
        <v>2622</v>
      </c>
      <c r="N58" s="3">
        <v>1842</v>
      </c>
      <c r="O58" s="3">
        <v>3600</v>
      </c>
      <c r="P58" s="3">
        <v>2490</v>
      </c>
      <c r="Q58" s="3">
        <v>2982</v>
      </c>
      <c r="R58" s="3">
        <v>4794</v>
      </c>
      <c r="S58" s="3">
        <v>2412</v>
      </c>
      <c r="T58" s="3">
        <v>4974</v>
      </c>
      <c r="U58" s="3">
        <v>3402</v>
      </c>
      <c r="V58" s="3">
        <v>3810</v>
      </c>
      <c r="W58" s="3">
        <v>2622</v>
      </c>
      <c r="X58" s="3">
        <v>1080</v>
      </c>
      <c r="Y58" s="3">
        <v>2232</v>
      </c>
      <c r="Z58" s="3">
        <v>1416</v>
      </c>
      <c r="AA58" s="3">
        <v>1482</v>
      </c>
      <c r="AB58" s="3">
        <v>2910</v>
      </c>
      <c r="AC58" s="3">
        <v>1560</v>
      </c>
      <c r="AD58" s="3">
        <v>1266</v>
      </c>
      <c r="AE58" s="3">
        <v>2838</v>
      </c>
      <c r="AF58" s="3">
        <v>3384</v>
      </c>
      <c r="AG58" s="3">
        <v>5478</v>
      </c>
      <c r="AH58" s="3">
        <v>3774</v>
      </c>
      <c r="AI58" s="3">
        <v>4350</v>
      </c>
      <c r="AJ58" s="3">
        <v>2022</v>
      </c>
      <c r="AK58" s="3">
        <v>2862</v>
      </c>
      <c r="AL58" s="3">
        <v>1740</v>
      </c>
      <c r="AM58" s="3">
        <v>3774</v>
      </c>
      <c r="AN58" s="3">
        <v>1644</v>
      </c>
      <c r="AO58" s="3">
        <v>3144</v>
      </c>
      <c r="AP58" s="3">
        <v>2280</v>
      </c>
      <c r="AQ58" s="3">
        <v>1104</v>
      </c>
      <c r="AR58" s="3">
        <v>2190</v>
      </c>
      <c r="AS58" s="3">
        <v>3312</v>
      </c>
      <c r="AT58" s="3">
        <v>1404</v>
      </c>
      <c r="AU58" s="3">
        <v>1512</v>
      </c>
      <c r="AV58" s="3">
        <v>1962</v>
      </c>
      <c r="AW58" s="3">
        <v>3276</v>
      </c>
    </row>
    <row r="59" spans="1:49">
      <c r="A59" s="4" t="s">
        <v>40</v>
      </c>
      <c r="B59" s="4" t="str">
        <f t="shared" si="0"/>
        <v>Hair Care</v>
      </c>
      <c r="C59" s="4" t="s">
        <v>1786</v>
      </c>
      <c r="D59" s="4" t="s">
        <v>150</v>
      </c>
      <c r="E59" s="24" t="s">
        <v>125</v>
      </c>
      <c r="F59" s="12" t="s">
        <v>208</v>
      </c>
      <c r="G59" s="4" t="s">
        <v>1787</v>
      </c>
      <c r="H59" s="3">
        <v>120</v>
      </c>
      <c r="I59" s="3">
        <v>108</v>
      </c>
      <c r="J59" s="3">
        <v>4019</v>
      </c>
      <c r="K59" s="3">
        <v>2736</v>
      </c>
      <c r="L59" s="3">
        <v>492</v>
      </c>
      <c r="M59" s="3">
        <v>468</v>
      </c>
      <c r="N59" s="3">
        <v>408</v>
      </c>
      <c r="O59" s="3">
        <v>1740</v>
      </c>
      <c r="P59" s="3">
        <v>906</v>
      </c>
      <c r="Q59" s="3">
        <v>2388</v>
      </c>
      <c r="R59" s="3">
        <v>1824</v>
      </c>
      <c r="S59" s="3">
        <v>1290</v>
      </c>
      <c r="T59" s="3">
        <v>1872</v>
      </c>
      <c r="U59" s="3">
        <v>1374</v>
      </c>
      <c r="V59" s="3">
        <v>1872</v>
      </c>
      <c r="W59" s="3">
        <v>462</v>
      </c>
      <c r="X59" s="3">
        <v>1362</v>
      </c>
      <c r="Y59" s="3">
        <v>420</v>
      </c>
      <c r="Z59" s="3">
        <v>876</v>
      </c>
      <c r="AA59" s="3">
        <v>336</v>
      </c>
      <c r="AB59" s="3">
        <v>1632</v>
      </c>
      <c r="AC59" s="3">
        <v>444</v>
      </c>
      <c r="AD59" s="3">
        <v>606</v>
      </c>
      <c r="AE59" s="3">
        <v>1026</v>
      </c>
      <c r="AF59" s="3">
        <v>1572</v>
      </c>
      <c r="AG59" s="3">
        <v>3180</v>
      </c>
      <c r="AH59" s="3">
        <v>1254</v>
      </c>
      <c r="AI59" s="3">
        <v>1818</v>
      </c>
      <c r="AJ59" s="3">
        <v>1164</v>
      </c>
      <c r="AK59" s="3">
        <v>792</v>
      </c>
      <c r="AL59" s="3">
        <v>528</v>
      </c>
      <c r="AM59" s="3">
        <v>1992</v>
      </c>
      <c r="AN59" s="3">
        <v>1668</v>
      </c>
      <c r="AO59" s="3">
        <v>1104</v>
      </c>
      <c r="AP59" s="3">
        <v>2412</v>
      </c>
      <c r="AQ59" s="3">
        <v>1194</v>
      </c>
      <c r="AR59" s="3">
        <v>1230</v>
      </c>
      <c r="AS59" s="3">
        <v>2022</v>
      </c>
      <c r="AT59" s="3">
        <v>2286</v>
      </c>
      <c r="AU59" s="3">
        <v>1146</v>
      </c>
      <c r="AV59" s="3">
        <v>738</v>
      </c>
      <c r="AW59" s="3">
        <v>858</v>
      </c>
    </row>
    <row r="60" spans="1:49">
      <c r="A60" s="4" t="s">
        <v>40</v>
      </c>
      <c r="B60" s="4" t="str">
        <f t="shared" si="0"/>
        <v>Hair Care</v>
      </c>
      <c r="C60" s="4" t="s">
        <v>1786</v>
      </c>
      <c r="D60" s="4" t="s">
        <v>150</v>
      </c>
      <c r="E60" s="24" t="s">
        <v>125</v>
      </c>
      <c r="F60" s="12" t="s">
        <v>209</v>
      </c>
      <c r="G60" s="4" t="s">
        <v>1787</v>
      </c>
      <c r="H60" s="3">
        <v>0</v>
      </c>
      <c r="I60" s="3">
        <v>888</v>
      </c>
      <c r="J60" s="3">
        <v>336</v>
      </c>
      <c r="K60" s="3">
        <v>288</v>
      </c>
      <c r="L60" s="3">
        <v>144</v>
      </c>
      <c r="M60" s="3">
        <v>216</v>
      </c>
      <c r="N60" s="3">
        <v>300</v>
      </c>
      <c r="O60" s="3">
        <v>168</v>
      </c>
      <c r="P60" s="3">
        <v>384</v>
      </c>
      <c r="Q60" s="3">
        <v>276</v>
      </c>
      <c r="R60" s="3">
        <v>408</v>
      </c>
      <c r="S60" s="3">
        <v>348</v>
      </c>
      <c r="T60" s="3">
        <v>312</v>
      </c>
      <c r="U60" s="3">
        <v>324</v>
      </c>
      <c r="V60" s="3">
        <v>204</v>
      </c>
      <c r="W60" s="3">
        <v>108</v>
      </c>
      <c r="X60" s="3">
        <v>384</v>
      </c>
      <c r="Y60" s="3">
        <v>132</v>
      </c>
      <c r="Z60" s="3">
        <v>396</v>
      </c>
      <c r="AA60" s="3">
        <v>216</v>
      </c>
      <c r="AB60" s="3">
        <v>432</v>
      </c>
      <c r="AC60" s="3">
        <v>276</v>
      </c>
      <c r="AD60" s="3">
        <v>324</v>
      </c>
      <c r="AE60" s="3">
        <v>360</v>
      </c>
      <c r="AF60" s="3">
        <v>672</v>
      </c>
      <c r="AG60" s="3">
        <v>156</v>
      </c>
      <c r="AH60" s="3">
        <v>12</v>
      </c>
      <c r="AI60" s="3">
        <v>336</v>
      </c>
      <c r="AJ60" s="3">
        <v>348</v>
      </c>
      <c r="AK60" s="3">
        <v>564</v>
      </c>
      <c r="AL60" s="3">
        <v>84</v>
      </c>
      <c r="AM60" s="3">
        <v>48</v>
      </c>
      <c r="AN60" s="3">
        <v>1296</v>
      </c>
      <c r="AO60" s="3">
        <v>288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</row>
    <row r="61" spans="1:49">
      <c r="A61" s="4" t="s">
        <v>40</v>
      </c>
      <c r="B61" s="4" t="str">
        <f t="shared" si="0"/>
        <v>Hair Care</v>
      </c>
      <c r="C61" s="4" t="s">
        <v>1786</v>
      </c>
      <c r="D61" s="4" t="s">
        <v>150</v>
      </c>
      <c r="E61" s="24" t="s">
        <v>125</v>
      </c>
      <c r="F61" s="12" t="s">
        <v>210</v>
      </c>
      <c r="G61" s="4" t="s">
        <v>1787</v>
      </c>
      <c r="H61" s="3">
        <v>0</v>
      </c>
      <c r="I61" s="3">
        <v>1140</v>
      </c>
      <c r="J61" s="3">
        <v>216</v>
      </c>
      <c r="K61" s="3">
        <v>324</v>
      </c>
      <c r="L61" s="3">
        <v>156</v>
      </c>
      <c r="M61" s="3">
        <v>192</v>
      </c>
      <c r="N61" s="3">
        <v>276</v>
      </c>
      <c r="O61" s="3">
        <v>228</v>
      </c>
      <c r="P61" s="3">
        <v>468</v>
      </c>
      <c r="Q61" s="3">
        <v>324</v>
      </c>
      <c r="R61" s="3">
        <v>336</v>
      </c>
      <c r="S61" s="3">
        <v>372</v>
      </c>
      <c r="T61" s="3">
        <v>324</v>
      </c>
      <c r="U61" s="3">
        <v>252</v>
      </c>
      <c r="V61" s="3">
        <v>180</v>
      </c>
      <c r="W61" s="3">
        <v>132</v>
      </c>
      <c r="X61" s="3">
        <v>408</v>
      </c>
      <c r="Y61" s="3">
        <v>192</v>
      </c>
      <c r="Z61" s="3">
        <v>372</v>
      </c>
      <c r="AA61" s="3">
        <v>360</v>
      </c>
      <c r="AB61" s="3">
        <v>300</v>
      </c>
      <c r="AC61" s="3">
        <v>348</v>
      </c>
      <c r="AD61" s="3">
        <v>324</v>
      </c>
      <c r="AE61" s="3">
        <v>96</v>
      </c>
      <c r="AF61" s="3">
        <v>336</v>
      </c>
      <c r="AG61" s="3">
        <v>228</v>
      </c>
      <c r="AH61" s="3">
        <v>324</v>
      </c>
      <c r="AI61" s="3">
        <v>228</v>
      </c>
      <c r="AJ61" s="3">
        <v>480</v>
      </c>
      <c r="AK61" s="3">
        <v>468</v>
      </c>
      <c r="AL61" s="3">
        <v>228</v>
      </c>
      <c r="AM61" s="3">
        <v>252</v>
      </c>
      <c r="AN61" s="3">
        <v>528</v>
      </c>
      <c r="AO61" s="3">
        <v>312</v>
      </c>
      <c r="AP61" s="3">
        <v>1104</v>
      </c>
      <c r="AQ61" s="3">
        <v>192</v>
      </c>
      <c r="AR61" s="3">
        <v>660</v>
      </c>
      <c r="AS61" s="3">
        <v>12</v>
      </c>
      <c r="AT61" s="3">
        <v>1464</v>
      </c>
      <c r="AU61" s="3">
        <v>288</v>
      </c>
      <c r="AV61" s="3">
        <v>372</v>
      </c>
      <c r="AW61" s="3">
        <v>0</v>
      </c>
    </row>
    <row r="62" spans="1:49">
      <c r="A62" s="4" t="s">
        <v>40</v>
      </c>
      <c r="B62" s="4" t="str">
        <f t="shared" si="0"/>
        <v>Hair Care</v>
      </c>
      <c r="C62" s="4" t="s">
        <v>1786</v>
      </c>
      <c r="D62" s="4" t="s">
        <v>150</v>
      </c>
      <c r="E62" s="24" t="s">
        <v>125</v>
      </c>
      <c r="F62" s="12" t="s">
        <v>211</v>
      </c>
      <c r="G62" s="4" t="s">
        <v>1787</v>
      </c>
      <c r="H62" s="3">
        <v>0</v>
      </c>
      <c r="I62" s="3">
        <v>1164</v>
      </c>
      <c r="J62" s="3">
        <v>180</v>
      </c>
      <c r="K62" s="3">
        <v>204</v>
      </c>
      <c r="L62" s="3">
        <v>72</v>
      </c>
      <c r="M62" s="3">
        <v>48</v>
      </c>
      <c r="N62" s="3">
        <v>132</v>
      </c>
      <c r="O62" s="3">
        <v>72</v>
      </c>
      <c r="P62" s="3">
        <v>84</v>
      </c>
      <c r="Q62" s="3">
        <v>96</v>
      </c>
      <c r="R62" s="3">
        <v>108</v>
      </c>
      <c r="S62" s="3">
        <v>120</v>
      </c>
      <c r="T62" s="3">
        <v>720</v>
      </c>
      <c r="U62" s="3">
        <v>156</v>
      </c>
      <c r="V62" s="3">
        <v>72</v>
      </c>
      <c r="W62" s="3">
        <v>48</v>
      </c>
      <c r="X62" s="3">
        <v>240</v>
      </c>
      <c r="Y62" s="3">
        <v>24</v>
      </c>
      <c r="Z62" s="3">
        <v>264</v>
      </c>
      <c r="AA62" s="3">
        <v>56</v>
      </c>
      <c r="AB62" s="3">
        <v>0</v>
      </c>
      <c r="AC62" s="3">
        <v>192</v>
      </c>
      <c r="AD62" s="3">
        <v>0</v>
      </c>
      <c r="AE62" s="3">
        <v>0</v>
      </c>
      <c r="AF62" s="3">
        <v>0</v>
      </c>
      <c r="AG62" s="3">
        <v>60</v>
      </c>
      <c r="AH62" s="3">
        <v>60</v>
      </c>
      <c r="AI62" s="3">
        <v>228</v>
      </c>
      <c r="AJ62" s="3">
        <v>144</v>
      </c>
      <c r="AK62" s="3">
        <v>120</v>
      </c>
      <c r="AL62" s="3">
        <v>84</v>
      </c>
      <c r="AM62" s="3">
        <v>192</v>
      </c>
      <c r="AN62" s="3">
        <v>204</v>
      </c>
      <c r="AO62" s="3">
        <v>300</v>
      </c>
      <c r="AP62" s="3">
        <v>384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</row>
    <row r="63" spans="1:49">
      <c r="A63" s="4" t="s">
        <v>40</v>
      </c>
      <c r="B63" s="4" t="str">
        <f t="shared" si="0"/>
        <v>Hair Care</v>
      </c>
      <c r="C63" s="4" t="s">
        <v>1786</v>
      </c>
      <c r="D63" s="4" t="s">
        <v>150</v>
      </c>
      <c r="E63" s="24" t="s">
        <v>125</v>
      </c>
      <c r="F63" s="12" t="s">
        <v>212</v>
      </c>
      <c r="G63" s="4" t="s">
        <v>1787</v>
      </c>
      <c r="H63" s="3">
        <v>120</v>
      </c>
      <c r="I63" s="3">
        <v>816</v>
      </c>
      <c r="J63" s="3">
        <v>204</v>
      </c>
      <c r="K63" s="3">
        <v>180</v>
      </c>
      <c r="L63" s="3">
        <v>108</v>
      </c>
      <c r="M63" s="3">
        <v>132</v>
      </c>
      <c r="N63" s="3">
        <v>168</v>
      </c>
      <c r="O63" s="3">
        <v>48</v>
      </c>
      <c r="P63" s="3">
        <v>216</v>
      </c>
      <c r="Q63" s="3">
        <v>156</v>
      </c>
      <c r="R63" s="3">
        <v>144</v>
      </c>
      <c r="S63" s="3">
        <v>156</v>
      </c>
      <c r="T63" s="3">
        <v>816</v>
      </c>
      <c r="U63" s="3">
        <v>120</v>
      </c>
      <c r="V63" s="3">
        <v>144</v>
      </c>
      <c r="W63" s="3">
        <v>132</v>
      </c>
      <c r="X63" s="3">
        <v>180</v>
      </c>
      <c r="Y63" s="3">
        <v>156</v>
      </c>
      <c r="Z63" s="3">
        <v>216</v>
      </c>
      <c r="AA63" s="3">
        <v>96</v>
      </c>
      <c r="AB63" s="3">
        <v>324</v>
      </c>
      <c r="AC63" s="3">
        <v>204</v>
      </c>
      <c r="AD63" s="3">
        <v>192</v>
      </c>
      <c r="AE63" s="3">
        <v>132</v>
      </c>
      <c r="AF63" s="3">
        <v>432</v>
      </c>
      <c r="AG63" s="3">
        <v>168</v>
      </c>
      <c r="AH63" s="3">
        <v>336</v>
      </c>
      <c r="AI63" s="3">
        <v>108</v>
      </c>
      <c r="AJ63" s="3">
        <v>204</v>
      </c>
      <c r="AK63" s="3">
        <v>180</v>
      </c>
      <c r="AL63" s="3">
        <v>144</v>
      </c>
      <c r="AM63" s="3">
        <v>168</v>
      </c>
      <c r="AN63" s="3">
        <v>372</v>
      </c>
      <c r="AO63" s="3">
        <v>276</v>
      </c>
      <c r="AP63" s="3">
        <v>852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</row>
    <row r="64" spans="1:49">
      <c r="A64" s="4" t="s">
        <v>40</v>
      </c>
      <c r="B64" s="4" t="str">
        <f t="shared" si="0"/>
        <v>Hair Care</v>
      </c>
      <c r="C64" s="4" t="s">
        <v>1786</v>
      </c>
      <c r="D64" s="4" t="s">
        <v>150</v>
      </c>
      <c r="E64" s="24" t="s">
        <v>125</v>
      </c>
      <c r="F64" s="12" t="s">
        <v>213</v>
      </c>
      <c r="G64" s="4" t="s">
        <v>1787</v>
      </c>
      <c r="H64" s="3">
        <v>0</v>
      </c>
      <c r="I64" s="3">
        <v>504</v>
      </c>
      <c r="J64" s="3">
        <v>720</v>
      </c>
      <c r="K64" s="3">
        <v>36</v>
      </c>
      <c r="L64" s="3">
        <v>156</v>
      </c>
      <c r="M64" s="3">
        <v>72</v>
      </c>
      <c r="N64" s="3">
        <v>312</v>
      </c>
      <c r="O64" s="3">
        <v>108</v>
      </c>
      <c r="P64" s="3">
        <v>204</v>
      </c>
      <c r="Q64" s="3">
        <v>192</v>
      </c>
      <c r="R64" s="3">
        <v>216</v>
      </c>
      <c r="S64" s="3">
        <v>252</v>
      </c>
      <c r="T64" s="3">
        <v>96</v>
      </c>
      <c r="U64" s="3">
        <v>120</v>
      </c>
      <c r="V64" s="3">
        <v>192</v>
      </c>
      <c r="W64" s="3">
        <v>108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</row>
    <row r="65" spans="1:49">
      <c r="A65" s="4" t="s">
        <v>40</v>
      </c>
      <c r="B65" s="4" t="str">
        <f t="shared" si="0"/>
        <v>Hair Care</v>
      </c>
      <c r="C65" s="4" t="s">
        <v>1786</v>
      </c>
      <c r="D65" s="4" t="s">
        <v>150</v>
      </c>
      <c r="E65" s="24" t="s">
        <v>125</v>
      </c>
      <c r="F65" s="12" t="s">
        <v>214</v>
      </c>
      <c r="G65" s="4" t="s">
        <v>1787</v>
      </c>
      <c r="H65" s="3">
        <v>0</v>
      </c>
      <c r="I65" s="3">
        <v>960</v>
      </c>
      <c r="J65" s="3">
        <v>3288</v>
      </c>
      <c r="K65" s="3">
        <v>168</v>
      </c>
      <c r="L65" s="3">
        <v>108</v>
      </c>
      <c r="M65" s="3">
        <v>84</v>
      </c>
      <c r="N65" s="3">
        <v>108</v>
      </c>
      <c r="O65" s="3">
        <v>72</v>
      </c>
      <c r="P65" s="3">
        <v>504</v>
      </c>
      <c r="Q65" s="3">
        <v>120</v>
      </c>
      <c r="R65" s="3">
        <v>168</v>
      </c>
      <c r="S65" s="3">
        <v>192</v>
      </c>
      <c r="T65" s="3">
        <v>300</v>
      </c>
      <c r="U65" s="3">
        <v>96</v>
      </c>
      <c r="V65" s="3">
        <v>216</v>
      </c>
      <c r="W65" s="3">
        <v>120</v>
      </c>
      <c r="X65" s="3">
        <v>144</v>
      </c>
      <c r="Y65" s="3">
        <v>60</v>
      </c>
      <c r="Z65" s="3">
        <v>36</v>
      </c>
      <c r="AA65" s="3">
        <v>84</v>
      </c>
      <c r="AB65" s="3">
        <v>192</v>
      </c>
      <c r="AC65" s="3">
        <v>168</v>
      </c>
      <c r="AD65" s="3">
        <v>96</v>
      </c>
      <c r="AE65" s="3">
        <v>120</v>
      </c>
      <c r="AF65" s="3">
        <v>108</v>
      </c>
      <c r="AG65" s="3">
        <v>36</v>
      </c>
      <c r="AH65" s="3">
        <v>24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</row>
    <row r="66" spans="1:49">
      <c r="A66" s="4" t="s">
        <v>40</v>
      </c>
      <c r="B66" s="4" t="str">
        <f t="shared" si="0"/>
        <v>Hair Care</v>
      </c>
      <c r="C66" s="4" t="s">
        <v>1786</v>
      </c>
      <c r="D66" s="4" t="s">
        <v>150</v>
      </c>
      <c r="E66" s="24" t="s">
        <v>125</v>
      </c>
      <c r="F66" s="12" t="s">
        <v>215</v>
      </c>
      <c r="G66" s="4" t="s">
        <v>1787</v>
      </c>
      <c r="H66" s="3">
        <v>0</v>
      </c>
      <c r="I66" s="3">
        <v>0</v>
      </c>
      <c r="J66" s="3">
        <v>1080</v>
      </c>
      <c r="K66" s="3">
        <v>408</v>
      </c>
      <c r="L66" s="3">
        <v>156</v>
      </c>
      <c r="M66" s="3">
        <v>48</v>
      </c>
      <c r="N66" s="3">
        <v>108</v>
      </c>
      <c r="O66" s="3">
        <v>96</v>
      </c>
      <c r="P66" s="3">
        <v>252</v>
      </c>
      <c r="Q66" s="3">
        <v>156</v>
      </c>
      <c r="R66" s="3">
        <v>156</v>
      </c>
      <c r="S66" s="3">
        <v>120</v>
      </c>
      <c r="T66" s="3">
        <v>708</v>
      </c>
      <c r="U66" s="3">
        <v>60</v>
      </c>
      <c r="V66" s="3">
        <v>132</v>
      </c>
      <c r="W66" s="3">
        <v>144</v>
      </c>
      <c r="X66" s="3">
        <v>144</v>
      </c>
      <c r="Y66" s="3">
        <v>144</v>
      </c>
      <c r="Z66" s="3">
        <v>24</v>
      </c>
      <c r="AA66" s="3">
        <v>24</v>
      </c>
      <c r="AB66" s="3">
        <v>240</v>
      </c>
      <c r="AC66" s="3">
        <v>228</v>
      </c>
      <c r="AD66" s="3">
        <v>156</v>
      </c>
      <c r="AE66" s="3">
        <v>60</v>
      </c>
      <c r="AF66" s="3">
        <v>120</v>
      </c>
      <c r="AG66" s="3">
        <v>108</v>
      </c>
      <c r="AH66" s="3">
        <v>60</v>
      </c>
      <c r="AI66" s="3">
        <v>72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</row>
    <row r="67" spans="1:49">
      <c r="A67" s="4" t="s">
        <v>40</v>
      </c>
      <c r="B67" s="4" t="str">
        <f t="shared" ref="B67:B130" si="1">A67</f>
        <v>Hair Care</v>
      </c>
      <c r="C67" s="4" t="s">
        <v>1786</v>
      </c>
      <c r="D67" s="4" t="s">
        <v>150</v>
      </c>
      <c r="E67" s="24" t="s">
        <v>125</v>
      </c>
      <c r="F67" s="12" t="s">
        <v>216</v>
      </c>
      <c r="G67" s="4" t="s">
        <v>1787</v>
      </c>
      <c r="H67" s="3">
        <v>0</v>
      </c>
      <c r="I67" s="3">
        <v>0</v>
      </c>
      <c r="J67" s="3">
        <v>3168</v>
      </c>
      <c r="K67" s="3">
        <v>336</v>
      </c>
      <c r="L67" s="3">
        <v>876</v>
      </c>
      <c r="M67" s="3">
        <v>396</v>
      </c>
      <c r="N67" s="3">
        <v>798</v>
      </c>
      <c r="O67" s="3">
        <v>876</v>
      </c>
      <c r="P67" s="3">
        <v>1314</v>
      </c>
      <c r="Q67" s="3">
        <v>1224</v>
      </c>
      <c r="R67" s="3">
        <v>456</v>
      </c>
      <c r="S67" s="3">
        <v>888</v>
      </c>
      <c r="T67" s="3">
        <v>1146</v>
      </c>
      <c r="U67" s="3">
        <v>1224</v>
      </c>
      <c r="V67" s="3">
        <v>2124</v>
      </c>
      <c r="W67" s="3">
        <v>576</v>
      </c>
      <c r="X67" s="3">
        <v>648</v>
      </c>
      <c r="Y67" s="3">
        <v>528</v>
      </c>
      <c r="Z67" s="3">
        <v>450</v>
      </c>
      <c r="AA67" s="3">
        <v>756</v>
      </c>
      <c r="AB67" s="3">
        <v>1242</v>
      </c>
      <c r="AC67" s="3">
        <v>396</v>
      </c>
      <c r="AD67" s="3">
        <v>1020</v>
      </c>
      <c r="AE67" s="3">
        <v>630</v>
      </c>
      <c r="AF67" s="3">
        <v>1470</v>
      </c>
      <c r="AG67" s="3">
        <v>600</v>
      </c>
      <c r="AH67" s="3">
        <v>582</v>
      </c>
      <c r="AI67" s="3">
        <v>870</v>
      </c>
      <c r="AJ67" s="3">
        <v>1050</v>
      </c>
      <c r="AK67" s="3">
        <v>504</v>
      </c>
      <c r="AL67" s="3">
        <v>336</v>
      </c>
      <c r="AM67" s="3">
        <v>1686</v>
      </c>
      <c r="AN67" s="3">
        <v>1152</v>
      </c>
      <c r="AO67" s="3">
        <v>1506</v>
      </c>
      <c r="AP67" s="3">
        <v>1086</v>
      </c>
      <c r="AQ67" s="3">
        <v>2160</v>
      </c>
      <c r="AR67" s="3">
        <v>936</v>
      </c>
      <c r="AS67" s="3">
        <v>2400</v>
      </c>
      <c r="AT67" s="3">
        <v>1764</v>
      </c>
      <c r="AU67" s="3">
        <v>2514</v>
      </c>
      <c r="AV67" s="3">
        <v>588</v>
      </c>
      <c r="AW67" s="3">
        <v>768</v>
      </c>
    </row>
    <row r="68" spans="1:49">
      <c r="A68" s="4" t="s">
        <v>40</v>
      </c>
      <c r="B68" s="4" t="str">
        <f t="shared" si="1"/>
        <v>Hair Care</v>
      </c>
      <c r="C68" s="4" t="s">
        <v>1786</v>
      </c>
      <c r="D68" s="4" t="s">
        <v>150</v>
      </c>
      <c r="E68" s="24" t="s">
        <v>125</v>
      </c>
      <c r="F68" s="12" t="s">
        <v>217</v>
      </c>
      <c r="G68" s="4" t="s">
        <v>1787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24</v>
      </c>
      <c r="V68" s="3">
        <v>12</v>
      </c>
      <c r="W68" s="3">
        <v>18</v>
      </c>
      <c r="X68" s="3">
        <v>12</v>
      </c>
      <c r="Y68" s="3">
        <v>48</v>
      </c>
      <c r="Z68" s="3">
        <v>12</v>
      </c>
      <c r="AA68" s="3">
        <v>0</v>
      </c>
      <c r="AB68" s="3">
        <v>6</v>
      </c>
      <c r="AC68" s="3">
        <v>6</v>
      </c>
      <c r="AD68" s="3">
        <v>66</v>
      </c>
      <c r="AE68" s="3">
        <v>0</v>
      </c>
      <c r="AF68" s="3">
        <v>0</v>
      </c>
      <c r="AG68" s="3">
        <v>18</v>
      </c>
      <c r="AH68" s="3">
        <v>74</v>
      </c>
      <c r="AI68" s="3">
        <v>30</v>
      </c>
      <c r="AJ68" s="3">
        <v>24</v>
      </c>
      <c r="AK68" s="3">
        <v>12</v>
      </c>
      <c r="AL68" s="3">
        <v>36</v>
      </c>
      <c r="AM68" s="3">
        <v>0</v>
      </c>
      <c r="AN68" s="3">
        <v>72</v>
      </c>
      <c r="AO68" s="3">
        <v>24</v>
      </c>
      <c r="AP68" s="3">
        <v>4</v>
      </c>
      <c r="AQ68" s="3">
        <v>0</v>
      </c>
      <c r="AR68" s="3">
        <v>0</v>
      </c>
      <c r="AS68" s="3">
        <v>0</v>
      </c>
      <c r="AT68" s="3">
        <v>18</v>
      </c>
      <c r="AU68" s="3">
        <v>42</v>
      </c>
      <c r="AV68" s="3">
        <v>0</v>
      </c>
      <c r="AW68" s="3">
        <v>30</v>
      </c>
    </row>
    <row r="69" spans="1:49">
      <c r="A69" s="4" t="s">
        <v>40</v>
      </c>
      <c r="B69" s="4" t="str">
        <f t="shared" si="1"/>
        <v>Hair Care</v>
      </c>
      <c r="C69" s="4" t="s">
        <v>1786</v>
      </c>
      <c r="D69" s="4" t="s">
        <v>150</v>
      </c>
      <c r="E69" s="24" t="s">
        <v>125</v>
      </c>
      <c r="F69" s="12" t="s">
        <v>218</v>
      </c>
      <c r="G69" s="4" t="s">
        <v>1787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948</v>
      </c>
      <c r="W69" s="3">
        <v>4980</v>
      </c>
      <c r="X69" s="3">
        <v>2004</v>
      </c>
      <c r="Y69" s="3">
        <v>3408</v>
      </c>
      <c r="Z69" s="3">
        <v>1886</v>
      </c>
      <c r="AA69" s="3">
        <v>1578</v>
      </c>
      <c r="AB69" s="3">
        <v>2940</v>
      </c>
      <c r="AC69" s="3">
        <v>660</v>
      </c>
      <c r="AD69" s="3">
        <v>588</v>
      </c>
      <c r="AE69" s="3">
        <v>1296</v>
      </c>
      <c r="AF69" s="3">
        <v>2436</v>
      </c>
      <c r="AG69" s="3">
        <v>1530</v>
      </c>
      <c r="AH69" s="3">
        <v>2400</v>
      </c>
      <c r="AI69" s="3">
        <v>828</v>
      </c>
      <c r="AJ69" s="3">
        <v>3198</v>
      </c>
      <c r="AK69" s="3">
        <v>2604</v>
      </c>
      <c r="AL69" s="3">
        <v>2154</v>
      </c>
      <c r="AM69" s="3">
        <v>3738</v>
      </c>
      <c r="AN69" s="3">
        <v>3564</v>
      </c>
      <c r="AO69" s="3">
        <v>3108</v>
      </c>
      <c r="AP69" s="3">
        <v>1608</v>
      </c>
      <c r="AQ69" s="3">
        <v>2892</v>
      </c>
      <c r="AR69" s="3">
        <v>4062</v>
      </c>
      <c r="AS69" s="3">
        <v>2898</v>
      </c>
      <c r="AT69" s="3">
        <v>2178</v>
      </c>
      <c r="AU69" s="3">
        <v>3162</v>
      </c>
      <c r="AV69" s="3">
        <v>2946</v>
      </c>
      <c r="AW69" s="3">
        <v>2142</v>
      </c>
    </row>
    <row r="70" spans="1:49">
      <c r="A70" s="4" t="s">
        <v>40</v>
      </c>
      <c r="B70" s="4" t="str">
        <f t="shared" si="1"/>
        <v>Hair Care</v>
      </c>
      <c r="C70" s="4" t="s">
        <v>1786</v>
      </c>
      <c r="D70" s="4" t="s">
        <v>150</v>
      </c>
      <c r="E70" s="24" t="s">
        <v>125</v>
      </c>
      <c r="F70" s="12" t="s">
        <v>219</v>
      </c>
      <c r="G70" s="4" t="s">
        <v>1787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888</v>
      </c>
      <c r="W70" s="3">
        <v>3408</v>
      </c>
      <c r="X70" s="3">
        <v>960</v>
      </c>
      <c r="Y70" s="3">
        <v>1056</v>
      </c>
      <c r="Z70" s="3">
        <v>1038</v>
      </c>
      <c r="AA70" s="3">
        <v>1056</v>
      </c>
      <c r="AB70" s="3">
        <v>2202</v>
      </c>
      <c r="AC70" s="3">
        <v>570</v>
      </c>
      <c r="AD70" s="3">
        <v>684</v>
      </c>
      <c r="AE70" s="3">
        <v>1182</v>
      </c>
      <c r="AF70" s="3">
        <v>1308</v>
      </c>
      <c r="AG70" s="3">
        <v>960</v>
      </c>
      <c r="AH70" s="3">
        <v>624</v>
      </c>
      <c r="AI70" s="3">
        <v>300</v>
      </c>
      <c r="AJ70" s="3">
        <v>444</v>
      </c>
      <c r="AK70" s="3">
        <v>804</v>
      </c>
      <c r="AL70" s="3">
        <v>354</v>
      </c>
      <c r="AM70" s="3">
        <v>582</v>
      </c>
      <c r="AN70" s="3">
        <v>672</v>
      </c>
      <c r="AO70" s="3">
        <v>624</v>
      </c>
      <c r="AP70" s="3">
        <v>1518</v>
      </c>
      <c r="AQ70" s="3">
        <v>1632</v>
      </c>
      <c r="AR70" s="3">
        <v>1788</v>
      </c>
      <c r="AS70" s="3">
        <v>1458</v>
      </c>
      <c r="AT70" s="3">
        <v>2100</v>
      </c>
      <c r="AU70" s="3">
        <v>1776</v>
      </c>
      <c r="AV70" s="3">
        <v>1416</v>
      </c>
      <c r="AW70" s="3">
        <v>1236</v>
      </c>
    </row>
    <row r="71" spans="1:49">
      <c r="A71" s="4" t="s">
        <v>40</v>
      </c>
      <c r="B71" s="4" t="str">
        <f t="shared" si="1"/>
        <v>Hair Care</v>
      </c>
      <c r="C71" s="4" t="s">
        <v>1786</v>
      </c>
      <c r="D71" s="4" t="s">
        <v>150</v>
      </c>
      <c r="E71" s="24" t="s">
        <v>125</v>
      </c>
      <c r="F71" s="12" t="s">
        <v>220</v>
      </c>
      <c r="G71" s="4" t="s">
        <v>1787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948</v>
      </c>
      <c r="W71" s="3">
        <v>5412</v>
      </c>
      <c r="X71" s="3">
        <v>1860</v>
      </c>
      <c r="Y71" s="3">
        <v>2820</v>
      </c>
      <c r="Z71" s="3">
        <v>1916</v>
      </c>
      <c r="AA71" s="3">
        <v>1818</v>
      </c>
      <c r="AB71" s="3">
        <v>3462</v>
      </c>
      <c r="AC71" s="3">
        <v>810</v>
      </c>
      <c r="AD71" s="3">
        <v>840</v>
      </c>
      <c r="AE71" s="3">
        <v>1542</v>
      </c>
      <c r="AF71" s="3">
        <v>2316</v>
      </c>
      <c r="AG71" s="3">
        <v>2790</v>
      </c>
      <c r="AH71" s="3">
        <v>1608</v>
      </c>
      <c r="AI71" s="3">
        <v>744</v>
      </c>
      <c r="AJ71" s="3">
        <v>864</v>
      </c>
      <c r="AK71" s="3">
        <v>948</v>
      </c>
      <c r="AL71" s="3">
        <v>750</v>
      </c>
      <c r="AM71" s="3">
        <v>2070</v>
      </c>
      <c r="AN71" s="3">
        <v>1056</v>
      </c>
      <c r="AO71" s="3">
        <v>1008</v>
      </c>
      <c r="AP71" s="3">
        <v>1830</v>
      </c>
      <c r="AQ71" s="3">
        <v>2808</v>
      </c>
      <c r="AR71" s="3">
        <v>2508</v>
      </c>
      <c r="AS71" s="3">
        <v>3090</v>
      </c>
      <c r="AT71" s="3">
        <v>2700</v>
      </c>
      <c r="AU71" s="3">
        <v>2256</v>
      </c>
      <c r="AV71" s="3">
        <v>1620</v>
      </c>
      <c r="AW71" s="3">
        <v>1440</v>
      </c>
    </row>
    <row r="72" spans="1:49">
      <c r="A72" s="4" t="s">
        <v>40</v>
      </c>
      <c r="B72" s="4" t="str">
        <f t="shared" si="1"/>
        <v>Hair Care</v>
      </c>
      <c r="C72" s="4" t="s">
        <v>1786</v>
      </c>
      <c r="D72" s="4" t="s">
        <v>150</v>
      </c>
      <c r="E72" s="24" t="s">
        <v>125</v>
      </c>
      <c r="F72" s="12" t="s">
        <v>221</v>
      </c>
      <c r="G72" s="4" t="s">
        <v>1787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462</v>
      </c>
      <c r="W72" s="3">
        <v>3078</v>
      </c>
      <c r="X72" s="3">
        <v>702</v>
      </c>
      <c r="Y72" s="3">
        <v>456</v>
      </c>
      <c r="Z72" s="3">
        <v>540</v>
      </c>
      <c r="AA72" s="3">
        <v>498</v>
      </c>
      <c r="AB72" s="3">
        <v>654</v>
      </c>
      <c r="AC72" s="3">
        <v>156</v>
      </c>
      <c r="AD72" s="3">
        <v>210</v>
      </c>
      <c r="AE72" s="3">
        <v>414</v>
      </c>
      <c r="AF72" s="3">
        <v>636</v>
      </c>
      <c r="AG72" s="3">
        <v>522</v>
      </c>
      <c r="AH72" s="3">
        <v>114</v>
      </c>
      <c r="AI72" s="3">
        <v>588</v>
      </c>
      <c r="AJ72" s="3">
        <v>486</v>
      </c>
      <c r="AK72" s="3">
        <v>426</v>
      </c>
      <c r="AL72" s="3">
        <v>234</v>
      </c>
      <c r="AM72" s="3">
        <v>642</v>
      </c>
      <c r="AN72" s="3">
        <v>258</v>
      </c>
      <c r="AO72" s="3">
        <v>84</v>
      </c>
      <c r="AP72" s="3">
        <v>648</v>
      </c>
      <c r="AQ72" s="3">
        <v>594</v>
      </c>
      <c r="AR72" s="3">
        <v>1176</v>
      </c>
      <c r="AS72" s="3">
        <v>342</v>
      </c>
      <c r="AT72" s="3">
        <v>942</v>
      </c>
      <c r="AU72" s="3">
        <v>480</v>
      </c>
      <c r="AV72" s="3">
        <v>516</v>
      </c>
      <c r="AW72" s="3">
        <v>504</v>
      </c>
    </row>
    <row r="73" spans="1:49">
      <c r="A73" s="4" t="s">
        <v>40</v>
      </c>
      <c r="B73" s="4" t="str">
        <f t="shared" si="1"/>
        <v>Hair Care</v>
      </c>
      <c r="C73" s="4" t="s">
        <v>1786</v>
      </c>
      <c r="D73" s="4" t="s">
        <v>150</v>
      </c>
      <c r="E73" s="24" t="s">
        <v>125</v>
      </c>
      <c r="F73" s="12" t="s">
        <v>222</v>
      </c>
      <c r="G73" s="4" t="s">
        <v>1787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240</v>
      </c>
      <c r="AG73" s="3">
        <v>2988</v>
      </c>
      <c r="AH73" s="3">
        <v>1944</v>
      </c>
      <c r="AI73" s="3">
        <v>348</v>
      </c>
      <c r="AJ73" s="3">
        <v>756</v>
      </c>
      <c r="AK73" s="3">
        <v>744</v>
      </c>
      <c r="AL73" s="3">
        <v>660</v>
      </c>
      <c r="AM73" s="3">
        <v>408</v>
      </c>
      <c r="AN73" s="3">
        <v>216</v>
      </c>
      <c r="AO73" s="3">
        <v>684</v>
      </c>
      <c r="AP73" s="3">
        <v>264</v>
      </c>
      <c r="AQ73" s="3">
        <v>396</v>
      </c>
      <c r="AR73" s="3">
        <v>288</v>
      </c>
      <c r="AS73" s="3">
        <v>468</v>
      </c>
      <c r="AT73" s="3">
        <v>1068</v>
      </c>
      <c r="AU73" s="3">
        <v>612</v>
      </c>
      <c r="AV73" s="3">
        <v>768</v>
      </c>
      <c r="AW73" s="3">
        <v>720</v>
      </c>
    </row>
    <row r="74" spans="1:49">
      <c r="A74" s="4" t="s">
        <v>40</v>
      </c>
      <c r="B74" s="4" t="str">
        <f t="shared" si="1"/>
        <v>Hair Care</v>
      </c>
      <c r="C74" s="4" t="s">
        <v>1786</v>
      </c>
      <c r="D74" s="4" t="s">
        <v>150</v>
      </c>
      <c r="E74" s="24" t="s">
        <v>125</v>
      </c>
      <c r="F74" s="12" t="s">
        <v>223</v>
      </c>
      <c r="G74" s="4" t="s">
        <v>1787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240</v>
      </c>
      <c r="AG74" s="3">
        <v>2760</v>
      </c>
      <c r="AH74" s="3">
        <v>2100</v>
      </c>
      <c r="AI74" s="3">
        <v>336</v>
      </c>
      <c r="AJ74" s="3">
        <v>2742</v>
      </c>
      <c r="AK74" s="3">
        <v>2340</v>
      </c>
      <c r="AL74" s="3">
        <v>1566</v>
      </c>
      <c r="AM74" s="3">
        <v>2250</v>
      </c>
      <c r="AN74" s="3">
        <v>1728</v>
      </c>
      <c r="AO74" s="3">
        <v>2484</v>
      </c>
      <c r="AP74" s="3">
        <v>588</v>
      </c>
      <c r="AQ74" s="3">
        <v>1608</v>
      </c>
      <c r="AR74" s="3">
        <v>2106</v>
      </c>
      <c r="AS74" s="3">
        <v>738</v>
      </c>
      <c r="AT74" s="3">
        <v>1962</v>
      </c>
      <c r="AU74" s="3">
        <v>2478</v>
      </c>
      <c r="AV74" s="3">
        <v>2478</v>
      </c>
      <c r="AW74" s="3">
        <v>1998</v>
      </c>
    </row>
    <row r="75" spans="1:49">
      <c r="A75" s="4" t="s">
        <v>40</v>
      </c>
      <c r="B75" s="4" t="str">
        <f t="shared" si="1"/>
        <v>Hair Care</v>
      </c>
      <c r="C75" s="4" t="s">
        <v>1786</v>
      </c>
      <c r="D75" s="4" t="s">
        <v>150</v>
      </c>
      <c r="E75" s="24" t="s">
        <v>125</v>
      </c>
      <c r="F75" s="12" t="s">
        <v>224</v>
      </c>
      <c r="G75" s="4" t="s">
        <v>1787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696</v>
      </c>
      <c r="AB75" s="3">
        <v>534</v>
      </c>
      <c r="AC75" s="3">
        <v>12</v>
      </c>
      <c r="AD75" s="3">
        <v>132</v>
      </c>
      <c r="AE75" s="3">
        <v>198</v>
      </c>
      <c r="AF75" s="3">
        <v>24</v>
      </c>
      <c r="AG75" s="3">
        <v>24</v>
      </c>
      <c r="AH75" s="3">
        <v>60</v>
      </c>
      <c r="AI75" s="3">
        <v>12</v>
      </c>
      <c r="AJ75" s="3">
        <v>0</v>
      </c>
      <c r="AK75" s="3">
        <v>36</v>
      </c>
      <c r="AL75" s="3">
        <v>84</v>
      </c>
      <c r="AM75" s="3">
        <v>24</v>
      </c>
      <c r="AN75" s="3">
        <v>24</v>
      </c>
      <c r="AO75" s="3">
        <v>36</v>
      </c>
      <c r="AP75" s="3">
        <v>60</v>
      </c>
      <c r="AQ75" s="3">
        <v>84</v>
      </c>
      <c r="AR75" s="3">
        <v>48</v>
      </c>
      <c r="AS75" s="3">
        <v>42</v>
      </c>
      <c r="AT75" s="3">
        <v>2328</v>
      </c>
      <c r="AU75" s="3">
        <v>36</v>
      </c>
      <c r="AV75" s="3">
        <v>0</v>
      </c>
      <c r="AW75" s="3">
        <v>0</v>
      </c>
    </row>
    <row r="76" spans="1:49">
      <c r="A76" s="4" t="s">
        <v>40</v>
      </c>
      <c r="B76" s="4" t="str">
        <f t="shared" si="1"/>
        <v>Hair Care</v>
      </c>
      <c r="C76" s="4" t="s">
        <v>1786</v>
      </c>
      <c r="D76" s="4" t="s">
        <v>150</v>
      </c>
      <c r="E76" s="24" t="s">
        <v>125</v>
      </c>
      <c r="F76" s="12" t="s">
        <v>225</v>
      </c>
      <c r="G76" s="4" t="s">
        <v>1787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1956</v>
      </c>
      <c r="AE76" s="3">
        <v>2280</v>
      </c>
      <c r="AF76" s="3">
        <v>972</v>
      </c>
      <c r="AG76" s="3">
        <v>636</v>
      </c>
      <c r="AH76" s="3">
        <v>48</v>
      </c>
      <c r="AI76" s="3">
        <v>948</v>
      </c>
      <c r="AJ76" s="3">
        <v>-12</v>
      </c>
      <c r="AK76" s="3">
        <v>864</v>
      </c>
      <c r="AL76" s="3">
        <v>1308</v>
      </c>
      <c r="AM76" s="3">
        <v>600</v>
      </c>
      <c r="AN76" s="3">
        <v>540</v>
      </c>
      <c r="AO76" s="3">
        <v>408</v>
      </c>
      <c r="AP76" s="3">
        <v>396</v>
      </c>
      <c r="AQ76" s="3">
        <v>504</v>
      </c>
      <c r="AR76" s="3">
        <v>528</v>
      </c>
      <c r="AS76" s="3">
        <v>1248</v>
      </c>
      <c r="AT76" s="3">
        <v>552</v>
      </c>
      <c r="AU76" s="3">
        <v>396</v>
      </c>
      <c r="AV76" s="3">
        <v>480</v>
      </c>
      <c r="AW76" s="3">
        <v>528</v>
      </c>
    </row>
    <row r="77" spans="1:49">
      <c r="A77" s="4" t="s">
        <v>40</v>
      </c>
      <c r="B77" s="4" t="str">
        <f t="shared" si="1"/>
        <v>Hair Care</v>
      </c>
      <c r="C77" s="4" t="s">
        <v>1786</v>
      </c>
      <c r="D77" s="4" t="s">
        <v>150</v>
      </c>
      <c r="E77" s="24" t="s">
        <v>125</v>
      </c>
      <c r="F77" s="12" t="s">
        <v>226</v>
      </c>
      <c r="G77" s="4" t="s">
        <v>1787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1896</v>
      </c>
      <c r="AE77" s="3">
        <v>1740</v>
      </c>
      <c r="AF77" s="3">
        <v>1272</v>
      </c>
      <c r="AG77" s="3">
        <v>1080</v>
      </c>
      <c r="AH77" s="3">
        <v>648</v>
      </c>
      <c r="AI77" s="3">
        <v>408</v>
      </c>
      <c r="AJ77" s="3">
        <v>312</v>
      </c>
      <c r="AK77" s="3">
        <v>660</v>
      </c>
      <c r="AL77" s="3">
        <v>300</v>
      </c>
      <c r="AM77" s="3">
        <v>204</v>
      </c>
      <c r="AN77" s="3">
        <v>300</v>
      </c>
      <c r="AO77" s="3">
        <v>348</v>
      </c>
      <c r="AP77" s="3">
        <v>360</v>
      </c>
      <c r="AQ77" s="3">
        <v>288</v>
      </c>
      <c r="AR77" s="3">
        <v>516</v>
      </c>
      <c r="AS77" s="3">
        <v>900</v>
      </c>
      <c r="AT77" s="3">
        <v>432</v>
      </c>
      <c r="AU77" s="3">
        <v>252</v>
      </c>
      <c r="AV77" s="3">
        <v>252</v>
      </c>
      <c r="AW77" s="3">
        <v>372</v>
      </c>
    </row>
    <row r="78" spans="1:49">
      <c r="A78" s="4" t="s">
        <v>40</v>
      </c>
      <c r="B78" s="4" t="str">
        <f t="shared" si="1"/>
        <v>Hair Care</v>
      </c>
      <c r="C78" s="4" t="s">
        <v>1786</v>
      </c>
      <c r="D78" s="4" t="s">
        <v>150</v>
      </c>
      <c r="E78" s="24" t="s">
        <v>125</v>
      </c>
      <c r="F78" s="12" t="s">
        <v>227</v>
      </c>
      <c r="G78" s="4" t="s">
        <v>1787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660</v>
      </c>
      <c r="AE78" s="3">
        <v>294</v>
      </c>
      <c r="AF78" s="3">
        <v>42</v>
      </c>
      <c r="AG78" s="3">
        <v>-6</v>
      </c>
      <c r="AH78" s="3">
        <v>0</v>
      </c>
      <c r="AI78" s="3">
        <v>1170</v>
      </c>
      <c r="AJ78" s="3">
        <v>318</v>
      </c>
      <c r="AK78" s="3">
        <v>150</v>
      </c>
      <c r="AL78" s="3">
        <v>198</v>
      </c>
      <c r="AM78" s="3">
        <v>96</v>
      </c>
      <c r="AN78" s="3">
        <v>138</v>
      </c>
      <c r="AO78" s="3">
        <v>156</v>
      </c>
      <c r="AP78" s="3">
        <v>108</v>
      </c>
      <c r="AQ78" s="3">
        <v>66</v>
      </c>
      <c r="AR78" s="3">
        <v>174</v>
      </c>
      <c r="AS78" s="3">
        <v>264</v>
      </c>
      <c r="AT78" s="3">
        <v>150</v>
      </c>
      <c r="AU78" s="3">
        <v>132</v>
      </c>
      <c r="AV78" s="3">
        <v>120</v>
      </c>
      <c r="AW78" s="3">
        <v>186</v>
      </c>
    </row>
    <row r="79" spans="1:49">
      <c r="A79" s="4" t="s">
        <v>40</v>
      </c>
      <c r="B79" s="4" t="str">
        <f t="shared" si="1"/>
        <v>Hair Care</v>
      </c>
      <c r="C79" s="4" t="s">
        <v>1786</v>
      </c>
      <c r="D79" s="4" t="s">
        <v>150</v>
      </c>
      <c r="E79" s="24" t="s">
        <v>125</v>
      </c>
      <c r="F79" s="12" t="s">
        <v>228</v>
      </c>
      <c r="G79" s="4" t="s">
        <v>1787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678</v>
      </c>
      <c r="AE79" s="3">
        <v>912</v>
      </c>
      <c r="AF79" s="3">
        <v>300</v>
      </c>
      <c r="AG79" s="3">
        <v>414</v>
      </c>
      <c r="AH79" s="3">
        <v>126</v>
      </c>
      <c r="AI79" s="3">
        <v>174</v>
      </c>
      <c r="AJ79" s="3">
        <v>252</v>
      </c>
      <c r="AK79" s="3">
        <v>186</v>
      </c>
      <c r="AL79" s="3">
        <v>84</v>
      </c>
      <c r="AM79" s="3">
        <v>30</v>
      </c>
      <c r="AN79" s="3">
        <v>48</v>
      </c>
      <c r="AO79" s="3">
        <v>162</v>
      </c>
      <c r="AP79" s="3">
        <v>60</v>
      </c>
      <c r="AQ79" s="3">
        <v>36</v>
      </c>
      <c r="AR79" s="3">
        <v>54</v>
      </c>
      <c r="AS79" s="3">
        <v>162</v>
      </c>
      <c r="AT79" s="3">
        <v>294</v>
      </c>
      <c r="AU79" s="3">
        <v>36</v>
      </c>
      <c r="AV79" s="3">
        <v>42</v>
      </c>
      <c r="AW79" s="3">
        <v>36</v>
      </c>
    </row>
    <row r="80" spans="1:49">
      <c r="A80" s="4" t="s">
        <v>40</v>
      </c>
      <c r="B80" s="4" t="str">
        <f t="shared" si="1"/>
        <v>Hair Care</v>
      </c>
      <c r="C80" s="4" t="s">
        <v>1786</v>
      </c>
      <c r="D80" s="4" t="s">
        <v>150</v>
      </c>
      <c r="E80" s="24" t="s">
        <v>125</v>
      </c>
      <c r="F80" s="12" t="s">
        <v>229</v>
      </c>
      <c r="G80" s="4" t="s">
        <v>1787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1008</v>
      </c>
      <c r="AK80" s="3">
        <v>1092</v>
      </c>
      <c r="AL80" s="3">
        <v>1236</v>
      </c>
      <c r="AM80" s="3">
        <v>348</v>
      </c>
      <c r="AN80" s="3">
        <v>708</v>
      </c>
      <c r="AO80" s="3">
        <v>768</v>
      </c>
      <c r="AP80" s="3">
        <v>924</v>
      </c>
      <c r="AQ80" s="3">
        <v>768</v>
      </c>
      <c r="AR80" s="3">
        <v>924</v>
      </c>
      <c r="AS80" s="3">
        <v>648</v>
      </c>
      <c r="AT80" s="3">
        <v>1968</v>
      </c>
      <c r="AU80" s="3">
        <v>480</v>
      </c>
      <c r="AV80" s="3">
        <v>588</v>
      </c>
      <c r="AW80" s="3">
        <v>384</v>
      </c>
    </row>
    <row r="81" spans="1:49">
      <c r="A81" s="4" t="s">
        <v>40</v>
      </c>
      <c r="B81" s="4" t="str">
        <f t="shared" si="1"/>
        <v>Hair Care</v>
      </c>
      <c r="C81" s="4" t="s">
        <v>1786</v>
      </c>
      <c r="D81" s="4" t="s">
        <v>150</v>
      </c>
      <c r="E81" s="24" t="s">
        <v>125</v>
      </c>
      <c r="F81" s="12" t="s">
        <v>230</v>
      </c>
      <c r="G81" s="4" t="s">
        <v>1787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1344</v>
      </c>
      <c r="AJ81" s="3">
        <v>636</v>
      </c>
      <c r="AK81" s="3">
        <v>2346</v>
      </c>
      <c r="AL81" s="3">
        <v>3510</v>
      </c>
      <c r="AM81" s="3">
        <v>426</v>
      </c>
      <c r="AN81" s="3">
        <v>3282</v>
      </c>
      <c r="AO81" s="3">
        <v>4980</v>
      </c>
      <c r="AP81" s="3">
        <v>1794</v>
      </c>
      <c r="AQ81" s="3">
        <v>3144</v>
      </c>
      <c r="AR81" s="3">
        <v>3954</v>
      </c>
      <c r="AS81" s="3">
        <v>1578</v>
      </c>
      <c r="AT81" s="3">
        <v>3366</v>
      </c>
      <c r="AU81" s="3">
        <v>3354</v>
      </c>
      <c r="AV81" s="3">
        <v>2448</v>
      </c>
      <c r="AW81" s="3">
        <v>2220</v>
      </c>
    </row>
    <row r="82" spans="1:49">
      <c r="A82" s="4" t="s">
        <v>40</v>
      </c>
      <c r="B82" s="4" t="str">
        <f t="shared" si="1"/>
        <v>Hair Care</v>
      </c>
      <c r="C82" s="4" t="s">
        <v>1786</v>
      </c>
      <c r="D82" s="4" t="s">
        <v>150</v>
      </c>
      <c r="E82" s="24" t="s">
        <v>125</v>
      </c>
      <c r="F82" s="12" t="s">
        <v>231</v>
      </c>
      <c r="G82" s="4" t="s">
        <v>1787</v>
      </c>
      <c r="H82" s="3">
        <v>3186</v>
      </c>
      <c r="I82" s="3">
        <v>2814</v>
      </c>
      <c r="J82" s="3">
        <v>1908</v>
      </c>
      <c r="K82" s="3">
        <v>1755</v>
      </c>
      <c r="L82" s="3">
        <v>2382</v>
      </c>
      <c r="M82" s="3">
        <v>2442</v>
      </c>
      <c r="N82" s="3">
        <v>2052</v>
      </c>
      <c r="O82" s="3">
        <v>2724</v>
      </c>
      <c r="P82" s="3">
        <v>1770</v>
      </c>
      <c r="Q82" s="3">
        <v>2370</v>
      </c>
      <c r="R82" s="3">
        <v>2508</v>
      </c>
      <c r="S82" s="3">
        <v>1302</v>
      </c>
      <c r="T82" s="3">
        <v>4284</v>
      </c>
      <c r="U82" s="3">
        <v>1170</v>
      </c>
      <c r="V82" s="3">
        <v>792</v>
      </c>
      <c r="W82" s="3">
        <v>2058</v>
      </c>
      <c r="X82" s="3">
        <v>1272</v>
      </c>
      <c r="Y82" s="3">
        <v>1614</v>
      </c>
      <c r="Z82" s="3">
        <v>1536</v>
      </c>
      <c r="AA82" s="3">
        <v>1086</v>
      </c>
      <c r="AB82" s="3">
        <v>2652</v>
      </c>
      <c r="AC82" s="3">
        <v>960</v>
      </c>
      <c r="AD82" s="3">
        <v>954</v>
      </c>
      <c r="AE82" s="3">
        <v>2160</v>
      </c>
      <c r="AF82" s="3">
        <v>1722</v>
      </c>
      <c r="AG82" s="3">
        <v>906</v>
      </c>
      <c r="AH82" s="3">
        <v>1074</v>
      </c>
      <c r="AI82" s="3">
        <v>2226</v>
      </c>
      <c r="AJ82" s="3">
        <v>2286</v>
      </c>
      <c r="AK82" s="3">
        <v>2766</v>
      </c>
      <c r="AL82" s="3">
        <v>1218</v>
      </c>
      <c r="AM82" s="3">
        <v>1422</v>
      </c>
      <c r="AN82" s="3">
        <v>360</v>
      </c>
      <c r="AO82" s="3">
        <v>300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</row>
    <row r="83" spans="1:49">
      <c r="A83" s="4" t="s">
        <v>40</v>
      </c>
      <c r="B83" s="4" t="str">
        <f t="shared" si="1"/>
        <v>Hair Care</v>
      </c>
      <c r="C83" s="4" t="s">
        <v>1786</v>
      </c>
      <c r="D83" s="4" t="s">
        <v>150</v>
      </c>
      <c r="E83" s="24" t="s">
        <v>125</v>
      </c>
      <c r="F83" s="12" t="s">
        <v>232</v>
      </c>
      <c r="G83" s="4" t="s">
        <v>1787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12</v>
      </c>
      <c r="AJ83" s="3">
        <v>0</v>
      </c>
      <c r="AK83" s="3">
        <v>12</v>
      </c>
      <c r="AL83" s="3">
        <v>228</v>
      </c>
      <c r="AM83" s="3">
        <v>192</v>
      </c>
      <c r="AN83" s="3">
        <v>264</v>
      </c>
      <c r="AO83" s="3">
        <v>60</v>
      </c>
      <c r="AP83" s="3">
        <v>84</v>
      </c>
      <c r="AQ83" s="3">
        <v>204</v>
      </c>
      <c r="AR83" s="3">
        <v>132</v>
      </c>
      <c r="AS83" s="3">
        <v>120</v>
      </c>
      <c r="AT83" s="3">
        <v>60</v>
      </c>
      <c r="AU83" s="3">
        <v>168</v>
      </c>
      <c r="AV83" s="3">
        <v>156</v>
      </c>
      <c r="AW83" s="3">
        <v>60</v>
      </c>
    </row>
    <row r="84" spans="1:49">
      <c r="A84" s="4" t="s">
        <v>40</v>
      </c>
      <c r="B84" s="4" t="str">
        <f t="shared" si="1"/>
        <v>Hair Care</v>
      </c>
      <c r="C84" s="4" t="s">
        <v>1786</v>
      </c>
      <c r="D84" s="4" t="s">
        <v>150</v>
      </c>
      <c r="E84" s="24" t="s">
        <v>125</v>
      </c>
      <c r="F84" s="12" t="s">
        <v>233</v>
      </c>
      <c r="G84" s="4" t="s">
        <v>1787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12</v>
      </c>
      <c r="AK84" s="3">
        <v>24</v>
      </c>
      <c r="AL84" s="3">
        <v>0</v>
      </c>
      <c r="AM84" s="3">
        <v>228</v>
      </c>
      <c r="AN84" s="3">
        <v>60</v>
      </c>
      <c r="AO84" s="3">
        <v>924</v>
      </c>
      <c r="AP84" s="3">
        <v>360</v>
      </c>
      <c r="AQ84" s="3">
        <v>312</v>
      </c>
      <c r="AR84" s="3">
        <v>576</v>
      </c>
      <c r="AS84" s="3">
        <v>636</v>
      </c>
      <c r="AT84" s="3">
        <v>324</v>
      </c>
      <c r="AU84" s="3">
        <v>240</v>
      </c>
      <c r="AV84" s="3">
        <v>348</v>
      </c>
      <c r="AW84" s="3">
        <v>552</v>
      </c>
    </row>
    <row r="85" spans="1:49">
      <c r="A85" s="4" t="s">
        <v>40</v>
      </c>
      <c r="B85" s="4" t="str">
        <f t="shared" si="1"/>
        <v>Hair Care</v>
      </c>
      <c r="C85" s="4" t="s">
        <v>1786</v>
      </c>
      <c r="D85" s="4" t="s">
        <v>150</v>
      </c>
      <c r="E85" s="24" t="s">
        <v>125</v>
      </c>
      <c r="F85" s="12" t="s">
        <v>234</v>
      </c>
      <c r="G85" s="4" t="s">
        <v>1787</v>
      </c>
      <c r="H85" s="3">
        <v>2088</v>
      </c>
      <c r="I85" s="3">
        <v>2904</v>
      </c>
      <c r="J85" s="3">
        <v>3662</v>
      </c>
      <c r="K85" s="3">
        <v>4258</v>
      </c>
      <c r="L85" s="3">
        <v>4386</v>
      </c>
      <c r="M85" s="3">
        <v>2922</v>
      </c>
      <c r="N85" s="3">
        <v>1938</v>
      </c>
      <c r="O85" s="3">
        <v>4200</v>
      </c>
      <c r="P85" s="3">
        <v>2442</v>
      </c>
      <c r="Q85" s="3">
        <v>2184</v>
      </c>
      <c r="R85" s="3">
        <v>3978</v>
      </c>
      <c r="S85" s="3">
        <v>2568</v>
      </c>
      <c r="T85" s="3">
        <v>5898</v>
      </c>
      <c r="U85" s="3">
        <v>3342</v>
      </c>
      <c r="V85" s="3">
        <v>3300</v>
      </c>
      <c r="W85" s="3">
        <v>2898</v>
      </c>
      <c r="X85" s="3">
        <v>744</v>
      </c>
      <c r="Y85" s="3">
        <v>2496</v>
      </c>
      <c r="Z85" s="3">
        <v>1932</v>
      </c>
      <c r="AA85" s="3">
        <v>1842</v>
      </c>
      <c r="AB85" s="3">
        <v>2802</v>
      </c>
      <c r="AC85" s="3">
        <v>1464</v>
      </c>
      <c r="AD85" s="3">
        <v>1194</v>
      </c>
      <c r="AE85" s="3">
        <v>2610</v>
      </c>
      <c r="AF85" s="3">
        <v>3072</v>
      </c>
      <c r="AG85" s="3">
        <v>4608</v>
      </c>
      <c r="AH85" s="3">
        <v>2820</v>
      </c>
      <c r="AI85" s="3">
        <v>4404</v>
      </c>
      <c r="AJ85" s="3">
        <v>2262</v>
      </c>
      <c r="AK85" s="3">
        <v>2790</v>
      </c>
      <c r="AL85" s="3">
        <v>1632</v>
      </c>
      <c r="AM85" s="3">
        <v>3450</v>
      </c>
      <c r="AN85" s="3">
        <v>1164</v>
      </c>
      <c r="AO85" s="3">
        <v>2544</v>
      </c>
      <c r="AP85" s="3">
        <v>1656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</row>
    <row r="86" spans="1:49">
      <c r="A86" s="4" t="s">
        <v>40</v>
      </c>
      <c r="B86" s="4" t="str">
        <f t="shared" si="1"/>
        <v>Hair Care</v>
      </c>
      <c r="C86" s="4" t="s">
        <v>1786</v>
      </c>
      <c r="D86" s="4" t="s">
        <v>150</v>
      </c>
      <c r="E86" s="24" t="s">
        <v>125</v>
      </c>
      <c r="F86" s="12" t="s">
        <v>235</v>
      </c>
      <c r="G86" s="4" t="s">
        <v>1787</v>
      </c>
      <c r="H86" s="3">
        <v>147</v>
      </c>
      <c r="I86" s="3">
        <v>126</v>
      </c>
      <c r="J86" s="3">
        <v>156</v>
      </c>
      <c r="K86" s="3">
        <v>195</v>
      </c>
      <c r="L86" s="3">
        <v>99</v>
      </c>
      <c r="M86" s="3">
        <v>150</v>
      </c>
      <c r="N86" s="3">
        <v>102</v>
      </c>
      <c r="O86" s="3">
        <v>30</v>
      </c>
      <c r="P86" s="3">
        <v>75</v>
      </c>
      <c r="Q86" s="3">
        <v>174</v>
      </c>
      <c r="R86" s="3">
        <v>93</v>
      </c>
      <c r="S86" s="3">
        <v>60</v>
      </c>
      <c r="T86" s="3">
        <v>183</v>
      </c>
      <c r="U86" s="3">
        <v>219</v>
      </c>
      <c r="V86" s="3">
        <v>18</v>
      </c>
      <c r="W86" s="3">
        <v>93</v>
      </c>
      <c r="X86" s="3">
        <v>60</v>
      </c>
      <c r="Y86" s="3">
        <v>174</v>
      </c>
      <c r="Z86" s="3">
        <v>24</v>
      </c>
      <c r="AA86" s="3">
        <v>63</v>
      </c>
      <c r="AB86" s="3">
        <v>120</v>
      </c>
      <c r="AC86" s="3">
        <v>27</v>
      </c>
      <c r="AD86" s="3">
        <v>57</v>
      </c>
      <c r="AE86" s="3">
        <v>69</v>
      </c>
      <c r="AF86" s="3">
        <v>63</v>
      </c>
      <c r="AG86" s="3">
        <v>6</v>
      </c>
      <c r="AH86" s="3">
        <v>45</v>
      </c>
      <c r="AI86" s="3">
        <v>426</v>
      </c>
      <c r="AJ86" s="3">
        <v>24</v>
      </c>
      <c r="AK86" s="3">
        <v>57</v>
      </c>
      <c r="AL86" s="3">
        <v>54</v>
      </c>
      <c r="AM86" s="3">
        <v>72</v>
      </c>
      <c r="AN86" s="3">
        <v>33</v>
      </c>
      <c r="AO86" s="3">
        <v>6</v>
      </c>
      <c r="AP86" s="3">
        <v>27</v>
      </c>
      <c r="AQ86" s="3">
        <v>222</v>
      </c>
      <c r="AR86" s="3">
        <v>231</v>
      </c>
      <c r="AS86" s="3">
        <v>216</v>
      </c>
      <c r="AT86" s="3">
        <v>0</v>
      </c>
      <c r="AU86" s="3">
        <v>3</v>
      </c>
      <c r="AV86" s="3">
        <v>66</v>
      </c>
      <c r="AW86" s="3">
        <v>216</v>
      </c>
    </row>
    <row r="87" spans="1:49">
      <c r="A87" s="4" t="s">
        <v>40</v>
      </c>
      <c r="B87" s="4" t="str">
        <f t="shared" si="1"/>
        <v>Hair Care</v>
      </c>
      <c r="C87" s="4" t="s">
        <v>1786</v>
      </c>
      <c r="D87" s="4" t="s">
        <v>150</v>
      </c>
      <c r="E87" s="24" t="s">
        <v>125</v>
      </c>
      <c r="F87" s="12" t="s">
        <v>236</v>
      </c>
      <c r="G87" s="4" t="s">
        <v>1787</v>
      </c>
      <c r="H87" s="3">
        <v>507</v>
      </c>
      <c r="I87" s="3">
        <v>57</v>
      </c>
      <c r="J87" s="3">
        <v>363</v>
      </c>
      <c r="K87" s="3">
        <v>828</v>
      </c>
      <c r="L87" s="3">
        <v>312</v>
      </c>
      <c r="M87" s="3">
        <v>261</v>
      </c>
      <c r="N87" s="3">
        <v>228</v>
      </c>
      <c r="O87" s="3">
        <v>147</v>
      </c>
      <c r="P87" s="3">
        <v>207</v>
      </c>
      <c r="Q87" s="3">
        <v>363</v>
      </c>
      <c r="R87" s="3">
        <v>381</v>
      </c>
      <c r="S87" s="3">
        <v>234</v>
      </c>
      <c r="T87" s="3">
        <v>366</v>
      </c>
      <c r="U87" s="3">
        <v>645</v>
      </c>
      <c r="V87" s="3">
        <v>78</v>
      </c>
      <c r="W87" s="3">
        <v>492</v>
      </c>
      <c r="X87" s="3">
        <v>129</v>
      </c>
      <c r="Y87" s="3">
        <v>246</v>
      </c>
      <c r="Z87" s="3">
        <v>147</v>
      </c>
      <c r="AA87" s="3">
        <v>198</v>
      </c>
      <c r="AB87" s="3">
        <v>576</v>
      </c>
      <c r="AC87" s="3">
        <v>186</v>
      </c>
      <c r="AD87" s="3">
        <v>111</v>
      </c>
      <c r="AE87" s="3">
        <v>459</v>
      </c>
      <c r="AF87" s="3">
        <v>567</v>
      </c>
      <c r="AG87" s="3">
        <v>72</v>
      </c>
      <c r="AH87" s="3">
        <v>324</v>
      </c>
      <c r="AI87" s="3">
        <v>822</v>
      </c>
      <c r="AJ87" s="3">
        <v>351</v>
      </c>
      <c r="AK87" s="3">
        <v>333</v>
      </c>
      <c r="AL87" s="3">
        <v>129</v>
      </c>
      <c r="AM87" s="3">
        <v>408</v>
      </c>
      <c r="AN87" s="3">
        <v>309</v>
      </c>
      <c r="AO87" s="3">
        <v>432</v>
      </c>
      <c r="AP87" s="3">
        <v>410</v>
      </c>
      <c r="AQ87" s="3">
        <v>276</v>
      </c>
      <c r="AR87" s="3">
        <v>897</v>
      </c>
      <c r="AS87" s="3">
        <v>573</v>
      </c>
      <c r="AT87" s="3">
        <v>510</v>
      </c>
      <c r="AU87" s="3">
        <v>522</v>
      </c>
      <c r="AV87" s="3">
        <v>384</v>
      </c>
      <c r="AW87" s="3">
        <v>507</v>
      </c>
    </row>
    <row r="88" spans="1:49">
      <c r="A88" s="4" t="s">
        <v>40</v>
      </c>
      <c r="B88" s="4" t="str">
        <f t="shared" si="1"/>
        <v>Hair Care</v>
      </c>
      <c r="C88" s="4" t="s">
        <v>1786</v>
      </c>
      <c r="D88" s="4" t="s">
        <v>150</v>
      </c>
      <c r="E88" s="24" t="s">
        <v>125</v>
      </c>
      <c r="F88" s="12" t="s">
        <v>237</v>
      </c>
      <c r="G88" s="4" t="s">
        <v>1787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1806</v>
      </c>
      <c r="AS88" s="3">
        <v>1860</v>
      </c>
      <c r="AT88" s="3">
        <v>1908</v>
      </c>
      <c r="AU88" s="3">
        <v>1236</v>
      </c>
      <c r="AV88" s="3">
        <v>1710</v>
      </c>
      <c r="AW88" s="3">
        <v>3048</v>
      </c>
    </row>
    <row r="89" spans="1:49">
      <c r="A89" s="4" t="s">
        <v>40</v>
      </c>
      <c r="B89" s="4" t="str">
        <f t="shared" si="1"/>
        <v>Hair Care</v>
      </c>
      <c r="C89" s="4" t="s">
        <v>1786</v>
      </c>
      <c r="D89" s="4" t="s">
        <v>150</v>
      </c>
      <c r="E89" s="24" t="s">
        <v>125</v>
      </c>
      <c r="F89" s="12" t="s">
        <v>238</v>
      </c>
      <c r="G89" s="4" t="s">
        <v>1787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24</v>
      </c>
      <c r="AL89" s="3">
        <v>24</v>
      </c>
      <c r="AM89" s="3">
        <v>0</v>
      </c>
      <c r="AN89" s="3">
        <v>96</v>
      </c>
      <c r="AO89" s="3">
        <v>3090</v>
      </c>
      <c r="AP89" s="3">
        <v>192</v>
      </c>
      <c r="AQ89" s="3">
        <v>1146</v>
      </c>
      <c r="AR89" s="3">
        <v>3390</v>
      </c>
      <c r="AS89" s="3">
        <v>2268</v>
      </c>
      <c r="AT89" s="3">
        <v>2970</v>
      </c>
      <c r="AU89" s="3">
        <v>2610</v>
      </c>
      <c r="AV89" s="3">
        <v>2628</v>
      </c>
      <c r="AW89" s="3">
        <v>1452</v>
      </c>
    </row>
    <row r="90" spans="1:49">
      <c r="A90" s="4" t="s">
        <v>40</v>
      </c>
      <c r="B90" s="4" t="str">
        <f t="shared" si="1"/>
        <v>Hair Care</v>
      </c>
      <c r="C90" s="4" t="s">
        <v>1786</v>
      </c>
      <c r="D90" s="4" t="s">
        <v>150</v>
      </c>
      <c r="E90" s="24" t="s">
        <v>125</v>
      </c>
      <c r="F90" s="12" t="s">
        <v>239</v>
      </c>
      <c r="G90" s="4" t="s">
        <v>1787</v>
      </c>
      <c r="H90" s="3">
        <v>558</v>
      </c>
      <c r="I90" s="3">
        <v>420</v>
      </c>
      <c r="J90" s="3">
        <v>216</v>
      </c>
      <c r="K90" s="3">
        <v>126</v>
      </c>
      <c r="L90" s="3">
        <v>174</v>
      </c>
      <c r="M90" s="3">
        <v>270</v>
      </c>
      <c r="N90" s="3">
        <v>180</v>
      </c>
      <c r="O90" s="3">
        <v>126</v>
      </c>
      <c r="P90" s="3">
        <v>162</v>
      </c>
      <c r="Q90" s="3">
        <v>330</v>
      </c>
      <c r="R90" s="3">
        <v>168</v>
      </c>
      <c r="S90" s="3">
        <v>318</v>
      </c>
      <c r="T90" s="3">
        <v>372</v>
      </c>
      <c r="U90" s="3">
        <v>336</v>
      </c>
      <c r="V90" s="3">
        <v>84</v>
      </c>
      <c r="W90" s="3">
        <v>102</v>
      </c>
      <c r="X90" s="3">
        <v>324</v>
      </c>
      <c r="Y90" s="3">
        <v>108</v>
      </c>
      <c r="Z90" s="3">
        <v>6</v>
      </c>
      <c r="AA90" s="3">
        <v>9</v>
      </c>
      <c r="AB90" s="3">
        <v>0</v>
      </c>
      <c r="AC90" s="3">
        <v>0</v>
      </c>
      <c r="AD90" s="3">
        <v>126</v>
      </c>
      <c r="AE90" s="3">
        <v>402</v>
      </c>
      <c r="AF90" s="3">
        <v>252</v>
      </c>
      <c r="AG90" s="3">
        <v>0</v>
      </c>
      <c r="AH90" s="3">
        <v>0</v>
      </c>
      <c r="AI90" s="3">
        <v>492</v>
      </c>
      <c r="AJ90" s="3">
        <v>324</v>
      </c>
      <c r="AK90" s="3">
        <v>570</v>
      </c>
      <c r="AL90" s="3">
        <v>264</v>
      </c>
      <c r="AM90" s="3">
        <v>381</v>
      </c>
      <c r="AN90" s="3">
        <v>186</v>
      </c>
      <c r="AO90" s="3">
        <v>282</v>
      </c>
      <c r="AP90" s="3">
        <v>174</v>
      </c>
      <c r="AQ90" s="3">
        <v>159</v>
      </c>
      <c r="AR90" s="3">
        <v>966</v>
      </c>
      <c r="AS90" s="3">
        <v>-252</v>
      </c>
      <c r="AT90" s="3">
        <v>642</v>
      </c>
      <c r="AU90" s="3">
        <v>888</v>
      </c>
      <c r="AV90" s="3">
        <v>336</v>
      </c>
      <c r="AW90" s="3">
        <v>630</v>
      </c>
    </row>
    <row r="91" spans="1:49">
      <c r="A91" s="4" t="s">
        <v>40</v>
      </c>
      <c r="B91" s="4" t="str">
        <f t="shared" si="1"/>
        <v>Hair Care</v>
      </c>
      <c r="C91" s="4" t="s">
        <v>1786</v>
      </c>
      <c r="D91" s="4" t="s">
        <v>150</v>
      </c>
      <c r="E91" s="24" t="s">
        <v>125</v>
      </c>
      <c r="F91" s="12" t="s">
        <v>240</v>
      </c>
      <c r="G91" s="4" t="s">
        <v>1787</v>
      </c>
      <c r="H91" s="3">
        <v>252</v>
      </c>
      <c r="I91" s="3">
        <v>48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</row>
    <row r="92" spans="1:49">
      <c r="A92" s="4" t="s">
        <v>40</v>
      </c>
      <c r="B92" s="4" t="str">
        <f t="shared" si="1"/>
        <v>Hair Care</v>
      </c>
      <c r="C92" s="4" t="s">
        <v>1786</v>
      </c>
      <c r="D92" s="4" t="s">
        <v>150</v>
      </c>
      <c r="E92" s="24" t="s">
        <v>125</v>
      </c>
      <c r="F92" s="12" t="s">
        <v>241</v>
      </c>
      <c r="G92" s="4" t="s">
        <v>1787</v>
      </c>
      <c r="H92" s="3">
        <v>216</v>
      </c>
      <c r="I92" s="3">
        <v>48</v>
      </c>
      <c r="J92" s="3">
        <v>24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12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</row>
    <row r="93" spans="1:49">
      <c r="A93" s="4" t="s">
        <v>40</v>
      </c>
      <c r="B93" s="4" t="str">
        <f t="shared" si="1"/>
        <v>Hair Care</v>
      </c>
      <c r="C93" s="4" t="s">
        <v>1786</v>
      </c>
      <c r="D93" s="4" t="s">
        <v>150</v>
      </c>
      <c r="E93" s="24" t="s">
        <v>125</v>
      </c>
      <c r="F93" s="12" t="s">
        <v>242</v>
      </c>
      <c r="G93" s="4" t="s">
        <v>1787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60</v>
      </c>
      <c r="N93" s="3">
        <v>390</v>
      </c>
      <c r="O93" s="3">
        <v>99</v>
      </c>
      <c r="P93" s="3">
        <v>126</v>
      </c>
      <c r="Q93" s="3">
        <v>330</v>
      </c>
      <c r="R93" s="3">
        <v>144</v>
      </c>
      <c r="S93" s="3">
        <v>171</v>
      </c>
      <c r="T93" s="3">
        <v>324</v>
      </c>
      <c r="U93" s="3">
        <v>231</v>
      </c>
      <c r="V93" s="3">
        <v>162</v>
      </c>
      <c r="W93" s="3">
        <v>66</v>
      </c>
      <c r="X93" s="3">
        <v>0</v>
      </c>
      <c r="Y93" s="3">
        <v>207</v>
      </c>
      <c r="Z93" s="3">
        <v>147</v>
      </c>
      <c r="AA93" s="3">
        <v>135</v>
      </c>
      <c r="AB93" s="3">
        <v>84</v>
      </c>
      <c r="AC93" s="3">
        <v>177</v>
      </c>
      <c r="AD93" s="3">
        <v>261</v>
      </c>
      <c r="AE93" s="3">
        <v>165</v>
      </c>
      <c r="AF93" s="3">
        <v>159</v>
      </c>
      <c r="AG93" s="3">
        <v>171</v>
      </c>
      <c r="AH93" s="3">
        <v>30</v>
      </c>
      <c r="AI93" s="3">
        <v>225</v>
      </c>
      <c r="AJ93" s="3">
        <v>291</v>
      </c>
      <c r="AK93" s="3">
        <v>69</v>
      </c>
      <c r="AL93" s="3">
        <v>0</v>
      </c>
      <c r="AM93" s="3">
        <v>201</v>
      </c>
      <c r="AN93" s="3">
        <v>66</v>
      </c>
      <c r="AO93" s="3">
        <v>210</v>
      </c>
      <c r="AP93" s="3">
        <v>204</v>
      </c>
      <c r="AQ93" s="3">
        <v>197</v>
      </c>
      <c r="AR93" s="3">
        <v>399</v>
      </c>
      <c r="AS93" s="3">
        <v>390</v>
      </c>
      <c r="AT93" s="3">
        <v>0</v>
      </c>
      <c r="AU93" s="3">
        <v>0</v>
      </c>
      <c r="AV93" s="3">
        <v>0</v>
      </c>
      <c r="AW93" s="3">
        <v>351</v>
      </c>
    </row>
    <row r="94" spans="1:49">
      <c r="A94" s="4" t="s">
        <v>40</v>
      </c>
      <c r="B94" s="4" t="str">
        <f t="shared" si="1"/>
        <v>Hair Care</v>
      </c>
      <c r="C94" s="4" t="s">
        <v>1786</v>
      </c>
      <c r="D94" s="4" t="s">
        <v>150</v>
      </c>
      <c r="E94" s="24" t="s">
        <v>125</v>
      </c>
      <c r="F94" s="12" t="s">
        <v>243</v>
      </c>
      <c r="G94" s="4" t="s">
        <v>1787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1212</v>
      </c>
      <c r="AK94" s="3">
        <v>1020</v>
      </c>
      <c r="AL94" s="3">
        <v>948</v>
      </c>
      <c r="AM94" s="3">
        <v>744</v>
      </c>
      <c r="AN94" s="3">
        <v>708</v>
      </c>
      <c r="AO94" s="3">
        <v>756</v>
      </c>
      <c r="AP94" s="3">
        <v>1680</v>
      </c>
      <c r="AQ94" s="3">
        <v>780</v>
      </c>
      <c r="AR94" s="3">
        <v>1056</v>
      </c>
      <c r="AS94" s="3">
        <v>948</v>
      </c>
      <c r="AT94" s="3">
        <v>708</v>
      </c>
      <c r="AU94" s="3">
        <v>432</v>
      </c>
      <c r="AV94" s="3">
        <v>660</v>
      </c>
      <c r="AW94" s="3">
        <v>984</v>
      </c>
    </row>
    <row r="95" spans="1:49">
      <c r="A95" s="4" t="s">
        <v>40</v>
      </c>
      <c r="B95" s="4" t="str">
        <f t="shared" si="1"/>
        <v>Hair Care</v>
      </c>
      <c r="C95" s="4" t="s">
        <v>1786</v>
      </c>
      <c r="D95" s="4" t="s">
        <v>150</v>
      </c>
      <c r="E95" s="24" t="s">
        <v>125</v>
      </c>
      <c r="F95" s="12" t="s">
        <v>244</v>
      </c>
      <c r="G95" s="4" t="s">
        <v>1787</v>
      </c>
      <c r="H95" s="3">
        <v>600</v>
      </c>
      <c r="I95" s="3">
        <v>96</v>
      </c>
      <c r="J95" s="3">
        <v>36</v>
      </c>
      <c r="K95" s="3">
        <v>84</v>
      </c>
      <c r="L95" s="3">
        <v>24</v>
      </c>
      <c r="M95" s="3">
        <v>0</v>
      </c>
      <c r="N95" s="3">
        <v>-24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72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</row>
    <row r="96" spans="1:49">
      <c r="A96" s="4" t="s">
        <v>40</v>
      </c>
      <c r="B96" s="4" t="str">
        <f t="shared" si="1"/>
        <v>Hair Care</v>
      </c>
      <c r="C96" s="4" t="s">
        <v>1786</v>
      </c>
      <c r="D96" s="4" t="s">
        <v>150</v>
      </c>
      <c r="E96" s="24" t="s">
        <v>125</v>
      </c>
      <c r="F96" s="12" t="s">
        <v>245</v>
      </c>
      <c r="G96" s="4" t="s">
        <v>1787</v>
      </c>
      <c r="H96" s="3">
        <v>412</v>
      </c>
      <c r="I96" s="3">
        <v>132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</row>
    <row r="97" spans="1:49">
      <c r="A97" s="4" t="s">
        <v>40</v>
      </c>
      <c r="B97" s="4" t="str">
        <f t="shared" si="1"/>
        <v>Hair Care</v>
      </c>
      <c r="C97" s="4" t="s">
        <v>1786</v>
      </c>
      <c r="D97" s="4" t="s">
        <v>150</v>
      </c>
      <c r="E97" s="24" t="s">
        <v>125</v>
      </c>
      <c r="F97" s="12" t="s">
        <v>246</v>
      </c>
      <c r="G97" s="4" t="s">
        <v>1787</v>
      </c>
      <c r="H97" s="3">
        <v>324</v>
      </c>
      <c r="I97" s="3">
        <v>648</v>
      </c>
      <c r="J97" s="3">
        <v>48</v>
      </c>
      <c r="K97" s="3">
        <v>120</v>
      </c>
      <c r="L97" s="3">
        <v>12</v>
      </c>
      <c r="M97" s="3">
        <v>0</v>
      </c>
      <c r="N97" s="3">
        <v>0</v>
      </c>
      <c r="O97" s="3">
        <v>0</v>
      </c>
      <c r="P97" s="3">
        <v>0</v>
      </c>
      <c r="Q97" s="3">
        <v>24</v>
      </c>
      <c r="R97" s="3">
        <v>12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</row>
    <row r="98" spans="1:49">
      <c r="A98" s="4" t="s">
        <v>40</v>
      </c>
      <c r="B98" s="4" t="str">
        <f t="shared" si="1"/>
        <v>Hair Care</v>
      </c>
      <c r="C98" s="4" t="s">
        <v>1786</v>
      </c>
      <c r="D98" s="4" t="s">
        <v>150</v>
      </c>
      <c r="E98" s="24" t="s">
        <v>125</v>
      </c>
      <c r="F98" s="12" t="s">
        <v>247</v>
      </c>
      <c r="G98" s="4" t="s">
        <v>1787</v>
      </c>
      <c r="H98" s="3">
        <v>420</v>
      </c>
      <c r="I98" s="3">
        <v>132</v>
      </c>
      <c r="J98" s="3">
        <v>108</v>
      </c>
      <c r="K98" s="3">
        <v>84</v>
      </c>
      <c r="L98" s="3">
        <v>48</v>
      </c>
      <c r="M98" s="3">
        <v>12</v>
      </c>
      <c r="N98" s="3">
        <v>132</v>
      </c>
      <c r="O98" s="3">
        <v>60</v>
      </c>
      <c r="P98" s="3">
        <v>12</v>
      </c>
      <c r="Q98" s="3">
        <v>60</v>
      </c>
      <c r="R98" s="3">
        <v>36</v>
      </c>
      <c r="S98" s="3">
        <v>60</v>
      </c>
      <c r="T98" s="3">
        <v>120</v>
      </c>
      <c r="U98" s="3">
        <v>12</v>
      </c>
      <c r="V98" s="3">
        <v>12</v>
      </c>
      <c r="W98" s="3">
        <v>0</v>
      </c>
      <c r="X98" s="3">
        <v>0</v>
      </c>
      <c r="Y98" s="3">
        <v>0</v>
      </c>
      <c r="Z98" s="3">
        <v>12</v>
      </c>
      <c r="AA98" s="3">
        <v>36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</row>
    <row r="99" spans="1:49">
      <c r="A99" s="4" t="s">
        <v>40</v>
      </c>
      <c r="B99" s="4" t="str">
        <f t="shared" si="1"/>
        <v>Hair Care</v>
      </c>
      <c r="C99" s="4" t="s">
        <v>1786</v>
      </c>
      <c r="D99" s="4" t="s">
        <v>150</v>
      </c>
      <c r="E99" s="24" t="s">
        <v>125</v>
      </c>
      <c r="F99" s="12" t="s">
        <v>248</v>
      </c>
      <c r="G99" s="4" t="s">
        <v>1787</v>
      </c>
      <c r="H99" s="3">
        <v>633</v>
      </c>
      <c r="I99" s="3">
        <v>216</v>
      </c>
      <c r="J99" s="3">
        <v>246</v>
      </c>
      <c r="K99" s="3">
        <v>291</v>
      </c>
      <c r="L99" s="3">
        <v>279</v>
      </c>
      <c r="M99" s="3">
        <v>204</v>
      </c>
      <c r="N99" s="3">
        <v>150</v>
      </c>
      <c r="O99" s="3">
        <v>120</v>
      </c>
      <c r="P99" s="3">
        <v>423</v>
      </c>
      <c r="Q99" s="3">
        <v>138</v>
      </c>
      <c r="R99" s="3">
        <v>246</v>
      </c>
      <c r="S99" s="3">
        <v>333</v>
      </c>
      <c r="T99" s="3">
        <v>216</v>
      </c>
      <c r="U99" s="3">
        <v>573</v>
      </c>
      <c r="V99" s="3">
        <v>63</v>
      </c>
      <c r="W99" s="3">
        <v>0</v>
      </c>
      <c r="X99" s="3">
        <v>0</v>
      </c>
      <c r="Y99" s="3">
        <v>204</v>
      </c>
      <c r="Z99" s="3">
        <v>186</v>
      </c>
      <c r="AA99" s="3">
        <v>153</v>
      </c>
      <c r="AB99" s="3">
        <v>234</v>
      </c>
      <c r="AC99" s="3">
        <v>72</v>
      </c>
      <c r="AD99" s="3">
        <v>108</v>
      </c>
      <c r="AE99" s="3">
        <v>111</v>
      </c>
      <c r="AF99" s="3">
        <v>225</v>
      </c>
      <c r="AG99" s="3">
        <v>234</v>
      </c>
      <c r="AH99" s="3">
        <v>96</v>
      </c>
      <c r="AI99" s="3">
        <v>168</v>
      </c>
      <c r="AJ99" s="3">
        <v>270</v>
      </c>
      <c r="AK99" s="3">
        <v>378</v>
      </c>
      <c r="AL99" s="3">
        <v>120</v>
      </c>
      <c r="AM99" s="3">
        <v>240</v>
      </c>
      <c r="AN99" s="3">
        <v>51</v>
      </c>
      <c r="AO99" s="3">
        <v>180</v>
      </c>
      <c r="AP99" s="3">
        <v>153</v>
      </c>
      <c r="AQ99" s="3">
        <v>216</v>
      </c>
      <c r="AR99" s="3">
        <v>402</v>
      </c>
      <c r="AS99" s="3">
        <v>300</v>
      </c>
      <c r="AT99" s="3">
        <v>240</v>
      </c>
      <c r="AU99" s="3">
        <v>192</v>
      </c>
      <c r="AV99" s="3">
        <v>126</v>
      </c>
      <c r="AW99" s="3">
        <v>480</v>
      </c>
    </row>
    <row r="100" spans="1:49">
      <c r="A100" s="4" t="s">
        <v>40</v>
      </c>
      <c r="B100" s="4" t="str">
        <f t="shared" si="1"/>
        <v>Hair Care</v>
      </c>
      <c r="C100" s="4" t="s">
        <v>1786</v>
      </c>
      <c r="D100" s="4" t="s">
        <v>150</v>
      </c>
      <c r="E100" s="24" t="s">
        <v>125</v>
      </c>
      <c r="F100" s="12" t="s">
        <v>249</v>
      </c>
      <c r="G100" s="4" t="s">
        <v>1787</v>
      </c>
      <c r="H100" s="3">
        <v>276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408</v>
      </c>
      <c r="S100" s="3">
        <v>96</v>
      </c>
      <c r="T100" s="3">
        <v>252</v>
      </c>
      <c r="U100" s="3">
        <v>156</v>
      </c>
      <c r="V100" s="3">
        <v>612</v>
      </c>
      <c r="W100" s="3">
        <v>228</v>
      </c>
      <c r="X100" s="3">
        <v>144</v>
      </c>
      <c r="Y100" s="3">
        <v>10</v>
      </c>
      <c r="Z100" s="3">
        <v>48</v>
      </c>
      <c r="AA100" s="3">
        <v>48</v>
      </c>
      <c r="AB100" s="3">
        <v>36</v>
      </c>
      <c r="AC100" s="3">
        <v>144</v>
      </c>
      <c r="AD100" s="3">
        <v>24</v>
      </c>
      <c r="AE100" s="3">
        <v>108</v>
      </c>
      <c r="AF100" s="3">
        <v>708</v>
      </c>
      <c r="AG100" s="3">
        <v>108</v>
      </c>
      <c r="AH100" s="3">
        <v>96</v>
      </c>
      <c r="AI100" s="3">
        <v>444</v>
      </c>
      <c r="AJ100" s="3">
        <v>108</v>
      </c>
      <c r="AK100" s="3">
        <v>60</v>
      </c>
      <c r="AL100" s="3">
        <v>84</v>
      </c>
      <c r="AM100" s="3">
        <v>708</v>
      </c>
      <c r="AN100" s="3">
        <v>204</v>
      </c>
      <c r="AO100" s="3">
        <v>24</v>
      </c>
      <c r="AP100" s="3">
        <v>540</v>
      </c>
      <c r="AQ100" s="3">
        <v>384</v>
      </c>
      <c r="AR100" s="3">
        <v>348</v>
      </c>
      <c r="AS100" s="3">
        <v>612</v>
      </c>
      <c r="AT100" s="3">
        <v>0</v>
      </c>
      <c r="AU100" s="3">
        <v>348</v>
      </c>
      <c r="AV100" s="3">
        <v>180</v>
      </c>
      <c r="AW100" s="3">
        <v>144</v>
      </c>
    </row>
    <row r="101" spans="1:49">
      <c r="A101" s="4" t="s">
        <v>40</v>
      </c>
      <c r="B101" s="4" t="str">
        <f t="shared" si="1"/>
        <v>Hair Care</v>
      </c>
      <c r="C101" s="4" t="s">
        <v>1786</v>
      </c>
      <c r="D101" s="4" t="s">
        <v>150</v>
      </c>
      <c r="E101" s="24" t="s">
        <v>125</v>
      </c>
      <c r="F101" s="12" t="s">
        <v>250</v>
      </c>
      <c r="G101" s="4" t="s">
        <v>1787</v>
      </c>
      <c r="H101" s="3">
        <v>156</v>
      </c>
      <c r="I101" s="3">
        <v>24</v>
      </c>
      <c r="J101" s="3">
        <v>12</v>
      </c>
      <c r="K101" s="3">
        <v>0</v>
      </c>
      <c r="L101" s="3">
        <v>0</v>
      </c>
      <c r="M101" s="3">
        <v>0</v>
      </c>
      <c r="N101" s="3">
        <v>12</v>
      </c>
      <c r="O101" s="3">
        <v>0</v>
      </c>
      <c r="P101" s="3">
        <v>0</v>
      </c>
      <c r="Q101" s="3">
        <v>12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</row>
    <row r="102" spans="1:49">
      <c r="A102" s="4" t="s">
        <v>40</v>
      </c>
      <c r="B102" s="4" t="str">
        <f t="shared" si="1"/>
        <v>Hair Care</v>
      </c>
      <c r="C102" s="4" t="s">
        <v>1786</v>
      </c>
      <c r="D102" s="4" t="s">
        <v>150</v>
      </c>
      <c r="E102" s="24" t="s">
        <v>125</v>
      </c>
      <c r="F102" s="12" t="s">
        <v>251</v>
      </c>
      <c r="G102" s="4" t="s">
        <v>1787</v>
      </c>
      <c r="H102" s="3">
        <v>435</v>
      </c>
      <c r="I102" s="3">
        <v>117</v>
      </c>
      <c r="J102" s="3">
        <v>270</v>
      </c>
      <c r="K102" s="3">
        <v>360</v>
      </c>
      <c r="L102" s="3">
        <v>117</v>
      </c>
      <c r="M102" s="3">
        <v>132</v>
      </c>
      <c r="N102" s="3">
        <v>102</v>
      </c>
      <c r="O102" s="3">
        <v>72</v>
      </c>
      <c r="P102" s="3">
        <v>306</v>
      </c>
      <c r="Q102" s="3">
        <v>138</v>
      </c>
      <c r="R102" s="3">
        <v>273</v>
      </c>
      <c r="S102" s="3">
        <v>264</v>
      </c>
      <c r="T102" s="3">
        <v>504</v>
      </c>
      <c r="U102" s="3">
        <v>2</v>
      </c>
      <c r="V102" s="3">
        <v>201</v>
      </c>
      <c r="W102" s="3">
        <v>222</v>
      </c>
      <c r="X102" s="3">
        <v>180</v>
      </c>
      <c r="Y102" s="3">
        <v>195</v>
      </c>
      <c r="Z102" s="3">
        <v>129</v>
      </c>
      <c r="AA102" s="3">
        <v>93</v>
      </c>
      <c r="AB102" s="3">
        <v>330</v>
      </c>
      <c r="AC102" s="3">
        <v>102</v>
      </c>
      <c r="AD102" s="3">
        <v>69</v>
      </c>
      <c r="AE102" s="3">
        <v>201</v>
      </c>
      <c r="AF102" s="3">
        <v>315</v>
      </c>
      <c r="AG102" s="3">
        <v>124</v>
      </c>
      <c r="AH102" s="3">
        <v>0</v>
      </c>
      <c r="AI102" s="3">
        <v>303</v>
      </c>
      <c r="AJ102" s="3">
        <v>204</v>
      </c>
      <c r="AK102" s="3">
        <v>159</v>
      </c>
      <c r="AL102" s="3">
        <v>0</v>
      </c>
      <c r="AM102" s="3">
        <v>90</v>
      </c>
      <c r="AN102" s="3">
        <v>198</v>
      </c>
      <c r="AO102" s="3">
        <v>24</v>
      </c>
      <c r="AP102" s="3">
        <v>114</v>
      </c>
      <c r="AQ102" s="3">
        <v>54</v>
      </c>
      <c r="AR102" s="3">
        <v>30</v>
      </c>
      <c r="AS102" s="3">
        <v>66</v>
      </c>
      <c r="AT102" s="3">
        <v>396</v>
      </c>
      <c r="AU102" s="3">
        <v>78</v>
      </c>
      <c r="AV102" s="3">
        <v>102</v>
      </c>
      <c r="AW102" s="3">
        <v>54</v>
      </c>
    </row>
    <row r="103" spans="1:49">
      <c r="A103" s="4" t="s">
        <v>40</v>
      </c>
      <c r="B103" s="4" t="str">
        <f t="shared" si="1"/>
        <v>Hair Care</v>
      </c>
      <c r="C103" s="4" t="s">
        <v>1786</v>
      </c>
      <c r="D103" s="4" t="s">
        <v>150</v>
      </c>
      <c r="E103" s="24" t="s">
        <v>125</v>
      </c>
      <c r="F103" s="12" t="s">
        <v>252</v>
      </c>
      <c r="G103" s="4" t="s">
        <v>1787</v>
      </c>
      <c r="H103" s="3">
        <v>336</v>
      </c>
      <c r="I103" s="3">
        <v>108</v>
      </c>
      <c r="J103" s="3">
        <v>84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</row>
    <row r="104" spans="1:49">
      <c r="A104" s="4" t="s">
        <v>40</v>
      </c>
      <c r="B104" s="4" t="str">
        <f t="shared" si="1"/>
        <v>Hair Care</v>
      </c>
      <c r="C104" s="4" t="s">
        <v>1786</v>
      </c>
      <c r="D104" s="4" t="s">
        <v>150</v>
      </c>
      <c r="E104" s="24" t="s">
        <v>125</v>
      </c>
      <c r="F104" s="12" t="s">
        <v>253</v>
      </c>
      <c r="G104" s="4" t="s">
        <v>1787</v>
      </c>
      <c r="H104" s="3">
        <v>0</v>
      </c>
      <c r="I104" s="3">
        <v>24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</row>
    <row r="105" spans="1:49">
      <c r="A105" s="4" t="s">
        <v>40</v>
      </c>
      <c r="B105" s="4" t="str">
        <f t="shared" si="1"/>
        <v>Hair Care</v>
      </c>
      <c r="C105" s="4" t="s">
        <v>1786</v>
      </c>
      <c r="D105" s="4" t="s">
        <v>150</v>
      </c>
      <c r="E105" s="24" t="s">
        <v>125</v>
      </c>
      <c r="F105" s="12" t="s">
        <v>254</v>
      </c>
      <c r="G105" s="4" t="s">
        <v>1787</v>
      </c>
      <c r="H105" s="3">
        <v>336</v>
      </c>
      <c r="I105" s="3">
        <v>156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</row>
    <row r="106" spans="1:49">
      <c r="A106" s="4" t="s">
        <v>40</v>
      </c>
      <c r="B106" s="4" t="str">
        <f t="shared" si="1"/>
        <v>Hair Care</v>
      </c>
      <c r="C106" s="4" t="s">
        <v>1786</v>
      </c>
      <c r="D106" s="4" t="s">
        <v>150</v>
      </c>
      <c r="E106" s="24" t="s">
        <v>125</v>
      </c>
      <c r="F106" s="12" t="s">
        <v>255</v>
      </c>
      <c r="G106" s="4" t="s">
        <v>1787</v>
      </c>
      <c r="H106" s="3">
        <v>1450</v>
      </c>
      <c r="I106" s="3">
        <v>204</v>
      </c>
      <c r="J106" s="3">
        <v>96</v>
      </c>
      <c r="K106" s="3">
        <v>120</v>
      </c>
      <c r="L106" s="3">
        <v>84</v>
      </c>
      <c r="M106" s="3">
        <v>0</v>
      </c>
      <c r="N106" s="3">
        <v>-36</v>
      </c>
      <c r="O106" s="3">
        <v>-12</v>
      </c>
      <c r="P106" s="3">
        <v>12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</row>
    <row r="107" spans="1:49">
      <c r="A107" s="4" t="s">
        <v>40</v>
      </c>
      <c r="B107" s="4" t="str">
        <f t="shared" si="1"/>
        <v>Hair Care</v>
      </c>
      <c r="C107" s="4" t="s">
        <v>1786</v>
      </c>
      <c r="D107" s="4" t="s">
        <v>150</v>
      </c>
      <c r="E107" s="24" t="s">
        <v>125</v>
      </c>
      <c r="F107" s="12" t="s">
        <v>256</v>
      </c>
      <c r="G107" s="4" t="s">
        <v>1787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1515</v>
      </c>
      <c r="AI107" s="3">
        <v>3978</v>
      </c>
      <c r="AJ107" s="3">
        <v>495</v>
      </c>
      <c r="AK107" s="3">
        <v>852</v>
      </c>
      <c r="AL107" s="3">
        <v>780</v>
      </c>
      <c r="AM107" s="3">
        <v>657</v>
      </c>
      <c r="AN107" s="3">
        <v>744</v>
      </c>
      <c r="AO107" s="3">
        <v>1257</v>
      </c>
      <c r="AP107" s="3">
        <v>1551</v>
      </c>
      <c r="AQ107" s="3">
        <v>1605</v>
      </c>
      <c r="AR107" s="3">
        <v>1209</v>
      </c>
      <c r="AS107" s="3">
        <v>2049</v>
      </c>
      <c r="AT107" s="3">
        <v>1725</v>
      </c>
      <c r="AU107" s="3">
        <v>618</v>
      </c>
      <c r="AV107" s="3">
        <v>363</v>
      </c>
      <c r="AW107" s="3">
        <v>726</v>
      </c>
    </row>
    <row r="108" spans="1:49">
      <c r="A108" s="4" t="s">
        <v>40</v>
      </c>
      <c r="B108" s="4" t="str">
        <f t="shared" si="1"/>
        <v>Hair Care</v>
      </c>
      <c r="C108" s="4" t="s">
        <v>1786</v>
      </c>
      <c r="D108" s="4" t="s">
        <v>150</v>
      </c>
      <c r="E108" s="24" t="s">
        <v>125</v>
      </c>
      <c r="F108" s="12" t="s">
        <v>257</v>
      </c>
      <c r="G108" s="4" t="s">
        <v>1787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471</v>
      </c>
      <c r="AL108" s="3">
        <v>1122</v>
      </c>
      <c r="AM108" s="3">
        <v>243</v>
      </c>
      <c r="AN108" s="3">
        <v>411</v>
      </c>
      <c r="AO108" s="3">
        <v>159</v>
      </c>
      <c r="AP108" s="3">
        <v>147</v>
      </c>
      <c r="AQ108" s="3">
        <v>189</v>
      </c>
      <c r="AR108" s="3">
        <v>222</v>
      </c>
      <c r="AS108" s="3">
        <v>102</v>
      </c>
      <c r="AT108" s="3">
        <v>87</v>
      </c>
      <c r="AU108" s="3">
        <v>111</v>
      </c>
      <c r="AV108" s="3">
        <v>84</v>
      </c>
      <c r="AW108" s="3">
        <v>72</v>
      </c>
    </row>
    <row r="109" spans="1:49">
      <c r="A109" s="4" t="s">
        <v>40</v>
      </c>
      <c r="B109" s="4" t="str">
        <f t="shared" si="1"/>
        <v>Hair Care</v>
      </c>
      <c r="C109" s="4" t="s">
        <v>1786</v>
      </c>
      <c r="D109" s="4" t="s">
        <v>150</v>
      </c>
      <c r="E109" s="24" t="s">
        <v>125</v>
      </c>
      <c r="F109" s="12" t="s">
        <v>258</v>
      </c>
      <c r="G109" s="4" t="s">
        <v>1787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1908</v>
      </c>
      <c r="AI109" s="3">
        <v>4332</v>
      </c>
      <c r="AJ109" s="3">
        <v>444</v>
      </c>
      <c r="AK109" s="3">
        <v>1032</v>
      </c>
      <c r="AL109" s="3">
        <v>516</v>
      </c>
      <c r="AM109" s="3">
        <v>1470</v>
      </c>
      <c r="AN109" s="3">
        <v>1896</v>
      </c>
      <c r="AO109" s="3">
        <v>1062</v>
      </c>
      <c r="AP109" s="3">
        <v>2184</v>
      </c>
      <c r="AQ109" s="3">
        <v>4542</v>
      </c>
      <c r="AR109" s="3">
        <v>1890</v>
      </c>
      <c r="AS109" s="3">
        <v>2466</v>
      </c>
      <c r="AT109" s="3">
        <v>3588</v>
      </c>
      <c r="AU109" s="3">
        <v>3204</v>
      </c>
      <c r="AV109" s="3">
        <v>2448</v>
      </c>
      <c r="AW109" s="3">
        <v>1470</v>
      </c>
    </row>
    <row r="110" spans="1:49">
      <c r="A110" s="4" t="s">
        <v>40</v>
      </c>
      <c r="B110" s="4" t="str">
        <f t="shared" si="1"/>
        <v>Hair Care</v>
      </c>
      <c r="C110" s="4" t="s">
        <v>1786</v>
      </c>
      <c r="D110" s="4" t="s">
        <v>150</v>
      </c>
      <c r="E110" s="24" t="s">
        <v>125</v>
      </c>
      <c r="F110" s="12" t="s">
        <v>259</v>
      </c>
      <c r="G110" s="4" t="s">
        <v>1787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3120</v>
      </c>
      <c r="AI110" s="3">
        <v>6204</v>
      </c>
      <c r="AJ110" s="3">
        <v>1680</v>
      </c>
      <c r="AK110" s="3">
        <v>3012</v>
      </c>
      <c r="AL110" s="3">
        <v>1248</v>
      </c>
      <c r="AM110" s="3">
        <v>2634</v>
      </c>
      <c r="AN110" s="3">
        <v>4428</v>
      </c>
      <c r="AO110" s="3">
        <v>2478</v>
      </c>
      <c r="AP110" s="3">
        <v>3120</v>
      </c>
      <c r="AQ110" s="3">
        <v>6030</v>
      </c>
      <c r="AR110" s="3">
        <v>3522</v>
      </c>
      <c r="AS110" s="3">
        <v>4962</v>
      </c>
      <c r="AT110" s="3">
        <v>5748</v>
      </c>
      <c r="AU110" s="3">
        <v>4092</v>
      </c>
      <c r="AV110" s="3">
        <v>3144</v>
      </c>
      <c r="AW110" s="3">
        <v>2994</v>
      </c>
    </row>
    <row r="111" spans="1:49">
      <c r="A111" s="4" t="s">
        <v>40</v>
      </c>
      <c r="B111" s="4" t="str">
        <f t="shared" si="1"/>
        <v>Hair Care</v>
      </c>
      <c r="C111" s="4" t="s">
        <v>1786</v>
      </c>
      <c r="D111" s="4" t="s">
        <v>150</v>
      </c>
      <c r="E111" s="24" t="s">
        <v>125</v>
      </c>
      <c r="F111" s="12" t="s">
        <v>260</v>
      </c>
      <c r="G111" s="4" t="s">
        <v>1787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1800</v>
      </c>
      <c r="AI111" s="3">
        <v>3474</v>
      </c>
      <c r="AJ111" s="3">
        <v>552</v>
      </c>
      <c r="AK111" s="3">
        <v>918</v>
      </c>
      <c r="AL111" s="3">
        <v>246</v>
      </c>
      <c r="AM111" s="3">
        <v>162</v>
      </c>
      <c r="AN111" s="3">
        <v>356</v>
      </c>
      <c r="AO111" s="3">
        <v>195</v>
      </c>
      <c r="AP111" s="3">
        <v>588</v>
      </c>
      <c r="AQ111" s="3">
        <v>1116</v>
      </c>
      <c r="AR111" s="3">
        <v>666</v>
      </c>
      <c r="AS111" s="3">
        <v>2544</v>
      </c>
      <c r="AT111" s="3">
        <v>564</v>
      </c>
      <c r="AU111" s="3">
        <v>366</v>
      </c>
      <c r="AV111" s="3">
        <v>192</v>
      </c>
      <c r="AW111" s="3">
        <v>288</v>
      </c>
    </row>
    <row r="112" spans="1:49">
      <c r="A112" s="4" t="s">
        <v>40</v>
      </c>
      <c r="B112" s="4" t="str">
        <f t="shared" si="1"/>
        <v>Hair Care</v>
      </c>
      <c r="C112" s="4" t="s">
        <v>1786</v>
      </c>
      <c r="D112" s="4" t="s">
        <v>150</v>
      </c>
      <c r="E112" s="24" t="s">
        <v>125</v>
      </c>
      <c r="F112" s="12" t="s">
        <v>261</v>
      </c>
      <c r="G112" s="4" t="s">
        <v>1787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966</v>
      </c>
      <c r="AM112" s="3">
        <v>486</v>
      </c>
      <c r="AN112" s="3">
        <v>378</v>
      </c>
      <c r="AO112" s="3">
        <v>318</v>
      </c>
      <c r="AP112" s="3">
        <v>444</v>
      </c>
      <c r="AQ112" s="3">
        <v>294</v>
      </c>
      <c r="AR112" s="3">
        <v>114</v>
      </c>
      <c r="AS112" s="3">
        <v>246</v>
      </c>
      <c r="AT112" s="3">
        <v>372</v>
      </c>
      <c r="AU112" s="3">
        <v>162</v>
      </c>
      <c r="AV112" s="3">
        <v>108</v>
      </c>
      <c r="AW112" s="3">
        <v>264</v>
      </c>
    </row>
    <row r="113" spans="1:49">
      <c r="A113" s="4" t="s">
        <v>40</v>
      </c>
      <c r="B113" s="4" t="str">
        <f t="shared" si="1"/>
        <v>Hair Care</v>
      </c>
      <c r="C113" s="4" t="s">
        <v>1786</v>
      </c>
      <c r="D113" s="4" t="s">
        <v>150</v>
      </c>
      <c r="E113" s="24" t="s">
        <v>125</v>
      </c>
      <c r="F113" s="12" t="s">
        <v>262</v>
      </c>
      <c r="G113" s="4" t="s">
        <v>1787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2016</v>
      </c>
      <c r="AM113" s="3">
        <v>2538</v>
      </c>
      <c r="AN113" s="3">
        <v>3540</v>
      </c>
      <c r="AO113" s="3">
        <v>4914</v>
      </c>
      <c r="AP113" s="3">
        <v>1032</v>
      </c>
      <c r="AQ113" s="3">
        <v>2106</v>
      </c>
      <c r="AR113" s="3">
        <v>4818</v>
      </c>
      <c r="AS113" s="3">
        <v>1842</v>
      </c>
      <c r="AT113" s="3">
        <v>3060</v>
      </c>
      <c r="AU113" s="3">
        <v>4794</v>
      </c>
      <c r="AV113" s="3">
        <v>4488</v>
      </c>
      <c r="AW113" s="3">
        <v>1902</v>
      </c>
    </row>
    <row r="114" spans="1:49">
      <c r="A114" s="4" t="s">
        <v>40</v>
      </c>
      <c r="B114" s="4" t="str">
        <f t="shared" si="1"/>
        <v>Hair Care</v>
      </c>
      <c r="C114" s="4" t="s">
        <v>1786</v>
      </c>
      <c r="D114" s="4" t="s">
        <v>150</v>
      </c>
      <c r="E114" s="24" t="s">
        <v>125</v>
      </c>
      <c r="F114" s="12" t="s">
        <v>263</v>
      </c>
      <c r="G114" s="4" t="s">
        <v>1787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2808</v>
      </c>
      <c r="AI114" s="3">
        <v>6120</v>
      </c>
      <c r="AJ114" s="3">
        <v>1680</v>
      </c>
      <c r="AK114" s="3">
        <v>2856</v>
      </c>
      <c r="AL114" s="3">
        <v>972</v>
      </c>
      <c r="AM114" s="3">
        <v>2094</v>
      </c>
      <c r="AN114" s="3">
        <v>4476</v>
      </c>
      <c r="AO114" s="3">
        <v>3522</v>
      </c>
      <c r="AP114" s="3">
        <v>1704</v>
      </c>
      <c r="AQ114" s="3">
        <v>2322</v>
      </c>
      <c r="AR114" s="3">
        <v>5226</v>
      </c>
      <c r="AS114" s="3">
        <v>3894</v>
      </c>
      <c r="AT114" s="3">
        <v>3324</v>
      </c>
      <c r="AU114" s="3">
        <v>4362</v>
      </c>
      <c r="AV114" s="3">
        <v>3852</v>
      </c>
      <c r="AW114" s="3">
        <v>1602</v>
      </c>
    </row>
    <row r="115" spans="1:49">
      <c r="A115" s="4" t="s">
        <v>40</v>
      </c>
      <c r="B115" s="4" t="str">
        <f t="shared" si="1"/>
        <v>Hair Care</v>
      </c>
      <c r="C115" s="4" t="s">
        <v>1786</v>
      </c>
      <c r="D115" s="4" t="s">
        <v>150</v>
      </c>
      <c r="E115" s="24" t="s">
        <v>125</v>
      </c>
      <c r="F115" s="12" t="s">
        <v>264</v>
      </c>
      <c r="G115" s="4" t="s">
        <v>1787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2520</v>
      </c>
      <c r="AM115" s="3">
        <v>2016</v>
      </c>
      <c r="AN115" s="3">
        <v>1464</v>
      </c>
      <c r="AO115" s="3">
        <v>1236</v>
      </c>
      <c r="AP115" s="3">
        <v>1260</v>
      </c>
      <c r="AQ115" s="3">
        <v>1920</v>
      </c>
      <c r="AR115" s="3">
        <v>1068</v>
      </c>
      <c r="AS115" s="3">
        <v>780</v>
      </c>
      <c r="AT115" s="3">
        <v>2148</v>
      </c>
      <c r="AU115" s="3">
        <v>756</v>
      </c>
      <c r="AV115" s="3">
        <v>1320</v>
      </c>
      <c r="AW115" s="3">
        <v>564</v>
      </c>
    </row>
    <row r="116" spans="1:49">
      <c r="A116" s="4" t="s">
        <v>40</v>
      </c>
      <c r="B116" s="4" t="str">
        <f t="shared" si="1"/>
        <v>Hair Care</v>
      </c>
      <c r="C116" s="4" t="s">
        <v>1786</v>
      </c>
      <c r="D116" s="4" t="s">
        <v>150</v>
      </c>
      <c r="E116" s="24" t="s">
        <v>125</v>
      </c>
      <c r="F116" s="12" t="s">
        <v>265</v>
      </c>
      <c r="G116" s="4" t="s">
        <v>1787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6564</v>
      </c>
    </row>
    <row r="117" spans="1:49">
      <c r="A117" s="4" t="s">
        <v>40</v>
      </c>
      <c r="B117" s="4" t="str">
        <f t="shared" si="1"/>
        <v>Hair Care</v>
      </c>
      <c r="C117" s="4" t="s">
        <v>1786</v>
      </c>
      <c r="D117" s="4" t="s">
        <v>150</v>
      </c>
      <c r="E117" s="24" t="s">
        <v>125</v>
      </c>
      <c r="F117" s="12" t="s">
        <v>266</v>
      </c>
      <c r="G117" s="4" t="s">
        <v>1787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10188</v>
      </c>
    </row>
    <row r="118" spans="1:49">
      <c r="A118" s="4" t="s">
        <v>40</v>
      </c>
      <c r="B118" s="4" t="str">
        <f t="shared" si="1"/>
        <v>Hair Care</v>
      </c>
      <c r="C118" s="4" t="s">
        <v>1786</v>
      </c>
      <c r="D118" s="4" t="s">
        <v>150</v>
      </c>
      <c r="E118" s="24" t="s">
        <v>125</v>
      </c>
      <c r="F118" s="12" t="s">
        <v>267</v>
      </c>
      <c r="G118" s="4" t="s">
        <v>1787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4665</v>
      </c>
    </row>
    <row r="119" spans="1:49">
      <c r="A119" s="4" t="s">
        <v>40</v>
      </c>
      <c r="B119" s="4" t="str">
        <f t="shared" si="1"/>
        <v>Hair Care</v>
      </c>
      <c r="C119" s="4" t="s">
        <v>1786</v>
      </c>
      <c r="D119" s="4" t="s">
        <v>150</v>
      </c>
      <c r="E119" s="24" t="s">
        <v>125</v>
      </c>
      <c r="F119" s="12" t="s">
        <v>268</v>
      </c>
      <c r="G119" s="4" t="s">
        <v>1787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10164</v>
      </c>
    </row>
    <row r="120" spans="1:49">
      <c r="A120" s="4" t="s">
        <v>40</v>
      </c>
      <c r="B120" s="4" t="str">
        <f t="shared" si="1"/>
        <v>Hair Care</v>
      </c>
      <c r="C120" s="4" t="s">
        <v>1786</v>
      </c>
      <c r="D120" s="4" t="s">
        <v>150</v>
      </c>
      <c r="E120" s="24" t="s">
        <v>125</v>
      </c>
      <c r="F120" s="12" t="s">
        <v>269</v>
      </c>
      <c r="G120" s="4" t="s">
        <v>1787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9816</v>
      </c>
    </row>
    <row r="121" spans="1:49">
      <c r="A121" s="4" t="s">
        <v>40</v>
      </c>
      <c r="B121" s="4" t="str">
        <f t="shared" si="1"/>
        <v>Hair Care</v>
      </c>
      <c r="C121" s="4" t="s">
        <v>1786</v>
      </c>
      <c r="D121" s="4" t="s">
        <v>150</v>
      </c>
      <c r="E121" s="24" t="s">
        <v>125</v>
      </c>
      <c r="F121" s="12" t="s">
        <v>270</v>
      </c>
      <c r="G121" s="4" t="s">
        <v>1787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9864</v>
      </c>
    </row>
    <row r="122" spans="1:49">
      <c r="A122" s="4" t="s">
        <v>40</v>
      </c>
      <c r="B122" s="4" t="str">
        <f t="shared" si="1"/>
        <v>Hair Care</v>
      </c>
      <c r="C122" s="4" t="s">
        <v>1786</v>
      </c>
      <c r="D122" s="4" t="s">
        <v>150</v>
      </c>
      <c r="E122" s="24" t="s">
        <v>125</v>
      </c>
      <c r="F122" s="12" t="s">
        <v>271</v>
      </c>
      <c r="G122" s="4" t="s">
        <v>1787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462</v>
      </c>
    </row>
    <row r="123" spans="1:49">
      <c r="A123" s="4" t="s">
        <v>40</v>
      </c>
      <c r="B123" s="4" t="str">
        <f t="shared" si="1"/>
        <v>Hair Care</v>
      </c>
      <c r="C123" s="4" t="s">
        <v>1786</v>
      </c>
      <c r="D123" s="4" t="s">
        <v>150</v>
      </c>
      <c r="E123" s="24" t="s">
        <v>125</v>
      </c>
      <c r="F123" s="12" t="s">
        <v>272</v>
      </c>
      <c r="G123" s="4" t="s">
        <v>1787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108</v>
      </c>
      <c r="S123" s="3">
        <v>-72</v>
      </c>
      <c r="T123" s="3">
        <v>36</v>
      </c>
      <c r="U123" s="3">
        <v>36</v>
      </c>
      <c r="V123" s="3">
        <v>72</v>
      </c>
      <c r="W123" s="3">
        <v>-12</v>
      </c>
      <c r="X123" s="3">
        <v>12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</row>
    <row r="124" spans="1:49">
      <c r="A124" s="4" t="s">
        <v>40</v>
      </c>
      <c r="B124" s="4" t="str">
        <f t="shared" si="1"/>
        <v>Hair Care</v>
      </c>
      <c r="C124" s="4" t="s">
        <v>1786</v>
      </c>
      <c r="D124" s="4" t="s">
        <v>150</v>
      </c>
      <c r="E124" s="24" t="s">
        <v>125</v>
      </c>
      <c r="F124" s="12" t="s">
        <v>273</v>
      </c>
      <c r="G124" s="4" t="s">
        <v>1787</v>
      </c>
      <c r="H124" s="3">
        <v>444</v>
      </c>
      <c r="I124" s="3">
        <v>360</v>
      </c>
      <c r="J124" s="3">
        <v>288</v>
      </c>
      <c r="K124" s="3">
        <v>384</v>
      </c>
      <c r="L124" s="3">
        <v>84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</row>
    <row r="125" spans="1:49">
      <c r="A125" s="4" t="s">
        <v>40</v>
      </c>
      <c r="B125" s="4" t="str">
        <f t="shared" si="1"/>
        <v>Hair Care</v>
      </c>
      <c r="C125" s="4" t="s">
        <v>1786</v>
      </c>
      <c r="D125" s="4" t="s">
        <v>150</v>
      </c>
      <c r="E125" s="24" t="s">
        <v>125</v>
      </c>
      <c r="F125" s="12" t="s">
        <v>274</v>
      </c>
      <c r="G125" s="4" t="s">
        <v>1787</v>
      </c>
      <c r="H125" s="3">
        <v>492</v>
      </c>
      <c r="I125" s="3">
        <v>420</v>
      </c>
      <c r="J125" s="3">
        <v>216</v>
      </c>
      <c r="K125" s="3">
        <v>96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</row>
    <row r="126" spans="1:49">
      <c r="A126" s="4" t="s">
        <v>40</v>
      </c>
      <c r="B126" s="4" t="str">
        <f t="shared" si="1"/>
        <v>Hair Care</v>
      </c>
      <c r="C126" s="4" t="s">
        <v>1786</v>
      </c>
      <c r="D126" s="4" t="s">
        <v>150</v>
      </c>
      <c r="E126" s="24" t="s">
        <v>125</v>
      </c>
      <c r="F126" s="12" t="s">
        <v>275</v>
      </c>
      <c r="G126" s="4" t="s">
        <v>1787</v>
      </c>
      <c r="H126" s="3">
        <v>0</v>
      </c>
      <c r="I126" s="3">
        <v>234</v>
      </c>
      <c r="J126" s="3">
        <v>102</v>
      </c>
      <c r="K126" s="3">
        <v>102</v>
      </c>
      <c r="L126" s="3">
        <v>54</v>
      </c>
      <c r="M126" s="3">
        <v>120</v>
      </c>
      <c r="N126" s="3">
        <v>72</v>
      </c>
      <c r="O126" s="3">
        <v>72</v>
      </c>
      <c r="P126" s="3">
        <v>78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</row>
    <row r="127" spans="1:49">
      <c r="A127" s="4" t="s">
        <v>40</v>
      </c>
      <c r="B127" s="4" t="str">
        <f t="shared" si="1"/>
        <v>Hair Care</v>
      </c>
      <c r="C127" s="4" t="s">
        <v>1786</v>
      </c>
      <c r="D127" s="4" t="s">
        <v>150</v>
      </c>
      <c r="E127" s="24" t="s">
        <v>125</v>
      </c>
      <c r="F127" s="12" t="s">
        <v>276</v>
      </c>
      <c r="G127" s="4" t="s">
        <v>1787</v>
      </c>
      <c r="H127" s="3">
        <v>132</v>
      </c>
      <c r="I127" s="3">
        <v>180</v>
      </c>
      <c r="J127" s="3">
        <v>204</v>
      </c>
      <c r="K127" s="3">
        <v>264</v>
      </c>
      <c r="L127" s="3">
        <v>84</v>
      </c>
      <c r="M127" s="3">
        <v>96</v>
      </c>
      <c r="N127" s="3">
        <v>84</v>
      </c>
      <c r="O127" s="3">
        <v>12</v>
      </c>
      <c r="P127" s="3">
        <v>252</v>
      </c>
      <c r="Q127" s="3">
        <v>144</v>
      </c>
      <c r="R127" s="3">
        <v>60</v>
      </c>
      <c r="S127" s="3">
        <v>180</v>
      </c>
      <c r="T127" s="3">
        <v>252</v>
      </c>
      <c r="U127" s="3">
        <v>84</v>
      </c>
      <c r="V127" s="3">
        <v>144</v>
      </c>
      <c r="W127" s="3">
        <v>96</v>
      </c>
      <c r="X127" s="3">
        <v>360</v>
      </c>
      <c r="Y127" s="3">
        <v>24</v>
      </c>
      <c r="Z127" s="3">
        <v>24</v>
      </c>
      <c r="AA127" s="3">
        <v>48</v>
      </c>
      <c r="AB127" s="3">
        <v>12</v>
      </c>
      <c r="AC127" s="3">
        <v>0</v>
      </c>
      <c r="AD127" s="3">
        <v>12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</row>
    <row r="128" spans="1:49">
      <c r="A128" s="4" t="s">
        <v>40</v>
      </c>
      <c r="B128" s="4" t="str">
        <f t="shared" si="1"/>
        <v>Hair Care</v>
      </c>
      <c r="C128" s="4" t="s">
        <v>1786</v>
      </c>
      <c r="D128" s="4" t="s">
        <v>150</v>
      </c>
      <c r="E128" s="24" t="s">
        <v>125</v>
      </c>
      <c r="F128" s="12" t="s">
        <v>277</v>
      </c>
      <c r="G128" s="4" t="s">
        <v>1787</v>
      </c>
      <c r="H128" s="3">
        <v>264</v>
      </c>
      <c r="I128" s="3">
        <v>300</v>
      </c>
      <c r="J128" s="3">
        <v>228</v>
      </c>
      <c r="K128" s="3">
        <v>204</v>
      </c>
      <c r="L128" s="3">
        <v>168</v>
      </c>
      <c r="M128" s="3">
        <v>72</v>
      </c>
      <c r="N128" s="3">
        <v>168</v>
      </c>
      <c r="O128" s="3">
        <v>144</v>
      </c>
      <c r="P128" s="3">
        <v>108</v>
      </c>
      <c r="Q128" s="3">
        <v>360</v>
      </c>
      <c r="R128" s="3">
        <v>120</v>
      </c>
      <c r="S128" s="3">
        <v>204</v>
      </c>
      <c r="T128" s="3">
        <v>216</v>
      </c>
      <c r="U128" s="3">
        <v>204</v>
      </c>
      <c r="V128" s="3">
        <v>492</v>
      </c>
      <c r="W128" s="3">
        <v>96</v>
      </c>
      <c r="X128" s="3">
        <v>72</v>
      </c>
      <c r="Y128" s="3">
        <v>84</v>
      </c>
      <c r="Z128" s="3">
        <v>36</v>
      </c>
      <c r="AA128" s="3">
        <v>108</v>
      </c>
      <c r="AB128" s="3">
        <v>24</v>
      </c>
      <c r="AC128" s="3">
        <v>108</v>
      </c>
      <c r="AD128" s="3">
        <v>204</v>
      </c>
      <c r="AE128" s="3">
        <v>132</v>
      </c>
      <c r="AF128" s="3">
        <v>48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</row>
    <row r="129" spans="1:49">
      <c r="A129" s="4" t="s">
        <v>40</v>
      </c>
      <c r="B129" s="4" t="str">
        <f t="shared" si="1"/>
        <v>Hair Care</v>
      </c>
      <c r="C129" s="4" t="s">
        <v>1786</v>
      </c>
      <c r="D129" s="4" t="s">
        <v>150</v>
      </c>
      <c r="E129" s="24" t="s">
        <v>125</v>
      </c>
      <c r="F129" s="12" t="s">
        <v>278</v>
      </c>
      <c r="G129" s="4" t="s">
        <v>1787</v>
      </c>
      <c r="H129" s="3">
        <v>-420</v>
      </c>
      <c r="I129" s="3">
        <v>36</v>
      </c>
      <c r="J129" s="3">
        <v>0</v>
      </c>
      <c r="K129" s="3">
        <v>0</v>
      </c>
      <c r="L129" s="3">
        <v>12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</row>
    <row r="130" spans="1:49">
      <c r="A130" s="4" t="s">
        <v>40</v>
      </c>
      <c r="B130" s="4" t="str">
        <f t="shared" si="1"/>
        <v>Hair Care</v>
      </c>
      <c r="C130" s="4" t="s">
        <v>1786</v>
      </c>
      <c r="D130" s="4" t="s">
        <v>150</v>
      </c>
      <c r="E130" s="24" t="s">
        <v>125</v>
      </c>
      <c r="F130" s="12" t="s">
        <v>279</v>
      </c>
      <c r="G130" s="4" t="s">
        <v>1787</v>
      </c>
      <c r="H130" s="3">
        <v>408</v>
      </c>
      <c r="I130" s="3">
        <v>168</v>
      </c>
      <c r="J130" s="3">
        <v>276</v>
      </c>
      <c r="K130" s="3">
        <v>276</v>
      </c>
      <c r="L130" s="3">
        <v>168</v>
      </c>
      <c r="M130" s="3">
        <v>192</v>
      </c>
      <c r="N130" s="3">
        <v>228</v>
      </c>
      <c r="O130" s="3">
        <v>156</v>
      </c>
      <c r="P130" s="3">
        <v>288</v>
      </c>
      <c r="Q130" s="3">
        <v>444</v>
      </c>
      <c r="R130" s="3">
        <v>276</v>
      </c>
      <c r="S130" s="3">
        <v>504</v>
      </c>
      <c r="T130" s="3">
        <v>444</v>
      </c>
      <c r="U130" s="3">
        <v>288</v>
      </c>
      <c r="V130" s="3">
        <v>432</v>
      </c>
      <c r="W130" s="3">
        <v>336</v>
      </c>
      <c r="X130" s="3">
        <v>756</v>
      </c>
      <c r="Y130" s="3">
        <v>180</v>
      </c>
      <c r="Z130" s="3">
        <v>216</v>
      </c>
      <c r="AA130" s="3">
        <v>240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</row>
    <row r="131" spans="1:49">
      <c r="A131" s="4" t="s">
        <v>40</v>
      </c>
      <c r="B131" s="4" t="str">
        <f t="shared" ref="B131:B194" si="2">A131</f>
        <v>Hair Care</v>
      </c>
      <c r="C131" s="4" t="s">
        <v>1786</v>
      </c>
      <c r="D131" s="4" t="s">
        <v>150</v>
      </c>
      <c r="E131" s="24" t="s">
        <v>125</v>
      </c>
      <c r="F131" s="12" t="s">
        <v>280</v>
      </c>
      <c r="G131" s="4" t="s">
        <v>1787</v>
      </c>
      <c r="H131" s="3">
        <v>102</v>
      </c>
      <c r="I131" s="3">
        <v>180</v>
      </c>
      <c r="J131" s="3">
        <v>138</v>
      </c>
      <c r="K131" s="3">
        <v>30</v>
      </c>
      <c r="L131" s="3">
        <v>126</v>
      </c>
      <c r="M131" s="3">
        <v>36</v>
      </c>
      <c r="N131" s="3">
        <v>96</v>
      </c>
      <c r="O131" s="3">
        <v>78</v>
      </c>
      <c r="P131" s="3">
        <v>144</v>
      </c>
      <c r="Q131" s="3">
        <v>84</v>
      </c>
      <c r="R131" s="3">
        <v>120</v>
      </c>
      <c r="S131" s="3">
        <v>114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</row>
    <row r="132" spans="1:49">
      <c r="A132" s="4" t="s">
        <v>40</v>
      </c>
      <c r="B132" s="4" t="str">
        <f t="shared" si="2"/>
        <v>Hair Care</v>
      </c>
      <c r="C132" s="4" t="s">
        <v>1786</v>
      </c>
      <c r="D132" s="4" t="s">
        <v>150</v>
      </c>
      <c r="E132" s="24" t="s">
        <v>125</v>
      </c>
      <c r="F132" s="12" t="s">
        <v>281</v>
      </c>
      <c r="G132" s="4" t="s">
        <v>1787</v>
      </c>
      <c r="H132" s="3">
        <v>0</v>
      </c>
      <c r="I132" s="3">
        <v>0</v>
      </c>
      <c r="J132" s="3">
        <v>0</v>
      </c>
      <c r="K132" s="3">
        <v>426</v>
      </c>
      <c r="L132" s="3">
        <v>318</v>
      </c>
      <c r="M132" s="3">
        <v>192</v>
      </c>
      <c r="N132" s="3">
        <v>120</v>
      </c>
      <c r="O132" s="3">
        <v>186</v>
      </c>
      <c r="P132" s="3">
        <v>78</v>
      </c>
      <c r="Q132" s="3">
        <v>168</v>
      </c>
      <c r="R132" s="3">
        <v>150</v>
      </c>
      <c r="S132" s="3">
        <v>144</v>
      </c>
      <c r="T132" s="3">
        <v>264</v>
      </c>
      <c r="U132" s="3">
        <v>66</v>
      </c>
      <c r="V132" s="3">
        <v>120</v>
      </c>
      <c r="W132" s="3">
        <v>72</v>
      </c>
      <c r="X132" s="3">
        <v>252</v>
      </c>
      <c r="Y132" s="3">
        <v>210</v>
      </c>
      <c r="Z132" s="3">
        <v>0</v>
      </c>
      <c r="AA132" s="3">
        <v>132</v>
      </c>
      <c r="AB132" s="3">
        <v>168</v>
      </c>
      <c r="AC132" s="3">
        <v>216</v>
      </c>
      <c r="AD132" s="3">
        <v>78</v>
      </c>
      <c r="AE132" s="3">
        <v>84</v>
      </c>
      <c r="AF132" s="3">
        <v>0</v>
      </c>
      <c r="AG132" s="3">
        <v>0</v>
      </c>
      <c r="AH132" s="3">
        <v>0</v>
      </c>
      <c r="AI132" s="3">
        <v>-12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</row>
    <row r="133" spans="1:49">
      <c r="A133" s="4" t="s">
        <v>40</v>
      </c>
      <c r="B133" s="4" t="str">
        <f t="shared" si="2"/>
        <v>Hair Care</v>
      </c>
      <c r="C133" s="4" t="s">
        <v>1786</v>
      </c>
      <c r="D133" s="4" t="s">
        <v>150</v>
      </c>
      <c r="E133" s="24" t="s">
        <v>282</v>
      </c>
      <c r="F133" s="12" t="s">
        <v>284</v>
      </c>
      <c r="G133" s="4" t="s">
        <v>1787</v>
      </c>
      <c r="H133" s="3">
        <v>198</v>
      </c>
      <c r="I133" s="3">
        <v>174</v>
      </c>
      <c r="J133" s="3">
        <v>210</v>
      </c>
      <c r="K133" s="3">
        <v>126</v>
      </c>
      <c r="L133" s="3">
        <v>186</v>
      </c>
      <c r="M133" s="3">
        <v>102</v>
      </c>
      <c r="N133" s="3">
        <v>54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</row>
    <row r="134" spans="1:49">
      <c r="A134" s="4" t="s">
        <v>40</v>
      </c>
      <c r="B134" s="4" t="str">
        <f t="shared" si="2"/>
        <v>Hair Care</v>
      </c>
      <c r="C134" s="4" t="s">
        <v>1786</v>
      </c>
      <c r="D134" s="4" t="s">
        <v>150</v>
      </c>
      <c r="E134" s="24" t="s">
        <v>282</v>
      </c>
      <c r="F134" s="12" t="s">
        <v>285</v>
      </c>
      <c r="G134" s="4" t="s">
        <v>1787</v>
      </c>
      <c r="H134" s="3">
        <v>144</v>
      </c>
      <c r="I134" s="3">
        <v>186</v>
      </c>
      <c r="J134" s="3">
        <v>78</v>
      </c>
      <c r="K134" s="3">
        <v>156</v>
      </c>
      <c r="L134" s="3">
        <v>12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</row>
    <row r="135" spans="1:49">
      <c r="A135" s="4" t="s">
        <v>40</v>
      </c>
      <c r="B135" s="4" t="str">
        <f t="shared" si="2"/>
        <v>Hair Care</v>
      </c>
      <c r="C135" s="4" t="s">
        <v>1786</v>
      </c>
      <c r="D135" s="4" t="s">
        <v>150</v>
      </c>
      <c r="E135" s="24" t="s">
        <v>282</v>
      </c>
      <c r="F135" s="12" t="s">
        <v>287</v>
      </c>
      <c r="G135" s="4" t="s">
        <v>1787</v>
      </c>
      <c r="H135" s="3">
        <v>324</v>
      </c>
      <c r="I135" s="3">
        <v>246</v>
      </c>
      <c r="J135" s="3">
        <v>228</v>
      </c>
      <c r="K135" s="3">
        <v>168</v>
      </c>
      <c r="L135" s="3">
        <v>162</v>
      </c>
      <c r="M135" s="3">
        <v>192</v>
      </c>
      <c r="N135" s="3">
        <v>144</v>
      </c>
      <c r="O135" s="3">
        <v>210</v>
      </c>
      <c r="P135" s="3">
        <v>234</v>
      </c>
      <c r="Q135" s="3">
        <v>240</v>
      </c>
      <c r="R135" s="3">
        <v>354</v>
      </c>
      <c r="S135" s="3">
        <v>306</v>
      </c>
      <c r="T135" s="3">
        <v>222</v>
      </c>
      <c r="U135" s="3">
        <v>342</v>
      </c>
      <c r="V135" s="3">
        <v>318</v>
      </c>
      <c r="W135" s="3">
        <v>84</v>
      </c>
      <c r="X135" s="3">
        <v>144</v>
      </c>
      <c r="Y135" s="3">
        <v>186</v>
      </c>
      <c r="Z135" s="3">
        <v>210</v>
      </c>
      <c r="AA135" s="3">
        <v>114</v>
      </c>
      <c r="AB135" s="3">
        <v>282</v>
      </c>
      <c r="AC135" s="3">
        <v>96</v>
      </c>
      <c r="AD135" s="3">
        <v>96</v>
      </c>
      <c r="AE135" s="3">
        <v>276</v>
      </c>
      <c r="AF135" s="3">
        <v>342</v>
      </c>
      <c r="AG135" s="3">
        <v>270</v>
      </c>
      <c r="AH135" s="3">
        <v>162</v>
      </c>
      <c r="AI135" s="3">
        <v>252</v>
      </c>
      <c r="AJ135" s="3">
        <v>162</v>
      </c>
      <c r="AK135" s="3">
        <v>24</v>
      </c>
      <c r="AL135" s="3">
        <v>0</v>
      </c>
      <c r="AM135" s="3">
        <v>192</v>
      </c>
      <c r="AN135" s="3">
        <v>126</v>
      </c>
      <c r="AO135" s="3">
        <v>150</v>
      </c>
      <c r="AP135" s="3">
        <v>138</v>
      </c>
      <c r="AQ135" s="3">
        <v>36</v>
      </c>
      <c r="AR135" s="3">
        <v>150</v>
      </c>
      <c r="AS135" s="3">
        <v>156</v>
      </c>
      <c r="AT135" s="3">
        <v>102</v>
      </c>
      <c r="AU135" s="3">
        <v>126</v>
      </c>
      <c r="AV135" s="3">
        <v>234</v>
      </c>
      <c r="AW135" s="3">
        <v>84</v>
      </c>
    </row>
    <row r="136" spans="1:49">
      <c r="A136" s="4" t="s">
        <v>40</v>
      </c>
      <c r="B136" s="4" t="str">
        <f t="shared" si="2"/>
        <v>Hair Care</v>
      </c>
      <c r="C136" s="4" t="s">
        <v>1786</v>
      </c>
      <c r="D136" s="4" t="s">
        <v>150</v>
      </c>
      <c r="E136" s="24" t="s">
        <v>282</v>
      </c>
      <c r="F136" s="12" t="s">
        <v>288</v>
      </c>
      <c r="G136" s="4" t="s">
        <v>1787</v>
      </c>
      <c r="H136" s="3">
        <v>186</v>
      </c>
      <c r="I136" s="3">
        <v>102</v>
      </c>
      <c r="J136" s="3">
        <v>138</v>
      </c>
      <c r="K136" s="3">
        <v>144</v>
      </c>
      <c r="L136" s="3">
        <v>114</v>
      </c>
      <c r="M136" s="3">
        <v>108</v>
      </c>
      <c r="N136" s="3">
        <v>114</v>
      </c>
      <c r="O136" s="3">
        <v>114</v>
      </c>
      <c r="P136" s="3">
        <v>180</v>
      </c>
      <c r="Q136" s="3">
        <v>174</v>
      </c>
      <c r="R136" s="3">
        <v>168</v>
      </c>
      <c r="S136" s="3">
        <v>141</v>
      </c>
      <c r="T136" s="3">
        <v>120</v>
      </c>
      <c r="U136" s="3">
        <v>96</v>
      </c>
      <c r="V136" s="3">
        <v>246</v>
      </c>
      <c r="W136" s="3">
        <v>66</v>
      </c>
      <c r="X136" s="3">
        <v>96</v>
      </c>
      <c r="Y136" s="3">
        <v>126</v>
      </c>
      <c r="Z136" s="3">
        <v>72</v>
      </c>
      <c r="AA136" s="3">
        <v>90</v>
      </c>
      <c r="AB136" s="3">
        <v>174</v>
      </c>
      <c r="AC136" s="3">
        <v>66</v>
      </c>
      <c r="AD136" s="3">
        <v>72</v>
      </c>
      <c r="AE136" s="3">
        <v>96</v>
      </c>
      <c r="AF136" s="3">
        <v>150</v>
      </c>
      <c r="AG136" s="3">
        <v>222</v>
      </c>
      <c r="AH136" s="3">
        <v>42</v>
      </c>
      <c r="AI136" s="3">
        <v>126</v>
      </c>
      <c r="AJ136" s="3">
        <v>60</v>
      </c>
      <c r="AK136" s="3">
        <v>120</v>
      </c>
      <c r="AL136" s="3">
        <v>84</v>
      </c>
      <c r="AM136" s="3">
        <v>84</v>
      </c>
      <c r="AN136" s="3">
        <v>84</v>
      </c>
      <c r="AO136" s="3">
        <v>108</v>
      </c>
      <c r="AP136" s="3">
        <v>66</v>
      </c>
      <c r="AQ136" s="3">
        <v>138</v>
      </c>
      <c r="AR136" s="3">
        <v>204</v>
      </c>
      <c r="AS136" s="3">
        <v>78</v>
      </c>
      <c r="AT136" s="3">
        <v>84</v>
      </c>
      <c r="AU136" s="3">
        <v>126</v>
      </c>
      <c r="AV136" s="3">
        <v>138</v>
      </c>
      <c r="AW136" s="3">
        <v>90</v>
      </c>
    </row>
    <row r="137" spans="1:49">
      <c r="A137" s="4" t="s">
        <v>40</v>
      </c>
      <c r="B137" s="4" t="str">
        <f t="shared" si="2"/>
        <v>Hair Care</v>
      </c>
      <c r="C137" s="4" t="s">
        <v>1786</v>
      </c>
      <c r="D137" s="4" t="s">
        <v>150</v>
      </c>
      <c r="E137" s="24" t="s">
        <v>282</v>
      </c>
      <c r="F137" s="12" t="s">
        <v>289</v>
      </c>
      <c r="G137" s="4" t="s">
        <v>1787</v>
      </c>
      <c r="H137" s="3">
        <v>180</v>
      </c>
      <c r="I137" s="3">
        <v>60</v>
      </c>
      <c r="J137" s="3">
        <v>96</v>
      </c>
      <c r="K137" s="3">
        <v>126</v>
      </c>
      <c r="L137" s="3">
        <v>66</v>
      </c>
      <c r="M137" s="3">
        <v>42</v>
      </c>
      <c r="N137" s="3">
        <v>78</v>
      </c>
      <c r="O137" s="3">
        <v>96</v>
      </c>
      <c r="P137" s="3">
        <v>180</v>
      </c>
      <c r="Q137" s="3">
        <v>48</v>
      </c>
      <c r="R137" s="3">
        <v>156</v>
      </c>
      <c r="S137" s="3">
        <v>126</v>
      </c>
      <c r="T137" s="3">
        <v>276</v>
      </c>
      <c r="U137" s="3">
        <v>156</v>
      </c>
      <c r="V137" s="3">
        <v>156</v>
      </c>
      <c r="W137" s="3">
        <v>54</v>
      </c>
      <c r="X137" s="3">
        <v>90</v>
      </c>
      <c r="Y137" s="3">
        <v>84</v>
      </c>
      <c r="Z137" s="3">
        <v>102</v>
      </c>
      <c r="AA137" s="3">
        <v>96</v>
      </c>
      <c r="AB137" s="3">
        <v>144</v>
      </c>
      <c r="AC137" s="3">
        <v>102</v>
      </c>
      <c r="AD137" s="3">
        <v>36</v>
      </c>
      <c r="AE137" s="3">
        <v>156</v>
      </c>
      <c r="AF137" s="3">
        <v>114</v>
      </c>
      <c r="AG137" s="3">
        <v>612</v>
      </c>
      <c r="AH137" s="3">
        <v>60</v>
      </c>
      <c r="AI137" s="3">
        <v>180</v>
      </c>
      <c r="AJ137" s="3">
        <v>108</v>
      </c>
      <c r="AK137" s="3">
        <v>84</v>
      </c>
      <c r="AL137" s="3">
        <v>72</v>
      </c>
      <c r="AM137" s="3">
        <v>78</v>
      </c>
      <c r="AN137" s="3">
        <v>66</v>
      </c>
      <c r="AO137" s="3">
        <v>96</v>
      </c>
      <c r="AP137" s="3">
        <v>47</v>
      </c>
      <c r="AQ137" s="3">
        <v>60</v>
      </c>
      <c r="AR137" s="3">
        <v>74</v>
      </c>
      <c r="AS137" s="3">
        <v>102</v>
      </c>
      <c r="AT137" s="3">
        <v>60</v>
      </c>
      <c r="AU137" s="3">
        <v>54</v>
      </c>
      <c r="AV137" s="3">
        <v>168</v>
      </c>
      <c r="AW137" s="3">
        <v>39</v>
      </c>
    </row>
    <row r="138" spans="1:49">
      <c r="A138" s="4" t="s">
        <v>40</v>
      </c>
      <c r="B138" s="4" t="str">
        <f t="shared" si="2"/>
        <v>Hair Care</v>
      </c>
      <c r="C138" s="4" t="s">
        <v>1786</v>
      </c>
      <c r="D138" s="4" t="s">
        <v>150</v>
      </c>
      <c r="E138" s="24" t="s">
        <v>282</v>
      </c>
      <c r="F138" s="12" t="s">
        <v>290</v>
      </c>
      <c r="G138" s="4" t="s">
        <v>1787</v>
      </c>
      <c r="H138" s="3">
        <v>180</v>
      </c>
      <c r="I138" s="3">
        <v>48</v>
      </c>
      <c r="J138" s="3">
        <v>54</v>
      </c>
      <c r="K138" s="3">
        <v>54</v>
      </c>
      <c r="L138" s="3">
        <v>42</v>
      </c>
      <c r="M138" s="3">
        <v>60</v>
      </c>
      <c r="N138" s="3">
        <v>42</v>
      </c>
      <c r="O138" s="3">
        <v>96</v>
      </c>
      <c r="P138" s="3">
        <v>108</v>
      </c>
      <c r="Q138" s="3">
        <v>66</v>
      </c>
      <c r="R138" s="3">
        <v>126</v>
      </c>
      <c r="S138" s="3">
        <v>102</v>
      </c>
      <c r="T138" s="3">
        <v>216</v>
      </c>
      <c r="U138" s="3">
        <v>108</v>
      </c>
      <c r="V138" s="3">
        <v>66</v>
      </c>
      <c r="W138" s="3">
        <v>24</v>
      </c>
      <c r="X138" s="3">
        <v>78</v>
      </c>
      <c r="Y138" s="3">
        <v>30</v>
      </c>
      <c r="Z138" s="3">
        <v>72</v>
      </c>
      <c r="AA138" s="3">
        <v>72</v>
      </c>
      <c r="AB138" s="3">
        <v>144</v>
      </c>
      <c r="AC138" s="3">
        <v>78</v>
      </c>
      <c r="AD138" s="3">
        <v>24</v>
      </c>
      <c r="AE138" s="3">
        <v>96</v>
      </c>
      <c r="AF138" s="3">
        <v>138</v>
      </c>
      <c r="AG138" s="3">
        <v>552</v>
      </c>
      <c r="AH138" s="3">
        <v>48</v>
      </c>
      <c r="AI138" s="3">
        <v>48</v>
      </c>
      <c r="AJ138" s="3">
        <v>90</v>
      </c>
      <c r="AK138" s="3">
        <v>54</v>
      </c>
      <c r="AL138" s="3">
        <v>72</v>
      </c>
      <c r="AM138" s="3">
        <v>72</v>
      </c>
      <c r="AN138" s="3">
        <v>30</v>
      </c>
      <c r="AO138" s="3">
        <v>48</v>
      </c>
      <c r="AP138" s="3">
        <v>52</v>
      </c>
      <c r="AQ138" s="3">
        <v>21</v>
      </c>
      <c r="AR138" s="3">
        <v>120</v>
      </c>
      <c r="AS138" s="3">
        <v>42</v>
      </c>
      <c r="AT138" s="3">
        <v>42</v>
      </c>
      <c r="AU138" s="3">
        <v>24</v>
      </c>
      <c r="AV138" s="3">
        <v>174</v>
      </c>
      <c r="AW138" s="3">
        <v>54</v>
      </c>
    </row>
    <row r="139" spans="1:49">
      <c r="A139" s="4" t="s">
        <v>40</v>
      </c>
      <c r="B139" s="4" t="str">
        <f t="shared" si="2"/>
        <v>Hair Care</v>
      </c>
      <c r="C139" s="4" t="s">
        <v>1786</v>
      </c>
      <c r="D139" s="4" t="s">
        <v>150</v>
      </c>
      <c r="E139" s="24" t="s">
        <v>282</v>
      </c>
      <c r="F139" s="12" t="s">
        <v>291</v>
      </c>
      <c r="G139" s="4" t="s">
        <v>1787</v>
      </c>
      <c r="H139" s="3">
        <v>156</v>
      </c>
      <c r="I139" s="3">
        <v>48</v>
      </c>
      <c r="J139" s="3">
        <v>108</v>
      </c>
      <c r="K139" s="3">
        <v>0</v>
      </c>
      <c r="L139" s="3">
        <v>180</v>
      </c>
      <c r="M139" s="3">
        <v>72</v>
      </c>
      <c r="N139" s="3">
        <v>120</v>
      </c>
      <c r="O139" s="3">
        <v>102</v>
      </c>
      <c r="P139" s="3">
        <v>120</v>
      </c>
      <c r="Q139" s="3">
        <v>120</v>
      </c>
      <c r="R139" s="3">
        <v>96</v>
      </c>
      <c r="S139" s="3">
        <v>114</v>
      </c>
      <c r="T139" s="3">
        <v>198</v>
      </c>
      <c r="U139" s="3">
        <v>132</v>
      </c>
      <c r="V139" s="3">
        <v>138</v>
      </c>
      <c r="W139" s="3">
        <v>24</v>
      </c>
      <c r="X139" s="3">
        <v>120</v>
      </c>
      <c r="Y139" s="3">
        <v>96</v>
      </c>
      <c r="Z139" s="3">
        <v>48</v>
      </c>
      <c r="AA139" s="3">
        <v>72</v>
      </c>
      <c r="AB139" s="3">
        <v>192</v>
      </c>
      <c r="AC139" s="3">
        <v>108</v>
      </c>
      <c r="AD139" s="3">
        <v>90</v>
      </c>
      <c r="AE139" s="3">
        <v>132</v>
      </c>
      <c r="AF139" s="3">
        <v>180</v>
      </c>
      <c r="AG139" s="3">
        <v>228</v>
      </c>
      <c r="AH139" s="3">
        <v>114</v>
      </c>
      <c r="AI139" s="3">
        <v>180</v>
      </c>
      <c r="AJ139" s="3">
        <v>126</v>
      </c>
      <c r="AK139" s="3">
        <v>36</v>
      </c>
      <c r="AL139" s="3">
        <v>186</v>
      </c>
      <c r="AM139" s="3">
        <v>156</v>
      </c>
      <c r="AN139" s="3">
        <v>84</v>
      </c>
      <c r="AO139" s="3">
        <v>24</v>
      </c>
      <c r="AP139" s="3">
        <v>210</v>
      </c>
      <c r="AQ139" s="3">
        <v>150</v>
      </c>
      <c r="AR139" s="3">
        <v>234</v>
      </c>
      <c r="AS139" s="3">
        <v>108</v>
      </c>
      <c r="AT139" s="3">
        <v>72</v>
      </c>
      <c r="AU139" s="3">
        <v>72</v>
      </c>
      <c r="AV139" s="3">
        <v>174</v>
      </c>
      <c r="AW139" s="3">
        <v>156</v>
      </c>
    </row>
    <row r="140" spans="1:49">
      <c r="A140" s="4" t="s">
        <v>40</v>
      </c>
      <c r="B140" s="4" t="str">
        <f t="shared" si="2"/>
        <v>Hair Care</v>
      </c>
      <c r="C140" s="4" t="s">
        <v>1786</v>
      </c>
      <c r="D140" s="4" t="s">
        <v>150</v>
      </c>
      <c r="E140" s="24" t="s">
        <v>282</v>
      </c>
      <c r="F140" s="12" t="s">
        <v>292</v>
      </c>
      <c r="G140" s="4" t="s">
        <v>1787</v>
      </c>
      <c r="H140" s="3">
        <v>108</v>
      </c>
      <c r="I140" s="3">
        <v>108</v>
      </c>
      <c r="J140" s="3">
        <v>84</v>
      </c>
      <c r="K140" s="3">
        <v>72</v>
      </c>
      <c r="L140" s="3">
        <v>48</v>
      </c>
      <c r="M140" s="3">
        <v>96</v>
      </c>
      <c r="N140" s="3">
        <v>60</v>
      </c>
      <c r="O140" s="3">
        <v>138</v>
      </c>
      <c r="P140" s="3">
        <v>144</v>
      </c>
      <c r="Q140" s="3">
        <v>60</v>
      </c>
      <c r="R140" s="3">
        <v>60</v>
      </c>
      <c r="S140" s="3">
        <v>138</v>
      </c>
      <c r="T140" s="3">
        <v>126</v>
      </c>
      <c r="U140" s="3">
        <v>24</v>
      </c>
      <c r="V140" s="3">
        <v>114</v>
      </c>
      <c r="W140" s="3">
        <v>36</v>
      </c>
      <c r="X140" s="3">
        <v>72</v>
      </c>
      <c r="Y140" s="3">
        <v>84</v>
      </c>
      <c r="Z140" s="3">
        <v>24</v>
      </c>
      <c r="AA140" s="3">
        <v>48</v>
      </c>
      <c r="AB140" s="3">
        <v>96</v>
      </c>
      <c r="AC140" s="3">
        <v>60</v>
      </c>
      <c r="AD140" s="3">
        <v>96</v>
      </c>
      <c r="AE140" s="3">
        <v>120</v>
      </c>
      <c r="AF140" s="3">
        <v>96</v>
      </c>
      <c r="AG140" s="3">
        <v>204</v>
      </c>
      <c r="AH140" s="3">
        <v>138</v>
      </c>
      <c r="AI140" s="3">
        <v>240</v>
      </c>
      <c r="AJ140" s="3">
        <v>60</v>
      </c>
      <c r="AK140" s="3">
        <v>36</v>
      </c>
      <c r="AL140" s="3">
        <v>48</v>
      </c>
      <c r="AM140" s="3">
        <v>120</v>
      </c>
      <c r="AN140" s="3">
        <v>24</v>
      </c>
      <c r="AO140" s="3">
        <v>48</v>
      </c>
      <c r="AP140" s="3">
        <v>96</v>
      </c>
      <c r="AQ140" s="3">
        <v>0</v>
      </c>
      <c r="AR140" s="3">
        <v>288</v>
      </c>
      <c r="AS140" s="3">
        <v>24</v>
      </c>
      <c r="AT140" s="3">
        <v>216</v>
      </c>
      <c r="AU140" s="3">
        <v>84</v>
      </c>
      <c r="AV140" s="3">
        <v>84</v>
      </c>
      <c r="AW140" s="3">
        <v>174</v>
      </c>
    </row>
    <row r="141" spans="1:49">
      <c r="A141" s="4" t="s">
        <v>40</v>
      </c>
      <c r="B141" s="4" t="str">
        <f t="shared" si="2"/>
        <v>Hair Care</v>
      </c>
      <c r="C141" s="4" t="s">
        <v>1786</v>
      </c>
      <c r="D141" s="4" t="s">
        <v>150</v>
      </c>
      <c r="E141" s="24" t="s">
        <v>282</v>
      </c>
      <c r="F141" s="12" t="s">
        <v>293</v>
      </c>
      <c r="G141" s="4" t="s">
        <v>1787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30</v>
      </c>
      <c r="AO141" s="3">
        <v>504</v>
      </c>
      <c r="AP141" s="3">
        <v>252</v>
      </c>
      <c r="AQ141" s="3">
        <v>48</v>
      </c>
      <c r="AR141" s="3">
        <v>160</v>
      </c>
      <c r="AS141" s="3">
        <v>84</v>
      </c>
      <c r="AT141" s="3">
        <v>36</v>
      </c>
      <c r="AU141" s="3">
        <v>108</v>
      </c>
      <c r="AV141" s="3">
        <v>48</v>
      </c>
      <c r="AW141" s="3">
        <v>225</v>
      </c>
    </row>
    <row r="142" spans="1:49">
      <c r="A142" s="4" t="s">
        <v>40</v>
      </c>
      <c r="B142" s="4" t="str">
        <f t="shared" si="2"/>
        <v>Hair Care</v>
      </c>
      <c r="C142" s="4" t="s">
        <v>1786</v>
      </c>
      <c r="D142" s="4" t="s">
        <v>150</v>
      </c>
      <c r="E142" s="24" t="s">
        <v>282</v>
      </c>
      <c r="F142" s="12" t="s">
        <v>294</v>
      </c>
      <c r="G142" s="4" t="s">
        <v>1787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30</v>
      </c>
      <c r="AO142" s="3">
        <v>504</v>
      </c>
      <c r="AP142" s="3">
        <v>288</v>
      </c>
      <c r="AQ142" s="3">
        <v>24</v>
      </c>
      <c r="AR142" s="3">
        <v>84</v>
      </c>
      <c r="AS142" s="3">
        <v>48</v>
      </c>
      <c r="AT142" s="3">
        <v>0</v>
      </c>
      <c r="AU142" s="3">
        <v>72</v>
      </c>
      <c r="AV142" s="3">
        <v>96</v>
      </c>
      <c r="AW142" s="3">
        <v>182</v>
      </c>
    </row>
    <row r="143" spans="1:49">
      <c r="A143" s="4" t="s">
        <v>40</v>
      </c>
      <c r="B143" s="4" t="str">
        <f t="shared" si="2"/>
        <v>Hair Care</v>
      </c>
      <c r="C143" s="4" t="s">
        <v>1786</v>
      </c>
      <c r="D143" s="4" t="s">
        <v>150</v>
      </c>
      <c r="E143" s="24" t="s">
        <v>282</v>
      </c>
      <c r="F143" s="12" t="s">
        <v>295</v>
      </c>
      <c r="G143" s="4" t="s">
        <v>1787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30</v>
      </c>
      <c r="AO143" s="3">
        <v>488</v>
      </c>
      <c r="AP143" s="3">
        <v>288</v>
      </c>
      <c r="AQ143" s="3">
        <v>72</v>
      </c>
      <c r="AR143" s="3">
        <v>195</v>
      </c>
      <c r="AS143" s="3">
        <v>84</v>
      </c>
      <c r="AT143" s="3">
        <v>72</v>
      </c>
      <c r="AU143" s="3">
        <v>84</v>
      </c>
      <c r="AV143" s="3">
        <v>48</v>
      </c>
      <c r="AW143" s="3">
        <v>174</v>
      </c>
    </row>
    <row r="144" spans="1:49">
      <c r="A144" s="4" t="s">
        <v>40</v>
      </c>
      <c r="B144" s="4" t="str">
        <f t="shared" si="2"/>
        <v>Hair Care</v>
      </c>
      <c r="C144" s="4" t="s">
        <v>1786</v>
      </c>
      <c r="D144" s="4" t="s">
        <v>150</v>
      </c>
      <c r="E144" s="24" t="s">
        <v>282</v>
      </c>
      <c r="F144" s="12" t="s">
        <v>296</v>
      </c>
      <c r="G144" s="4" t="s">
        <v>1787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30</v>
      </c>
      <c r="AO144" s="3">
        <v>516</v>
      </c>
      <c r="AP144" s="3">
        <v>276</v>
      </c>
      <c r="AQ144" s="3">
        <v>84</v>
      </c>
      <c r="AR144" s="3">
        <v>251</v>
      </c>
      <c r="AS144" s="3">
        <v>133</v>
      </c>
      <c r="AT144" s="3">
        <v>84</v>
      </c>
      <c r="AU144" s="3">
        <v>108</v>
      </c>
      <c r="AV144" s="3">
        <v>60</v>
      </c>
      <c r="AW144" s="3">
        <v>162</v>
      </c>
    </row>
    <row r="145" spans="1:49">
      <c r="A145" s="4" t="s">
        <v>40</v>
      </c>
      <c r="B145" s="4" t="str">
        <f t="shared" si="2"/>
        <v>Hair Care</v>
      </c>
      <c r="C145" s="4" t="s">
        <v>1786</v>
      </c>
      <c r="D145" s="4" t="s">
        <v>150</v>
      </c>
      <c r="E145" s="24" t="s">
        <v>282</v>
      </c>
      <c r="F145" s="12" t="s">
        <v>297</v>
      </c>
      <c r="G145" s="4" t="s">
        <v>1787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30</v>
      </c>
      <c r="AO145" s="3">
        <v>105</v>
      </c>
      <c r="AP145" s="3">
        <v>0</v>
      </c>
      <c r="AQ145" s="3">
        <v>660</v>
      </c>
      <c r="AR145" s="3">
        <v>135</v>
      </c>
      <c r="AS145" s="3">
        <v>39</v>
      </c>
      <c r="AT145" s="3">
        <v>36</v>
      </c>
      <c r="AU145" s="3">
        <v>36</v>
      </c>
      <c r="AV145" s="3">
        <v>84</v>
      </c>
      <c r="AW145" s="3">
        <v>192</v>
      </c>
    </row>
    <row r="146" spans="1:49">
      <c r="A146" s="4" t="s">
        <v>40</v>
      </c>
      <c r="B146" s="4" t="str">
        <f t="shared" si="2"/>
        <v>Hair Care</v>
      </c>
      <c r="C146" s="4" t="s">
        <v>1786</v>
      </c>
      <c r="D146" s="4" t="s">
        <v>150</v>
      </c>
      <c r="E146" s="24" t="s">
        <v>42</v>
      </c>
      <c r="F146" s="12" t="s">
        <v>298</v>
      </c>
      <c r="G146" s="4" t="s">
        <v>1787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1092</v>
      </c>
      <c r="Z146" s="3">
        <v>1449</v>
      </c>
      <c r="AA146" s="3">
        <v>330</v>
      </c>
      <c r="AB146" s="3">
        <v>258</v>
      </c>
      <c r="AC146" s="3">
        <v>21</v>
      </c>
      <c r="AD146" s="3">
        <v>0</v>
      </c>
      <c r="AE146" s="3">
        <v>450</v>
      </c>
      <c r="AF146" s="3">
        <v>186</v>
      </c>
      <c r="AG146" s="3">
        <v>0</v>
      </c>
      <c r="AH146" s="3">
        <v>24</v>
      </c>
      <c r="AI146" s="3">
        <v>300</v>
      </c>
      <c r="AJ146" s="3">
        <v>198</v>
      </c>
      <c r="AK146" s="3">
        <v>108</v>
      </c>
      <c r="AL146" s="3">
        <v>162</v>
      </c>
      <c r="AM146" s="3">
        <v>156</v>
      </c>
      <c r="AN146" s="3">
        <v>96</v>
      </c>
      <c r="AO146" s="3">
        <v>108</v>
      </c>
      <c r="AP146" s="3">
        <v>156</v>
      </c>
      <c r="AQ146" s="3">
        <v>120</v>
      </c>
      <c r="AR146" s="3">
        <v>72</v>
      </c>
      <c r="AS146" s="3">
        <v>120</v>
      </c>
      <c r="AT146" s="3">
        <v>66</v>
      </c>
      <c r="AU146" s="3">
        <v>102</v>
      </c>
      <c r="AV146" s="3">
        <v>60</v>
      </c>
      <c r="AW146" s="3">
        <v>66</v>
      </c>
    </row>
    <row r="147" spans="1:49">
      <c r="A147" s="4" t="s">
        <v>40</v>
      </c>
      <c r="B147" s="4" t="str">
        <f t="shared" si="2"/>
        <v>Hair Care</v>
      </c>
      <c r="C147" s="4" t="s">
        <v>1786</v>
      </c>
      <c r="D147" s="4" t="s">
        <v>150</v>
      </c>
      <c r="E147" s="24" t="s">
        <v>42</v>
      </c>
      <c r="F147" s="12" t="s">
        <v>299</v>
      </c>
      <c r="G147" s="4" t="s">
        <v>1787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12</v>
      </c>
      <c r="N147" s="3">
        <v>588</v>
      </c>
      <c r="O147" s="3">
        <v>372</v>
      </c>
      <c r="P147" s="3">
        <v>0</v>
      </c>
      <c r="Q147" s="3">
        <v>24</v>
      </c>
      <c r="R147" s="3">
        <v>24</v>
      </c>
      <c r="S147" s="3">
        <v>24</v>
      </c>
      <c r="T147" s="3">
        <v>24</v>
      </c>
      <c r="U147" s="3">
        <v>60</v>
      </c>
      <c r="V147" s="3">
        <v>12</v>
      </c>
      <c r="W147" s="3">
        <v>0</v>
      </c>
      <c r="X147" s="3">
        <v>36</v>
      </c>
      <c r="Y147" s="3">
        <v>12</v>
      </c>
      <c r="Z147" s="3">
        <v>24</v>
      </c>
      <c r="AA147" s="3">
        <v>0</v>
      </c>
      <c r="AB147" s="3">
        <v>0</v>
      </c>
      <c r="AC147" s="3">
        <v>0</v>
      </c>
      <c r="AD147" s="3">
        <v>48</v>
      </c>
      <c r="AE147" s="3">
        <v>0</v>
      </c>
      <c r="AF147" s="3">
        <v>12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</row>
    <row r="148" spans="1:49">
      <c r="A148" s="4" t="s">
        <v>40</v>
      </c>
      <c r="B148" s="4" t="str">
        <f t="shared" si="2"/>
        <v>Hair Care</v>
      </c>
      <c r="C148" s="4" t="s">
        <v>1786</v>
      </c>
      <c r="D148" s="4" t="s">
        <v>150</v>
      </c>
      <c r="E148" s="24" t="s">
        <v>42</v>
      </c>
      <c r="F148" s="12" t="s">
        <v>300</v>
      </c>
      <c r="G148" s="4" t="s">
        <v>1787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12</v>
      </c>
      <c r="N148" s="3">
        <v>504</v>
      </c>
      <c r="O148" s="3">
        <v>384</v>
      </c>
      <c r="P148" s="3">
        <v>0</v>
      </c>
      <c r="Q148" s="3">
        <v>24</v>
      </c>
      <c r="R148" s="3">
        <v>24</v>
      </c>
      <c r="S148" s="3">
        <v>60</v>
      </c>
      <c r="T148" s="3">
        <v>48</v>
      </c>
      <c r="U148" s="3">
        <v>24</v>
      </c>
      <c r="V148" s="3">
        <v>24</v>
      </c>
      <c r="W148" s="3">
        <v>12</v>
      </c>
      <c r="X148" s="3">
        <v>84</v>
      </c>
      <c r="Y148" s="3">
        <v>12</v>
      </c>
      <c r="Z148" s="3">
        <v>0</v>
      </c>
      <c r="AA148" s="3">
        <v>12</v>
      </c>
      <c r="AB148" s="3">
        <v>12</v>
      </c>
      <c r="AC148" s="3">
        <v>36</v>
      </c>
      <c r="AD148" s="3">
        <v>36</v>
      </c>
      <c r="AE148" s="3">
        <v>12</v>
      </c>
      <c r="AF148" s="3">
        <v>12</v>
      </c>
      <c r="AG148" s="3">
        <v>12</v>
      </c>
      <c r="AH148" s="3">
        <v>12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</row>
    <row r="149" spans="1:49">
      <c r="A149" s="4" t="s">
        <v>40</v>
      </c>
      <c r="B149" s="4" t="str">
        <f t="shared" si="2"/>
        <v>Hair Care</v>
      </c>
      <c r="C149" s="4" t="s">
        <v>1786</v>
      </c>
      <c r="D149" s="4" t="s">
        <v>150</v>
      </c>
      <c r="E149" s="24" t="s">
        <v>42</v>
      </c>
      <c r="F149" s="12" t="s">
        <v>301</v>
      </c>
      <c r="G149" s="4" t="s">
        <v>1787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12</v>
      </c>
      <c r="N149" s="3">
        <v>516</v>
      </c>
      <c r="O149" s="3">
        <v>384</v>
      </c>
      <c r="P149" s="3">
        <v>0</v>
      </c>
      <c r="Q149" s="3">
        <v>24</v>
      </c>
      <c r="R149" s="3">
        <v>24</v>
      </c>
      <c r="S149" s="3">
        <v>60</v>
      </c>
      <c r="T149" s="3">
        <v>24</v>
      </c>
      <c r="U149" s="3">
        <v>12</v>
      </c>
      <c r="V149" s="3">
        <v>36</v>
      </c>
      <c r="W149" s="3">
        <v>12</v>
      </c>
      <c r="X149" s="3">
        <v>36</v>
      </c>
      <c r="Y149" s="3">
        <v>0</v>
      </c>
      <c r="Z149" s="3">
        <v>24</v>
      </c>
      <c r="AA149" s="3">
        <v>36</v>
      </c>
      <c r="AB149" s="3">
        <v>12</v>
      </c>
      <c r="AC149" s="3">
        <v>0</v>
      </c>
      <c r="AD149" s="3">
        <v>12</v>
      </c>
      <c r="AE149" s="3">
        <v>12</v>
      </c>
      <c r="AF149" s="3">
        <v>24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</row>
    <row r="150" spans="1:49">
      <c r="A150" s="4" t="s">
        <v>40</v>
      </c>
      <c r="B150" s="4" t="str">
        <f t="shared" si="2"/>
        <v>Hair Care</v>
      </c>
      <c r="C150" s="4" t="s">
        <v>1786</v>
      </c>
      <c r="D150" s="4" t="s">
        <v>150</v>
      </c>
      <c r="E150" s="24" t="s">
        <v>42</v>
      </c>
      <c r="F150" s="12" t="s">
        <v>302</v>
      </c>
      <c r="G150" s="4" t="s">
        <v>1787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12</v>
      </c>
      <c r="N150" s="3">
        <v>576</v>
      </c>
      <c r="O150" s="3">
        <v>372</v>
      </c>
      <c r="P150" s="3">
        <v>12</v>
      </c>
      <c r="Q150" s="3">
        <v>0</v>
      </c>
      <c r="R150" s="3">
        <v>24</v>
      </c>
      <c r="S150" s="3">
        <v>48</v>
      </c>
      <c r="T150" s="3">
        <v>12</v>
      </c>
      <c r="U150" s="3">
        <v>36</v>
      </c>
      <c r="V150" s="3">
        <v>0</v>
      </c>
      <c r="W150" s="3">
        <v>24</v>
      </c>
      <c r="X150" s="3">
        <v>0</v>
      </c>
      <c r="Y150" s="3">
        <v>12</v>
      </c>
      <c r="Z150" s="3">
        <v>0</v>
      </c>
      <c r="AA150" s="3">
        <v>24</v>
      </c>
      <c r="AB150" s="3">
        <v>24</v>
      </c>
      <c r="AC150" s="3">
        <v>0</v>
      </c>
      <c r="AD150" s="3">
        <v>72</v>
      </c>
      <c r="AE150" s="3">
        <v>24</v>
      </c>
      <c r="AF150" s="3">
        <v>0</v>
      </c>
      <c r="AG150" s="3">
        <v>12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</row>
    <row r="151" spans="1:49">
      <c r="A151" s="4" t="s">
        <v>40</v>
      </c>
      <c r="B151" s="4" t="str">
        <f t="shared" si="2"/>
        <v>Hair Care</v>
      </c>
      <c r="C151" s="4" t="s">
        <v>1786</v>
      </c>
      <c r="D151" s="4" t="s">
        <v>150</v>
      </c>
      <c r="E151" s="24" t="s">
        <v>42</v>
      </c>
      <c r="F151" s="12" t="s">
        <v>303</v>
      </c>
      <c r="G151" s="4" t="s">
        <v>1787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912</v>
      </c>
      <c r="V151" s="3">
        <v>480</v>
      </c>
      <c r="W151" s="3">
        <v>48</v>
      </c>
      <c r="X151" s="3">
        <v>24</v>
      </c>
      <c r="Y151" s="3">
        <v>36</v>
      </c>
      <c r="Z151" s="3">
        <v>48</v>
      </c>
      <c r="AA151" s="3">
        <v>60</v>
      </c>
      <c r="AB151" s="3">
        <v>132</v>
      </c>
      <c r="AC151" s="3">
        <v>36</v>
      </c>
      <c r="AD151" s="3">
        <v>72</v>
      </c>
      <c r="AE151" s="3">
        <v>132</v>
      </c>
      <c r="AF151" s="3">
        <v>216</v>
      </c>
      <c r="AG151" s="3">
        <v>132</v>
      </c>
      <c r="AH151" s="3">
        <v>264</v>
      </c>
      <c r="AI151" s="3">
        <v>540</v>
      </c>
      <c r="AJ151" s="3">
        <v>144</v>
      </c>
      <c r="AK151" s="3">
        <v>108</v>
      </c>
      <c r="AL151" s="3">
        <v>132</v>
      </c>
      <c r="AM151" s="3">
        <v>36</v>
      </c>
      <c r="AN151" s="3">
        <v>108</v>
      </c>
      <c r="AO151" s="3">
        <v>84</v>
      </c>
      <c r="AP151" s="3">
        <v>120</v>
      </c>
      <c r="AQ151" s="3">
        <v>84</v>
      </c>
      <c r="AR151" s="3">
        <v>192</v>
      </c>
      <c r="AS151" s="3">
        <v>168</v>
      </c>
      <c r="AT151" s="3">
        <v>156</v>
      </c>
      <c r="AU151" s="3">
        <v>96</v>
      </c>
      <c r="AV151" s="3">
        <v>0</v>
      </c>
      <c r="AW151" s="3">
        <v>192</v>
      </c>
    </row>
    <row r="152" spans="1:49">
      <c r="A152" s="4" t="s">
        <v>40</v>
      </c>
      <c r="B152" s="4" t="str">
        <f t="shared" si="2"/>
        <v>Hair Care</v>
      </c>
      <c r="C152" s="4" t="s">
        <v>1786</v>
      </c>
      <c r="D152" s="4" t="s">
        <v>150</v>
      </c>
      <c r="E152" s="24" t="s">
        <v>42</v>
      </c>
      <c r="F152" s="12" t="s">
        <v>304</v>
      </c>
      <c r="G152" s="4" t="s">
        <v>1787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900</v>
      </c>
      <c r="V152" s="3">
        <v>468</v>
      </c>
      <c r="W152" s="3">
        <v>24</v>
      </c>
      <c r="X152" s="3">
        <v>24</v>
      </c>
      <c r="Y152" s="3">
        <v>48</v>
      </c>
      <c r="Z152" s="3">
        <v>0</v>
      </c>
      <c r="AA152" s="3">
        <v>72</v>
      </c>
      <c r="AB152" s="3">
        <v>48</v>
      </c>
      <c r="AC152" s="3">
        <v>36</v>
      </c>
      <c r="AD152" s="3">
        <v>168</v>
      </c>
      <c r="AE152" s="3">
        <v>36</v>
      </c>
      <c r="AF152" s="3">
        <v>72</v>
      </c>
      <c r="AG152" s="3">
        <v>204</v>
      </c>
      <c r="AH152" s="3">
        <v>672</v>
      </c>
      <c r="AI152" s="3">
        <v>108</v>
      </c>
      <c r="AJ152" s="3">
        <v>156</v>
      </c>
      <c r="AK152" s="3">
        <v>108</v>
      </c>
      <c r="AL152" s="3">
        <v>96</v>
      </c>
      <c r="AM152" s="3">
        <v>60</v>
      </c>
      <c r="AN152" s="3">
        <v>84</v>
      </c>
      <c r="AO152" s="3">
        <v>144</v>
      </c>
      <c r="AP152" s="3">
        <v>108</v>
      </c>
      <c r="AQ152" s="3">
        <v>84</v>
      </c>
      <c r="AR152" s="3">
        <v>120</v>
      </c>
      <c r="AS152" s="3">
        <v>120</v>
      </c>
      <c r="AT152" s="3">
        <v>144</v>
      </c>
      <c r="AU152" s="3">
        <v>36</v>
      </c>
      <c r="AV152" s="3">
        <v>0</v>
      </c>
      <c r="AW152" s="3">
        <v>0</v>
      </c>
    </row>
    <row r="153" spans="1:49">
      <c r="A153" s="4" t="s">
        <v>40</v>
      </c>
      <c r="B153" s="4" t="str">
        <f t="shared" si="2"/>
        <v>Hair Care</v>
      </c>
      <c r="C153" s="4" t="s">
        <v>1786</v>
      </c>
      <c r="D153" s="4" t="s">
        <v>150</v>
      </c>
      <c r="E153" s="24" t="s">
        <v>42</v>
      </c>
      <c r="F153" s="12" t="s">
        <v>305</v>
      </c>
      <c r="G153" s="4" t="s">
        <v>1787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240</v>
      </c>
      <c r="V153" s="3">
        <v>414</v>
      </c>
      <c r="W153" s="3">
        <v>156</v>
      </c>
      <c r="X153" s="3">
        <v>120</v>
      </c>
      <c r="Y153" s="3">
        <v>84</v>
      </c>
      <c r="Z153" s="3">
        <v>156</v>
      </c>
      <c r="AA153" s="3">
        <v>60</v>
      </c>
      <c r="AB153" s="3">
        <v>48</v>
      </c>
      <c r="AC153" s="3">
        <v>24</v>
      </c>
      <c r="AD153" s="3">
        <v>36</v>
      </c>
      <c r="AE153" s="3">
        <v>0</v>
      </c>
      <c r="AF153" s="3">
        <v>24</v>
      </c>
      <c r="AG153" s="3">
        <v>84</v>
      </c>
      <c r="AH153" s="3">
        <v>12</v>
      </c>
      <c r="AI153" s="3">
        <v>12</v>
      </c>
      <c r="AJ153" s="3">
        <v>48</v>
      </c>
      <c r="AK153" s="3">
        <v>0</v>
      </c>
      <c r="AL153" s="3">
        <v>12</v>
      </c>
      <c r="AM153" s="3">
        <v>60</v>
      </c>
      <c r="AN153" s="3">
        <v>60</v>
      </c>
      <c r="AO153" s="3">
        <v>60</v>
      </c>
      <c r="AP153" s="3">
        <v>48</v>
      </c>
      <c r="AQ153" s="3">
        <v>96</v>
      </c>
      <c r="AR153" s="3">
        <v>120</v>
      </c>
      <c r="AS153" s="3">
        <v>0</v>
      </c>
      <c r="AT153" s="3">
        <v>0</v>
      </c>
      <c r="AU153" s="3">
        <v>0</v>
      </c>
      <c r="AV153" s="3">
        <v>0</v>
      </c>
      <c r="AW153" s="3">
        <v>144</v>
      </c>
    </row>
    <row r="154" spans="1:49">
      <c r="A154" s="4" t="s">
        <v>40</v>
      </c>
      <c r="B154" s="4" t="str">
        <f t="shared" si="2"/>
        <v>Hair Care</v>
      </c>
      <c r="C154" s="4" t="s">
        <v>1786</v>
      </c>
      <c r="D154" s="4" t="s">
        <v>150</v>
      </c>
      <c r="E154" s="24" t="s">
        <v>42</v>
      </c>
      <c r="F154" s="12" t="s">
        <v>306</v>
      </c>
      <c r="G154" s="4" t="s">
        <v>1787</v>
      </c>
      <c r="H154" s="3">
        <v>0</v>
      </c>
      <c r="I154" s="3">
        <v>0</v>
      </c>
      <c r="J154" s="3">
        <v>0</v>
      </c>
      <c r="K154" s="3">
        <v>0</v>
      </c>
      <c r="L154" s="3">
        <v>897</v>
      </c>
      <c r="M154" s="3">
        <v>519</v>
      </c>
      <c r="N154" s="3">
        <v>84</v>
      </c>
      <c r="O154" s="3">
        <v>45</v>
      </c>
      <c r="P154" s="3">
        <v>75</v>
      </c>
      <c r="Q154" s="3">
        <v>105</v>
      </c>
      <c r="R154" s="3">
        <v>39</v>
      </c>
      <c r="S154" s="3">
        <v>39</v>
      </c>
      <c r="T154" s="3">
        <v>129</v>
      </c>
      <c r="U154" s="3">
        <v>120</v>
      </c>
      <c r="V154" s="3">
        <v>18</v>
      </c>
      <c r="W154" s="3">
        <v>75</v>
      </c>
      <c r="X154" s="3">
        <v>231</v>
      </c>
      <c r="Y154" s="3">
        <v>33</v>
      </c>
      <c r="Z154" s="3">
        <v>63</v>
      </c>
      <c r="AA154" s="3">
        <v>141</v>
      </c>
      <c r="AB154" s="3">
        <v>102</v>
      </c>
      <c r="AC154" s="3">
        <v>15</v>
      </c>
      <c r="AD154" s="3">
        <v>84</v>
      </c>
      <c r="AE154" s="3">
        <v>69</v>
      </c>
      <c r="AF154" s="3">
        <v>84</v>
      </c>
      <c r="AG154" s="3">
        <v>105</v>
      </c>
      <c r="AH154" s="3">
        <v>75</v>
      </c>
      <c r="AI154" s="3">
        <v>111</v>
      </c>
      <c r="AJ154" s="3">
        <v>81</v>
      </c>
      <c r="AK154" s="3">
        <v>60</v>
      </c>
      <c r="AL154" s="3">
        <v>78</v>
      </c>
      <c r="AM154" s="3">
        <v>39</v>
      </c>
      <c r="AN154" s="3">
        <v>21</v>
      </c>
      <c r="AO154" s="3">
        <v>39</v>
      </c>
      <c r="AP154" s="3">
        <v>69</v>
      </c>
      <c r="AQ154" s="3">
        <v>57</v>
      </c>
      <c r="AR154" s="3">
        <v>60</v>
      </c>
      <c r="AS154" s="3">
        <v>45</v>
      </c>
      <c r="AT154" s="3">
        <v>33</v>
      </c>
      <c r="AU154" s="3">
        <v>39</v>
      </c>
      <c r="AV154" s="3">
        <v>147</v>
      </c>
      <c r="AW154" s="3">
        <v>39</v>
      </c>
    </row>
    <row r="155" spans="1:49">
      <c r="A155" s="4" t="s">
        <v>40</v>
      </c>
      <c r="B155" s="4" t="str">
        <f t="shared" si="2"/>
        <v>Hair Care</v>
      </c>
      <c r="C155" s="4" t="s">
        <v>1786</v>
      </c>
      <c r="D155" s="4" t="s">
        <v>150</v>
      </c>
      <c r="E155" s="24" t="s">
        <v>42</v>
      </c>
      <c r="F155" s="12" t="s">
        <v>307</v>
      </c>
      <c r="G155" s="4" t="s">
        <v>1787</v>
      </c>
      <c r="H155" s="3">
        <v>0</v>
      </c>
      <c r="I155" s="3">
        <v>0</v>
      </c>
      <c r="J155" s="3">
        <v>0</v>
      </c>
      <c r="K155" s="3">
        <v>0</v>
      </c>
      <c r="L155" s="3">
        <v>624</v>
      </c>
      <c r="M155" s="3">
        <v>870</v>
      </c>
      <c r="N155" s="3">
        <v>78</v>
      </c>
      <c r="O155" s="3">
        <v>18</v>
      </c>
      <c r="P155" s="3">
        <v>84</v>
      </c>
      <c r="Q155" s="3">
        <v>48</v>
      </c>
      <c r="R155" s="3">
        <v>54</v>
      </c>
      <c r="S155" s="3">
        <v>132</v>
      </c>
      <c r="T155" s="3">
        <v>156</v>
      </c>
      <c r="U155" s="3">
        <v>78</v>
      </c>
      <c r="V155" s="3">
        <v>54</v>
      </c>
      <c r="W155" s="3">
        <v>174</v>
      </c>
      <c r="X155" s="3">
        <v>120</v>
      </c>
      <c r="Y155" s="3">
        <v>42</v>
      </c>
      <c r="Z155" s="3">
        <v>72</v>
      </c>
      <c r="AA155" s="3">
        <v>42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</row>
    <row r="156" spans="1:49">
      <c r="A156" s="4" t="s">
        <v>40</v>
      </c>
      <c r="B156" s="4" t="str">
        <f t="shared" si="2"/>
        <v>Hair Care</v>
      </c>
      <c r="C156" s="4" t="s">
        <v>1786</v>
      </c>
      <c r="D156" s="4" t="s">
        <v>150</v>
      </c>
      <c r="E156" s="24" t="s">
        <v>42</v>
      </c>
      <c r="F156" s="12" t="s">
        <v>308</v>
      </c>
      <c r="G156" s="4" t="s">
        <v>1787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492</v>
      </c>
      <c r="V156" s="3">
        <v>372</v>
      </c>
      <c r="W156" s="3">
        <v>108</v>
      </c>
      <c r="X156" s="3">
        <v>348</v>
      </c>
      <c r="Y156" s="3">
        <v>120</v>
      </c>
      <c r="Z156" s="3">
        <v>114</v>
      </c>
      <c r="AA156" s="3">
        <v>60</v>
      </c>
      <c r="AB156" s="3">
        <v>114</v>
      </c>
      <c r="AC156" s="3">
        <v>48</v>
      </c>
      <c r="AD156" s="3">
        <v>156</v>
      </c>
      <c r="AE156" s="3">
        <v>114</v>
      </c>
      <c r="AF156" s="3">
        <v>192</v>
      </c>
      <c r="AG156" s="3">
        <v>132</v>
      </c>
      <c r="AH156" s="3">
        <v>138</v>
      </c>
      <c r="AI156" s="3">
        <v>150</v>
      </c>
      <c r="AJ156" s="3">
        <v>150</v>
      </c>
      <c r="AK156" s="3">
        <v>126</v>
      </c>
      <c r="AL156" s="3">
        <v>66</v>
      </c>
      <c r="AM156" s="3">
        <v>0</v>
      </c>
      <c r="AN156" s="3">
        <v>120</v>
      </c>
      <c r="AO156" s="3">
        <v>66</v>
      </c>
      <c r="AP156" s="3">
        <v>24</v>
      </c>
      <c r="AQ156" s="3">
        <v>216</v>
      </c>
      <c r="AR156" s="3">
        <v>222</v>
      </c>
      <c r="AS156" s="3">
        <v>126</v>
      </c>
      <c r="AT156" s="3">
        <v>108</v>
      </c>
      <c r="AU156" s="3">
        <v>228</v>
      </c>
      <c r="AV156" s="3">
        <v>78</v>
      </c>
      <c r="AW156" s="3">
        <v>180</v>
      </c>
    </row>
    <row r="157" spans="1:49">
      <c r="A157" s="4" t="s">
        <v>40</v>
      </c>
      <c r="B157" s="4" t="str">
        <f t="shared" si="2"/>
        <v>Hair Care</v>
      </c>
      <c r="C157" s="4" t="s">
        <v>1786</v>
      </c>
      <c r="D157" s="4" t="s">
        <v>150</v>
      </c>
      <c r="E157" s="24" t="s">
        <v>42</v>
      </c>
      <c r="F157" s="12" t="s">
        <v>309</v>
      </c>
      <c r="G157" s="4" t="s">
        <v>1787</v>
      </c>
      <c r="H157" s="3">
        <v>0</v>
      </c>
      <c r="I157" s="3">
        <v>0</v>
      </c>
      <c r="J157" s="3">
        <v>0</v>
      </c>
      <c r="K157" s="3">
        <v>0</v>
      </c>
      <c r="L157" s="3">
        <v>1500</v>
      </c>
      <c r="M157" s="3">
        <v>2604</v>
      </c>
      <c r="N157" s="3">
        <v>324</v>
      </c>
      <c r="O157" s="3">
        <v>132</v>
      </c>
      <c r="P157" s="3">
        <v>84</v>
      </c>
      <c r="Q157" s="3">
        <v>168</v>
      </c>
      <c r="R157" s="3">
        <v>144</v>
      </c>
      <c r="S157" s="3">
        <v>300</v>
      </c>
      <c r="T157" s="3">
        <v>240</v>
      </c>
      <c r="U157" s="3">
        <v>876</v>
      </c>
      <c r="V157" s="3">
        <v>156</v>
      </c>
      <c r="W157" s="3">
        <v>132</v>
      </c>
      <c r="X157" s="3">
        <v>180</v>
      </c>
      <c r="Y157" s="3">
        <v>60</v>
      </c>
      <c r="Z157" s="3">
        <v>144</v>
      </c>
      <c r="AA157" s="3">
        <v>216</v>
      </c>
      <c r="AB157" s="3">
        <v>504</v>
      </c>
      <c r="AC157" s="3">
        <v>120</v>
      </c>
      <c r="AD157" s="3">
        <v>192</v>
      </c>
      <c r="AE157" s="3">
        <v>192</v>
      </c>
      <c r="AF157" s="3">
        <v>252</v>
      </c>
      <c r="AG157" s="3">
        <v>168</v>
      </c>
      <c r="AH157" s="3">
        <v>276</v>
      </c>
      <c r="AI157" s="3">
        <v>240</v>
      </c>
      <c r="AJ157" s="3">
        <v>204</v>
      </c>
      <c r="AK157" s="3">
        <v>252</v>
      </c>
      <c r="AL157" s="3">
        <v>228</v>
      </c>
      <c r="AM157" s="3">
        <v>180</v>
      </c>
      <c r="AN157" s="3">
        <v>120</v>
      </c>
      <c r="AO157" s="3">
        <v>708</v>
      </c>
      <c r="AP157" s="3">
        <v>204</v>
      </c>
      <c r="AQ157" s="3">
        <v>84</v>
      </c>
      <c r="AR157" s="3">
        <v>480</v>
      </c>
      <c r="AS157" s="3">
        <v>252</v>
      </c>
      <c r="AT157" s="3">
        <v>288</v>
      </c>
      <c r="AU157" s="3">
        <v>132</v>
      </c>
      <c r="AV157" s="3">
        <v>0</v>
      </c>
      <c r="AW157" s="3">
        <v>276</v>
      </c>
    </row>
    <row r="158" spans="1:49">
      <c r="A158" s="4" t="s">
        <v>40</v>
      </c>
      <c r="B158" s="4" t="str">
        <f t="shared" si="2"/>
        <v>Hair Care</v>
      </c>
      <c r="C158" s="4" t="s">
        <v>1786</v>
      </c>
      <c r="D158" s="4" t="s">
        <v>150</v>
      </c>
      <c r="E158" s="24" t="s">
        <v>42</v>
      </c>
      <c r="F158" s="12" t="s">
        <v>310</v>
      </c>
      <c r="G158" s="4" t="s">
        <v>1787</v>
      </c>
      <c r="H158" s="3">
        <v>852</v>
      </c>
      <c r="I158" s="3">
        <v>588</v>
      </c>
      <c r="J158" s="3">
        <v>372</v>
      </c>
      <c r="K158" s="3">
        <v>540</v>
      </c>
      <c r="L158" s="3">
        <v>348</v>
      </c>
      <c r="M158" s="3">
        <v>744</v>
      </c>
      <c r="N158" s="3">
        <v>780</v>
      </c>
      <c r="O158" s="3">
        <v>240</v>
      </c>
      <c r="P158" s="3">
        <v>468</v>
      </c>
      <c r="Q158" s="3">
        <v>552</v>
      </c>
      <c r="R158" s="3">
        <v>384</v>
      </c>
      <c r="S158" s="3">
        <v>960</v>
      </c>
      <c r="T158" s="3">
        <v>1224</v>
      </c>
      <c r="U158" s="3">
        <v>852</v>
      </c>
      <c r="V158" s="3">
        <v>564</v>
      </c>
      <c r="W158" s="3">
        <v>252</v>
      </c>
      <c r="X158" s="3">
        <v>660</v>
      </c>
      <c r="Y158" s="3">
        <v>720</v>
      </c>
      <c r="Z158" s="3">
        <v>648</v>
      </c>
      <c r="AA158" s="3">
        <v>852</v>
      </c>
      <c r="AB158" s="3">
        <v>1152</v>
      </c>
      <c r="AC158" s="3">
        <v>264</v>
      </c>
      <c r="AD158" s="3">
        <v>108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</row>
    <row r="159" spans="1:49">
      <c r="A159" s="4" t="s">
        <v>40</v>
      </c>
      <c r="B159" s="4" t="str">
        <f t="shared" si="2"/>
        <v>Hair Care</v>
      </c>
      <c r="C159" s="4" t="s">
        <v>1786</v>
      </c>
      <c r="D159" s="4" t="s">
        <v>150</v>
      </c>
      <c r="E159" s="24" t="s">
        <v>42</v>
      </c>
      <c r="F159" s="12" t="s">
        <v>311</v>
      </c>
      <c r="G159" s="4" t="s">
        <v>1787</v>
      </c>
      <c r="H159" s="3">
        <v>2298</v>
      </c>
      <c r="I159" s="3">
        <v>2388</v>
      </c>
      <c r="J159" s="3">
        <v>1080</v>
      </c>
      <c r="K159" s="3">
        <v>2778</v>
      </c>
      <c r="L159" s="3">
        <v>2934</v>
      </c>
      <c r="M159" s="3">
        <v>2922</v>
      </c>
      <c r="N159" s="3">
        <v>1176</v>
      </c>
      <c r="O159" s="3">
        <v>1524</v>
      </c>
      <c r="P159" s="3">
        <v>2448</v>
      </c>
      <c r="Q159" s="3">
        <v>2196</v>
      </c>
      <c r="R159" s="3">
        <v>1530</v>
      </c>
      <c r="S159" s="3">
        <v>1692</v>
      </c>
      <c r="T159" s="3">
        <v>3828</v>
      </c>
      <c r="U159" s="3">
        <v>1998</v>
      </c>
      <c r="V159" s="3">
        <v>714</v>
      </c>
      <c r="W159" s="3">
        <v>1218</v>
      </c>
      <c r="X159" s="3">
        <v>1494</v>
      </c>
      <c r="Y159" s="3">
        <v>1488</v>
      </c>
      <c r="Z159" s="3">
        <v>3768</v>
      </c>
      <c r="AA159" s="3">
        <v>1404</v>
      </c>
      <c r="AB159" s="3">
        <v>2028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</row>
    <row r="160" spans="1:49">
      <c r="A160" s="4" t="s">
        <v>40</v>
      </c>
      <c r="B160" s="4" t="str">
        <f t="shared" si="2"/>
        <v>Hair Care</v>
      </c>
      <c r="C160" s="4" t="s">
        <v>1786</v>
      </c>
      <c r="D160" s="4" t="s">
        <v>150</v>
      </c>
      <c r="E160" s="24" t="s">
        <v>42</v>
      </c>
      <c r="F160" s="12" t="s">
        <v>312</v>
      </c>
      <c r="G160" s="4" t="s">
        <v>1787</v>
      </c>
      <c r="H160" s="3">
        <v>792</v>
      </c>
      <c r="I160" s="3">
        <v>624</v>
      </c>
      <c r="J160" s="3">
        <v>720</v>
      </c>
      <c r="K160" s="3">
        <v>744</v>
      </c>
      <c r="L160" s="3">
        <v>600</v>
      </c>
      <c r="M160" s="3">
        <v>684</v>
      </c>
      <c r="N160" s="3">
        <v>420</v>
      </c>
      <c r="O160" s="3">
        <v>360</v>
      </c>
      <c r="P160" s="3">
        <v>840</v>
      </c>
      <c r="Q160" s="3">
        <v>516</v>
      </c>
      <c r="R160" s="3">
        <v>636</v>
      </c>
      <c r="S160" s="3">
        <v>1056</v>
      </c>
      <c r="T160" s="3">
        <v>1188</v>
      </c>
      <c r="U160" s="3">
        <v>1032</v>
      </c>
      <c r="V160" s="3">
        <v>456</v>
      </c>
      <c r="W160" s="3">
        <v>432</v>
      </c>
      <c r="X160" s="3">
        <v>600</v>
      </c>
      <c r="Y160" s="3">
        <v>564</v>
      </c>
      <c r="Z160" s="3">
        <v>780</v>
      </c>
      <c r="AA160" s="3">
        <v>1068</v>
      </c>
      <c r="AB160" s="3">
        <v>480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</row>
    <row r="161" spans="1:49">
      <c r="A161" s="4" t="s">
        <v>40</v>
      </c>
      <c r="B161" s="4" t="str">
        <f t="shared" si="2"/>
        <v>Hair Care</v>
      </c>
      <c r="C161" s="4" t="s">
        <v>1786</v>
      </c>
      <c r="D161" s="4" t="s">
        <v>150</v>
      </c>
      <c r="E161" s="24" t="s">
        <v>42</v>
      </c>
      <c r="F161" s="12" t="s">
        <v>313</v>
      </c>
      <c r="G161" s="4" t="s">
        <v>1787</v>
      </c>
      <c r="H161" s="3">
        <v>2910</v>
      </c>
      <c r="I161" s="3">
        <v>2628</v>
      </c>
      <c r="J161" s="3">
        <v>708</v>
      </c>
      <c r="K161" s="3">
        <v>1110</v>
      </c>
      <c r="L161" s="3">
        <v>1314</v>
      </c>
      <c r="M161" s="3">
        <v>3426</v>
      </c>
      <c r="N161" s="3">
        <v>348</v>
      </c>
      <c r="O161" s="3">
        <v>1326</v>
      </c>
      <c r="P161" s="3">
        <v>2466</v>
      </c>
      <c r="Q161" s="3">
        <v>1410</v>
      </c>
      <c r="R161" s="3">
        <v>1818</v>
      </c>
      <c r="S161" s="3">
        <v>2154</v>
      </c>
      <c r="T161" s="3">
        <v>2664</v>
      </c>
      <c r="U161" s="3">
        <v>1680</v>
      </c>
      <c r="V161" s="3">
        <v>1890</v>
      </c>
      <c r="W161" s="3">
        <v>1464</v>
      </c>
      <c r="X161" s="3">
        <v>1590</v>
      </c>
      <c r="Y161" s="3">
        <v>1452</v>
      </c>
      <c r="Z161" s="3">
        <v>2418</v>
      </c>
      <c r="AA161" s="3">
        <v>24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</row>
    <row r="162" spans="1:49">
      <c r="A162" s="4" t="s">
        <v>40</v>
      </c>
      <c r="B162" s="4" t="str">
        <f t="shared" si="2"/>
        <v>Hair Care</v>
      </c>
      <c r="C162" s="4" t="s">
        <v>1786</v>
      </c>
      <c r="D162" s="4" t="s">
        <v>150</v>
      </c>
      <c r="E162" s="24" t="s">
        <v>42</v>
      </c>
      <c r="F162" s="12" t="s">
        <v>314</v>
      </c>
      <c r="G162" s="4" t="s">
        <v>1787</v>
      </c>
      <c r="H162" s="3">
        <v>2748</v>
      </c>
      <c r="I162" s="3">
        <v>2796</v>
      </c>
      <c r="J162" s="3">
        <v>972</v>
      </c>
      <c r="K162" s="3">
        <v>1542</v>
      </c>
      <c r="L162" s="3">
        <v>2496</v>
      </c>
      <c r="M162" s="3">
        <v>2790</v>
      </c>
      <c r="N162" s="3">
        <v>972</v>
      </c>
      <c r="O162" s="3">
        <v>1116</v>
      </c>
      <c r="P162" s="3">
        <v>1776</v>
      </c>
      <c r="Q162" s="3">
        <v>2238</v>
      </c>
      <c r="R162" s="3">
        <v>852</v>
      </c>
      <c r="S162" s="3">
        <v>1458</v>
      </c>
      <c r="T162" s="3">
        <v>2526</v>
      </c>
      <c r="U162" s="3">
        <v>252</v>
      </c>
      <c r="V162" s="3">
        <v>1200</v>
      </c>
      <c r="W162" s="3">
        <v>1278</v>
      </c>
      <c r="X162" s="3">
        <v>216</v>
      </c>
      <c r="Y162" s="3">
        <v>1050</v>
      </c>
      <c r="Z162" s="3">
        <v>144</v>
      </c>
      <c r="AA162" s="3">
        <v>144</v>
      </c>
      <c r="AB162" s="3">
        <v>192</v>
      </c>
      <c r="AC162" s="3">
        <v>132</v>
      </c>
      <c r="AD162" s="3">
        <v>396</v>
      </c>
      <c r="AE162" s="3">
        <v>156</v>
      </c>
      <c r="AF162" s="3">
        <v>180</v>
      </c>
      <c r="AG162" s="3">
        <v>204</v>
      </c>
      <c r="AH162" s="3">
        <v>180</v>
      </c>
      <c r="AI162" s="3">
        <v>204</v>
      </c>
      <c r="AJ162" s="3">
        <v>204</v>
      </c>
      <c r="AK162" s="3">
        <v>516</v>
      </c>
      <c r="AL162" s="3">
        <v>264</v>
      </c>
      <c r="AM162" s="3">
        <v>1488</v>
      </c>
      <c r="AN162" s="3">
        <v>2172</v>
      </c>
      <c r="AO162" s="3">
        <v>1584</v>
      </c>
      <c r="AP162" s="3">
        <v>1416</v>
      </c>
      <c r="AQ162" s="3">
        <v>1872</v>
      </c>
      <c r="AR162" s="3">
        <v>1080</v>
      </c>
      <c r="AS162" s="3">
        <v>1044</v>
      </c>
      <c r="AT162" s="3">
        <v>1218</v>
      </c>
      <c r="AU162" s="3">
        <v>1266</v>
      </c>
      <c r="AV162" s="3">
        <v>972</v>
      </c>
      <c r="AW162" s="3">
        <v>522</v>
      </c>
    </row>
    <row r="163" spans="1:49">
      <c r="A163" s="4" t="s">
        <v>40</v>
      </c>
      <c r="B163" s="4" t="str">
        <f t="shared" si="2"/>
        <v>Hair Care</v>
      </c>
      <c r="C163" s="4" t="s">
        <v>1786</v>
      </c>
      <c r="D163" s="4" t="s">
        <v>150</v>
      </c>
      <c r="E163" s="24" t="s">
        <v>42</v>
      </c>
      <c r="F163" s="12" t="s">
        <v>315</v>
      </c>
      <c r="G163" s="4" t="s">
        <v>1787</v>
      </c>
      <c r="H163" s="3">
        <v>496</v>
      </c>
      <c r="I163" s="3">
        <v>0</v>
      </c>
      <c r="J163" s="3">
        <v>-8</v>
      </c>
      <c r="K163" s="3">
        <v>396</v>
      </c>
      <c r="L163" s="3">
        <v>408</v>
      </c>
      <c r="M163" s="3">
        <v>24</v>
      </c>
      <c r="N163" s="3">
        <v>12</v>
      </c>
      <c r="O163" s="3">
        <v>24</v>
      </c>
      <c r="P163" s="3">
        <v>36</v>
      </c>
      <c r="Q163" s="3">
        <v>12</v>
      </c>
      <c r="R163" s="3">
        <v>48</v>
      </c>
      <c r="S163" s="3">
        <v>36</v>
      </c>
      <c r="T163" s="3">
        <v>24</v>
      </c>
      <c r="U163" s="3">
        <v>72</v>
      </c>
      <c r="V163" s="3">
        <v>0</v>
      </c>
      <c r="W163" s="3">
        <v>24</v>
      </c>
      <c r="X163" s="3">
        <v>72</v>
      </c>
      <c r="Y163" s="3">
        <v>0</v>
      </c>
      <c r="Z163" s="3">
        <v>48</v>
      </c>
      <c r="AA163" s="3">
        <v>60</v>
      </c>
      <c r="AB163" s="3">
        <v>24</v>
      </c>
      <c r="AC163" s="3">
        <v>0</v>
      </c>
      <c r="AD163" s="3">
        <v>108</v>
      </c>
      <c r="AE163" s="3">
        <v>36</v>
      </c>
      <c r="AF163" s="3">
        <v>60</v>
      </c>
      <c r="AG163" s="3">
        <v>12</v>
      </c>
      <c r="AH163" s="3">
        <v>36</v>
      </c>
      <c r="AI163" s="3">
        <v>36</v>
      </c>
      <c r="AJ163" s="3">
        <v>498</v>
      </c>
      <c r="AK163" s="3">
        <v>78</v>
      </c>
      <c r="AL163" s="3">
        <v>0</v>
      </c>
      <c r="AM163" s="3">
        <v>0</v>
      </c>
      <c r="AN163" s="3">
        <v>0</v>
      </c>
      <c r="AO163" s="3">
        <v>0</v>
      </c>
      <c r="AP163" s="3">
        <v>144</v>
      </c>
      <c r="AQ163" s="3">
        <v>12</v>
      </c>
      <c r="AR163" s="3">
        <v>24</v>
      </c>
      <c r="AS163" s="3">
        <v>12</v>
      </c>
      <c r="AT163" s="3">
        <v>24</v>
      </c>
      <c r="AU163" s="3">
        <v>60</v>
      </c>
      <c r="AV163" s="3">
        <v>108</v>
      </c>
      <c r="AW163" s="3">
        <v>12</v>
      </c>
    </row>
    <row r="164" spans="1:49">
      <c r="A164" s="4" t="s">
        <v>40</v>
      </c>
      <c r="B164" s="4" t="str">
        <f t="shared" si="2"/>
        <v>Hair Care</v>
      </c>
      <c r="C164" s="4" t="s">
        <v>1786</v>
      </c>
      <c r="D164" s="4" t="s">
        <v>150</v>
      </c>
      <c r="E164" s="24" t="s">
        <v>42</v>
      </c>
      <c r="F164" s="12" t="s">
        <v>316</v>
      </c>
      <c r="G164" s="4" t="s">
        <v>1787</v>
      </c>
      <c r="H164" s="3">
        <v>384</v>
      </c>
      <c r="I164" s="3">
        <v>120</v>
      </c>
      <c r="J164" s="3">
        <v>384</v>
      </c>
      <c r="K164" s="3">
        <v>288</v>
      </c>
      <c r="L164" s="3">
        <v>156</v>
      </c>
      <c r="M164" s="3">
        <v>156</v>
      </c>
      <c r="N164" s="3">
        <v>72</v>
      </c>
      <c r="O164" s="3">
        <v>132</v>
      </c>
      <c r="P164" s="3">
        <v>144</v>
      </c>
      <c r="Q164" s="3">
        <v>216</v>
      </c>
      <c r="R164" s="3">
        <v>96</v>
      </c>
      <c r="S164" s="3">
        <v>168</v>
      </c>
      <c r="T164" s="3">
        <v>324</v>
      </c>
      <c r="U164" s="3">
        <v>192</v>
      </c>
      <c r="V164" s="3">
        <v>144</v>
      </c>
      <c r="W164" s="3">
        <v>108</v>
      </c>
      <c r="X164" s="3">
        <v>120</v>
      </c>
      <c r="Y164" s="3">
        <v>204</v>
      </c>
      <c r="Z164" s="3">
        <v>108</v>
      </c>
      <c r="AA164" s="3">
        <v>60</v>
      </c>
      <c r="AB164" s="3">
        <v>348</v>
      </c>
      <c r="AC164" s="3">
        <v>120</v>
      </c>
      <c r="AD164" s="3">
        <v>360</v>
      </c>
      <c r="AE164" s="3">
        <v>228</v>
      </c>
      <c r="AF164" s="3">
        <v>192</v>
      </c>
      <c r="AG164" s="3">
        <v>204</v>
      </c>
      <c r="AH164" s="3">
        <v>384</v>
      </c>
      <c r="AI164" s="3">
        <v>192</v>
      </c>
      <c r="AJ164" s="3">
        <v>726</v>
      </c>
      <c r="AK164" s="3">
        <v>606</v>
      </c>
      <c r="AL164" s="3">
        <v>180</v>
      </c>
      <c r="AM164" s="3">
        <v>144</v>
      </c>
      <c r="AN164" s="3">
        <v>132</v>
      </c>
      <c r="AO164" s="3">
        <v>636</v>
      </c>
      <c r="AP164" s="3">
        <v>48</v>
      </c>
      <c r="AQ164" s="3">
        <v>0</v>
      </c>
      <c r="AR164" s="3">
        <v>300</v>
      </c>
      <c r="AS164" s="3">
        <v>408</v>
      </c>
      <c r="AT164" s="3">
        <v>228</v>
      </c>
      <c r="AU164" s="3">
        <v>168</v>
      </c>
      <c r="AV164" s="3">
        <v>156</v>
      </c>
      <c r="AW164" s="3">
        <v>144</v>
      </c>
    </row>
    <row r="165" spans="1:49">
      <c r="A165" s="4" t="s">
        <v>40</v>
      </c>
      <c r="B165" s="4" t="str">
        <f t="shared" si="2"/>
        <v>Hair Care</v>
      </c>
      <c r="C165" s="4" t="s">
        <v>1786</v>
      </c>
      <c r="D165" s="4" t="s">
        <v>150</v>
      </c>
      <c r="E165" s="24" t="s">
        <v>42</v>
      </c>
      <c r="F165" s="12" t="s">
        <v>317</v>
      </c>
      <c r="G165" s="4" t="s">
        <v>1787</v>
      </c>
      <c r="H165" s="3">
        <v>126</v>
      </c>
      <c r="I165" s="3">
        <v>156</v>
      </c>
      <c r="J165" s="3">
        <v>75</v>
      </c>
      <c r="K165" s="3">
        <v>0</v>
      </c>
      <c r="L165" s="3">
        <v>168</v>
      </c>
      <c r="M165" s="3">
        <v>36</v>
      </c>
      <c r="N165" s="3">
        <v>72</v>
      </c>
      <c r="O165" s="3">
        <v>36</v>
      </c>
      <c r="P165" s="3">
        <v>66</v>
      </c>
      <c r="Q165" s="3">
        <v>12</v>
      </c>
      <c r="R165" s="3">
        <v>48</v>
      </c>
      <c r="S165" s="3">
        <v>90</v>
      </c>
      <c r="T165" s="3">
        <v>102</v>
      </c>
      <c r="U165" s="3">
        <v>0</v>
      </c>
      <c r="V165" s="3">
        <v>36</v>
      </c>
      <c r="W165" s="3">
        <v>180</v>
      </c>
      <c r="X165" s="3">
        <v>106</v>
      </c>
      <c r="Y165" s="3">
        <v>48</v>
      </c>
      <c r="Z165" s="3">
        <v>36</v>
      </c>
      <c r="AA165" s="3">
        <v>0</v>
      </c>
      <c r="AB165" s="3">
        <v>84</v>
      </c>
      <c r="AC165" s="3">
        <v>102</v>
      </c>
      <c r="AD165" s="3">
        <v>150</v>
      </c>
      <c r="AE165" s="3">
        <v>108</v>
      </c>
      <c r="AF165" s="3">
        <v>72</v>
      </c>
      <c r="AG165" s="3">
        <v>48</v>
      </c>
      <c r="AH165" s="3">
        <v>36</v>
      </c>
      <c r="AI165" s="3">
        <v>78</v>
      </c>
      <c r="AJ165" s="3">
        <v>138</v>
      </c>
      <c r="AK165" s="3">
        <v>24</v>
      </c>
      <c r="AL165" s="3">
        <v>48</v>
      </c>
      <c r="AM165" s="3">
        <v>66</v>
      </c>
      <c r="AN165" s="3">
        <v>90</v>
      </c>
      <c r="AO165" s="3">
        <v>75</v>
      </c>
      <c r="AP165" s="3">
        <v>150</v>
      </c>
      <c r="AQ165" s="3">
        <v>114</v>
      </c>
      <c r="AR165" s="3">
        <v>132</v>
      </c>
      <c r="AS165" s="3">
        <v>60</v>
      </c>
      <c r="AT165" s="3">
        <v>54</v>
      </c>
      <c r="AU165" s="3">
        <v>30</v>
      </c>
      <c r="AV165" s="3">
        <v>42</v>
      </c>
      <c r="AW165" s="3">
        <v>9</v>
      </c>
    </row>
    <row r="166" spans="1:49">
      <c r="A166" s="4" t="s">
        <v>40</v>
      </c>
      <c r="B166" s="4" t="str">
        <f t="shared" si="2"/>
        <v>Hair Care</v>
      </c>
      <c r="C166" s="4" t="s">
        <v>1786</v>
      </c>
      <c r="D166" s="4" t="s">
        <v>150</v>
      </c>
      <c r="E166" s="24" t="s">
        <v>42</v>
      </c>
      <c r="F166" s="12" t="s">
        <v>318</v>
      </c>
      <c r="G166" s="4" t="s">
        <v>1787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24</v>
      </c>
      <c r="U166" s="3">
        <v>120</v>
      </c>
      <c r="V166" s="3">
        <v>1632</v>
      </c>
      <c r="W166" s="3">
        <v>1770</v>
      </c>
      <c r="X166" s="3">
        <v>1164</v>
      </c>
      <c r="Y166" s="3">
        <v>834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</row>
    <row r="167" spans="1:49">
      <c r="A167" s="4" t="s">
        <v>40</v>
      </c>
      <c r="B167" s="4" t="str">
        <f t="shared" si="2"/>
        <v>Hair Care</v>
      </c>
      <c r="C167" s="4" t="s">
        <v>1786</v>
      </c>
      <c r="D167" s="4" t="s">
        <v>150</v>
      </c>
      <c r="E167" s="24" t="s">
        <v>42</v>
      </c>
      <c r="F167" s="12" t="s">
        <v>319</v>
      </c>
      <c r="G167" s="4" t="s">
        <v>1787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72</v>
      </c>
      <c r="V167" s="3">
        <v>588</v>
      </c>
      <c r="W167" s="3">
        <v>767</v>
      </c>
      <c r="X167" s="3">
        <v>0</v>
      </c>
      <c r="Y167" s="3">
        <v>0</v>
      </c>
      <c r="Z167" s="3">
        <v>600</v>
      </c>
      <c r="AA167" s="3">
        <v>636</v>
      </c>
      <c r="AB167" s="3">
        <v>228</v>
      </c>
      <c r="AC167" s="3">
        <v>324</v>
      </c>
      <c r="AD167" s="3">
        <v>168</v>
      </c>
      <c r="AE167" s="3">
        <v>240</v>
      </c>
      <c r="AF167" s="3">
        <v>300</v>
      </c>
      <c r="AG167" s="3">
        <v>24</v>
      </c>
      <c r="AH167" s="3">
        <v>0</v>
      </c>
      <c r="AI167" s="3">
        <v>12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</row>
    <row r="168" spans="1:49">
      <c r="A168" s="4" t="s">
        <v>40</v>
      </c>
      <c r="B168" s="4" t="str">
        <f t="shared" si="2"/>
        <v>Hair Care</v>
      </c>
      <c r="C168" s="4" t="s">
        <v>1786</v>
      </c>
      <c r="D168" s="4" t="s">
        <v>150</v>
      </c>
      <c r="E168" s="24" t="s">
        <v>42</v>
      </c>
      <c r="F168" s="12" t="s">
        <v>320</v>
      </c>
      <c r="G168" s="4" t="s">
        <v>1787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36</v>
      </c>
      <c r="AJ168" s="3">
        <v>708</v>
      </c>
      <c r="AK168" s="3">
        <v>156</v>
      </c>
      <c r="AL168" s="3">
        <v>864</v>
      </c>
      <c r="AM168" s="3">
        <v>276</v>
      </c>
      <c r="AN168" s="3">
        <v>600</v>
      </c>
      <c r="AO168" s="3">
        <v>300</v>
      </c>
      <c r="AP168" s="3">
        <v>564</v>
      </c>
      <c r="AQ168" s="3">
        <v>684</v>
      </c>
      <c r="AR168" s="3">
        <v>552</v>
      </c>
      <c r="AS168" s="3">
        <v>384</v>
      </c>
      <c r="AT168" s="3">
        <v>588</v>
      </c>
      <c r="AU168" s="3">
        <v>636</v>
      </c>
      <c r="AV168" s="3">
        <v>360</v>
      </c>
      <c r="AW168" s="3">
        <v>252</v>
      </c>
    </row>
    <row r="169" spans="1:49">
      <c r="A169" s="4" t="s">
        <v>40</v>
      </c>
      <c r="B169" s="4" t="str">
        <f t="shared" si="2"/>
        <v>Hair Care</v>
      </c>
      <c r="C169" s="4" t="s">
        <v>1786</v>
      </c>
      <c r="D169" s="4" t="s">
        <v>150</v>
      </c>
      <c r="E169" s="24" t="s">
        <v>42</v>
      </c>
      <c r="F169" s="12" t="s">
        <v>321</v>
      </c>
      <c r="G169" s="4" t="s">
        <v>1787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84</v>
      </c>
      <c r="Y169" s="3">
        <v>540</v>
      </c>
      <c r="Z169" s="3">
        <v>1326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</row>
    <row r="170" spans="1:49">
      <c r="A170" s="4" t="s">
        <v>40</v>
      </c>
      <c r="B170" s="4" t="str">
        <f t="shared" si="2"/>
        <v>Hair Care</v>
      </c>
      <c r="C170" s="4" t="s">
        <v>1786</v>
      </c>
      <c r="D170" s="4" t="s">
        <v>150</v>
      </c>
      <c r="E170" s="24" t="s">
        <v>42</v>
      </c>
      <c r="F170" s="12" t="s">
        <v>322</v>
      </c>
      <c r="G170" s="4" t="s">
        <v>1787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888</v>
      </c>
      <c r="T170" s="3">
        <v>756</v>
      </c>
      <c r="U170" s="3">
        <v>516</v>
      </c>
      <c r="V170" s="3">
        <v>1014</v>
      </c>
      <c r="W170" s="3">
        <v>492</v>
      </c>
      <c r="X170" s="3">
        <v>1500</v>
      </c>
      <c r="Y170" s="3">
        <v>816</v>
      </c>
      <c r="Z170" s="3">
        <v>1512</v>
      </c>
      <c r="AA170" s="3">
        <v>1404</v>
      </c>
      <c r="AB170" s="3">
        <v>1260</v>
      </c>
      <c r="AC170" s="3">
        <v>300</v>
      </c>
      <c r="AD170" s="3">
        <v>336</v>
      </c>
      <c r="AE170" s="3">
        <v>324</v>
      </c>
      <c r="AF170" s="3">
        <v>972</v>
      </c>
      <c r="AG170" s="3">
        <v>588</v>
      </c>
      <c r="AH170" s="3">
        <v>444</v>
      </c>
      <c r="AI170" s="3">
        <v>408</v>
      </c>
      <c r="AJ170" s="3">
        <v>312</v>
      </c>
      <c r="AK170" s="3">
        <v>216</v>
      </c>
      <c r="AL170" s="3">
        <v>12</v>
      </c>
      <c r="AM170" s="3">
        <v>36</v>
      </c>
      <c r="AN170" s="3">
        <v>0</v>
      </c>
      <c r="AO170" s="3">
        <v>24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</row>
    <row r="171" spans="1:49">
      <c r="A171" s="4" t="s">
        <v>40</v>
      </c>
      <c r="B171" s="4" t="str">
        <f t="shared" si="2"/>
        <v>Hair Care</v>
      </c>
      <c r="C171" s="4" t="s">
        <v>1786</v>
      </c>
      <c r="D171" s="4" t="s">
        <v>150</v>
      </c>
      <c r="E171" s="24" t="s">
        <v>42</v>
      </c>
      <c r="F171" s="12" t="s">
        <v>323</v>
      </c>
      <c r="G171" s="4" t="s">
        <v>1787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384</v>
      </c>
      <c r="AE171" s="3">
        <v>144</v>
      </c>
      <c r="AF171" s="3">
        <v>372</v>
      </c>
      <c r="AG171" s="3">
        <v>228</v>
      </c>
      <c r="AH171" s="3">
        <v>180</v>
      </c>
      <c r="AI171" s="3">
        <v>198</v>
      </c>
      <c r="AJ171" s="3">
        <v>222</v>
      </c>
      <c r="AK171" s="3">
        <v>156</v>
      </c>
      <c r="AL171" s="3">
        <v>168</v>
      </c>
      <c r="AM171" s="3">
        <v>924</v>
      </c>
      <c r="AN171" s="3">
        <v>408</v>
      </c>
      <c r="AO171" s="3">
        <v>360</v>
      </c>
      <c r="AP171" s="3">
        <v>1128</v>
      </c>
      <c r="AQ171" s="3">
        <v>1038</v>
      </c>
      <c r="AR171" s="3">
        <v>492</v>
      </c>
      <c r="AS171" s="3">
        <v>1470</v>
      </c>
      <c r="AT171" s="3">
        <v>504</v>
      </c>
      <c r="AU171" s="3">
        <v>786</v>
      </c>
      <c r="AV171" s="3">
        <v>420</v>
      </c>
      <c r="AW171" s="3">
        <v>312</v>
      </c>
    </row>
    <row r="172" spans="1:49">
      <c r="A172" s="4" t="s">
        <v>40</v>
      </c>
      <c r="B172" s="4" t="str">
        <f t="shared" si="2"/>
        <v>Hair Care</v>
      </c>
      <c r="C172" s="4" t="s">
        <v>1786</v>
      </c>
      <c r="D172" s="4" t="s">
        <v>150</v>
      </c>
      <c r="E172" s="24" t="s">
        <v>42</v>
      </c>
      <c r="F172" s="12" t="s">
        <v>324</v>
      </c>
      <c r="G172" s="4" t="s">
        <v>1787</v>
      </c>
      <c r="H172" s="3">
        <v>612</v>
      </c>
      <c r="I172" s="3">
        <v>1008</v>
      </c>
      <c r="J172" s="3">
        <v>396</v>
      </c>
      <c r="K172" s="3">
        <v>480</v>
      </c>
      <c r="L172" s="3">
        <v>396</v>
      </c>
      <c r="M172" s="3">
        <v>876</v>
      </c>
      <c r="N172" s="3">
        <v>372</v>
      </c>
      <c r="O172" s="3">
        <v>372</v>
      </c>
      <c r="P172" s="3">
        <v>1128</v>
      </c>
      <c r="Q172" s="3">
        <v>552</v>
      </c>
      <c r="R172" s="3">
        <v>588</v>
      </c>
      <c r="S172" s="3">
        <v>864</v>
      </c>
      <c r="T172" s="3">
        <v>360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</row>
    <row r="173" spans="1:49">
      <c r="A173" s="4" t="s">
        <v>40</v>
      </c>
      <c r="B173" s="4" t="str">
        <f t="shared" si="2"/>
        <v>Hair Care</v>
      </c>
      <c r="C173" s="4" t="s">
        <v>1786</v>
      </c>
      <c r="D173" s="4" t="s">
        <v>150</v>
      </c>
      <c r="E173" s="24" t="s">
        <v>42</v>
      </c>
      <c r="F173" s="12" t="s">
        <v>325</v>
      </c>
      <c r="G173" s="4" t="s">
        <v>1787</v>
      </c>
      <c r="H173" s="3">
        <v>3820</v>
      </c>
      <c r="I173" s="3">
        <v>3564</v>
      </c>
      <c r="J173" s="3">
        <v>1096</v>
      </c>
      <c r="K173" s="3">
        <v>2022</v>
      </c>
      <c r="L173" s="3">
        <v>2640</v>
      </c>
      <c r="M173" s="3">
        <v>3582</v>
      </c>
      <c r="N173" s="3">
        <v>1296</v>
      </c>
      <c r="O173" s="3">
        <v>1428</v>
      </c>
      <c r="P173" s="3">
        <v>2460</v>
      </c>
      <c r="Q173" s="3">
        <v>2766</v>
      </c>
      <c r="R173" s="3">
        <v>1356</v>
      </c>
      <c r="S173" s="3">
        <v>1758</v>
      </c>
      <c r="T173" s="3">
        <v>2346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</row>
    <row r="174" spans="1:49">
      <c r="A174" s="4" t="s">
        <v>40</v>
      </c>
      <c r="B174" s="4" t="str">
        <f t="shared" si="2"/>
        <v>Hair Care</v>
      </c>
      <c r="C174" s="4" t="s">
        <v>1786</v>
      </c>
      <c r="D174" s="4" t="s">
        <v>150</v>
      </c>
      <c r="E174" s="24" t="s">
        <v>42</v>
      </c>
      <c r="F174" s="12" t="s">
        <v>326</v>
      </c>
      <c r="G174" s="4" t="s">
        <v>1787</v>
      </c>
      <c r="H174" s="3">
        <v>594</v>
      </c>
      <c r="I174" s="3">
        <v>468</v>
      </c>
      <c r="J174" s="3">
        <v>558</v>
      </c>
      <c r="K174" s="3">
        <v>402</v>
      </c>
      <c r="L174" s="3">
        <v>300</v>
      </c>
      <c r="M174" s="3">
        <v>354</v>
      </c>
      <c r="N174" s="3">
        <v>300</v>
      </c>
      <c r="O174" s="3">
        <v>240</v>
      </c>
      <c r="P174" s="3">
        <v>516</v>
      </c>
      <c r="Q174" s="3">
        <v>510</v>
      </c>
      <c r="R174" s="3">
        <v>330</v>
      </c>
      <c r="S174" s="3">
        <v>414</v>
      </c>
      <c r="T174" s="3">
        <v>618</v>
      </c>
      <c r="U174" s="3">
        <v>666</v>
      </c>
      <c r="V174" s="3">
        <v>714</v>
      </c>
      <c r="W174" s="3">
        <v>174</v>
      </c>
      <c r="X174" s="3">
        <v>780</v>
      </c>
      <c r="Y174" s="3">
        <v>194</v>
      </c>
      <c r="Z174" s="3">
        <v>588</v>
      </c>
      <c r="AA174" s="3">
        <v>582</v>
      </c>
      <c r="AB174" s="3">
        <v>498</v>
      </c>
      <c r="AC174" s="3">
        <v>204</v>
      </c>
      <c r="AD174" s="3">
        <v>270</v>
      </c>
      <c r="AE174" s="3">
        <v>486</v>
      </c>
      <c r="AF174" s="3">
        <v>594</v>
      </c>
      <c r="AG174" s="3">
        <v>384</v>
      </c>
      <c r="AH174" s="3">
        <v>510</v>
      </c>
      <c r="AI174" s="3">
        <v>312</v>
      </c>
      <c r="AJ174" s="3">
        <v>378</v>
      </c>
      <c r="AK174" s="3">
        <v>534</v>
      </c>
      <c r="AL174" s="3">
        <v>186</v>
      </c>
      <c r="AM174" s="3">
        <v>282</v>
      </c>
      <c r="AN174" s="3">
        <v>276</v>
      </c>
      <c r="AO174" s="3">
        <v>288</v>
      </c>
      <c r="AP174" s="3">
        <v>492</v>
      </c>
      <c r="AQ174" s="3">
        <v>372</v>
      </c>
      <c r="AR174" s="3">
        <v>594</v>
      </c>
      <c r="AS174" s="3">
        <v>420</v>
      </c>
      <c r="AT174" s="3">
        <v>474</v>
      </c>
      <c r="AU174" s="3">
        <v>282</v>
      </c>
      <c r="AV174" s="3">
        <v>330</v>
      </c>
      <c r="AW174" s="3">
        <v>330</v>
      </c>
    </row>
    <row r="175" spans="1:49">
      <c r="A175" s="4" t="s">
        <v>40</v>
      </c>
      <c r="B175" s="4" t="str">
        <f t="shared" si="2"/>
        <v>Hair Care</v>
      </c>
      <c r="C175" s="4" t="s">
        <v>1786</v>
      </c>
      <c r="D175" s="4" t="s">
        <v>150</v>
      </c>
      <c r="E175" s="24" t="s">
        <v>42</v>
      </c>
      <c r="F175" s="12" t="s">
        <v>327</v>
      </c>
      <c r="G175" s="4" t="s">
        <v>1787</v>
      </c>
      <c r="H175" s="3">
        <v>0</v>
      </c>
      <c r="I175" s="3">
        <v>24</v>
      </c>
      <c r="J175" s="3">
        <v>66</v>
      </c>
      <c r="K175" s="3">
        <v>12</v>
      </c>
      <c r="L175" s="3">
        <v>144</v>
      </c>
      <c r="M175" s="3">
        <v>0</v>
      </c>
      <c r="N175" s="3">
        <v>0</v>
      </c>
      <c r="O175" s="3">
        <v>0</v>
      </c>
      <c r="P175" s="3">
        <v>60</v>
      </c>
      <c r="Q175" s="3">
        <v>12</v>
      </c>
      <c r="R175" s="3">
        <v>30</v>
      </c>
      <c r="S175" s="3">
        <v>24</v>
      </c>
      <c r="T175" s="3">
        <v>84</v>
      </c>
      <c r="U175" s="3">
        <v>30</v>
      </c>
      <c r="V175" s="3">
        <v>24</v>
      </c>
      <c r="W175" s="3">
        <v>84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</row>
    <row r="176" spans="1:49">
      <c r="A176" s="4" t="s">
        <v>40</v>
      </c>
      <c r="B176" s="4" t="str">
        <f t="shared" si="2"/>
        <v>Hair Care</v>
      </c>
      <c r="C176" s="4" t="s">
        <v>1786</v>
      </c>
      <c r="D176" s="4" t="s">
        <v>150</v>
      </c>
      <c r="E176" s="24" t="s">
        <v>42</v>
      </c>
      <c r="F176" s="12" t="s">
        <v>328</v>
      </c>
      <c r="G176" s="4" t="s">
        <v>1787</v>
      </c>
      <c r="H176" s="3">
        <v>516</v>
      </c>
      <c r="I176" s="3">
        <v>330</v>
      </c>
      <c r="J176" s="3">
        <v>252</v>
      </c>
      <c r="K176" s="3">
        <v>276</v>
      </c>
      <c r="L176" s="3">
        <v>210</v>
      </c>
      <c r="M176" s="3">
        <v>300</v>
      </c>
      <c r="N176" s="3">
        <v>216</v>
      </c>
      <c r="O176" s="3">
        <v>228</v>
      </c>
      <c r="P176" s="3">
        <v>402</v>
      </c>
      <c r="Q176" s="3">
        <v>336</v>
      </c>
      <c r="R176" s="3">
        <v>348</v>
      </c>
      <c r="S176" s="3">
        <v>432</v>
      </c>
      <c r="T176" s="3">
        <v>540</v>
      </c>
      <c r="U176" s="3">
        <v>612</v>
      </c>
      <c r="V176" s="3">
        <v>396</v>
      </c>
      <c r="W176" s="3">
        <v>420</v>
      </c>
      <c r="X176" s="3">
        <v>48</v>
      </c>
      <c r="Y176" s="3">
        <v>516</v>
      </c>
      <c r="Z176" s="3">
        <v>354</v>
      </c>
      <c r="AA176" s="3">
        <v>264</v>
      </c>
      <c r="AB176" s="3">
        <v>282</v>
      </c>
      <c r="AC176" s="3">
        <v>150</v>
      </c>
      <c r="AD176" s="3">
        <v>264</v>
      </c>
      <c r="AE176" s="3">
        <v>354</v>
      </c>
      <c r="AF176" s="3">
        <v>336</v>
      </c>
      <c r="AG176" s="3">
        <v>246</v>
      </c>
      <c r="AH176" s="3">
        <v>432</v>
      </c>
      <c r="AI176" s="3">
        <v>336</v>
      </c>
      <c r="AJ176" s="3">
        <v>294</v>
      </c>
      <c r="AK176" s="3">
        <v>162</v>
      </c>
      <c r="AL176" s="3">
        <v>60</v>
      </c>
      <c r="AM176" s="3">
        <v>318</v>
      </c>
      <c r="AN176" s="3">
        <v>378</v>
      </c>
      <c r="AO176" s="3">
        <v>12</v>
      </c>
      <c r="AP176" s="3">
        <v>678</v>
      </c>
      <c r="AQ176" s="3">
        <v>384</v>
      </c>
      <c r="AR176" s="3">
        <v>528</v>
      </c>
      <c r="AS176" s="3">
        <v>390</v>
      </c>
      <c r="AT176" s="3">
        <v>408</v>
      </c>
      <c r="AU176" s="3">
        <v>288</v>
      </c>
      <c r="AV176" s="3">
        <v>240</v>
      </c>
      <c r="AW176" s="3">
        <v>306</v>
      </c>
    </row>
    <row r="177" spans="1:49">
      <c r="A177" s="4" t="s">
        <v>40</v>
      </c>
      <c r="B177" s="4" t="str">
        <f t="shared" si="2"/>
        <v>Hair Care</v>
      </c>
      <c r="C177" s="4" t="s">
        <v>1786</v>
      </c>
      <c r="D177" s="4" t="s">
        <v>150</v>
      </c>
      <c r="E177" s="24" t="s">
        <v>42</v>
      </c>
      <c r="F177" s="12" t="s">
        <v>329</v>
      </c>
      <c r="G177" s="4" t="s">
        <v>1787</v>
      </c>
      <c r="H177" s="3">
        <v>1620</v>
      </c>
      <c r="I177" s="3">
        <v>1566</v>
      </c>
      <c r="J177" s="3">
        <v>2538</v>
      </c>
      <c r="K177" s="3">
        <v>2958</v>
      </c>
      <c r="L177" s="3">
        <v>1218</v>
      </c>
      <c r="M177" s="3">
        <v>4056</v>
      </c>
      <c r="N177" s="3">
        <v>936</v>
      </c>
      <c r="O177" s="3">
        <v>360</v>
      </c>
      <c r="P177" s="3">
        <v>1944</v>
      </c>
      <c r="Q177" s="3">
        <v>1806</v>
      </c>
      <c r="R177" s="3">
        <v>840</v>
      </c>
      <c r="S177" s="3">
        <v>1362</v>
      </c>
      <c r="T177" s="3">
        <v>1914</v>
      </c>
      <c r="U177" s="3">
        <v>1800</v>
      </c>
      <c r="V177" s="3">
        <v>930</v>
      </c>
      <c r="W177" s="3">
        <v>144</v>
      </c>
      <c r="X177" s="3">
        <v>636</v>
      </c>
      <c r="Y177" s="3">
        <v>312</v>
      </c>
      <c r="Z177" s="3">
        <v>192</v>
      </c>
      <c r="AA177" s="3">
        <v>156</v>
      </c>
      <c r="AB177" s="3">
        <v>672</v>
      </c>
      <c r="AC177" s="3">
        <v>372</v>
      </c>
      <c r="AD177" s="3">
        <v>348</v>
      </c>
      <c r="AE177" s="3">
        <v>348</v>
      </c>
      <c r="AF177" s="3">
        <v>672</v>
      </c>
      <c r="AG177" s="3">
        <v>300</v>
      </c>
      <c r="AH177" s="3">
        <v>2976</v>
      </c>
      <c r="AI177" s="3">
        <v>1308</v>
      </c>
      <c r="AJ177" s="3">
        <v>348</v>
      </c>
      <c r="AK177" s="3">
        <v>252</v>
      </c>
      <c r="AL177" s="3">
        <v>456</v>
      </c>
      <c r="AM177" s="3">
        <v>504</v>
      </c>
      <c r="AN177" s="3">
        <v>312</v>
      </c>
      <c r="AO177" s="3">
        <v>1080</v>
      </c>
      <c r="AP177" s="3">
        <v>708</v>
      </c>
      <c r="AQ177" s="3">
        <v>372</v>
      </c>
      <c r="AR177" s="3">
        <v>408</v>
      </c>
      <c r="AS177" s="3">
        <v>552</v>
      </c>
      <c r="AT177" s="3">
        <v>492</v>
      </c>
      <c r="AU177" s="3">
        <v>420</v>
      </c>
      <c r="AV177" s="3">
        <v>1332</v>
      </c>
      <c r="AW177" s="3">
        <v>516</v>
      </c>
    </row>
    <row r="178" spans="1:49">
      <c r="A178" s="4" t="s">
        <v>40</v>
      </c>
      <c r="B178" s="4" t="str">
        <f t="shared" si="2"/>
        <v>Hair Care</v>
      </c>
      <c r="C178" s="4" t="s">
        <v>1786</v>
      </c>
      <c r="D178" s="4" t="s">
        <v>150</v>
      </c>
      <c r="E178" s="24" t="s">
        <v>42</v>
      </c>
      <c r="F178" s="12" t="s">
        <v>330</v>
      </c>
      <c r="G178" s="4" t="s">
        <v>1787</v>
      </c>
      <c r="H178" s="3">
        <v>576</v>
      </c>
      <c r="I178" s="3">
        <v>360</v>
      </c>
      <c r="J178" s="3">
        <v>0</v>
      </c>
      <c r="K178" s="3">
        <v>396</v>
      </c>
      <c r="L178" s="3">
        <v>432</v>
      </c>
      <c r="M178" s="3">
        <v>36</v>
      </c>
      <c r="N178" s="3">
        <v>0</v>
      </c>
      <c r="O178" s="3">
        <v>24</v>
      </c>
      <c r="P178" s="3">
        <v>36</v>
      </c>
      <c r="Q178" s="3">
        <v>24</v>
      </c>
      <c r="R178" s="3">
        <v>96</v>
      </c>
      <c r="S178" s="3">
        <v>60</v>
      </c>
      <c r="T178" s="3">
        <v>96</v>
      </c>
      <c r="U178" s="3">
        <v>96</v>
      </c>
      <c r="V178" s="3">
        <v>48</v>
      </c>
      <c r="W178" s="3">
        <v>12</v>
      </c>
      <c r="X178" s="3">
        <v>144</v>
      </c>
      <c r="Y178" s="3">
        <v>48</v>
      </c>
      <c r="Z178" s="3">
        <v>84</v>
      </c>
      <c r="AA178" s="3">
        <v>36</v>
      </c>
      <c r="AB178" s="3">
        <v>72</v>
      </c>
      <c r="AC178" s="3">
        <v>60</v>
      </c>
      <c r="AD178" s="3">
        <v>72</v>
      </c>
      <c r="AE178" s="3">
        <v>36</v>
      </c>
      <c r="AF178" s="3">
        <v>72</v>
      </c>
      <c r="AG178" s="3">
        <v>36</v>
      </c>
      <c r="AH178" s="3">
        <v>36</v>
      </c>
      <c r="AI178" s="3">
        <v>48</v>
      </c>
      <c r="AJ178" s="3">
        <v>84</v>
      </c>
      <c r="AK178" s="3">
        <v>48</v>
      </c>
      <c r="AL178" s="3">
        <v>168</v>
      </c>
      <c r="AM178" s="3">
        <v>108</v>
      </c>
      <c r="AN178" s="3">
        <v>60</v>
      </c>
      <c r="AO178" s="3">
        <v>48</v>
      </c>
      <c r="AP178" s="3">
        <v>402</v>
      </c>
      <c r="AQ178" s="3">
        <v>300</v>
      </c>
      <c r="AR178" s="3">
        <v>312</v>
      </c>
      <c r="AS178" s="3">
        <v>246</v>
      </c>
      <c r="AT178" s="3">
        <v>90</v>
      </c>
      <c r="AU178" s="3">
        <v>120</v>
      </c>
      <c r="AV178" s="3">
        <v>156</v>
      </c>
      <c r="AW178" s="3">
        <v>48</v>
      </c>
    </row>
    <row r="179" spans="1:49">
      <c r="A179" s="4" t="s">
        <v>40</v>
      </c>
      <c r="B179" s="4" t="str">
        <f t="shared" si="2"/>
        <v>Hair Care</v>
      </c>
      <c r="C179" s="4" t="s">
        <v>1786</v>
      </c>
      <c r="D179" s="4" t="s">
        <v>150</v>
      </c>
      <c r="E179" s="24" t="s">
        <v>42</v>
      </c>
      <c r="F179" s="12" t="s">
        <v>331</v>
      </c>
      <c r="G179" s="4" t="s">
        <v>1787</v>
      </c>
      <c r="H179" s="3">
        <v>468</v>
      </c>
      <c r="I179" s="3">
        <v>696</v>
      </c>
      <c r="J179" s="3">
        <v>396</v>
      </c>
      <c r="K179" s="3">
        <v>372</v>
      </c>
      <c r="L179" s="3">
        <v>432</v>
      </c>
      <c r="M179" s="3">
        <v>636</v>
      </c>
      <c r="N179" s="3">
        <v>288</v>
      </c>
      <c r="O179" s="3">
        <v>144</v>
      </c>
      <c r="P179" s="3">
        <v>348</v>
      </c>
      <c r="Q179" s="3">
        <v>312</v>
      </c>
      <c r="R179" s="3">
        <v>312</v>
      </c>
      <c r="S179" s="3">
        <v>612</v>
      </c>
      <c r="T179" s="3">
        <v>540</v>
      </c>
      <c r="U179" s="3">
        <v>396</v>
      </c>
      <c r="V179" s="3">
        <v>144</v>
      </c>
      <c r="W179" s="3">
        <v>168</v>
      </c>
      <c r="X179" s="3">
        <v>564</v>
      </c>
      <c r="Y179" s="3">
        <v>312</v>
      </c>
      <c r="Z179" s="3">
        <v>168</v>
      </c>
      <c r="AA179" s="3">
        <v>228</v>
      </c>
      <c r="AB179" s="3">
        <v>768</v>
      </c>
      <c r="AC179" s="3">
        <v>228</v>
      </c>
      <c r="AD179" s="3">
        <v>132</v>
      </c>
      <c r="AE179" s="3">
        <v>432</v>
      </c>
      <c r="AF179" s="3">
        <v>660</v>
      </c>
      <c r="AG179" s="3">
        <v>312</v>
      </c>
      <c r="AH179" s="3">
        <v>264</v>
      </c>
      <c r="AI179" s="3">
        <v>336</v>
      </c>
      <c r="AJ179" s="3">
        <v>300</v>
      </c>
      <c r="AK179" s="3">
        <v>180</v>
      </c>
      <c r="AL179" s="3">
        <v>396</v>
      </c>
      <c r="AM179" s="3">
        <v>492</v>
      </c>
      <c r="AN179" s="3">
        <v>228</v>
      </c>
      <c r="AO179" s="3">
        <v>840</v>
      </c>
      <c r="AP179" s="3">
        <v>990</v>
      </c>
      <c r="AQ179" s="3">
        <v>576</v>
      </c>
      <c r="AR179" s="3">
        <v>624</v>
      </c>
      <c r="AS179" s="3">
        <v>678</v>
      </c>
      <c r="AT179" s="3">
        <v>414</v>
      </c>
      <c r="AU179" s="3">
        <v>528</v>
      </c>
      <c r="AV179" s="3">
        <v>504</v>
      </c>
      <c r="AW179" s="3">
        <v>192</v>
      </c>
    </row>
    <row r="180" spans="1:49">
      <c r="A180" s="4" t="s">
        <v>40</v>
      </c>
      <c r="B180" s="4" t="str">
        <f t="shared" si="2"/>
        <v>Hair Care</v>
      </c>
      <c r="C180" s="4" t="s">
        <v>1786</v>
      </c>
      <c r="D180" s="4" t="s">
        <v>150</v>
      </c>
      <c r="E180" s="24" t="s">
        <v>42</v>
      </c>
      <c r="F180" s="12" t="s">
        <v>332</v>
      </c>
      <c r="G180" s="4" t="s">
        <v>1787</v>
      </c>
      <c r="H180" s="3">
        <v>12</v>
      </c>
      <c r="I180" s="3">
        <v>348</v>
      </c>
      <c r="J180" s="3">
        <v>252</v>
      </c>
      <c r="K180" s="3">
        <v>384</v>
      </c>
      <c r="L180" s="3">
        <v>204</v>
      </c>
      <c r="M180" s="3">
        <v>264</v>
      </c>
      <c r="N180" s="3">
        <v>348</v>
      </c>
      <c r="O180" s="3">
        <v>156</v>
      </c>
      <c r="P180" s="3">
        <v>156</v>
      </c>
      <c r="Q180" s="3">
        <v>216</v>
      </c>
      <c r="R180" s="3">
        <v>180</v>
      </c>
      <c r="S180" s="3">
        <v>360</v>
      </c>
      <c r="T180" s="3">
        <v>492</v>
      </c>
      <c r="U180" s="3">
        <v>564</v>
      </c>
      <c r="V180" s="3">
        <v>72</v>
      </c>
      <c r="W180" s="3">
        <v>108</v>
      </c>
      <c r="X180" s="3">
        <v>348</v>
      </c>
      <c r="Y180" s="3">
        <v>11</v>
      </c>
      <c r="Z180" s="3">
        <v>24</v>
      </c>
      <c r="AA180" s="3">
        <v>384</v>
      </c>
      <c r="AB180" s="3">
        <v>204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</row>
    <row r="181" spans="1:49">
      <c r="A181" s="4" t="s">
        <v>40</v>
      </c>
      <c r="B181" s="4" t="str">
        <f t="shared" si="2"/>
        <v>Hair Care</v>
      </c>
      <c r="C181" s="4" t="s">
        <v>1786</v>
      </c>
      <c r="D181" s="4" t="s">
        <v>150</v>
      </c>
      <c r="E181" s="24" t="s">
        <v>42</v>
      </c>
      <c r="F181" s="12" t="s">
        <v>333</v>
      </c>
      <c r="G181" s="4" t="s">
        <v>1787</v>
      </c>
      <c r="H181" s="3">
        <v>2004</v>
      </c>
      <c r="I181" s="3">
        <v>1770</v>
      </c>
      <c r="J181" s="3">
        <v>2022</v>
      </c>
      <c r="K181" s="3">
        <v>2670</v>
      </c>
      <c r="L181" s="3">
        <v>954</v>
      </c>
      <c r="M181" s="3">
        <v>3996</v>
      </c>
      <c r="N181" s="3">
        <v>972</v>
      </c>
      <c r="O181" s="3">
        <v>336</v>
      </c>
      <c r="P181" s="3">
        <v>1824</v>
      </c>
      <c r="Q181" s="3">
        <v>1686</v>
      </c>
      <c r="R181" s="3">
        <v>708</v>
      </c>
      <c r="S181" s="3">
        <v>1146</v>
      </c>
      <c r="T181" s="3">
        <v>1782</v>
      </c>
      <c r="U181" s="3">
        <v>2004</v>
      </c>
      <c r="V181" s="3">
        <v>750</v>
      </c>
      <c r="W181" s="3">
        <v>0</v>
      </c>
      <c r="X181" s="3">
        <v>24</v>
      </c>
      <c r="Y181" s="3">
        <v>0</v>
      </c>
      <c r="Z181" s="3">
        <v>156</v>
      </c>
      <c r="AA181" s="3">
        <v>696</v>
      </c>
      <c r="AB181" s="3">
        <v>132</v>
      </c>
      <c r="AC181" s="3">
        <v>168</v>
      </c>
      <c r="AD181" s="3">
        <v>240</v>
      </c>
      <c r="AE181" s="3">
        <v>180</v>
      </c>
      <c r="AF181" s="3">
        <v>168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</row>
    <row r="182" spans="1:49">
      <c r="A182" s="4" t="s">
        <v>40</v>
      </c>
      <c r="B182" s="4" t="str">
        <f t="shared" si="2"/>
        <v>Hair Care</v>
      </c>
      <c r="C182" s="4" t="s">
        <v>1786</v>
      </c>
      <c r="D182" s="4" t="s">
        <v>150</v>
      </c>
      <c r="E182" s="24" t="s">
        <v>42</v>
      </c>
      <c r="F182" s="12" t="s">
        <v>334</v>
      </c>
      <c r="G182" s="4" t="s">
        <v>1787</v>
      </c>
      <c r="H182" s="3">
        <v>336</v>
      </c>
      <c r="I182" s="3">
        <v>276</v>
      </c>
      <c r="J182" s="3">
        <v>198</v>
      </c>
      <c r="K182" s="3">
        <v>240</v>
      </c>
      <c r="L182" s="3">
        <v>174</v>
      </c>
      <c r="M182" s="3">
        <v>192</v>
      </c>
      <c r="N182" s="3">
        <v>144</v>
      </c>
      <c r="O182" s="3">
        <v>156</v>
      </c>
      <c r="P182" s="3">
        <v>204</v>
      </c>
      <c r="Q182" s="3">
        <v>162</v>
      </c>
      <c r="R182" s="3">
        <v>216</v>
      </c>
      <c r="S182" s="3">
        <v>222</v>
      </c>
      <c r="T182" s="3">
        <v>582</v>
      </c>
      <c r="U182" s="3">
        <v>300</v>
      </c>
      <c r="V182" s="3">
        <v>228</v>
      </c>
      <c r="W182" s="3">
        <v>294</v>
      </c>
      <c r="X182" s="3">
        <v>432</v>
      </c>
      <c r="Y182" s="3">
        <v>138</v>
      </c>
      <c r="Z182" s="3">
        <v>24</v>
      </c>
      <c r="AA182" s="3">
        <v>210</v>
      </c>
      <c r="AB182" s="3">
        <v>234</v>
      </c>
      <c r="AC182" s="3">
        <v>78</v>
      </c>
      <c r="AD182" s="3">
        <v>114</v>
      </c>
      <c r="AE182" s="3">
        <v>198</v>
      </c>
      <c r="AF182" s="3">
        <v>276</v>
      </c>
      <c r="AG182" s="3">
        <v>168</v>
      </c>
      <c r="AH182" s="3">
        <v>768</v>
      </c>
      <c r="AI182" s="3">
        <v>222</v>
      </c>
      <c r="AJ182" s="3">
        <v>216</v>
      </c>
      <c r="AK182" s="3">
        <v>102</v>
      </c>
      <c r="AL182" s="3">
        <v>90</v>
      </c>
      <c r="AM182" s="3">
        <v>228</v>
      </c>
      <c r="AN182" s="3">
        <v>192</v>
      </c>
      <c r="AO182" s="3">
        <v>228</v>
      </c>
      <c r="AP182" s="3">
        <v>546</v>
      </c>
      <c r="AQ182" s="3">
        <v>264</v>
      </c>
      <c r="AR182" s="3">
        <v>348</v>
      </c>
      <c r="AS182" s="3">
        <v>240</v>
      </c>
      <c r="AT182" s="3">
        <v>534</v>
      </c>
      <c r="AU182" s="3">
        <v>348</v>
      </c>
      <c r="AV182" s="3">
        <v>360</v>
      </c>
      <c r="AW182" s="3">
        <v>330</v>
      </c>
    </row>
    <row r="183" spans="1:49">
      <c r="A183" s="4" t="s">
        <v>40</v>
      </c>
      <c r="B183" s="4" t="str">
        <f t="shared" si="2"/>
        <v>Hair Care</v>
      </c>
      <c r="C183" s="4" t="s">
        <v>1786</v>
      </c>
      <c r="D183" s="4" t="s">
        <v>150</v>
      </c>
      <c r="E183" s="24" t="s">
        <v>42</v>
      </c>
      <c r="F183" s="12" t="s">
        <v>335</v>
      </c>
      <c r="G183" s="4" t="s">
        <v>1787</v>
      </c>
      <c r="H183" s="3">
        <v>222</v>
      </c>
      <c r="I183" s="3">
        <v>438</v>
      </c>
      <c r="J183" s="3">
        <v>132</v>
      </c>
      <c r="K183" s="3">
        <v>156</v>
      </c>
      <c r="L183" s="3">
        <v>48</v>
      </c>
      <c r="M183" s="3">
        <v>180</v>
      </c>
      <c r="N183" s="3">
        <v>162</v>
      </c>
      <c r="O183" s="3">
        <v>102</v>
      </c>
      <c r="P183" s="3">
        <v>72</v>
      </c>
      <c r="Q183" s="3">
        <v>84</v>
      </c>
      <c r="R183" s="3">
        <v>174</v>
      </c>
      <c r="S183" s="3">
        <v>204</v>
      </c>
      <c r="T183" s="3">
        <v>228</v>
      </c>
      <c r="U183" s="3">
        <v>144</v>
      </c>
      <c r="V183" s="3">
        <v>96</v>
      </c>
      <c r="W183" s="3">
        <v>24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</row>
    <row r="184" spans="1:49">
      <c r="A184" s="4" t="s">
        <v>40</v>
      </c>
      <c r="B184" s="4" t="str">
        <f t="shared" si="2"/>
        <v>Hair Care</v>
      </c>
      <c r="C184" s="4" t="s">
        <v>1786</v>
      </c>
      <c r="D184" s="4" t="s">
        <v>150</v>
      </c>
      <c r="E184" s="24" t="s">
        <v>42</v>
      </c>
      <c r="F184" s="12" t="s">
        <v>336</v>
      </c>
      <c r="G184" s="4" t="s">
        <v>1787</v>
      </c>
      <c r="H184" s="3">
        <v>162</v>
      </c>
      <c r="I184" s="3">
        <v>390</v>
      </c>
      <c r="J184" s="3">
        <v>132</v>
      </c>
      <c r="K184" s="3">
        <v>96</v>
      </c>
      <c r="L184" s="3">
        <v>60</v>
      </c>
      <c r="M184" s="3">
        <v>36</v>
      </c>
      <c r="N184" s="3">
        <v>222</v>
      </c>
      <c r="O184" s="3">
        <v>66</v>
      </c>
      <c r="P184" s="3">
        <v>12</v>
      </c>
      <c r="Q184" s="3">
        <v>72</v>
      </c>
      <c r="R184" s="3">
        <v>126</v>
      </c>
      <c r="S184" s="3">
        <v>192</v>
      </c>
      <c r="T184" s="3">
        <v>204</v>
      </c>
      <c r="U184" s="3">
        <v>168</v>
      </c>
      <c r="V184" s="3">
        <v>252</v>
      </c>
      <c r="W184" s="3">
        <v>84</v>
      </c>
      <c r="X184" s="3">
        <v>84</v>
      </c>
      <c r="Y184" s="3">
        <v>60</v>
      </c>
      <c r="Z184" s="3">
        <v>24</v>
      </c>
      <c r="AA184" s="3">
        <v>12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</row>
    <row r="185" spans="1:49">
      <c r="A185" s="4" t="s">
        <v>40</v>
      </c>
      <c r="B185" s="4" t="str">
        <f t="shared" si="2"/>
        <v>Hair Care</v>
      </c>
      <c r="C185" s="4" t="s">
        <v>1786</v>
      </c>
      <c r="D185" s="4" t="s">
        <v>150</v>
      </c>
      <c r="E185" s="24" t="s">
        <v>42</v>
      </c>
      <c r="F185" s="12" t="s">
        <v>337</v>
      </c>
      <c r="G185" s="4" t="s">
        <v>1787</v>
      </c>
      <c r="H185" s="3">
        <v>348</v>
      </c>
      <c r="I185" s="3">
        <v>696</v>
      </c>
      <c r="J185" s="3">
        <v>156</v>
      </c>
      <c r="K185" s="3">
        <v>204</v>
      </c>
      <c r="L185" s="3">
        <v>192</v>
      </c>
      <c r="M185" s="3">
        <v>132</v>
      </c>
      <c r="N185" s="3">
        <v>426</v>
      </c>
      <c r="O185" s="3">
        <v>234</v>
      </c>
      <c r="P185" s="3">
        <v>156</v>
      </c>
      <c r="Q185" s="3">
        <v>384</v>
      </c>
      <c r="R185" s="3">
        <v>288</v>
      </c>
      <c r="S185" s="3">
        <v>384</v>
      </c>
      <c r="T185" s="3">
        <v>420</v>
      </c>
      <c r="U185" s="3">
        <v>336</v>
      </c>
      <c r="V185" s="3">
        <v>84</v>
      </c>
      <c r="W185" s="3">
        <v>108</v>
      </c>
      <c r="X185" s="3">
        <v>48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</row>
    <row r="186" spans="1:49">
      <c r="A186" s="4" t="s">
        <v>40</v>
      </c>
      <c r="B186" s="4" t="str">
        <f t="shared" si="2"/>
        <v>Hair Care</v>
      </c>
      <c r="C186" s="4" t="s">
        <v>1786</v>
      </c>
      <c r="D186" s="4" t="s">
        <v>150</v>
      </c>
      <c r="E186" s="24" t="s">
        <v>42</v>
      </c>
      <c r="F186" s="12" t="s">
        <v>338</v>
      </c>
      <c r="G186" s="4" t="s">
        <v>1787</v>
      </c>
      <c r="H186" s="3">
        <v>420</v>
      </c>
      <c r="I186" s="3">
        <v>612</v>
      </c>
      <c r="J186" s="3">
        <v>108</v>
      </c>
      <c r="K186" s="3">
        <v>204</v>
      </c>
      <c r="L186" s="3">
        <v>132</v>
      </c>
      <c r="M186" s="3">
        <v>156</v>
      </c>
      <c r="N186" s="3">
        <v>318</v>
      </c>
      <c r="O186" s="3">
        <v>270</v>
      </c>
      <c r="P186" s="3">
        <v>156</v>
      </c>
      <c r="Q186" s="3">
        <v>240</v>
      </c>
      <c r="R186" s="3">
        <v>168</v>
      </c>
      <c r="S186" s="3">
        <v>228</v>
      </c>
      <c r="T186" s="3">
        <v>348</v>
      </c>
      <c r="U186" s="3">
        <v>624</v>
      </c>
      <c r="V186" s="3">
        <v>240</v>
      </c>
      <c r="W186" s="3">
        <v>204</v>
      </c>
      <c r="X186" s="3">
        <v>72</v>
      </c>
      <c r="Y186" s="3">
        <v>0</v>
      </c>
      <c r="Z186" s="3">
        <v>-12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</row>
    <row r="187" spans="1:49">
      <c r="A187" s="4" t="s">
        <v>40</v>
      </c>
      <c r="B187" s="4" t="str">
        <f t="shared" si="2"/>
        <v>Hair Care</v>
      </c>
      <c r="C187" s="4" t="s">
        <v>1786</v>
      </c>
      <c r="D187" s="4" t="s">
        <v>150</v>
      </c>
      <c r="E187" s="24" t="s">
        <v>42</v>
      </c>
      <c r="F187" s="12" t="s">
        <v>339</v>
      </c>
      <c r="G187" s="4" t="s">
        <v>1787</v>
      </c>
      <c r="H187" s="3">
        <v>492</v>
      </c>
      <c r="I187" s="3">
        <v>606</v>
      </c>
      <c r="J187" s="3">
        <v>252</v>
      </c>
      <c r="K187" s="3">
        <v>300</v>
      </c>
      <c r="L187" s="3">
        <v>48</v>
      </c>
      <c r="M187" s="3">
        <v>276</v>
      </c>
      <c r="N187" s="3">
        <v>366</v>
      </c>
      <c r="O187" s="3">
        <v>246</v>
      </c>
      <c r="P187" s="3">
        <v>108</v>
      </c>
      <c r="Q187" s="3">
        <v>324</v>
      </c>
      <c r="R187" s="3">
        <v>252</v>
      </c>
      <c r="S187" s="3">
        <v>408</v>
      </c>
      <c r="T187" s="3">
        <v>396</v>
      </c>
      <c r="U187" s="3">
        <v>540</v>
      </c>
      <c r="V187" s="3">
        <v>324</v>
      </c>
      <c r="W187" s="3">
        <v>156</v>
      </c>
      <c r="X187" s="3">
        <v>348</v>
      </c>
      <c r="Y187" s="3">
        <v>168</v>
      </c>
      <c r="Z187" s="3">
        <v>204</v>
      </c>
      <c r="AA187" s="3">
        <v>168</v>
      </c>
      <c r="AB187" s="3">
        <v>1272</v>
      </c>
      <c r="AC187" s="3">
        <v>180</v>
      </c>
      <c r="AD187" s="3">
        <v>360</v>
      </c>
      <c r="AE187" s="3">
        <v>408</v>
      </c>
      <c r="AF187" s="3">
        <v>492</v>
      </c>
      <c r="AG187" s="3">
        <v>96</v>
      </c>
      <c r="AH187" s="3">
        <v>0</v>
      </c>
      <c r="AI187" s="3">
        <v>0</v>
      </c>
      <c r="AJ187" s="3">
        <v>552</v>
      </c>
      <c r="AK187" s="3">
        <v>204</v>
      </c>
      <c r="AL187" s="3">
        <v>156</v>
      </c>
      <c r="AM187" s="3">
        <v>228</v>
      </c>
      <c r="AN187" s="3">
        <v>192</v>
      </c>
      <c r="AO187" s="3">
        <v>312</v>
      </c>
      <c r="AP187" s="3">
        <v>324</v>
      </c>
      <c r="AQ187" s="3">
        <v>360</v>
      </c>
      <c r="AR187" s="3">
        <v>240</v>
      </c>
      <c r="AS187" s="3">
        <v>552</v>
      </c>
      <c r="AT187" s="3">
        <v>288</v>
      </c>
      <c r="AU187" s="3">
        <v>48</v>
      </c>
      <c r="AV187" s="3">
        <v>288</v>
      </c>
      <c r="AW187" s="3">
        <v>180</v>
      </c>
    </row>
    <row r="188" spans="1:49">
      <c r="A188" s="4" t="s">
        <v>40</v>
      </c>
      <c r="B188" s="4" t="str">
        <f t="shared" si="2"/>
        <v>Hair Care</v>
      </c>
      <c r="C188" s="4" t="s">
        <v>1786</v>
      </c>
      <c r="D188" s="4" t="s">
        <v>150</v>
      </c>
      <c r="E188" s="24" t="s">
        <v>42</v>
      </c>
      <c r="F188" s="12" t="s">
        <v>340</v>
      </c>
      <c r="G188" s="4" t="s">
        <v>1787</v>
      </c>
      <c r="H188" s="3">
        <v>552</v>
      </c>
      <c r="I188" s="3">
        <v>534</v>
      </c>
      <c r="J188" s="3">
        <v>156</v>
      </c>
      <c r="K188" s="3">
        <v>228</v>
      </c>
      <c r="L188" s="3">
        <v>144</v>
      </c>
      <c r="M188" s="3">
        <v>132</v>
      </c>
      <c r="N188" s="3">
        <v>462</v>
      </c>
      <c r="O188" s="3">
        <v>258</v>
      </c>
      <c r="P188" s="3">
        <v>60</v>
      </c>
      <c r="Q188" s="3">
        <v>216</v>
      </c>
      <c r="R188" s="3">
        <v>264</v>
      </c>
      <c r="S188" s="3">
        <v>324</v>
      </c>
      <c r="T188" s="3">
        <v>480</v>
      </c>
      <c r="U188" s="3">
        <v>564</v>
      </c>
      <c r="V188" s="3">
        <v>180</v>
      </c>
      <c r="W188" s="3">
        <v>84</v>
      </c>
      <c r="X188" s="3">
        <v>288</v>
      </c>
      <c r="Y188" s="3">
        <v>24</v>
      </c>
      <c r="Z188" s="3">
        <v>48</v>
      </c>
      <c r="AA188" s="3">
        <v>324</v>
      </c>
      <c r="AB188" s="3">
        <v>636</v>
      </c>
      <c r="AC188" s="3">
        <v>0</v>
      </c>
      <c r="AD188" s="3">
        <v>300</v>
      </c>
      <c r="AE188" s="3">
        <v>480</v>
      </c>
      <c r="AF188" s="3">
        <v>504</v>
      </c>
      <c r="AG188" s="3">
        <v>168</v>
      </c>
      <c r="AH188" s="3">
        <v>216</v>
      </c>
      <c r="AI188" s="3">
        <v>288</v>
      </c>
      <c r="AJ188" s="3">
        <v>216</v>
      </c>
      <c r="AK188" s="3">
        <v>432</v>
      </c>
      <c r="AL188" s="3">
        <v>204</v>
      </c>
      <c r="AM188" s="3">
        <v>228</v>
      </c>
      <c r="AN188" s="3">
        <v>96</v>
      </c>
      <c r="AO188" s="3">
        <v>276</v>
      </c>
      <c r="AP188" s="3">
        <v>108</v>
      </c>
      <c r="AQ188" s="3">
        <v>276</v>
      </c>
      <c r="AR188" s="3">
        <v>264</v>
      </c>
      <c r="AS188" s="3">
        <v>408</v>
      </c>
      <c r="AT188" s="3">
        <v>252</v>
      </c>
      <c r="AU188" s="3">
        <v>0</v>
      </c>
      <c r="AV188" s="3">
        <v>228</v>
      </c>
      <c r="AW188" s="3">
        <v>240</v>
      </c>
    </row>
    <row r="189" spans="1:49">
      <c r="A189" s="4" t="s">
        <v>40</v>
      </c>
      <c r="B189" s="4" t="str">
        <f t="shared" si="2"/>
        <v>Hair Care</v>
      </c>
      <c r="C189" s="4" t="s">
        <v>1786</v>
      </c>
      <c r="D189" s="4" t="s">
        <v>150</v>
      </c>
      <c r="E189" s="24" t="s">
        <v>42</v>
      </c>
      <c r="F189" s="12" t="s">
        <v>341</v>
      </c>
      <c r="G189" s="4" t="s">
        <v>1787</v>
      </c>
      <c r="H189" s="3">
        <v>354</v>
      </c>
      <c r="I189" s="3">
        <v>438</v>
      </c>
      <c r="J189" s="3">
        <v>288</v>
      </c>
      <c r="K189" s="3">
        <v>216</v>
      </c>
      <c r="L189" s="3">
        <v>204</v>
      </c>
      <c r="M189" s="3">
        <v>204</v>
      </c>
      <c r="N189" s="3">
        <v>90</v>
      </c>
      <c r="O189" s="3">
        <v>114</v>
      </c>
      <c r="P189" s="3">
        <v>252</v>
      </c>
      <c r="Q189" s="3">
        <v>168</v>
      </c>
      <c r="R189" s="3">
        <v>264</v>
      </c>
      <c r="S189" s="3">
        <v>228</v>
      </c>
      <c r="T189" s="3">
        <v>420</v>
      </c>
      <c r="U189" s="3">
        <v>252</v>
      </c>
      <c r="V189" s="3">
        <v>192</v>
      </c>
      <c r="W189" s="3">
        <v>120</v>
      </c>
      <c r="X189" s="3">
        <v>180</v>
      </c>
      <c r="Y189" s="3">
        <v>156</v>
      </c>
      <c r="Z189" s="3">
        <v>132</v>
      </c>
      <c r="AA189" s="3">
        <v>252</v>
      </c>
      <c r="AB189" s="3">
        <v>720</v>
      </c>
      <c r="AC189" s="3">
        <v>0</v>
      </c>
      <c r="AD189" s="3">
        <v>660</v>
      </c>
      <c r="AE189" s="3">
        <v>12</v>
      </c>
      <c r="AF189" s="3">
        <v>408</v>
      </c>
      <c r="AG189" s="3">
        <v>24</v>
      </c>
      <c r="AH189" s="3">
        <v>0</v>
      </c>
      <c r="AI189" s="3">
        <v>684</v>
      </c>
      <c r="AJ189" s="3">
        <v>204</v>
      </c>
      <c r="AK189" s="3">
        <v>468</v>
      </c>
      <c r="AL189" s="3">
        <v>216</v>
      </c>
      <c r="AM189" s="3">
        <v>120</v>
      </c>
      <c r="AN189" s="3">
        <v>192</v>
      </c>
      <c r="AO189" s="3">
        <v>288</v>
      </c>
      <c r="AP189" s="3">
        <v>372</v>
      </c>
      <c r="AQ189" s="3">
        <v>240</v>
      </c>
      <c r="AR189" s="3">
        <v>360</v>
      </c>
      <c r="AS189" s="3">
        <v>204</v>
      </c>
      <c r="AT189" s="3">
        <v>204</v>
      </c>
      <c r="AU189" s="3">
        <v>24</v>
      </c>
      <c r="AV189" s="3">
        <v>204</v>
      </c>
      <c r="AW189" s="3">
        <v>348</v>
      </c>
    </row>
    <row r="190" spans="1:49">
      <c r="A190" s="4" t="s">
        <v>40</v>
      </c>
      <c r="B190" s="4" t="str">
        <f t="shared" si="2"/>
        <v>Hair Care</v>
      </c>
      <c r="C190" s="4" t="s">
        <v>1786</v>
      </c>
      <c r="D190" s="4" t="s">
        <v>150</v>
      </c>
      <c r="E190" s="24" t="s">
        <v>42</v>
      </c>
      <c r="F190" s="12" t="s">
        <v>342</v>
      </c>
      <c r="G190" s="4" t="s">
        <v>1787</v>
      </c>
      <c r="H190" s="3">
        <v>174</v>
      </c>
      <c r="I190" s="3">
        <v>366</v>
      </c>
      <c r="J190" s="3">
        <v>132</v>
      </c>
      <c r="K190" s="3">
        <v>144</v>
      </c>
      <c r="L190" s="3">
        <v>96</v>
      </c>
      <c r="M190" s="3">
        <v>48</v>
      </c>
      <c r="N190" s="3">
        <v>126</v>
      </c>
      <c r="O190" s="3">
        <v>78</v>
      </c>
      <c r="P190" s="3">
        <v>48</v>
      </c>
      <c r="Q190" s="3">
        <v>96</v>
      </c>
      <c r="R190" s="3">
        <v>180</v>
      </c>
      <c r="S190" s="3">
        <v>132</v>
      </c>
      <c r="T190" s="3">
        <v>156</v>
      </c>
      <c r="U190" s="3">
        <v>204</v>
      </c>
      <c r="V190" s="3">
        <v>180</v>
      </c>
      <c r="W190" s="3">
        <v>36</v>
      </c>
      <c r="X190" s="3">
        <v>204</v>
      </c>
      <c r="Y190" s="3">
        <v>96</v>
      </c>
      <c r="Z190" s="3">
        <v>48</v>
      </c>
      <c r="AA190" s="3">
        <v>48</v>
      </c>
      <c r="AB190" s="3">
        <v>324</v>
      </c>
      <c r="AC190" s="3">
        <v>192</v>
      </c>
      <c r="AD190" s="3">
        <v>96</v>
      </c>
      <c r="AE190" s="3">
        <v>168</v>
      </c>
      <c r="AF190" s="3">
        <v>708</v>
      </c>
      <c r="AG190" s="3">
        <v>264</v>
      </c>
      <c r="AH190" s="3">
        <v>144</v>
      </c>
      <c r="AI190" s="3">
        <v>228</v>
      </c>
      <c r="AJ190" s="3">
        <v>72</v>
      </c>
      <c r="AK190" s="3">
        <v>24</v>
      </c>
      <c r="AL190" s="3">
        <v>120</v>
      </c>
      <c r="AM190" s="3">
        <v>84</v>
      </c>
      <c r="AN190" s="3">
        <v>96</v>
      </c>
      <c r="AO190" s="3">
        <v>144</v>
      </c>
      <c r="AP190" s="3">
        <v>252</v>
      </c>
      <c r="AQ190" s="3">
        <v>108</v>
      </c>
      <c r="AR190" s="3">
        <v>456</v>
      </c>
      <c r="AS190" s="3">
        <v>48</v>
      </c>
      <c r="AT190" s="3">
        <v>144</v>
      </c>
      <c r="AU190" s="3">
        <v>48</v>
      </c>
      <c r="AV190" s="3">
        <v>156</v>
      </c>
      <c r="AW190" s="3">
        <v>264</v>
      </c>
    </row>
    <row r="191" spans="1:49">
      <c r="A191" s="4" t="s">
        <v>40</v>
      </c>
      <c r="B191" s="4" t="str">
        <f t="shared" si="2"/>
        <v>Hair Care</v>
      </c>
      <c r="C191" s="4" t="s">
        <v>1786</v>
      </c>
      <c r="D191" s="4" t="s">
        <v>150</v>
      </c>
      <c r="E191" s="24" t="s">
        <v>42</v>
      </c>
      <c r="F191" s="12" t="s">
        <v>343</v>
      </c>
      <c r="G191" s="4" t="s">
        <v>1787</v>
      </c>
      <c r="H191" s="3">
        <v>360</v>
      </c>
      <c r="I191" s="3">
        <v>168</v>
      </c>
      <c r="J191" s="3">
        <v>288</v>
      </c>
      <c r="K191" s="3">
        <v>360</v>
      </c>
      <c r="L191" s="3">
        <v>132</v>
      </c>
      <c r="M191" s="3">
        <v>204</v>
      </c>
      <c r="N191" s="3">
        <v>204</v>
      </c>
      <c r="O191" s="3">
        <v>156</v>
      </c>
      <c r="P191" s="3">
        <v>216</v>
      </c>
      <c r="Q191" s="3">
        <v>216</v>
      </c>
      <c r="R191" s="3">
        <v>168</v>
      </c>
      <c r="S191" s="3">
        <v>204</v>
      </c>
      <c r="T191" s="3">
        <v>432</v>
      </c>
      <c r="U191" s="3">
        <v>384</v>
      </c>
      <c r="V191" s="3">
        <v>228</v>
      </c>
      <c r="W191" s="3">
        <v>120</v>
      </c>
      <c r="X191" s="3">
        <v>144</v>
      </c>
      <c r="Y191" s="3">
        <v>48</v>
      </c>
      <c r="Z191" s="3">
        <v>156</v>
      </c>
      <c r="AA191" s="3">
        <v>180</v>
      </c>
      <c r="AB191" s="3">
        <v>432</v>
      </c>
      <c r="AC191" s="3">
        <v>0</v>
      </c>
      <c r="AD191" s="3">
        <v>0</v>
      </c>
      <c r="AE191" s="3">
        <v>612</v>
      </c>
      <c r="AF191" s="3">
        <v>96</v>
      </c>
      <c r="AG191" s="3">
        <v>108</v>
      </c>
      <c r="AH191" s="3">
        <v>168</v>
      </c>
      <c r="AI191" s="3">
        <v>576</v>
      </c>
      <c r="AJ191" s="3">
        <v>228</v>
      </c>
      <c r="AK191" s="3">
        <v>120</v>
      </c>
      <c r="AL191" s="3">
        <v>204</v>
      </c>
      <c r="AM191" s="3">
        <v>792</v>
      </c>
      <c r="AN191" s="3">
        <v>300</v>
      </c>
      <c r="AO191" s="3">
        <v>216</v>
      </c>
      <c r="AP191" s="3">
        <v>384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</row>
    <row r="192" spans="1:49">
      <c r="A192" s="4" t="s">
        <v>40</v>
      </c>
      <c r="B192" s="4" t="str">
        <f t="shared" si="2"/>
        <v>Hair Care</v>
      </c>
      <c r="C192" s="4" t="s">
        <v>1786</v>
      </c>
      <c r="D192" s="4" t="s">
        <v>150</v>
      </c>
      <c r="E192" s="24" t="s">
        <v>42</v>
      </c>
      <c r="F192" s="12" t="s">
        <v>344</v>
      </c>
      <c r="G192" s="4" t="s">
        <v>1787</v>
      </c>
      <c r="H192" s="3">
        <v>156</v>
      </c>
      <c r="I192" s="3">
        <v>48</v>
      </c>
      <c r="J192" s="3">
        <v>132</v>
      </c>
      <c r="K192" s="3">
        <v>144</v>
      </c>
      <c r="L192" s="3">
        <v>60</v>
      </c>
      <c r="M192" s="3">
        <v>48</v>
      </c>
      <c r="N192" s="3">
        <v>96</v>
      </c>
      <c r="O192" s="3">
        <v>60</v>
      </c>
      <c r="P192" s="3">
        <v>144</v>
      </c>
      <c r="Q192" s="3">
        <v>120</v>
      </c>
      <c r="R192" s="3">
        <v>120</v>
      </c>
      <c r="S192" s="3">
        <v>156</v>
      </c>
      <c r="T192" s="3">
        <v>228</v>
      </c>
      <c r="U192" s="3">
        <v>348</v>
      </c>
      <c r="V192" s="3">
        <v>156</v>
      </c>
      <c r="W192" s="3">
        <v>36</v>
      </c>
      <c r="X192" s="3">
        <v>84</v>
      </c>
      <c r="Y192" s="3">
        <v>48</v>
      </c>
      <c r="Z192" s="3">
        <v>24</v>
      </c>
      <c r="AA192" s="3">
        <v>96</v>
      </c>
      <c r="AB192" s="3">
        <v>216</v>
      </c>
      <c r="AC192" s="3">
        <v>144</v>
      </c>
      <c r="AD192" s="3">
        <v>108</v>
      </c>
      <c r="AE192" s="3">
        <v>192</v>
      </c>
      <c r="AF192" s="3">
        <v>324</v>
      </c>
      <c r="AG192" s="3">
        <v>264</v>
      </c>
      <c r="AH192" s="3">
        <v>-12</v>
      </c>
      <c r="AI192" s="3">
        <v>444</v>
      </c>
      <c r="AJ192" s="3">
        <v>156</v>
      </c>
      <c r="AK192" s="3">
        <v>384</v>
      </c>
      <c r="AL192" s="3">
        <v>144</v>
      </c>
      <c r="AM192" s="3">
        <v>0</v>
      </c>
      <c r="AN192" s="3">
        <v>84</v>
      </c>
      <c r="AO192" s="3">
        <v>228</v>
      </c>
      <c r="AP192" s="3">
        <v>84</v>
      </c>
      <c r="AQ192" s="3">
        <v>0</v>
      </c>
      <c r="AR192" s="3">
        <v>60</v>
      </c>
      <c r="AS192" s="3">
        <v>144</v>
      </c>
      <c r="AT192" s="3">
        <v>60</v>
      </c>
      <c r="AU192" s="3">
        <v>0</v>
      </c>
      <c r="AV192" s="3">
        <v>0</v>
      </c>
      <c r="AW192" s="3">
        <v>0</v>
      </c>
    </row>
    <row r="193" spans="1:49">
      <c r="A193" s="4" t="s">
        <v>40</v>
      </c>
      <c r="B193" s="4" t="str">
        <f t="shared" si="2"/>
        <v>Hair Care</v>
      </c>
      <c r="C193" s="4" t="s">
        <v>1786</v>
      </c>
      <c r="D193" s="4" t="s">
        <v>150</v>
      </c>
      <c r="E193" s="24" t="s">
        <v>42</v>
      </c>
      <c r="F193" s="12" t="s">
        <v>345</v>
      </c>
      <c r="G193" s="4" t="s">
        <v>1787</v>
      </c>
      <c r="H193" s="3">
        <v>384</v>
      </c>
      <c r="I193" s="3">
        <v>204</v>
      </c>
      <c r="J193" s="3">
        <v>198</v>
      </c>
      <c r="K193" s="3">
        <v>204</v>
      </c>
      <c r="L193" s="3">
        <v>144</v>
      </c>
      <c r="M193" s="3">
        <v>78</v>
      </c>
      <c r="N193" s="3">
        <v>78</v>
      </c>
      <c r="O193" s="3">
        <v>114</v>
      </c>
      <c r="P193" s="3">
        <v>252</v>
      </c>
      <c r="Q193" s="3">
        <v>144</v>
      </c>
      <c r="R193" s="3">
        <v>102</v>
      </c>
      <c r="S193" s="3">
        <v>204</v>
      </c>
      <c r="T193" s="3">
        <v>432</v>
      </c>
      <c r="U193" s="3">
        <v>114</v>
      </c>
      <c r="V193" s="3">
        <v>12</v>
      </c>
      <c r="W193" s="3">
        <v>300</v>
      </c>
      <c r="X193" s="3">
        <v>438</v>
      </c>
      <c r="Y193" s="3">
        <v>113</v>
      </c>
      <c r="Z193" s="3">
        <v>108</v>
      </c>
      <c r="AA193" s="3">
        <v>90</v>
      </c>
      <c r="AB193" s="3">
        <v>162</v>
      </c>
      <c r="AC193" s="3">
        <v>54</v>
      </c>
      <c r="AD193" s="3">
        <v>36</v>
      </c>
      <c r="AE193" s="3">
        <v>150</v>
      </c>
      <c r="AF193" s="3">
        <v>84</v>
      </c>
      <c r="AG193" s="3">
        <v>174</v>
      </c>
      <c r="AH193" s="3">
        <v>294</v>
      </c>
      <c r="AI193" s="3">
        <v>72</v>
      </c>
      <c r="AJ193" s="3">
        <v>198</v>
      </c>
      <c r="AK193" s="3">
        <v>174</v>
      </c>
      <c r="AL193" s="3">
        <v>96</v>
      </c>
      <c r="AM193" s="3">
        <v>78</v>
      </c>
      <c r="AN193" s="3">
        <v>330</v>
      </c>
      <c r="AO193" s="3">
        <v>144</v>
      </c>
      <c r="AP193" s="3">
        <v>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</row>
    <row r="194" spans="1:49">
      <c r="A194" s="4" t="s">
        <v>40</v>
      </c>
      <c r="B194" s="4" t="str">
        <f t="shared" si="2"/>
        <v>Hair Care</v>
      </c>
      <c r="C194" s="4" t="s">
        <v>1786</v>
      </c>
      <c r="D194" s="4" t="s">
        <v>150</v>
      </c>
      <c r="E194" s="24" t="s">
        <v>42</v>
      </c>
      <c r="F194" s="12" t="s">
        <v>346</v>
      </c>
      <c r="G194" s="4" t="s">
        <v>1787</v>
      </c>
      <c r="H194" s="3">
        <v>633</v>
      </c>
      <c r="I194" s="3">
        <v>522</v>
      </c>
      <c r="J194" s="3">
        <v>24</v>
      </c>
      <c r="K194" s="3">
        <v>192</v>
      </c>
      <c r="L194" s="3">
        <v>246</v>
      </c>
      <c r="M194" s="3">
        <v>12</v>
      </c>
      <c r="N194" s="3">
        <v>24</v>
      </c>
      <c r="O194" s="3">
        <v>18</v>
      </c>
      <c r="P194" s="3">
        <v>48</v>
      </c>
      <c r="Q194" s="3">
        <v>42</v>
      </c>
      <c r="R194" s="3">
        <v>48</v>
      </c>
      <c r="S194" s="3">
        <v>30</v>
      </c>
      <c r="T194" s="3">
        <v>186</v>
      </c>
      <c r="U194" s="3">
        <v>114</v>
      </c>
      <c r="V194" s="3">
        <v>6</v>
      </c>
      <c r="W194" s="3">
        <v>36</v>
      </c>
      <c r="X194" s="3">
        <v>60</v>
      </c>
      <c r="Y194" s="3">
        <v>36</v>
      </c>
      <c r="Z194" s="3">
        <v>48</v>
      </c>
      <c r="AA194" s="3">
        <v>18</v>
      </c>
      <c r="AB194" s="3">
        <v>48</v>
      </c>
      <c r="AC194" s="3">
        <v>6</v>
      </c>
      <c r="AD194" s="3">
        <v>18</v>
      </c>
      <c r="AE194" s="3">
        <v>66</v>
      </c>
      <c r="AF194" s="3">
        <v>32</v>
      </c>
      <c r="AG194" s="3">
        <v>42</v>
      </c>
      <c r="AH194" s="3">
        <v>42</v>
      </c>
      <c r="AI194" s="3">
        <v>90</v>
      </c>
      <c r="AJ194" s="3">
        <v>84</v>
      </c>
      <c r="AK194" s="3">
        <v>81</v>
      </c>
      <c r="AL194" s="3">
        <v>180</v>
      </c>
      <c r="AM194" s="3">
        <v>180</v>
      </c>
      <c r="AN194" s="3">
        <v>180</v>
      </c>
      <c r="AO194" s="3">
        <v>95</v>
      </c>
      <c r="AP194" s="3">
        <v>0</v>
      </c>
      <c r="AQ194" s="3">
        <v>129</v>
      </c>
      <c r="AR194" s="3">
        <v>60</v>
      </c>
      <c r="AS194" s="3">
        <v>18</v>
      </c>
      <c r="AT194" s="3">
        <v>0</v>
      </c>
      <c r="AU194" s="3">
        <v>78</v>
      </c>
      <c r="AV194" s="3">
        <v>0</v>
      </c>
      <c r="AW194" s="3">
        <v>0</v>
      </c>
    </row>
    <row r="195" spans="1:49">
      <c r="A195" s="4" t="s">
        <v>40</v>
      </c>
      <c r="B195" s="4" t="str">
        <f t="shared" ref="B195:B258" si="3">A195</f>
        <v>Hair Care</v>
      </c>
      <c r="C195" s="4" t="s">
        <v>1786</v>
      </c>
      <c r="D195" s="4" t="s">
        <v>150</v>
      </c>
      <c r="E195" s="24" t="s">
        <v>42</v>
      </c>
      <c r="F195" s="12" t="s">
        <v>347</v>
      </c>
      <c r="G195" s="4" t="s">
        <v>1787</v>
      </c>
      <c r="H195" s="3">
        <v>495</v>
      </c>
      <c r="I195" s="3">
        <v>819</v>
      </c>
      <c r="J195" s="3">
        <v>273</v>
      </c>
      <c r="K195" s="3">
        <v>186</v>
      </c>
      <c r="L195" s="3">
        <v>210</v>
      </c>
      <c r="M195" s="3">
        <v>27</v>
      </c>
      <c r="N195" s="3">
        <v>36</v>
      </c>
      <c r="O195" s="3">
        <v>93</v>
      </c>
      <c r="P195" s="3">
        <v>60</v>
      </c>
      <c r="Q195" s="3">
        <v>45</v>
      </c>
      <c r="R195" s="3">
        <v>135</v>
      </c>
      <c r="S195" s="3">
        <v>132</v>
      </c>
      <c r="T195" s="3">
        <v>234</v>
      </c>
      <c r="U195" s="3">
        <v>84</v>
      </c>
      <c r="V195" s="3">
        <v>129</v>
      </c>
      <c r="W195" s="3">
        <v>141</v>
      </c>
      <c r="X195" s="3">
        <v>321</v>
      </c>
      <c r="Y195" s="3">
        <v>141</v>
      </c>
      <c r="Z195" s="3">
        <v>1</v>
      </c>
      <c r="AA195" s="3">
        <v>150</v>
      </c>
      <c r="AB195" s="3">
        <v>120</v>
      </c>
      <c r="AC195" s="3">
        <v>36</v>
      </c>
      <c r="AD195" s="3">
        <v>174</v>
      </c>
      <c r="AE195" s="3">
        <v>105</v>
      </c>
      <c r="AF195" s="3">
        <v>192</v>
      </c>
      <c r="AG195" s="3">
        <v>15</v>
      </c>
      <c r="AH195" s="3">
        <v>0</v>
      </c>
      <c r="AI195" s="3">
        <v>264</v>
      </c>
      <c r="AJ195" s="3">
        <v>205</v>
      </c>
      <c r="AK195" s="3">
        <v>66</v>
      </c>
      <c r="AL195" s="3">
        <v>63</v>
      </c>
      <c r="AM195" s="3">
        <v>12</v>
      </c>
      <c r="AN195" s="3">
        <v>468</v>
      </c>
      <c r="AO195" s="3">
        <v>142</v>
      </c>
      <c r="AP195" s="3">
        <v>127</v>
      </c>
      <c r="AQ195" s="3">
        <v>57</v>
      </c>
      <c r="AR195" s="3">
        <v>363</v>
      </c>
      <c r="AS195" s="3">
        <v>210</v>
      </c>
      <c r="AT195" s="3">
        <v>128</v>
      </c>
      <c r="AU195" s="3">
        <v>102</v>
      </c>
      <c r="AV195" s="3">
        <v>111</v>
      </c>
      <c r="AW195" s="3">
        <v>8</v>
      </c>
    </row>
    <row r="196" spans="1:49">
      <c r="A196" s="4" t="s">
        <v>40</v>
      </c>
      <c r="B196" s="4" t="str">
        <f t="shared" si="3"/>
        <v>Hair Care</v>
      </c>
      <c r="C196" s="4" t="s">
        <v>1786</v>
      </c>
      <c r="D196" s="4" t="s">
        <v>150</v>
      </c>
      <c r="E196" s="24" t="s">
        <v>42</v>
      </c>
      <c r="F196" s="12" t="s">
        <v>348</v>
      </c>
      <c r="G196" s="4" t="s">
        <v>1787</v>
      </c>
      <c r="H196" s="3">
        <v>600</v>
      </c>
      <c r="I196" s="3">
        <v>280</v>
      </c>
      <c r="J196" s="3">
        <v>0</v>
      </c>
      <c r="K196" s="3">
        <v>395</v>
      </c>
      <c r="L196" s="3">
        <v>432</v>
      </c>
      <c r="M196" s="3">
        <v>24</v>
      </c>
      <c r="N196" s="3">
        <v>24</v>
      </c>
      <c r="O196" s="3">
        <v>24</v>
      </c>
      <c r="P196" s="3">
        <v>36</v>
      </c>
      <c r="Q196" s="3">
        <v>12</v>
      </c>
      <c r="R196" s="3">
        <v>12</v>
      </c>
      <c r="S196" s="3">
        <v>72</v>
      </c>
      <c r="T196" s="3">
        <v>24</v>
      </c>
      <c r="U196" s="3">
        <v>84</v>
      </c>
      <c r="V196" s="3">
        <v>24</v>
      </c>
      <c r="W196" s="3">
        <v>24</v>
      </c>
      <c r="X196" s="3">
        <v>36</v>
      </c>
      <c r="Y196" s="3">
        <v>36</v>
      </c>
      <c r="Z196" s="3">
        <v>72</v>
      </c>
      <c r="AA196" s="3">
        <v>24</v>
      </c>
      <c r="AB196" s="3">
        <v>72</v>
      </c>
      <c r="AC196" s="3">
        <v>48</v>
      </c>
      <c r="AD196" s="3">
        <v>12</v>
      </c>
      <c r="AE196" s="3">
        <v>0</v>
      </c>
      <c r="AF196" s="3">
        <v>48</v>
      </c>
      <c r="AG196" s="3">
        <v>60</v>
      </c>
      <c r="AH196" s="3">
        <v>48</v>
      </c>
      <c r="AI196" s="3">
        <v>24</v>
      </c>
      <c r="AJ196" s="3">
        <v>156</v>
      </c>
      <c r="AK196" s="3">
        <v>72</v>
      </c>
      <c r="AL196" s="3">
        <v>84</v>
      </c>
      <c r="AM196" s="3">
        <v>24</v>
      </c>
      <c r="AN196" s="3">
        <v>60</v>
      </c>
      <c r="AO196" s="3">
        <v>36</v>
      </c>
      <c r="AP196" s="3">
        <v>36</v>
      </c>
      <c r="AQ196" s="3">
        <v>108</v>
      </c>
      <c r="AR196" s="3">
        <v>132</v>
      </c>
      <c r="AS196" s="3">
        <v>48</v>
      </c>
      <c r="AT196" s="3">
        <v>96</v>
      </c>
      <c r="AU196" s="3">
        <v>108</v>
      </c>
      <c r="AV196" s="3">
        <v>120</v>
      </c>
      <c r="AW196" s="3">
        <v>84</v>
      </c>
    </row>
    <row r="197" spans="1:49">
      <c r="A197" s="4" t="s">
        <v>40</v>
      </c>
      <c r="B197" s="4" t="str">
        <f t="shared" si="3"/>
        <v>Hair Care</v>
      </c>
      <c r="C197" s="4" t="s">
        <v>1786</v>
      </c>
      <c r="D197" s="4" t="s">
        <v>150</v>
      </c>
      <c r="E197" s="24" t="s">
        <v>42</v>
      </c>
      <c r="F197" s="12" t="s">
        <v>349</v>
      </c>
      <c r="G197" s="4" t="s">
        <v>1787</v>
      </c>
      <c r="H197" s="3">
        <v>480</v>
      </c>
      <c r="I197" s="3">
        <v>1536</v>
      </c>
      <c r="J197" s="3">
        <v>294</v>
      </c>
      <c r="K197" s="3">
        <v>2568</v>
      </c>
      <c r="L197" s="3">
        <v>786</v>
      </c>
      <c r="M197" s="3">
        <v>2352</v>
      </c>
      <c r="N197" s="3">
        <v>378</v>
      </c>
      <c r="O197" s="3">
        <v>822</v>
      </c>
      <c r="P197" s="3">
        <v>1344</v>
      </c>
      <c r="Q197" s="3">
        <v>942</v>
      </c>
      <c r="R197" s="3">
        <v>462</v>
      </c>
      <c r="S197" s="3">
        <v>798</v>
      </c>
      <c r="T197" s="3">
        <v>1584</v>
      </c>
      <c r="U197" s="3">
        <v>1356</v>
      </c>
      <c r="V197" s="3">
        <v>804</v>
      </c>
      <c r="W197" s="3">
        <v>798</v>
      </c>
      <c r="X197" s="3">
        <v>774</v>
      </c>
      <c r="Y197" s="3">
        <v>372</v>
      </c>
      <c r="Z197" s="3">
        <v>510</v>
      </c>
      <c r="AA197" s="3">
        <v>168</v>
      </c>
      <c r="AB197" s="3">
        <v>720</v>
      </c>
      <c r="AC197" s="3">
        <v>180</v>
      </c>
      <c r="AD197" s="3">
        <v>612</v>
      </c>
      <c r="AE197" s="3">
        <v>588</v>
      </c>
      <c r="AF197" s="3">
        <v>660</v>
      </c>
      <c r="AG197" s="3">
        <v>492</v>
      </c>
      <c r="AH197" s="3">
        <v>480</v>
      </c>
      <c r="AI197" s="3">
        <v>372</v>
      </c>
      <c r="AJ197" s="3">
        <v>312</v>
      </c>
      <c r="AK197" s="3">
        <v>264</v>
      </c>
      <c r="AL197" s="3">
        <v>228</v>
      </c>
      <c r="AM197" s="3">
        <v>372</v>
      </c>
      <c r="AN197" s="3">
        <v>396</v>
      </c>
      <c r="AO197" s="3">
        <v>1200</v>
      </c>
      <c r="AP197" s="3">
        <v>780</v>
      </c>
      <c r="AQ197" s="3">
        <v>240</v>
      </c>
      <c r="AR197" s="3">
        <v>720</v>
      </c>
      <c r="AS197" s="3">
        <v>570</v>
      </c>
      <c r="AT197" s="3">
        <v>552</v>
      </c>
      <c r="AU197" s="3">
        <v>612</v>
      </c>
      <c r="AV197" s="3">
        <v>774</v>
      </c>
      <c r="AW197" s="3">
        <v>600</v>
      </c>
    </row>
    <row r="198" spans="1:49">
      <c r="A198" s="4" t="s">
        <v>40</v>
      </c>
      <c r="B198" s="4" t="str">
        <f t="shared" si="3"/>
        <v>Hair Care</v>
      </c>
      <c r="C198" s="4" t="s">
        <v>1786</v>
      </c>
      <c r="D198" s="4" t="s">
        <v>150</v>
      </c>
      <c r="E198" s="24" t="s">
        <v>42</v>
      </c>
      <c r="F198" s="12" t="s">
        <v>350</v>
      </c>
      <c r="G198" s="4" t="s">
        <v>1787</v>
      </c>
      <c r="H198" s="3">
        <v>2808</v>
      </c>
      <c r="I198" s="3">
        <v>1476</v>
      </c>
      <c r="J198" s="3">
        <v>228</v>
      </c>
      <c r="K198" s="3">
        <v>300</v>
      </c>
      <c r="L198" s="3">
        <v>348</v>
      </c>
      <c r="M198" s="3">
        <v>948</v>
      </c>
      <c r="N198" s="3">
        <v>336</v>
      </c>
      <c r="O198" s="3">
        <v>11256</v>
      </c>
      <c r="P198" s="3">
        <v>4728</v>
      </c>
      <c r="Q198" s="3">
        <v>390</v>
      </c>
      <c r="R198" s="3">
        <v>54</v>
      </c>
      <c r="S198" s="3">
        <v>96</v>
      </c>
      <c r="T198" s="3">
        <v>0</v>
      </c>
      <c r="U198" s="3">
        <v>834</v>
      </c>
      <c r="V198" s="3">
        <v>0</v>
      </c>
      <c r="W198" s="3">
        <v>0</v>
      </c>
      <c r="X198" s="3">
        <v>-678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</row>
    <row r="199" spans="1:49">
      <c r="A199" s="4" t="s">
        <v>40</v>
      </c>
      <c r="B199" s="4" t="str">
        <f t="shared" si="3"/>
        <v>Hair Care</v>
      </c>
      <c r="C199" s="4" t="s">
        <v>1786</v>
      </c>
      <c r="D199" s="4" t="s">
        <v>150</v>
      </c>
      <c r="E199" s="24" t="s">
        <v>42</v>
      </c>
      <c r="F199" s="12" t="s">
        <v>351</v>
      </c>
      <c r="G199" s="4" t="s">
        <v>1787</v>
      </c>
      <c r="H199" s="3">
        <v>2892</v>
      </c>
      <c r="I199" s="3">
        <v>1948</v>
      </c>
      <c r="J199" s="3">
        <v>1002</v>
      </c>
      <c r="K199" s="3">
        <v>2843</v>
      </c>
      <c r="L199" s="3">
        <v>930</v>
      </c>
      <c r="M199" s="3">
        <v>3036</v>
      </c>
      <c r="N199" s="3">
        <v>630</v>
      </c>
      <c r="O199" s="3">
        <v>1122</v>
      </c>
      <c r="P199" s="3">
        <v>1716</v>
      </c>
      <c r="Q199" s="3">
        <v>1146</v>
      </c>
      <c r="R199" s="3">
        <v>1062</v>
      </c>
      <c r="S199" s="3">
        <v>1146</v>
      </c>
      <c r="T199" s="3">
        <v>2316</v>
      </c>
      <c r="U199" s="3">
        <v>1668</v>
      </c>
      <c r="V199" s="3">
        <v>1104</v>
      </c>
      <c r="W199" s="3">
        <v>918</v>
      </c>
      <c r="X199" s="3">
        <v>1098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</row>
    <row r="200" spans="1:49">
      <c r="A200" s="4" t="s">
        <v>40</v>
      </c>
      <c r="B200" s="4" t="str">
        <f t="shared" si="3"/>
        <v>Hair Care</v>
      </c>
      <c r="C200" s="4" t="s">
        <v>1786</v>
      </c>
      <c r="D200" s="4" t="s">
        <v>150</v>
      </c>
      <c r="E200" s="24" t="s">
        <v>42</v>
      </c>
      <c r="F200" s="12" t="s">
        <v>352</v>
      </c>
      <c r="G200" s="4" t="s">
        <v>1787</v>
      </c>
      <c r="H200" s="3">
        <v>1164</v>
      </c>
      <c r="I200" s="3">
        <v>612</v>
      </c>
      <c r="J200" s="3">
        <v>0</v>
      </c>
      <c r="K200" s="3">
        <v>12</v>
      </c>
      <c r="L200" s="3">
        <v>48</v>
      </c>
      <c r="M200" s="3">
        <v>72</v>
      </c>
      <c r="N200" s="3">
        <v>0</v>
      </c>
      <c r="O200" s="3">
        <v>24</v>
      </c>
      <c r="P200" s="3">
        <v>72</v>
      </c>
      <c r="Q200" s="3">
        <v>12</v>
      </c>
      <c r="R200" s="3">
        <v>48</v>
      </c>
      <c r="S200" s="3">
        <v>144</v>
      </c>
      <c r="T200" s="3">
        <v>204</v>
      </c>
      <c r="U200" s="3">
        <v>144</v>
      </c>
      <c r="V200" s="3">
        <v>96</v>
      </c>
      <c r="W200" s="3">
        <v>96</v>
      </c>
      <c r="X200" s="3">
        <v>204</v>
      </c>
      <c r="Y200" s="3">
        <v>0</v>
      </c>
      <c r="Z200" s="3">
        <v>12</v>
      </c>
      <c r="AA200" s="3">
        <v>0</v>
      </c>
      <c r="AB200" s="3">
        <v>240</v>
      </c>
      <c r="AC200" s="3">
        <v>72</v>
      </c>
      <c r="AD200" s="3">
        <v>48</v>
      </c>
      <c r="AE200" s="3">
        <v>48</v>
      </c>
      <c r="AF200" s="3">
        <v>108</v>
      </c>
      <c r="AG200" s="3">
        <v>60</v>
      </c>
      <c r="AH200" s="3">
        <v>96</v>
      </c>
      <c r="AI200" s="3">
        <v>144</v>
      </c>
      <c r="AJ200" s="3">
        <v>0</v>
      </c>
      <c r="AK200" s="3">
        <v>24</v>
      </c>
      <c r="AL200" s="3">
        <v>36</v>
      </c>
      <c r="AM200" s="3">
        <v>60</v>
      </c>
      <c r="AN200" s="3">
        <v>60</v>
      </c>
      <c r="AO200" s="3">
        <v>108</v>
      </c>
      <c r="AP200" s="3">
        <v>180</v>
      </c>
      <c r="AQ200" s="3">
        <v>12</v>
      </c>
      <c r="AR200" s="3">
        <v>0</v>
      </c>
      <c r="AS200" s="3">
        <v>312</v>
      </c>
      <c r="AT200" s="3">
        <v>24</v>
      </c>
      <c r="AU200" s="3">
        <v>60</v>
      </c>
      <c r="AV200" s="3">
        <v>0</v>
      </c>
      <c r="AW200" s="3">
        <v>144</v>
      </c>
    </row>
    <row r="201" spans="1:49">
      <c r="A201" s="4" t="s">
        <v>40</v>
      </c>
      <c r="B201" s="4" t="str">
        <f t="shared" si="3"/>
        <v>Hair Care</v>
      </c>
      <c r="C201" s="4" t="s">
        <v>1786</v>
      </c>
      <c r="D201" s="4" t="s">
        <v>150</v>
      </c>
      <c r="E201" s="24" t="s">
        <v>42</v>
      </c>
      <c r="F201" s="12" t="s">
        <v>353</v>
      </c>
      <c r="G201" s="4" t="s">
        <v>1787</v>
      </c>
      <c r="H201" s="3">
        <v>1080</v>
      </c>
      <c r="I201" s="3">
        <v>492</v>
      </c>
      <c r="J201" s="3">
        <v>336</v>
      </c>
      <c r="K201" s="3">
        <v>192</v>
      </c>
      <c r="L201" s="3">
        <v>240</v>
      </c>
      <c r="M201" s="3">
        <v>192</v>
      </c>
      <c r="N201" s="3">
        <v>84</v>
      </c>
      <c r="O201" s="3">
        <v>96</v>
      </c>
      <c r="P201" s="3">
        <v>96</v>
      </c>
      <c r="Q201" s="3">
        <v>192</v>
      </c>
      <c r="R201" s="3">
        <v>156</v>
      </c>
      <c r="S201" s="3">
        <v>252</v>
      </c>
      <c r="T201" s="3">
        <v>372</v>
      </c>
      <c r="U201" s="3">
        <v>1008</v>
      </c>
      <c r="V201" s="3">
        <v>120</v>
      </c>
      <c r="W201" s="3">
        <v>60</v>
      </c>
      <c r="X201" s="3">
        <v>108</v>
      </c>
      <c r="Y201" s="3">
        <v>96</v>
      </c>
      <c r="Z201" s="3">
        <v>144</v>
      </c>
      <c r="AA201" s="3">
        <v>108</v>
      </c>
      <c r="AB201" s="3">
        <v>384</v>
      </c>
      <c r="AC201" s="3">
        <v>36</v>
      </c>
      <c r="AD201" s="3">
        <v>420</v>
      </c>
      <c r="AE201" s="3">
        <v>372</v>
      </c>
      <c r="AF201" s="3">
        <v>456</v>
      </c>
      <c r="AG201" s="3">
        <v>0</v>
      </c>
      <c r="AH201" s="3">
        <v>0</v>
      </c>
      <c r="AI201" s="3">
        <v>888</v>
      </c>
      <c r="AJ201" s="3">
        <v>408</v>
      </c>
      <c r="AK201" s="3">
        <v>240</v>
      </c>
      <c r="AL201" s="3">
        <v>288</v>
      </c>
      <c r="AM201" s="3">
        <v>156</v>
      </c>
      <c r="AN201" s="3">
        <v>288</v>
      </c>
      <c r="AO201" s="3">
        <v>444</v>
      </c>
      <c r="AP201" s="3">
        <v>600</v>
      </c>
      <c r="AQ201" s="3">
        <v>432</v>
      </c>
      <c r="AR201" s="3">
        <v>432</v>
      </c>
      <c r="AS201" s="3">
        <v>888</v>
      </c>
      <c r="AT201" s="3">
        <v>396</v>
      </c>
      <c r="AU201" s="3">
        <v>348</v>
      </c>
      <c r="AV201" s="3">
        <v>312</v>
      </c>
      <c r="AW201" s="3">
        <v>444</v>
      </c>
    </row>
    <row r="202" spans="1:49">
      <c r="A202" s="4" t="s">
        <v>40</v>
      </c>
      <c r="B202" s="4" t="str">
        <f t="shared" si="3"/>
        <v>Hair Care</v>
      </c>
      <c r="C202" s="4" t="s">
        <v>1786</v>
      </c>
      <c r="D202" s="4" t="s">
        <v>150</v>
      </c>
      <c r="E202" s="24" t="s">
        <v>42</v>
      </c>
      <c r="F202" s="12" t="s">
        <v>354</v>
      </c>
      <c r="G202" s="4" t="s">
        <v>1787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2076</v>
      </c>
      <c r="Z202" s="3">
        <v>2712</v>
      </c>
      <c r="AA202" s="3">
        <v>444</v>
      </c>
      <c r="AB202" s="3">
        <v>456</v>
      </c>
      <c r="AC202" s="3">
        <v>3084</v>
      </c>
      <c r="AD202" s="3">
        <v>312</v>
      </c>
      <c r="AE202" s="3">
        <v>492</v>
      </c>
      <c r="AF202" s="3">
        <v>720</v>
      </c>
      <c r="AG202" s="3">
        <v>576</v>
      </c>
      <c r="AH202" s="3">
        <v>588</v>
      </c>
      <c r="AI202" s="3">
        <v>492</v>
      </c>
      <c r="AJ202" s="3">
        <v>492</v>
      </c>
      <c r="AK202" s="3">
        <v>336</v>
      </c>
      <c r="AL202" s="3">
        <v>372</v>
      </c>
      <c r="AM202" s="3">
        <v>612</v>
      </c>
      <c r="AN202" s="3">
        <v>540</v>
      </c>
      <c r="AO202" s="3">
        <v>1368</v>
      </c>
      <c r="AP202" s="3">
        <v>1476</v>
      </c>
      <c r="AQ202" s="3">
        <v>600</v>
      </c>
      <c r="AR202" s="3">
        <v>588</v>
      </c>
      <c r="AS202" s="3">
        <v>1188</v>
      </c>
      <c r="AT202" s="3">
        <v>816</v>
      </c>
      <c r="AU202" s="3">
        <v>840</v>
      </c>
      <c r="AV202" s="3">
        <v>1128</v>
      </c>
      <c r="AW202" s="3">
        <v>432</v>
      </c>
    </row>
    <row r="203" spans="1:49">
      <c r="A203" s="4" t="s">
        <v>40</v>
      </c>
      <c r="B203" s="4" t="str">
        <f t="shared" si="3"/>
        <v>Hair Care</v>
      </c>
      <c r="C203" s="4" t="s">
        <v>1786</v>
      </c>
      <c r="D203" s="4" t="s">
        <v>150</v>
      </c>
      <c r="E203" s="24" t="s">
        <v>42</v>
      </c>
      <c r="F203" s="12" t="s">
        <v>355</v>
      </c>
      <c r="G203" s="4" t="s">
        <v>1787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1116</v>
      </c>
      <c r="Z203" s="3">
        <v>1992</v>
      </c>
      <c r="AA203" s="3">
        <v>264</v>
      </c>
      <c r="AB203" s="3">
        <v>180</v>
      </c>
      <c r="AC203" s="3">
        <v>1644</v>
      </c>
      <c r="AD203" s="3">
        <v>96</v>
      </c>
      <c r="AE203" s="3">
        <v>204</v>
      </c>
      <c r="AF203" s="3">
        <v>180</v>
      </c>
      <c r="AG203" s="3">
        <v>168</v>
      </c>
      <c r="AH203" s="3">
        <v>264</v>
      </c>
      <c r="AI203" s="3">
        <v>48</v>
      </c>
      <c r="AJ203" s="3">
        <v>672</v>
      </c>
      <c r="AK203" s="3">
        <v>180</v>
      </c>
      <c r="AL203" s="3">
        <v>192</v>
      </c>
      <c r="AM203" s="3">
        <v>204</v>
      </c>
      <c r="AN203" s="3">
        <v>372</v>
      </c>
      <c r="AO203" s="3">
        <v>168</v>
      </c>
      <c r="AP203" s="3">
        <v>276</v>
      </c>
      <c r="AQ203" s="3">
        <v>84</v>
      </c>
      <c r="AR203" s="3">
        <v>546</v>
      </c>
      <c r="AS203" s="3">
        <v>312</v>
      </c>
      <c r="AT203" s="3">
        <v>222</v>
      </c>
      <c r="AU203" s="3">
        <v>156</v>
      </c>
      <c r="AV203" s="3">
        <v>216</v>
      </c>
      <c r="AW203" s="3">
        <v>156</v>
      </c>
    </row>
    <row r="204" spans="1:49">
      <c r="A204" s="4" t="s">
        <v>40</v>
      </c>
      <c r="B204" s="4" t="str">
        <f t="shared" si="3"/>
        <v>Hair Care</v>
      </c>
      <c r="C204" s="4" t="s">
        <v>1786</v>
      </c>
      <c r="D204" s="4" t="s">
        <v>150</v>
      </c>
      <c r="E204" s="24" t="s">
        <v>42</v>
      </c>
      <c r="F204" s="12" t="s">
        <v>356</v>
      </c>
      <c r="G204" s="4" t="s">
        <v>1787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1836</v>
      </c>
      <c r="Z204" s="3">
        <v>1512</v>
      </c>
      <c r="AA204" s="3">
        <v>0</v>
      </c>
      <c r="AB204" s="3">
        <v>492</v>
      </c>
      <c r="AC204" s="3">
        <v>696</v>
      </c>
      <c r="AD204" s="3">
        <v>24</v>
      </c>
      <c r="AE204" s="3">
        <v>300</v>
      </c>
      <c r="AF204" s="3">
        <v>624</v>
      </c>
      <c r="AG204" s="3">
        <v>120</v>
      </c>
      <c r="AH204" s="3">
        <v>48</v>
      </c>
      <c r="AI204" s="3">
        <v>72</v>
      </c>
      <c r="AJ204" s="3">
        <v>144</v>
      </c>
      <c r="AK204" s="3">
        <v>36</v>
      </c>
      <c r="AL204" s="3">
        <v>888</v>
      </c>
      <c r="AM204" s="3">
        <v>672</v>
      </c>
      <c r="AN204" s="3">
        <v>180</v>
      </c>
      <c r="AO204" s="3">
        <v>72</v>
      </c>
      <c r="AP204" s="3">
        <v>540</v>
      </c>
      <c r="AQ204" s="3">
        <v>672</v>
      </c>
      <c r="AR204" s="3">
        <v>372</v>
      </c>
      <c r="AS204" s="3">
        <v>396</v>
      </c>
      <c r="AT204" s="3">
        <v>0</v>
      </c>
      <c r="AU204" s="3">
        <v>84</v>
      </c>
      <c r="AV204" s="3">
        <v>528</v>
      </c>
      <c r="AW204" s="3">
        <v>612</v>
      </c>
    </row>
    <row r="205" spans="1:49">
      <c r="A205" s="4" t="s">
        <v>40</v>
      </c>
      <c r="B205" s="4" t="str">
        <f t="shared" si="3"/>
        <v>Hair Care</v>
      </c>
      <c r="C205" s="4" t="s">
        <v>1786</v>
      </c>
      <c r="D205" s="4" t="s">
        <v>150</v>
      </c>
      <c r="E205" s="24" t="s">
        <v>42</v>
      </c>
      <c r="F205" s="12" t="s">
        <v>357</v>
      </c>
      <c r="G205" s="4" t="s">
        <v>1787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1056</v>
      </c>
      <c r="AW205" s="3">
        <v>528</v>
      </c>
    </row>
    <row r="206" spans="1:49">
      <c r="A206" s="4" t="s">
        <v>40</v>
      </c>
      <c r="B206" s="4" t="str">
        <f t="shared" si="3"/>
        <v>Hair Care</v>
      </c>
      <c r="C206" s="4" t="s">
        <v>1786</v>
      </c>
      <c r="D206" s="4" t="s">
        <v>150</v>
      </c>
      <c r="E206" s="24" t="s">
        <v>42</v>
      </c>
      <c r="F206" s="12" t="s">
        <v>358</v>
      </c>
      <c r="G206" s="4" t="s">
        <v>1787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1272</v>
      </c>
      <c r="AW206" s="3">
        <v>324</v>
      </c>
    </row>
    <row r="207" spans="1:49">
      <c r="A207" s="4" t="s">
        <v>40</v>
      </c>
      <c r="B207" s="4" t="str">
        <f t="shared" si="3"/>
        <v>Hair Care</v>
      </c>
      <c r="C207" s="4" t="s">
        <v>1786</v>
      </c>
      <c r="D207" s="4" t="s">
        <v>150</v>
      </c>
      <c r="E207" s="24" t="s">
        <v>42</v>
      </c>
      <c r="F207" s="12" t="s">
        <v>359</v>
      </c>
      <c r="G207" s="4" t="s">
        <v>1787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756</v>
      </c>
      <c r="AW207" s="3">
        <v>666</v>
      </c>
    </row>
    <row r="208" spans="1:49">
      <c r="A208" s="4" t="s">
        <v>40</v>
      </c>
      <c r="B208" s="4" t="str">
        <f t="shared" si="3"/>
        <v>Hair Care</v>
      </c>
      <c r="C208" s="4" t="s">
        <v>1786</v>
      </c>
      <c r="D208" s="4" t="s">
        <v>150</v>
      </c>
      <c r="E208" s="24" t="s">
        <v>42</v>
      </c>
      <c r="F208" s="12" t="s">
        <v>360</v>
      </c>
      <c r="G208" s="4" t="s">
        <v>1787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1884</v>
      </c>
      <c r="Z208" s="3">
        <v>5604</v>
      </c>
      <c r="AA208" s="3">
        <v>408</v>
      </c>
      <c r="AB208" s="3">
        <v>1308</v>
      </c>
      <c r="AC208" s="3">
        <v>1776</v>
      </c>
      <c r="AD208" s="3">
        <v>0</v>
      </c>
      <c r="AE208" s="3">
        <v>576</v>
      </c>
      <c r="AF208" s="3">
        <v>624</v>
      </c>
      <c r="AG208" s="3">
        <v>312</v>
      </c>
      <c r="AH208" s="3">
        <v>252</v>
      </c>
      <c r="AI208" s="3">
        <v>612</v>
      </c>
      <c r="AJ208" s="3">
        <v>1080</v>
      </c>
      <c r="AK208" s="3">
        <v>792</v>
      </c>
      <c r="AL208" s="3">
        <v>312</v>
      </c>
      <c r="AM208" s="3">
        <v>456</v>
      </c>
      <c r="AN208" s="3">
        <v>876</v>
      </c>
      <c r="AO208" s="3">
        <v>1884</v>
      </c>
      <c r="AP208" s="3">
        <v>1068</v>
      </c>
      <c r="AQ208" s="3">
        <v>672</v>
      </c>
      <c r="AR208" s="3">
        <v>930</v>
      </c>
      <c r="AS208" s="3">
        <v>1044</v>
      </c>
      <c r="AT208" s="3">
        <v>1542</v>
      </c>
      <c r="AU208" s="3">
        <v>804</v>
      </c>
      <c r="AV208" s="3">
        <v>648</v>
      </c>
      <c r="AW208" s="3">
        <v>1020</v>
      </c>
    </row>
    <row r="209" spans="1:49">
      <c r="A209" s="4" t="s">
        <v>40</v>
      </c>
      <c r="B209" s="4" t="str">
        <f t="shared" si="3"/>
        <v>Hair Care</v>
      </c>
      <c r="C209" s="4" t="s">
        <v>1786</v>
      </c>
      <c r="D209" s="4" t="s">
        <v>150</v>
      </c>
      <c r="E209" s="24" t="s">
        <v>42</v>
      </c>
      <c r="F209" s="12" t="s">
        <v>361</v>
      </c>
      <c r="G209" s="4" t="s">
        <v>1787</v>
      </c>
      <c r="H209" s="3">
        <v>120</v>
      </c>
      <c r="I209" s="3">
        <v>180</v>
      </c>
      <c r="J209" s="3">
        <v>120</v>
      </c>
      <c r="K209" s="3">
        <v>132</v>
      </c>
      <c r="L209" s="3">
        <v>144</v>
      </c>
      <c r="M209" s="3">
        <v>132</v>
      </c>
      <c r="N209" s="3">
        <v>60</v>
      </c>
      <c r="O209" s="3">
        <v>156</v>
      </c>
      <c r="P209" s="3">
        <v>156</v>
      </c>
      <c r="Q209" s="3">
        <v>120</v>
      </c>
      <c r="R209" s="3">
        <v>132</v>
      </c>
      <c r="S209" s="3">
        <v>36</v>
      </c>
      <c r="T209" s="3">
        <v>144</v>
      </c>
      <c r="U209" s="3">
        <v>96</v>
      </c>
      <c r="V209" s="3">
        <v>108</v>
      </c>
      <c r="W209" s="3">
        <v>120</v>
      </c>
      <c r="X209" s="3">
        <v>216</v>
      </c>
      <c r="Y209" s="3">
        <v>120</v>
      </c>
      <c r="Z209" s="3">
        <v>72</v>
      </c>
      <c r="AA209" s="3">
        <v>0</v>
      </c>
      <c r="AB209" s="3">
        <v>0</v>
      </c>
      <c r="AC209" s="3">
        <v>252</v>
      </c>
      <c r="AD209" s="3">
        <v>84</v>
      </c>
      <c r="AE209" s="3">
        <v>120</v>
      </c>
      <c r="AF209" s="3">
        <v>204</v>
      </c>
      <c r="AG209" s="3">
        <v>144</v>
      </c>
      <c r="AH209" s="3">
        <v>83</v>
      </c>
      <c r="AI209" s="3">
        <v>120</v>
      </c>
      <c r="AJ209" s="3">
        <v>192</v>
      </c>
      <c r="AK209" s="3">
        <v>60</v>
      </c>
      <c r="AL209" s="3">
        <v>192</v>
      </c>
      <c r="AM209" s="3">
        <v>48</v>
      </c>
      <c r="AN209" s="3">
        <v>252</v>
      </c>
      <c r="AO209" s="3">
        <v>156</v>
      </c>
      <c r="AP209" s="3">
        <v>156</v>
      </c>
      <c r="AQ209" s="3">
        <v>72</v>
      </c>
      <c r="AR209" s="3">
        <v>144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</row>
    <row r="210" spans="1:49">
      <c r="A210" s="4" t="s">
        <v>40</v>
      </c>
      <c r="B210" s="4" t="str">
        <f t="shared" si="3"/>
        <v>Hair Care</v>
      </c>
      <c r="C210" s="4" t="s">
        <v>1786</v>
      </c>
      <c r="D210" s="4" t="s">
        <v>150</v>
      </c>
      <c r="E210" s="24" t="s">
        <v>42</v>
      </c>
      <c r="F210" s="12" t="s">
        <v>362</v>
      </c>
      <c r="G210" s="4" t="s">
        <v>1787</v>
      </c>
      <c r="H210" s="3">
        <v>261</v>
      </c>
      <c r="I210" s="3">
        <v>186</v>
      </c>
      <c r="J210" s="3">
        <v>195</v>
      </c>
      <c r="K210" s="3">
        <v>105</v>
      </c>
      <c r="L210" s="3">
        <v>186</v>
      </c>
      <c r="M210" s="3">
        <v>105</v>
      </c>
      <c r="N210" s="3">
        <v>123</v>
      </c>
      <c r="O210" s="3">
        <v>123</v>
      </c>
      <c r="P210" s="3">
        <v>144</v>
      </c>
      <c r="Q210" s="3">
        <v>231</v>
      </c>
      <c r="R210" s="3">
        <v>99</v>
      </c>
      <c r="S210" s="3">
        <v>171</v>
      </c>
      <c r="T210" s="3">
        <v>300</v>
      </c>
      <c r="U210" s="3">
        <v>414</v>
      </c>
      <c r="V210" s="3">
        <v>84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</row>
    <row r="211" spans="1:49">
      <c r="A211" s="4" t="s">
        <v>40</v>
      </c>
      <c r="B211" s="4" t="str">
        <f t="shared" si="3"/>
        <v>Hair Care</v>
      </c>
      <c r="C211" s="4" t="s">
        <v>1786</v>
      </c>
      <c r="D211" s="4" t="s">
        <v>150</v>
      </c>
      <c r="E211" s="24" t="s">
        <v>42</v>
      </c>
      <c r="F211" s="12" t="s">
        <v>363</v>
      </c>
      <c r="G211" s="4" t="s">
        <v>1787</v>
      </c>
      <c r="H211" s="3">
        <v>1518</v>
      </c>
      <c r="I211" s="3">
        <v>1992</v>
      </c>
      <c r="J211" s="3">
        <v>672</v>
      </c>
      <c r="K211" s="3">
        <v>2598</v>
      </c>
      <c r="L211" s="3">
        <v>2538</v>
      </c>
      <c r="M211" s="3">
        <v>2598</v>
      </c>
      <c r="N211" s="3">
        <v>900</v>
      </c>
      <c r="O211" s="3">
        <v>1224</v>
      </c>
      <c r="P211" s="3">
        <v>2184</v>
      </c>
      <c r="Q211" s="3">
        <v>1800</v>
      </c>
      <c r="R211" s="3">
        <v>1266</v>
      </c>
      <c r="S211" s="3">
        <v>1320</v>
      </c>
      <c r="T211" s="3">
        <v>2964</v>
      </c>
      <c r="U211" s="3">
        <v>1806</v>
      </c>
      <c r="V211" s="3">
        <v>342</v>
      </c>
      <c r="W211" s="3">
        <v>1182</v>
      </c>
      <c r="X211" s="3">
        <v>1122</v>
      </c>
      <c r="Y211" s="3">
        <v>1428</v>
      </c>
      <c r="Z211" s="3">
        <v>2004</v>
      </c>
      <c r="AA211" s="3">
        <v>804</v>
      </c>
      <c r="AB211" s="3">
        <v>1824</v>
      </c>
      <c r="AC211" s="3">
        <v>96</v>
      </c>
      <c r="AD211" s="3">
        <v>408</v>
      </c>
      <c r="AE211" s="3">
        <v>336</v>
      </c>
      <c r="AF211" s="3">
        <v>300</v>
      </c>
      <c r="AG211" s="3">
        <v>180</v>
      </c>
      <c r="AH211" s="3">
        <v>2784</v>
      </c>
      <c r="AI211" s="3">
        <v>684</v>
      </c>
      <c r="AJ211" s="3">
        <v>264</v>
      </c>
      <c r="AK211" s="3">
        <v>624</v>
      </c>
      <c r="AL211" s="3">
        <v>312</v>
      </c>
      <c r="AM211" s="3">
        <v>1308</v>
      </c>
      <c r="AN211" s="3">
        <v>600</v>
      </c>
      <c r="AO211" s="3">
        <v>672</v>
      </c>
      <c r="AP211" s="3">
        <v>3360</v>
      </c>
      <c r="AQ211" s="3">
        <v>624</v>
      </c>
      <c r="AR211" s="3">
        <v>324</v>
      </c>
      <c r="AS211" s="3">
        <v>432</v>
      </c>
      <c r="AT211" s="3">
        <v>504</v>
      </c>
      <c r="AU211" s="3">
        <v>504</v>
      </c>
      <c r="AV211" s="3">
        <v>696</v>
      </c>
      <c r="AW211" s="3">
        <v>372</v>
      </c>
    </row>
    <row r="212" spans="1:49">
      <c r="A212" s="4" t="s">
        <v>40</v>
      </c>
      <c r="B212" s="4" t="str">
        <f t="shared" si="3"/>
        <v>Hair Care</v>
      </c>
      <c r="C212" s="4" t="s">
        <v>1786</v>
      </c>
      <c r="D212" s="4" t="s">
        <v>150</v>
      </c>
      <c r="E212" s="24" t="s">
        <v>42</v>
      </c>
      <c r="F212" s="12" t="s">
        <v>364</v>
      </c>
      <c r="G212" s="4" t="s">
        <v>1787</v>
      </c>
      <c r="H212" s="3">
        <v>384</v>
      </c>
      <c r="I212" s="3">
        <v>0</v>
      </c>
      <c r="J212" s="3">
        <v>0</v>
      </c>
      <c r="K212" s="3">
        <v>396</v>
      </c>
      <c r="L212" s="3">
        <v>420</v>
      </c>
      <c r="M212" s="3">
        <v>60</v>
      </c>
      <c r="N212" s="3">
        <v>0</v>
      </c>
      <c r="O212" s="3">
        <v>24</v>
      </c>
      <c r="P212" s="3">
        <v>12</v>
      </c>
      <c r="Q212" s="3">
        <v>12</v>
      </c>
      <c r="R212" s="3">
        <v>24</v>
      </c>
      <c r="S212" s="3">
        <v>24</v>
      </c>
      <c r="T212" s="3">
        <v>24</v>
      </c>
      <c r="U212" s="3">
        <v>48</v>
      </c>
      <c r="V212" s="3">
        <v>12</v>
      </c>
      <c r="W212" s="3">
        <v>0</v>
      </c>
      <c r="X212" s="3">
        <v>12</v>
      </c>
      <c r="Y212" s="3">
        <v>12</v>
      </c>
      <c r="Z212" s="3">
        <v>72</v>
      </c>
      <c r="AA212" s="3">
        <v>72</v>
      </c>
      <c r="AB212" s="3">
        <v>36</v>
      </c>
      <c r="AC212" s="3">
        <v>24</v>
      </c>
      <c r="AD212" s="3">
        <v>60</v>
      </c>
      <c r="AE212" s="3">
        <v>24</v>
      </c>
      <c r="AF212" s="3">
        <v>24</v>
      </c>
      <c r="AG212" s="3">
        <v>12</v>
      </c>
      <c r="AH212" s="3">
        <v>0</v>
      </c>
      <c r="AI212" s="3">
        <v>24</v>
      </c>
      <c r="AJ212" s="3">
        <v>0</v>
      </c>
      <c r="AK212" s="3">
        <v>828</v>
      </c>
      <c r="AL212" s="3">
        <v>378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</row>
    <row r="213" spans="1:49">
      <c r="A213" s="4" t="s">
        <v>40</v>
      </c>
      <c r="B213" s="4" t="str">
        <f t="shared" si="3"/>
        <v>Hair Care</v>
      </c>
      <c r="C213" s="4" t="s">
        <v>1786</v>
      </c>
      <c r="D213" s="4" t="s">
        <v>150</v>
      </c>
      <c r="E213" s="24" t="s">
        <v>42</v>
      </c>
      <c r="F213" s="12" t="s">
        <v>365</v>
      </c>
      <c r="G213" s="4" t="s">
        <v>1787</v>
      </c>
      <c r="H213" s="3">
        <v>720</v>
      </c>
      <c r="I213" s="3">
        <v>756</v>
      </c>
      <c r="J213" s="3">
        <v>504</v>
      </c>
      <c r="K213" s="3">
        <v>852</v>
      </c>
      <c r="L213" s="3">
        <v>708</v>
      </c>
      <c r="M213" s="3">
        <v>576</v>
      </c>
      <c r="N213" s="3">
        <v>528</v>
      </c>
      <c r="O213" s="3">
        <v>588</v>
      </c>
      <c r="P213" s="3">
        <v>756</v>
      </c>
      <c r="Q213" s="3">
        <v>768</v>
      </c>
      <c r="R213" s="3">
        <v>588</v>
      </c>
      <c r="S213" s="3">
        <v>624</v>
      </c>
      <c r="T213" s="3">
        <v>816</v>
      </c>
      <c r="U213" s="3">
        <v>792</v>
      </c>
      <c r="V213" s="3">
        <v>564</v>
      </c>
      <c r="W213" s="3">
        <v>384</v>
      </c>
      <c r="X213" s="3">
        <v>684</v>
      </c>
      <c r="Y213" s="3">
        <v>552</v>
      </c>
      <c r="Z213" s="3">
        <v>648</v>
      </c>
      <c r="AA213" s="3">
        <v>372</v>
      </c>
      <c r="AB213" s="3">
        <v>0</v>
      </c>
      <c r="AC213" s="3">
        <v>264</v>
      </c>
      <c r="AD213" s="3">
        <v>1104</v>
      </c>
      <c r="AE213" s="3">
        <v>768</v>
      </c>
      <c r="AF213" s="3">
        <v>756</v>
      </c>
      <c r="AG213" s="3">
        <v>660</v>
      </c>
      <c r="AH213" s="3">
        <v>408</v>
      </c>
      <c r="AI213" s="3">
        <v>828</v>
      </c>
      <c r="AJ213" s="3">
        <v>924</v>
      </c>
      <c r="AK213" s="3">
        <v>456</v>
      </c>
      <c r="AL213" s="3">
        <v>132</v>
      </c>
      <c r="AM213" s="3">
        <v>0</v>
      </c>
      <c r="AN213" s="3">
        <v>948</v>
      </c>
      <c r="AO213" s="3">
        <v>1428</v>
      </c>
      <c r="AP213" s="3">
        <v>804</v>
      </c>
      <c r="AQ213" s="3">
        <v>816</v>
      </c>
      <c r="AR213" s="3">
        <v>636</v>
      </c>
      <c r="AS213" s="3">
        <v>756</v>
      </c>
      <c r="AT213" s="3">
        <v>792</v>
      </c>
      <c r="AU213" s="3">
        <v>612</v>
      </c>
      <c r="AV213" s="3">
        <v>972</v>
      </c>
      <c r="AW213" s="3">
        <v>852</v>
      </c>
    </row>
    <row r="214" spans="1:49">
      <c r="A214" s="4" t="s">
        <v>40</v>
      </c>
      <c r="B214" s="4" t="str">
        <f t="shared" si="3"/>
        <v>Hair Care</v>
      </c>
      <c r="C214" s="4" t="s">
        <v>1786</v>
      </c>
      <c r="D214" s="4" t="s">
        <v>150</v>
      </c>
      <c r="E214" s="24" t="s">
        <v>42</v>
      </c>
      <c r="F214" s="12" t="s">
        <v>366</v>
      </c>
      <c r="G214" s="4" t="s">
        <v>1787</v>
      </c>
      <c r="H214" s="3">
        <v>2406</v>
      </c>
      <c r="I214" s="3">
        <v>1884</v>
      </c>
      <c r="J214" s="3">
        <v>384</v>
      </c>
      <c r="K214" s="3">
        <v>570</v>
      </c>
      <c r="L214" s="3">
        <v>834</v>
      </c>
      <c r="M214" s="3">
        <v>2922</v>
      </c>
      <c r="N214" s="3">
        <v>180</v>
      </c>
      <c r="O214" s="3">
        <v>1062</v>
      </c>
      <c r="P214" s="3">
        <v>1794</v>
      </c>
      <c r="Q214" s="3">
        <v>906</v>
      </c>
      <c r="R214" s="3">
        <v>1362</v>
      </c>
      <c r="S214" s="3">
        <v>1746</v>
      </c>
      <c r="T214" s="3">
        <v>1992</v>
      </c>
      <c r="U214" s="3">
        <v>1140</v>
      </c>
      <c r="V214" s="3">
        <v>1326</v>
      </c>
      <c r="W214" s="3">
        <v>1152</v>
      </c>
      <c r="X214" s="3">
        <v>1170</v>
      </c>
      <c r="Y214" s="3">
        <v>1488</v>
      </c>
      <c r="Z214" s="3">
        <v>1758</v>
      </c>
      <c r="AA214" s="3">
        <v>132</v>
      </c>
      <c r="AB214" s="3">
        <v>276</v>
      </c>
      <c r="AC214" s="3">
        <v>138</v>
      </c>
      <c r="AD214" s="3">
        <v>180</v>
      </c>
      <c r="AE214" s="3">
        <v>264</v>
      </c>
      <c r="AF214" s="3">
        <v>768</v>
      </c>
      <c r="AG214" s="3">
        <v>396</v>
      </c>
      <c r="AH214" s="3">
        <v>3120</v>
      </c>
      <c r="AI214" s="3">
        <v>738</v>
      </c>
      <c r="AJ214" s="3">
        <v>6</v>
      </c>
      <c r="AK214" s="3">
        <v>0</v>
      </c>
      <c r="AL214" s="3">
        <v>0</v>
      </c>
      <c r="AM214" s="3">
        <v>0</v>
      </c>
      <c r="AN214" s="3">
        <v>0</v>
      </c>
      <c r="AO214" s="3">
        <v>792</v>
      </c>
      <c r="AP214" s="3">
        <v>648</v>
      </c>
      <c r="AQ214" s="3">
        <v>570</v>
      </c>
      <c r="AR214" s="3">
        <v>360</v>
      </c>
      <c r="AS214" s="3">
        <v>174</v>
      </c>
      <c r="AT214" s="3">
        <v>204</v>
      </c>
      <c r="AU214" s="3">
        <v>654</v>
      </c>
      <c r="AV214" s="3">
        <v>60</v>
      </c>
      <c r="AW214" s="3">
        <v>36</v>
      </c>
    </row>
    <row r="215" spans="1:49">
      <c r="A215" s="4" t="s">
        <v>40</v>
      </c>
      <c r="B215" s="4" t="str">
        <f t="shared" si="3"/>
        <v>Hair Care</v>
      </c>
      <c r="C215" s="4" t="s">
        <v>1786</v>
      </c>
      <c r="D215" s="4" t="s">
        <v>150</v>
      </c>
      <c r="E215" s="24" t="s">
        <v>42</v>
      </c>
      <c r="F215" s="12" t="s">
        <v>367</v>
      </c>
      <c r="G215" s="4" t="s">
        <v>1787</v>
      </c>
      <c r="H215" s="3">
        <v>0</v>
      </c>
      <c r="I215" s="3">
        <v>0</v>
      </c>
      <c r="J215" s="3">
        <v>0</v>
      </c>
      <c r="K215" s="3">
        <v>0</v>
      </c>
      <c r="L215" s="3">
        <v>1752</v>
      </c>
      <c r="M215" s="3">
        <v>2592</v>
      </c>
      <c r="N215" s="3">
        <v>300</v>
      </c>
      <c r="O215" s="3">
        <v>192</v>
      </c>
      <c r="P215" s="3">
        <v>384</v>
      </c>
      <c r="Q215" s="3">
        <v>348</v>
      </c>
      <c r="R215" s="3">
        <v>264</v>
      </c>
      <c r="S215" s="3">
        <v>516</v>
      </c>
      <c r="T215" s="3">
        <v>696</v>
      </c>
      <c r="U215" s="3">
        <v>588</v>
      </c>
      <c r="V215" s="3">
        <v>396</v>
      </c>
      <c r="W215" s="3">
        <v>324</v>
      </c>
      <c r="X215" s="3">
        <v>756</v>
      </c>
      <c r="Y215" s="3">
        <v>336</v>
      </c>
      <c r="Z215" s="3">
        <v>180</v>
      </c>
      <c r="AA215" s="3">
        <v>216</v>
      </c>
      <c r="AB215" s="3">
        <v>0</v>
      </c>
      <c r="AC215" s="3">
        <v>180</v>
      </c>
      <c r="AD215" s="3">
        <v>660</v>
      </c>
      <c r="AE215" s="3">
        <v>468</v>
      </c>
      <c r="AF215" s="3">
        <v>348</v>
      </c>
      <c r="AG215" s="3">
        <v>240</v>
      </c>
      <c r="AH215" s="3">
        <v>240</v>
      </c>
      <c r="AI215" s="3">
        <v>672</v>
      </c>
      <c r="AJ215" s="3">
        <v>456</v>
      </c>
      <c r="AK215" s="3">
        <v>732</v>
      </c>
      <c r="AL215" s="3">
        <v>372</v>
      </c>
      <c r="AM215" s="3">
        <v>156</v>
      </c>
      <c r="AN215" s="3">
        <v>240</v>
      </c>
      <c r="AO215" s="3">
        <v>1068</v>
      </c>
      <c r="AP215" s="3">
        <v>768</v>
      </c>
      <c r="AQ215" s="3">
        <v>180</v>
      </c>
      <c r="AR215" s="3">
        <v>252</v>
      </c>
      <c r="AS215" s="3">
        <v>132</v>
      </c>
      <c r="AT215" s="3">
        <v>276</v>
      </c>
      <c r="AU215" s="3">
        <v>396</v>
      </c>
      <c r="AV215" s="3">
        <v>276</v>
      </c>
      <c r="AW215" s="3">
        <v>252</v>
      </c>
    </row>
    <row r="216" spans="1:49">
      <c r="A216" s="4" t="s">
        <v>40</v>
      </c>
      <c r="B216" s="4" t="str">
        <f t="shared" si="3"/>
        <v>Hair Care</v>
      </c>
      <c r="C216" s="4" t="s">
        <v>1786</v>
      </c>
      <c r="D216" s="4" t="s">
        <v>150</v>
      </c>
      <c r="E216" s="24" t="s">
        <v>42</v>
      </c>
      <c r="F216" s="12" t="s">
        <v>368</v>
      </c>
      <c r="G216" s="4" t="s">
        <v>1787</v>
      </c>
      <c r="H216" s="3">
        <v>96</v>
      </c>
      <c r="I216" s="3">
        <v>12</v>
      </c>
      <c r="J216" s="3">
        <v>90</v>
      </c>
      <c r="K216" s="3">
        <v>60</v>
      </c>
      <c r="L216" s="3">
        <v>96</v>
      </c>
      <c r="M216" s="3">
        <v>60</v>
      </c>
      <c r="N216" s="3">
        <v>96</v>
      </c>
      <c r="O216" s="3">
        <v>18</v>
      </c>
      <c r="P216" s="3">
        <v>66</v>
      </c>
      <c r="Q216" s="3">
        <v>24</v>
      </c>
      <c r="R216" s="3">
        <v>24</v>
      </c>
      <c r="S216" s="3">
        <v>36</v>
      </c>
      <c r="T216" s="3">
        <v>108</v>
      </c>
      <c r="U216" s="3">
        <v>90</v>
      </c>
      <c r="V216" s="3">
        <v>12</v>
      </c>
      <c r="W216" s="3">
        <v>114</v>
      </c>
      <c r="X216" s="3">
        <v>132</v>
      </c>
      <c r="Y216" s="3">
        <v>30</v>
      </c>
      <c r="Z216" s="3">
        <v>114</v>
      </c>
      <c r="AA216" s="3">
        <v>36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</row>
    <row r="217" spans="1:49">
      <c r="A217" s="4" t="s">
        <v>40</v>
      </c>
      <c r="B217" s="4" t="str">
        <f t="shared" si="3"/>
        <v>Hair Care</v>
      </c>
      <c r="C217" s="4" t="s">
        <v>1786</v>
      </c>
      <c r="D217" s="4" t="s">
        <v>150</v>
      </c>
      <c r="E217" s="24" t="s">
        <v>42</v>
      </c>
      <c r="F217" s="12" t="s">
        <v>369</v>
      </c>
      <c r="G217" s="4" t="s">
        <v>1787</v>
      </c>
      <c r="H217" s="3">
        <v>156</v>
      </c>
      <c r="I217" s="3">
        <v>276</v>
      </c>
      <c r="J217" s="3">
        <v>240</v>
      </c>
      <c r="K217" s="3">
        <v>204</v>
      </c>
      <c r="L217" s="3">
        <v>216</v>
      </c>
      <c r="M217" s="3">
        <v>156</v>
      </c>
      <c r="N217" s="3">
        <v>300</v>
      </c>
      <c r="O217" s="3">
        <v>144</v>
      </c>
      <c r="P217" s="3">
        <v>96</v>
      </c>
      <c r="Q217" s="3">
        <v>0</v>
      </c>
      <c r="R217" s="3">
        <v>0</v>
      </c>
      <c r="S217" s="3">
        <v>444</v>
      </c>
      <c r="T217" s="3">
        <v>300</v>
      </c>
      <c r="U217" s="3">
        <v>300</v>
      </c>
      <c r="V217" s="3">
        <v>132</v>
      </c>
      <c r="W217" s="3">
        <v>156</v>
      </c>
      <c r="X217" s="3">
        <v>180</v>
      </c>
      <c r="Y217" s="3">
        <v>60</v>
      </c>
      <c r="Z217" s="3">
        <v>108</v>
      </c>
      <c r="AA217" s="3">
        <v>108</v>
      </c>
      <c r="AB217" s="3">
        <v>360</v>
      </c>
      <c r="AC217" s="3">
        <v>72</v>
      </c>
      <c r="AD217" s="3">
        <v>0</v>
      </c>
      <c r="AE217" s="3">
        <v>804</v>
      </c>
      <c r="AF217" s="3">
        <v>636</v>
      </c>
      <c r="AG217" s="3">
        <v>240</v>
      </c>
      <c r="AH217" s="3">
        <v>276</v>
      </c>
      <c r="AI217" s="3">
        <v>156</v>
      </c>
      <c r="AJ217" s="3">
        <v>192</v>
      </c>
      <c r="AK217" s="3">
        <v>228</v>
      </c>
      <c r="AL217" s="3">
        <v>120</v>
      </c>
      <c r="AM217" s="3">
        <v>216</v>
      </c>
      <c r="AN217" s="3">
        <v>300</v>
      </c>
      <c r="AO217" s="3">
        <v>984</v>
      </c>
      <c r="AP217" s="3">
        <v>408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</row>
    <row r="218" spans="1:49">
      <c r="A218" s="4" t="s">
        <v>40</v>
      </c>
      <c r="B218" s="4" t="str">
        <f t="shared" si="3"/>
        <v>Hair Care</v>
      </c>
      <c r="C218" s="4" t="s">
        <v>1786</v>
      </c>
      <c r="D218" s="4" t="s">
        <v>150</v>
      </c>
      <c r="E218" s="24" t="s">
        <v>42</v>
      </c>
      <c r="F218" s="12" t="s">
        <v>370</v>
      </c>
      <c r="G218" s="4" t="s">
        <v>1787</v>
      </c>
      <c r="H218" s="3">
        <v>192</v>
      </c>
      <c r="I218" s="3">
        <v>132</v>
      </c>
      <c r="J218" s="3">
        <v>156</v>
      </c>
      <c r="K218" s="3">
        <v>144</v>
      </c>
      <c r="L218" s="3">
        <v>72</v>
      </c>
      <c r="M218" s="3">
        <v>84</v>
      </c>
      <c r="N218" s="3">
        <v>72</v>
      </c>
      <c r="O218" s="3">
        <v>72</v>
      </c>
      <c r="P218" s="3">
        <v>72</v>
      </c>
      <c r="Q218" s="3">
        <v>60</v>
      </c>
      <c r="R218" s="3">
        <v>144</v>
      </c>
      <c r="S218" s="3">
        <v>132</v>
      </c>
      <c r="T218" s="3">
        <v>168</v>
      </c>
      <c r="U218" s="3">
        <v>132</v>
      </c>
      <c r="V218" s="3">
        <v>156</v>
      </c>
      <c r="W218" s="3">
        <v>60</v>
      </c>
      <c r="X218" s="3">
        <v>168</v>
      </c>
      <c r="Y218" s="3">
        <v>0</v>
      </c>
      <c r="Z218" s="3">
        <v>156</v>
      </c>
      <c r="AA218" s="3">
        <v>156</v>
      </c>
      <c r="AB218" s="3">
        <v>276</v>
      </c>
      <c r="AC218" s="3">
        <v>36</v>
      </c>
      <c r="AD218" s="3">
        <v>276</v>
      </c>
      <c r="AE218" s="3">
        <v>276</v>
      </c>
      <c r="AF218" s="3">
        <v>96</v>
      </c>
      <c r="AG218" s="3">
        <v>96</v>
      </c>
      <c r="AH218" s="3">
        <v>216</v>
      </c>
      <c r="AI218" s="3">
        <v>180</v>
      </c>
      <c r="AJ218" s="3">
        <v>120</v>
      </c>
      <c r="AK218" s="3">
        <v>1212</v>
      </c>
      <c r="AL218" s="3">
        <v>390</v>
      </c>
      <c r="AM218" s="3">
        <v>264</v>
      </c>
      <c r="AN218" s="3">
        <v>0</v>
      </c>
      <c r="AO218" s="3">
        <v>612</v>
      </c>
      <c r="AP218" s="3">
        <v>504</v>
      </c>
      <c r="AQ218" s="3">
        <v>420</v>
      </c>
      <c r="AR218" s="3">
        <v>228</v>
      </c>
      <c r="AS218" s="3">
        <v>252</v>
      </c>
      <c r="AT218" s="3">
        <v>168</v>
      </c>
      <c r="AU218" s="3">
        <v>48</v>
      </c>
      <c r="AV218" s="3">
        <v>0</v>
      </c>
      <c r="AW218" s="3">
        <v>0</v>
      </c>
    </row>
    <row r="219" spans="1:49">
      <c r="A219" s="4" t="s">
        <v>40</v>
      </c>
      <c r="B219" s="4" t="str">
        <f t="shared" si="3"/>
        <v>Hair Care</v>
      </c>
      <c r="C219" s="4" t="s">
        <v>1786</v>
      </c>
      <c r="D219" s="4" t="s">
        <v>150</v>
      </c>
      <c r="E219" s="24" t="s">
        <v>42</v>
      </c>
      <c r="F219" s="12" t="s">
        <v>371</v>
      </c>
      <c r="G219" s="4" t="s">
        <v>1787</v>
      </c>
      <c r="H219" s="3">
        <v>84</v>
      </c>
      <c r="I219" s="3">
        <v>132</v>
      </c>
      <c r="J219" s="3">
        <v>36</v>
      </c>
      <c r="K219" s="3">
        <v>72</v>
      </c>
      <c r="L219" s="3">
        <v>48</v>
      </c>
      <c r="M219" s="3">
        <v>96</v>
      </c>
      <c r="N219" s="3">
        <v>48</v>
      </c>
      <c r="O219" s="3">
        <v>96</v>
      </c>
      <c r="P219" s="3">
        <v>24</v>
      </c>
      <c r="Q219" s="3">
        <v>192</v>
      </c>
      <c r="R219" s="3">
        <v>60</v>
      </c>
      <c r="S219" s="3">
        <v>180</v>
      </c>
      <c r="T219" s="3">
        <v>156</v>
      </c>
      <c r="U219" s="3">
        <v>108</v>
      </c>
      <c r="V219" s="3">
        <v>72</v>
      </c>
      <c r="W219" s="3">
        <v>96</v>
      </c>
      <c r="X219" s="3">
        <v>132</v>
      </c>
      <c r="Y219" s="3">
        <v>72</v>
      </c>
      <c r="Z219" s="3">
        <v>144</v>
      </c>
      <c r="AA219" s="3">
        <v>132</v>
      </c>
      <c r="AB219" s="3">
        <v>132</v>
      </c>
      <c r="AC219" s="3">
        <v>11</v>
      </c>
      <c r="AD219" s="3">
        <v>96</v>
      </c>
      <c r="AE219" s="3">
        <v>216</v>
      </c>
      <c r="AF219" s="3">
        <v>168</v>
      </c>
      <c r="AG219" s="3">
        <v>108</v>
      </c>
      <c r="AH219" s="3">
        <v>84</v>
      </c>
      <c r="AI219" s="3">
        <v>216</v>
      </c>
      <c r="AJ219" s="3">
        <v>156</v>
      </c>
      <c r="AK219" s="3">
        <v>180</v>
      </c>
      <c r="AL219" s="3">
        <v>144</v>
      </c>
      <c r="AM219" s="3">
        <v>144</v>
      </c>
      <c r="AN219" s="3">
        <v>180</v>
      </c>
      <c r="AO219" s="3">
        <v>924</v>
      </c>
      <c r="AP219" s="3">
        <v>144</v>
      </c>
      <c r="AQ219" s="3">
        <v>108</v>
      </c>
      <c r="AR219" s="3">
        <v>84</v>
      </c>
      <c r="AS219" s="3">
        <v>108</v>
      </c>
      <c r="AT219" s="3">
        <v>156</v>
      </c>
      <c r="AU219" s="3">
        <v>0</v>
      </c>
      <c r="AV219" s="3">
        <v>0</v>
      </c>
      <c r="AW219" s="3">
        <v>0</v>
      </c>
    </row>
    <row r="220" spans="1:49">
      <c r="A220" s="4" t="s">
        <v>40</v>
      </c>
      <c r="B220" s="4" t="str">
        <f t="shared" si="3"/>
        <v>Hair Care</v>
      </c>
      <c r="C220" s="4" t="s">
        <v>1786</v>
      </c>
      <c r="D220" s="4" t="s">
        <v>150</v>
      </c>
      <c r="E220" s="24" t="s">
        <v>42</v>
      </c>
      <c r="F220" s="12" t="s">
        <v>372</v>
      </c>
      <c r="G220" s="4" t="s">
        <v>1787</v>
      </c>
      <c r="H220" s="3">
        <v>801</v>
      </c>
      <c r="I220" s="3">
        <v>462</v>
      </c>
      <c r="J220" s="3">
        <v>258</v>
      </c>
      <c r="K220" s="3">
        <v>378</v>
      </c>
      <c r="L220" s="3">
        <v>246</v>
      </c>
      <c r="M220" s="3">
        <v>186</v>
      </c>
      <c r="N220" s="3">
        <v>150</v>
      </c>
      <c r="O220" s="3">
        <v>246</v>
      </c>
      <c r="P220" s="3">
        <v>168</v>
      </c>
      <c r="Q220" s="3">
        <v>192</v>
      </c>
      <c r="R220" s="3">
        <v>261</v>
      </c>
      <c r="S220" s="3">
        <v>246</v>
      </c>
      <c r="T220" s="3">
        <v>309</v>
      </c>
      <c r="U220" s="3">
        <v>372</v>
      </c>
      <c r="V220" s="3">
        <v>279</v>
      </c>
      <c r="W220" s="3">
        <v>195</v>
      </c>
      <c r="X220" s="3">
        <v>186</v>
      </c>
      <c r="Y220" s="3">
        <v>144</v>
      </c>
      <c r="Z220" s="3">
        <v>180</v>
      </c>
      <c r="AA220" s="3">
        <v>129</v>
      </c>
      <c r="AB220" s="3">
        <v>492</v>
      </c>
      <c r="AC220" s="3">
        <v>117</v>
      </c>
      <c r="AD220" s="3">
        <v>150</v>
      </c>
      <c r="AE220" s="3">
        <v>30</v>
      </c>
      <c r="AF220" s="3">
        <v>132</v>
      </c>
      <c r="AG220" s="3">
        <v>392</v>
      </c>
      <c r="AH220" s="3">
        <v>177</v>
      </c>
      <c r="AI220" s="3">
        <v>339</v>
      </c>
      <c r="AJ220" s="3">
        <v>291</v>
      </c>
      <c r="AK220" s="3">
        <v>123</v>
      </c>
      <c r="AL220" s="3">
        <v>252</v>
      </c>
      <c r="AM220" s="3">
        <v>147</v>
      </c>
      <c r="AN220" s="3">
        <v>0</v>
      </c>
      <c r="AO220" s="3">
        <v>495</v>
      </c>
      <c r="AP220" s="3">
        <v>225</v>
      </c>
      <c r="AQ220" s="3">
        <v>101</v>
      </c>
      <c r="AR220" s="3">
        <v>480</v>
      </c>
      <c r="AS220" s="3">
        <v>318</v>
      </c>
      <c r="AT220" s="3">
        <v>99</v>
      </c>
      <c r="AU220" s="3">
        <v>306</v>
      </c>
      <c r="AV220" s="3">
        <v>183</v>
      </c>
      <c r="AW220" s="3">
        <v>264</v>
      </c>
    </row>
    <row r="221" spans="1:49">
      <c r="A221" s="4" t="s">
        <v>40</v>
      </c>
      <c r="B221" s="4" t="str">
        <f t="shared" si="3"/>
        <v>Hair Care</v>
      </c>
      <c r="C221" s="4" t="s">
        <v>1786</v>
      </c>
      <c r="D221" s="4" t="s">
        <v>150</v>
      </c>
      <c r="E221" s="24" t="s">
        <v>42</v>
      </c>
      <c r="F221" s="12" t="s">
        <v>373</v>
      </c>
      <c r="G221" s="4" t="s">
        <v>1787</v>
      </c>
      <c r="H221" s="3">
        <v>-12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768</v>
      </c>
      <c r="T221" s="3">
        <v>552</v>
      </c>
      <c r="U221" s="3">
        <v>108</v>
      </c>
      <c r="V221" s="3">
        <v>60</v>
      </c>
      <c r="W221" s="3">
        <v>12</v>
      </c>
      <c r="X221" s="3">
        <v>60</v>
      </c>
      <c r="Y221" s="3">
        <v>120</v>
      </c>
      <c r="Z221" s="3">
        <v>564</v>
      </c>
      <c r="AA221" s="3">
        <v>264</v>
      </c>
      <c r="AB221" s="3">
        <v>360</v>
      </c>
      <c r="AC221" s="3">
        <v>84</v>
      </c>
      <c r="AD221" s="3">
        <v>324</v>
      </c>
      <c r="AE221" s="3">
        <v>288</v>
      </c>
      <c r="AF221" s="3">
        <v>264</v>
      </c>
      <c r="AG221" s="3">
        <v>192</v>
      </c>
      <c r="AH221" s="3">
        <v>264</v>
      </c>
      <c r="AI221" s="3">
        <v>468</v>
      </c>
      <c r="AJ221" s="3">
        <v>336</v>
      </c>
      <c r="AK221" s="3">
        <v>168</v>
      </c>
      <c r="AL221" s="3">
        <v>144</v>
      </c>
      <c r="AM221" s="3">
        <v>156</v>
      </c>
      <c r="AN221" s="3">
        <v>432</v>
      </c>
      <c r="AO221" s="3">
        <v>468</v>
      </c>
      <c r="AP221" s="3">
        <v>468</v>
      </c>
      <c r="AQ221" s="3">
        <v>504</v>
      </c>
      <c r="AR221" s="3">
        <v>468</v>
      </c>
      <c r="AS221" s="3">
        <v>396</v>
      </c>
      <c r="AT221" s="3">
        <v>552</v>
      </c>
      <c r="AU221" s="3">
        <v>300</v>
      </c>
      <c r="AV221" s="3">
        <v>468</v>
      </c>
      <c r="AW221" s="3">
        <v>432</v>
      </c>
    </row>
    <row r="222" spans="1:49">
      <c r="A222" s="4" t="s">
        <v>40</v>
      </c>
      <c r="B222" s="4" t="str">
        <f t="shared" si="3"/>
        <v>Hair Care</v>
      </c>
      <c r="C222" s="4" t="s">
        <v>1786</v>
      </c>
      <c r="D222" s="4" t="s">
        <v>150</v>
      </c>
      <c r="E222" s="24" t="s">
        <v>42</v>
      </c>
      <c r="F222" s="12" t="s">
        <v>374</v>
      </c>
      <c r="G222" s="4" t="s">
        <v>1787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1080</v>
      </c>
      <c r="AM222" s="3">
        <v>2400</v>
      </c>
      <c r="AN222" s="3">
        <v>2076</v>
      </c>
      <c r="AO222" s="3">
        <v>1560</v>
      </c>
      <c r="AP222" s="3">
        <v>2106</v>
      </c>
      <c r="AQ222" s="3">
        <v>2280</v>
      </c>
      <c r="AR222" s="3">
        <v>1392</v>
      </c>
      <c r="AS222" s="3">
        <v>1464</v>
      </c>
      <c r="AT222" s="3">
        <v>1470</v>
      </c>
      <c r="AU222" s="3">
        <v>1314</v>
      </c>
      <c r="AV222" s="3">
        <v>1116</v>
      </c>
      <c r="AW222" s="3">
        <v>714</v>
      </c>
    </row>
    <row r="223" spans="1:49">
      <c r="A223" s="4" t="s">
        <v>40</v>
      </c>
      <c r="B223" s="4" t="str">
        <f t="shared" si="3"/>
        <v>Hair Care</v>
      </c>
      <c r="C223" s="4" t="s">
        <v>1786</v>
      </c>
      <c r="D223" s="4" t="s">
        <v>150</v>
      </c>
      <c r="E223" s="24" t="s">
        <v>42</v>
      </c>
      <c r="F223" s="12" t="s">
        <v>375</v>
      </c>
      <c r="G223" s="4" t="s">
        <v>1787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528</v>
      </c>
      <c r="AS223" s="3">
        <v>186</v>
      </c>
      <c r="AT223" s="3">
        <v>156</v>
      </c>
      <c r="AU223" s="3">
        <v>324</v>
      </c>
      <c r="AV223" s="3">
        <v>342</v>
      </c>
      <c r="AW223" s="3">
        <v>300</v>
      </c>
    </row>
    <row r="224" spans="1:49">
      <c r="A224" s="4" t="s">
        <v>40</v>
      </c>
      <c r="B224" s="4" t="str">
        <f t="shared" si="3"/>
        <v>Hair Care</v>
      </c>
      <c r="C224" s="4" t="s">
        <v>1786</v>
      </c>
      <c r="D224" s="4" t="s">
        <v>150</v>
      </c>
      <c r="E224" s="24" t="s">
        <v>42</v>
      </c>
      <c r="F224" s="12" t="s">
        <v>376</v>
      </c>
      <c r="G224" s="4" t="s">
        <v>1787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192</v>
      </c>
      <c r="AM224" s="3">
        <v>108</v>
      </c>
      <c r="AN224" s="3">
        <v>360</v>
      </c>
      <c r="AO224" s="3">
        <v>420</v>
      </c>
      <c r="AP224" s="3">
        <v>444</v>
      </c>
      <c r="AQ224" s="3">
        <v>408</v>
      </c>
      <c r="AR224" s="3">
        <v>396</v>
      </c>
      <c r="AS224" s="3">
        <v>204</v>
      </c>
      <c r="AT224" s="3">
        <v>432</v>
      </c>
      <c r="AU224" s="3">
        <v>240</v>
      </c>
      <c r="AV224" s="3">
        <v>216</v>
      </c>
      <c r="AW224" s="3">
        <v>228</v>
      </c>
    </row>
    <row r="225" spans="1:49">
      <c r="A225" s="4" t="s">
        <v>40</v>
      </c>
      <c r="B225" s="4" t="str">
        <f t="shared" si="3"/>
        <v>Hair Care</v>
      </c>
      <c r="C225" s="4" t="s">
        <v>1786</v>
      </c>
      <c r="D225" s="4" t="s">
        <v>150</v>
      </c>
      <c r="E225" s="24" t="s">
        <v>42</v>
      </c>
      <c r="F225" s="12" t="s">
        <v>377</v>
      </c>
      <c r="G225" s="4" t="s">
        <v>1787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648</v>
      </c>
      <c r="AI225" s="3">
        <v>132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</row>
    <row r="226" spans="1:49">
      <c r="A226" s="4" t="s">
        <v>40</v>
      </c>
      <c r="B226" s="4" t="str">
        <f t="shared" si="3"/>
        <v>Hair Care</v>
      </c>
      <c r="C226" s="4" t="s">
        <v>1786</v>
      </c>
      <c r="D226" s="4" t="s">
        <v>150</v>
      </c>
      <c r="E226" s="24" t="s">
        <v>42</v>
      </c>
      <c r="F226" s="12" t="s">
        <v>378</v>
      </c>
      <c r="G226" s="4" t="s">
        <v>1787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648</v>
      </c>
      <c r="AI226" s="3">
        <v>96</v>
      </c>
      <c r="AJ226" s="3">
        <v>12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</row>
    <row r="227" spans="1:49">
      <c r="A227" s="4" t="s">
        <v>40</v>
      </c>
      <c r="B227" s="4" t="str">
        <f t="shared" si="3"/>
        <v>Hair Care</v>
      </c>
      <c r="C227" s="4" t="s">
        <v>1786</v>
      </c>
      <c r="D227" s="4" t="s">
        <v>150</v>
      </c>
      <c r="E227" s="24" t="s">
        <v>42</v>
      </c>
      <c r="F227" s="12" t="s">
        <v>379</v>
      </c>
      <c r="G227" s="4" t="s">
        <v>1787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108</v>
      </c>
      <c r="AM227" s="3">
        <v>528</v>
      </c>
      <c r="AN227" s="3">
        <v>864</v>
      </c>
      <c r="AO227" s="3">
        <v>60</v>
      </c>
      <c r="AP227" s="3">
        <v>0</v>
      </c>
      <c r="AQ227" s="3">
        <v>792</v>
      </c>
      <c r="AR227" s="3">
        <v>444</v>
      </c>
      <c r="AS227" s="3">
        <v>444</v>
      </c>
      <c r="AT227" s="3">
        <v>336</v>
      </c>
      <c r="AU227" s="3">
        <v>264</v>
      </c>
      <c r="AV227" s="3">
        <v>168</v>
      </c>
      <c r="AW227" s="3">
        <v>312</v>
      </c>
    </row>
    <row r="228" spans="1:49">
      <c r="A228" s="4" t="s">
        <v>40</v>
      </c>
      <c r="B228" s="4" t="str">
        <f t="shared" si="3"/>
        <v>Hair Care</v>
      </c>
      <c r="C228" s="4" t="s">
        <v>1786</v>
      </c>
      <c r="D228" s="4" t="s">
        <v>150</v>
      </c>
      <c r="E228" s="24" t="s">
        <v>42</v>
      </c>
      <c r="F228" s="12" t="s">
        <v>380</v>
      </c>
      <c r="G228" s="4" t="s">
        <v>1787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1740</v>
      </c>
      <c r="AM228" s="3">
        <v>2700</v>
      </c>
      <c r="AN228" s="3">
        <v>1368</v>
      </c>
      <c r="AO228" s="3">
        <v>1092</v>
      </c>
      <c r="AP228" s="3">
        <v>1380</v>
      </c>
      <c r="AQ228" s="3">
        <v>684</v>
      </c>
      <c r="AR228" s="3">
        <v>384</v>
      </c>
      <c r="AS228" s="3">
        <v>552</v>
      </c>
      <c r="AT228" s="3">
        <v>1242</v>
      </c>
      <c r="AU228" s="3">
        <v>1506</v>
      </c>
      <c r="AV228" s="3">
        <v>1962</v>
      </c>
      <c r="AW228" s="3">
        <v>1584</v>
      </c>
    </row>
    <row r="229" spans="1:49">
      <c r="A229" s="4" t="s">
        <v>40</v>
      </c>
      <c r="B229" s="4" t="str">
        <f t="shared" si="3"/>
        <v>Hair Care</v>
      </c>
      <c r="C229" s="4" t="s">
        <v>1786</v>
      </c>
      <c r="D229" s="4" t="s">
        <v>150</v>
      </c>
      <c r="E229" s="24" t="s">
        <v>42</v>
      </c>
      <c r="F229" s="12" t="s">
        <v>381</v>
      </c>
      <c r="G229" s="4" t="s">
        <v>1787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1800</v>
      </c>
      <c r="AM229" s="3">
        <v>3252</v>
      </c>
      <c r="AN229" s="3">
        <v>1944</v>
      </c>
      <c r="AO229" s="3">
        <v>336</v>
      </c>
      <c r="AP229" s="3">
        <v>1704</v>
      </c>
      <c r="AQ229" s="3">
        <v>714</v>
      </c>
      <c r="AR229" s="3">
        <v>420</v>
      </c>
      <c r="AS229" s="3">
        <v>606</v>
      </c>
      <c r="AT229" s="3">
        <v>750</v>
      </c>
      <c r="AU229" s="3">
        <v>1152</v>
      </c>
      <c r="AV229" s="3">
        <v>0</v>
      </c>
      <c r="AW229" s="3">
        <v>1380</v>
      </c>
    </row>
    <row r="230" spans="1:49">
      <c r="A230" s="4" t="s">
        <v>40</v>
      </c>
      <c r="B230" s="4" t="str">
        <f t="shared" si="3"/>
        <v>Hair Care</v>
      </c>
      <c r="C230" s="4" t="s">
        <v>1786</v>
      </c>
      <c r="D230" s="4" t="s">
        <v>150</v>
      </c>
      <c r="E230" s="24" t="s">
        <v>42</v>
      </c>
      <c r="F230" s="12" t="s">
        <v>382</v>
      </c>
      <c r="G230" s="4" t="s">
        <v>1787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1020</v>
      </c>
      <c r="AM230" s="3">
        <v>1644</v>
      </c>
      <c r="AN230" s="3">
        <v>708</v>
      </c>
      <c r="AO230" s="3">
        <v>564</v>
      </c>
      <c r="AP230" s="3">
        <v>60</v>
      </c>
      <c r="AQ230" s="3">
        <v>708</v>
      </c>
      <c r="AR230" s="3">
        <v>180</v>
      </c>
      <c r="AS230" s="3">
        <v>288</v>
      </c>
      <c r="AT230" s="3">
        <v>216</v>
      </c>
      <c r="AU230" s="3">
        <v>180</v>
      </c>
      <c r="AV230" s="3">
        <v>276</v>
      </c>
      <c r="AW230" s="3">
        <v>120</v>
      </c>
    </row>
    <row r="231" spans="1:49">
      <c r="A231" s="4" t="s">
        <v>40</v>
      </c>
      <c r="B231" s="4" t="str">
        <f t="shared" si="3"/>
        <v>Hair Care</v>
      </c>
      <c r="C231" s="4" t="s">
        <v>1786</v>
      </c>
      <c r="D231" s="4" t="s">
        <v>150</v>
      </c>
      <c r="E231" s="24" t="s">
        <v>42</v>
      </c>
      <c r="F231" s="12" t="s">
        <v>383</v>
      </c>
      <c r="G231" s="4" t="s">
        <v>1787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972</v>
      </c>
      <c r="AM231" s="3">
        <v>1572</v>
      </c>
      <c r="AN231" s="3">
        <v>864</v>
      </c>
      <c r="AO231" s="3">
        <v>684</v>
      </c>
      <c r="AP231" s="3">
        <v>900</v>
      </c>
      <c r="AQ231" s="3">
        <v>282</v>
      </c>
      <c r="AR231" s="3">
        <v>144</v>
      </c>
      <c r="AS231" s="3">
        <v>282</v>
      </c>
      <c r="AT231" s="3">
        <v>438</v>
      </c>
      <c r="AU231" s="3">
        <v>744</v>
      </c>
      <c r="AV231" s="3">
        <v>84</v>
      </c>
      <c r="AW231" s="3">
        <v>168</v>
      </c>
    </row>
    <row r="232" spans="1:49">
      <c r="A232" s="4" t="s">
        <v>40</v>
      </c>
      <c r="B232" s="4" t="str">
        <f t="shared" si="3"/>
        <v>Hair Care</v>
      </c>
      <c r="C232" s="4" t="s">
        <v>1786</v>
      </c>
      <c r="D232" s="4" t="s">
        <v>150</v>
      </c>
      <c r="E232" s="24" t="s">
        <v>42</v>
      </c>
      <c r="F232" s="12" t="s">
        <v>384</v>
      </c>
      <c r="G232" s="4" t="s">
        <v>1787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696</v>
      </c>
      <c r="AT232" s="3">
        <v>1236</v>
      </c>
      <c r="AU232" s="3">
        <v>756</v>
      </c>
      <c r="AV232" s="3">
        <v>996</v>
      </c>
      <c r="AW232" s="3">
        <v>444</v>
      </c>
    </row>
    <row r="233" spans="1:49">
      <c r="A233" s="4" t="s">
        <v>40</v>
      </c>
      <c r="B233" s="4" t="str">
        <f t="shared" si="3"/>
        <v>Hair Care</v>
      </c>
      <c r="C233" s="4" t="s">
        <v>1786</v>
      </c>
      <c r="D233" s="4" t="s">
        <v>150</v>
      </c>
      <c r="E233" s="24" t="s">
        <v>42</v>
      </c>
      <c r="F233" s="12" t="s">
        <v>385</v>
      </c>
      <c r="G233" s="4" t="s">
        <v>1787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696</v>
      </c>
      <c r="AT233" s="3">
        <v>906</v>
      </c>
      <c r="AU233" s="3">
        <v>1542</v>
      </c>
      <c r="AV233" s="3">
        <v>2010</v>
      </c>
      <c r="AW233" s="3">
        <v>1332</v>
      </c>
    </row>
    <row r="234" spans="1:49">
      <c r="A234" s="4" t="s">
        <v>40</v>
      </c>
      <c r="B234" s="4" t="str">
        <f t="shared" si="3"/>
        <v>Hair Care</v>
      </c>
      <c r="C234" s="4" t="s">
        <v>1786</v>
      </c>
      <c r="D234" s="4" t="s">
        <v>150</v>
      </c>
      <c r="E234" s="24" t="s">
        <v>42</v>
      </c>
      <c r="F234" s="12" t="s">
        <v>386</v>
      </c>
      <c r="G234" s="4" t="s">
        <v>1787</v>
      </c>
      <c r="H234" s="3">
        <v>336</v>
      </c>
      <c r="I234" s="3">
        <v>264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</row>
    <row r="235" spans="1:49">
      <c r="A235" s="4" t="s">
        <v>40</v>
      </c>
      <c r="B235" s="4" t="str">
        <f t="shared" si="3"/>
        <v>Hair Care</v>
      </c>
      <c r="C235" s="4" t="s">
        <v>1786</v>
      </c>
      <c r="D235" s="4" t="s">
        <v>150</v>
      </c>
      <c r="E235" s="24" t="s">
        <v>387</v>
      </c>
      <c r="F235" s="12" t="s">
        <v>389</v>
      </c>
      <c r="G235" s="4" t="s">
        <v>1787</v>
      </c>
      <c r="H235" s="3">
        <v>114</v>
      </c>
      <c r="I235" s="3">
        <v>132</v>
      </c>
      <c r="J235" s="3">
        <v>108</v>
      </c>
      <c r="K235" s="3">
        <v>24</v>
      </c>
      <c r="L235" s="3">
        <v>48</v>
      </c>
      <c r="M235" s="3">
        <v>36</v>
      </c>
      <c r="N235" s="3">
        <v>36</v>
      </c>
      <c r="O235" s="3">
        <v>36</v>
      </c>
      <c r="P235" s="3">
        <v>120</v>
      </c>
      <c r="Q235" s="3">
        <v>60</v>
      </c>
      <c r="R235" s="3">
        <v>60</v>
      </c>
      <c r="S235" s="3">
        <v>120</v>
      </c>
      <c r="T235" s="3">
        <v>84</v>
      </c>
      <c r="U235" s="3">
        <v>96</v>
      </c>
      <c r="V235" s="3">
        <v>36</v>
      </c>
      <c r="W235" s="3">
        <v>48</v>
      </c>
      <c r="X235" s="3">
        <v>24</v>
      </c>
      <c r="Y235" s="3">
        <v>60</v>
      </c>
      <c r="Z235" s="3">
        <v>24</v>
      </c>
      <c r="AA235" s="3">
        <v>72</v>
      </c>
      <c r="AB235" s="3">
        <v>72</v>
      </c>
      <c r="AC235" s="3">
        <v>48</v>
      </c>
      <c r="AD235" s="3">
        <v>72</v>
      </c>
      <c r="AE235" s="3">
        <v>24</v>
      </c>
      <c r="AF235" s="3">
        <v>84</v>
      </c>
      <c r="AG235" s="3">
        <v>24</v>
      </c>
      <c r="AH235" s="3">
        <v>36</v>
      </c>
      <c r="AI235" s="3">
        <v>0</v>
      </c>
      <c r="AJ235" s="3">
        <v>0</v>
      </c>
      <c r="AK235" s="3">
        <v>0</v>
      </c>
      <c r="AL235" s="3">
        <v>24</v>
      </c>
      <c r="AM235" s="3">
        <v>0</v>
      </c>
      <c r="AN235" s="3">
        <v>216</v>
      </c>
      <c r="AO235" s="3">
        <v>84</v>
      </c>
      <c r="AP235" s="3">
        <v>24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</row>
    <row r="236" spans="1:49">
      <c r="A236" s="4" t="s">
        <v>40</v>
      </c>
      <c r="B236" s="4" t="str">
        <f t="shared" si="3"/>
        <v>Hair Care</v>
      </c>
      <c r="C236" s="4" t="s">
        <v>1786</v>
      </c>
      <c r="D236" s="4" t="s">
        <v>150</v>
      </c>
      <c r="E236" s="24" t="s">
        <v>387</v>
      </c>
      <c r="F236" s="12" t="s">
        <v>390</v>
      </c>
      <c r="G236" s="4" t="s">
        <v>1787</v>
      </c>
      <c r="H236" s="3">
        <v>18</v>
      </c>
      <c r="I236" s="3">
        <v>36</v>
      </c>
      <c r="J236" s="3">
        <v>12</v>
      </c>
      <c r="K236" s="3">
        <v>0</v>
      </c>
      <c r="L236" s="3">
        <v>0</v>
      </c>
      <c r="M236" s="3">
        <v>0</v>
      </c>
      <c r="N236" s="3">
        <v>0</v>
      </c>
      <c r="O236" s="3">
        <v>12</v>
      </c>
      <c r="P236" s="3">
        <v>12</v>
      </c>
      <c r="Q236" s="3">
        <v>0</v>
      </c>
      <c r="R236" s="3">
        <v>0</v>
      </c>
      <c r="S236" s="3">
        <v>24</v>
      </c>
      <c r="T236" s="3">
        <v>12</v>
      </c>
      <c r="U236" s="3">
        <v>12</v>
      </c>
      <c r="V236" s="3">
        <v>12</v>
      </c>
      <c r="W236" s="3">
        <v>0</v>
      </c>
      <c r="X236" s="3">
        <v>204</v>
      </c>
      <c r="Y236" s="3">
        <v>0</v>
      </c>
      <c r="Z236" s="3">
        <v>12</v>
      </c>
      <c r="AA236" s="3">
        <v>24</v>
      </c>
      <c r="AB236" s="3">
        <v>48</v>
      </c>
      <c r="AC236" s="3">
        <v>0</v>
      </c>
      <c r="AD236" s="3">
        <v>0</v>
      </c>
      <c r="AE236" s="3">
        <v>0</v>
      </c>
      <c r="AF236" s="3">
        <v>36</v>
      </c>
      <c r="AG236" s="3">
        <v>48</v>
      </c>
      <c r="AH236" s="3">
        <v>0</v>
      </c>
      <c r="AI236" s="3">
        <v>12</v>
      </c>
      <c r="AJ236" s="3">
        <v>48</v>
      </c>
      <c r="AK236" s="3">
        <v>12</v>
      </c>
      <c r="AL236" s="3">
        <v>24</v>
      </c>
      <c r="AM236" s="3">
        <v>12</v>
      </c>
      <c r="AN236" s="3">
        <v>156</v>
      </c>
      <c r="AO236" s="3">
        <v>12</v>
      </c>
      <c r="AP236" s="3">
        <v>78</v>
      </c>
      <c r="AQ236" s="3">
        <v>0</v>
      </c>
      <c r="AR236" s="3">
        <v>0</v>
      </c>
      <c r="AS236" s="3">
        <v>0</v>
      </c>
      <c r="AT236" s="3">
        <v>0</v>
      </c>
      <c r="AU236" s="3">
        <v>192</v>
      </c>
      <c r="AV236" s="3">
        <v>0</v>
      </c>
      <c r="AW236" s="3">
        <v>0</v>
      </c>
    </row>
    <row r="237" spans="1:49">
      <c r="A237" s="4" t="s">
        <v>40</v>
      </c>
      <c r="B237" s="4" t="str">
        <f t="shared" si="3"/>
        <v>Hair Care</v>
      </c>
      <c r="C237" s="4" t="s">
        <v>1786</v>
      </c>
      <c r="D237" s="4" t="s">
        <v>150</v>
      </c>
      <c r="E237" s="24" t="s">
        <v>387</v>
      </c>
      <c r="F237" s="12" t="s">
        <v>391</v>
      </c>
      <c r="G237" s="4" t="s">
        <v>1787</v>
      </c>
      <c r="H237" s="3">
        <v>6</v>
      </c>
      <c r="I237" s="3">
        <v>612</v>
      </c>
      <c r="J237" s="3">
        <v>72</v>
      </c>
      <c r="K237" s="3">
        <v>126</v>
      </c>
      <c r="L237" s="3">
        <v>48</v>
      </c>
      <c r="M237" s="3">
        <v>48</v>
      </c>
      <c r="N237" s="3">
        <v>84</v>
      </c>
      <c r="O237" s="3">
        <v>108</v>
      </c>
      <c r="P237" s="3">
        <v>108</v>
      </c>
      <c r="Q237" s="3">
        <v>48</v>
      </c>
      <c r="R237" s="3">
        <v>84</v>
      </c>
      <c r="S237" s="3">
        <v>120</v>
      </c>
      <c r="T237" s="3">
        <v>228</v>
      </c>
      <c r="U237" s="3">
        <v>108</v>
      </c>
      <c r="V237" s="3">
        <v>108</v>
      </c>
      <c r="W237" s="3">
        <v>96</v>
      </c>
      <c r="X237" s="3">
        <v>168</v>
      </c>
      <c r="Y237" s="3">
        <v>48</v>
      </c>
      <c r="Z237" s="3">
        <v>60</v>
      </c>
      <c r="AA237" s="3">
        <v>120</v>
      </c>
      <c r="AB237" s="3">
        <v>36</v>
      </c>
      <c r="AC237" s="3">
        <v>24</v>
      </c>
      <c r="AD237" s="3">
        <v>72</v>
      </c>
      <c r="AE237" s="3">
        <v>84</v>
      </c>
      <c r="AF237" s="3">
        <v>108</v>
      </c>
      <c r="AG237" s="3">
        <v>180</v>
      </c>
      <c r="AH237" s="3">
        <v>35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</row>
    <row r="238" spans="1:49">
      <c r="A238" s="4" t="s">
        <v>40</v>
      </c>
      <c r="B238" s="4" t="str">
        <f t="shared" si="3"/>
        <v>Hair Care</v>
      </c>
      <c r="C238" s="4" t="s">
        <v>1786</v>
      </c>
      <c r="D238" s="4" t="s">
        <v>150</v>
      </c>
      <c r="E238" s="24" t="s">
        <v>392</v>
      </c>
      <c r="F238" s="12" t="s">
        <v>393</v>
      </c>
      <c r="G238" s="4" t="s">
        <v>1787</v>
      </c>
      <c r="H238" s="3">
        <v>516</v>
      </c>
      <c r="I238" s="3">
        <v>366</v>
      </c>
      <c r="J238" s="3">
        <v>270</v>
      </c>
      <c r="K238" s="3">
        <v>294</v>
      </c>
      <c r="L238" s="3">
        <v>0</v>
      </c>
      <c r="M238" s="3">
        <v>0</v>
      </c>
      <c r="N238" s="3">
        <v>0</v>
      </c>
      <c r="O238" s="3">
        <v>414</v>
      </c>
      <c r="P238" s="3">
        <v>408</v>
      </c>
      <c r="Q238" s="3">
        <v>72</v>
      </c>
      <c r="R238" s="3">
        <v>426</v>
      </c>
      <c r="S238" s="3">
        <v>276</v>
      </c>
      <c r="T238" s="3">
        <v>0</v>
      </c>
      <c r="U238" s="3">
        <v>330</v>
      </c>
      <c r="V238" s="3">
        <v>450</v>
      </c>
      <c r="W238" s="3">
        <v>264</v>
      </c>
      <c r="X238" s="3">
        <v>420</v>
      </c>
      <c r="Y238" s="3">
        <v>204</v>
      </c>
      <c r="Z238" s="3">
        <v>303</v>
      </c>
      <c r="AA238" s="3">
        <v>240</v>
      </c>
      <c r="AB238" s="3">
        <v>456</v>
      </c>
      <c r="AC238" s="3">
        <v>168</v>
      </c>
      <c r="AD238" s="3">
        <v>186</v>
      </c>
      <c r="AE238" s="3">
        <v>288</v>
      </c>
      <c r="AF238" s="3">
        <v>315</v>
      </c>
      <c r="AG238" s="3">
        <v>120</v>
      </c>
      <c r="AH238" s="3">
        <v>252</v>
      </c>
      <c r="AI238" s="3">
        <v>0</v>
      </c>
      <c r="AJ238" s="3">
        <v>0</v>
      </c>
      <c r="AK238" s="3">
        <v>0</v>
      </c>
      <c r="AL238" s="3">
        <v>117</v>
      </c>
      <c r="AM238" s="3">
        <v>351</v>
      </c>
      <c r="AN238" s="3">
        <v>0</v>
      </c>
      <c r="AO238" s="3">
        <v>0</v>
      </c>
      <c r="AP238" s="3">
        <v>699</v>
      </c>
      <c r="AQ238" s="3">
        <v>468</v>
      </c>
      <c r="AR238" s="3">
        <v>216</v>
      </c>
      <c r="AS238" s="3">
        <v>159</v>
      </c>
      <c r="AT238" s="3">
        <v>156</v>
      </c>
      <c r="AU238" s="3">
        <v>288</v>
      </c>
      <c r="AV238" s="3">
        <v>156</v>
      </c>
      <c r="AW238" s="3">
        <v>441</v>
      </c>
    </row>
    <row r="239" spans="1:49">
      <c r="A239" s="4" t="s">
        <v>40</v>
      </c>
      <c r="B239" s="4" t="str">
        <f t="shared" si="3"/>
        <v>Hair Care</v>
      </c>
      <c r="C239" s="4" t="s">
        <v>1786</v>
      </c>
      <c r="D239" s="4" t="s">
        <v>150</v>
      </c>
      <c r="E239" s="24" t="s">
        <v>392</v>
      </c>
      <c r="F239" s="12" t="s">
        <v>394</v>
      </c>
      <c r="G239" s="4" t="s">
        <v>1787</v>
      </c>
      <c r="H239" s="3">
        <v>54</v>
      </c>
      <c r="I239" s="3">
        <v>0</v>
      </c>
      <c r="J239" s="3">
        <v>0</v>
      </c>
      <c r="K239" s="3">
        <v>50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6</v>
      </c>
      <c r="S239" s="3">
        <v>0</v>
      </c>
      <c r="T239" s="3">
        <v>0</v>
      </c>
      <c r="U239" s="3">
        <v>12</v>
      </c>
      <c r="V239" s="3">
        <v>6</v>
      </c>
      <c r="W239" s="3">
        <v>24</v>
      </c>
      <c r="X239" s="3">
        <v>126</v>
      </c>
      <c r="Y239" s="3">
        <v>0</v>
      </c>
      <c r="Z239" s="3">
        <v>27</v>
      </c>
      <c r="AA239" s="3">
        <v>0</v>
      </c>
      <c r="AB239" s="3">
        <v>0</v>
      </c>
      <c r="AC239" s="3">
        <v>54</v>
      </c>
      <c r="AD239" s="3">
        <v>0</v>
      </c>
      <c r="AE239" s="3">
        <v>0</v>
      </c>
      <c r="AF239" s="3">
        <v>0</v>
      </c>
      <c r="AG239" s="3">
        <v>0</v>
      </c>
      <c r="AH239" s="3">
        <v>72</v>
      </c>
      <c r="AI239" s="3">
        <v>12</v>
      </c>
      <c r="AJ239" s="3">
        <v>78</v>
      </c>
      <c r="AK239" s="3">
        <v>0</v>
      </c>
      <c r="AL239" s="3">
        <v>21</v>
      </c>
      <c r="AM239" s="3">
        <v>96</v>
      </c>
      <c r="AN239" s="3">
        <v>12</v>
      </c>
      <c r="AO239" s="3">
        <v>24</v>
      </c>
      <c r="AP239" s="3">
        <v>24</v>
      </c>
      <c r="AQ239" s="3">
        <v>66</v>
      </c>
      <c r="AR239" s="3">
        <v>27</v>
      </c>
      <c r="AS239" s="3">
        <v>15</v>
      </c>
      <c r="AT239" s="3">
        <v>66</v>
      </c>
      <c r="AU239" s="3">
        <v>18</v>
      </c>
      <c r="AV239" s="3">
        <v>66</v>
      </c>
      <c r="AW239" s="3">
        <v>78</v>
      </c>
    </row>
    <row r="240" spans="1:49">
      <c r="A240" s="4" t="s">
        <v>40</v>
      </c>
      <c r="B240" s="4" t="str">
        <f t="shared" si="3"/>
        <v>Hair Care</v>
      </c>
      <c r="C240" s="4" t="s">
        <v>1786</v>
      </c>
      <c r="D240" s="4" t="s">
        <v>150</v>
      </c>
      <c r="E240" s="24" t="s">
        <v>392</v>
      </c>
      <c r="F240" s="12" t="s">
        <v>395</v>
      </c>
      <c r="G240" s="4" t="s">
        <v>1787</v>
      </c>
      <c r="H240" s="3">
        <v>507</v>
      </c>
      <c r="I240" s="3">
        <v>0</v>
      </c>
      <c r="J240" s="3">
        <v>336</v>
      </c>
      <c r="K240" s="3">
        <v>192</v>
      </c>
      <c r="L240" s="3">
        <v>198</v>
      </c>
      <c r="M240" s="3">
        <v>120</v>
      </c>
      <c r="N240" s="3">
        <v>162</v>
      </c>
      <c r="O240" s="3">
        <v>63</v>
      </c>
      <c r="P240" s="3">
        <v>282</v>
      </c>
      <c r="Q240" s="3">
        <v>0</v>
      </c>
      <c r="R240" s="3">
        <v>516</v>
      </c>
      <c r="S240" s="3">
        <v>204</v>
      </c>
      <c r="T240" s="3">
        <v>96</v>
      </c>
      <c r="U240" s="3">
        <v>372</v>
      </c>
      <c r="V240" s="3">
        <v>135</v>
      </c>
      <c r="W240" s="3">
        <v>0</v>
      </c>
      <c r="X240" s="3">
        <v>0</v>
      </c>
      <c r="Y240" s="3">
        <v>0</v>
      </c>
      <c r="Z240" s="3">
        <v>126</v>
      </c>
      <c r="AA240" s="3">
        <v>30</v>
      </c>
      <c r="AB240" s="3">
        <v>0</v>
      </c>
      <c r="AC240" s="3">
        <v>42</v>
      </c>
      <c r="AD240" s="3">
        <v>24</v>
      </c>
      <c r="AE240" s="3">
        <v>36</v>
      </c>
      <c r="AF240" s="3">
        <v>6</v>
      </c>
      <c r="AG240" s="3">
        <v>0</v>
      </c>
      <c r="AH240" s="3">
        <v>0</v>
      </c>
      <c r="AI240" s="3">
        <v>0</v>
      </c>
      <c r="AJ240" s="3">
        <v>180</v>
      </c>
      <c r="AK240" s="3">
        <v>18</v>
      </c>
      <c r="AL240" s="3">
        <v>27</v>
      </c>
      <c r="AM240" s="3">
        <v>348</v>
      </c>
      <c r="AN240" s="3">
        <v>237</v>
      </c>
      <c r="AO240" s="3">
        <v>288</v>
      </c>
      <c r="AP240" s="3">
        <v>156</v>
      </c>
      <c r="AQ240" s="3">
        <v>66</v>
      </c>
      <c r="AR240" s="3">
        <v>0</v>
      </c>
      <c r="AS240" s="3">
        <v>120</v>
      </c>
      <c r="AT240" s="3">
        <v>0</v>
      </c>
      <c r="AU240" s="3">
        <v>138</v>
      </c>
      <c r="AV240" s="3">
        <v>132</v>
      </c>
      <c r="AW240" s="3">
        <v>108</v>
      </c>
    </row>
    <row r="241" spans="1:49">
      <c r="A241" s="4" t="s">
        <v>40</v>
      </c>
      <c r="B241" s="4" t="str">
        <f t="shared" si="3"/>
        <v>Hair Care</v>
      </c>
      <c r="C241" s="4" t="s">
        <v>1786</v>
      </c>
      <c r="D241" s="4" t="s">
        <v>150</v>
      </c>
      <c r="E241" s="24" t="s">
        <v>392</v>
      </c>
      <c r="F241" s="12" t="s">
        <v>396</v>
      </c>
      <c r="G241" s="4" t="s">
        <v>1787</v>
      </c>
      <c r="H241" s="3">
        <v>270</v>
      </c>
      <c r="I241" s="3">
        <v>0</v>
      </c>
      <c r="J241" s="3">
        <v>366</v>
      </c>
      <c r="K241" s="3">
        <v>156</v>
      </c>
      <c r="L241" s="3">
        <v>180</v>
      </c>
      <c r="M241" s="3">
        <v>96</v>
      </c>
      <c r="N241" s="3">
        <v>216</v>
      </c>
      <c r="O241" s="3">
        <v>285</v>
      </c>
      <c r="P241" s="3">
        <v>282</v>
      </c>
      <c r="Q241" s="3">
        <v>324</v>
      </c>
      <c r="R241" s="3">
        <v>210</v>
      </c>
      <c r="S241" s="3">
        <v>348</v>
      </c>
      <c r="T241" s="3">
        <v>330</v>
      </c>
      <c r="U241" s="3">
        <v>246</v>
      </c>
      <c r="V241" s="3">
        <v>222</v>
      </c>
      <c r="W241" s="3">
        <v>276</v>
      </c>
      <c r="X241" s="3">
        <v>234</v>
      </c>
      <c r="Y241" s="3">
        <v>168</v>
      </c>
      <c r="Z241" s="3">
        <v>189</v>
      </c>
      <c r="AA241" s="3">
        <v>219</v>
      </c>
      <c r="AB241" s="3">
        <v>246</v>
      </c>
      <c r="AC241" s="3">
        <v>150</v>
      </c>
      <c r="AD241" s="3">
        <v>198</v>
      </c>
      <c r="AE241" s="3">
        <v>288</v>
      </c>
      <c r="AF241" s="3">
        <v>351</v>
      </c>
      <c r="AG241" s="3">
        <v>18</v>
      </c>
      <c r="AH241" s="3">
        <v>0</v>
      </c>
      <c r="AI241" s="3">
        <v>432</v>
      </c>
      <c r="AJ241" s="3">
        <v>315</v>
      </c>
      <c r="AK241" s="3">
        <v>123</v>
      </c>
      <c r="AL241" s="3">
        <v>180</v>
      </c>
      <c r="AM241" s="3">
        <v>204</v>
      </c>
      <c r="AN241" s="3">
        <v>0</v>
      </c>
      <c r="AO241" s="3">
        <v>378</v>
      </c>
      <c r="AP241" s="3">
        <v>162</v>
      </c>
      <c r="AQ241" s="3">
        <v>330</v>
      </c>
      <c r="AR241" s="3">
        <v>180</v>
      </c>
      <c r="AS241" s="3">
        <v>24</v>
      </c>
      <c r="AT241" s="3">
        <v>30</v>
      </c>
      <c r="AU241" s="3">
        <v>96</v>
      </c>
      <c r="AV241" s="3">
        <v>150</v>
      </c>
      <c r="AW241" s="3">
        <v>129</v>
      </c>
    </row>
    <row r="242" spans="1:49">
      <c r="A242" s="4" t="s">
        <v>35</v>
      </c>
      <c r="B242" s="4" t="str">
        <f t="shared" si="3"/>
        <v>Hair Color</v>
      </c>
      <c r="C242" s="4" t="s">
        <v>1786</v>
      </c>
      <c r="D242" s="4" t="s">
        <v>150</v>
      </c>
      <c r="E242" s="24" t="s">
        <v>44</v>
      </c>
      <c r="F242" s="12" t="s">
        <v>397</v>
      </c>
      <c r="G242" s="4" t="s">
        <v>1787</v>
      </c>
      <c r="H242" s="3">
        <v>21</v>
      </c>
      <c r="I242" s="3">
        <v>36</v>
      </c>
      <c r="J242" s="3">
        <v>9</v>
      </c>
      <c r="K242" s="3">
        <v>9</v>
      </c>
      <c r="L242" s="3">
        <v>24</v>
      </c>
      <c r="M242" s="3">
        <v>33</v>
      </c>
      <c r="N242" s="3">
        <v>9</v>
      </c>
      <c r="O242" s="3">
        <v>18</v>
      </c>
      <c r="P242" s="3">
        <v>57</v>
      </c>
      <c r="Q242" s="3">
        <v>51</v>
      </c>
      <c r="R242" s="3">
        <v>3</v>
      </c>
      <c r="S242" s="3">
        <v>48</v>
      </c>
      <c r="T242" s="3">
        <v>12</v>
      </c>
      <c r="U242" s="3">
        <v>33</v>
      </c>
      <c r="V242" s="3">
        <v>3</v>
      </c>
      <c r="W242" s="3">
        <v>27</v>
      </c>
      <c r="X242" s="3">
        <v>24</v>
      </c>
      <c r="Y242" s="3">
        <v>18</v>
      </c>
      <c r="Z242" s="3">
        <v>6</v>
      </c>
      <c r="AA242" s="3">
        <v>21</v>
      </c>
      <c r="AB242" s="3">
        <v>30</v>
      </c>
      <c r="AC242" s="3">
        <v>66</v>
      </c>
      <c r="AD242" s="3">
        <v>12</v>
      </c>
      <c r="AE242" s="3">
        <v>12</v>
      </c>
      <c r="AF242" s="3">
        <v>21</v>
      </c>
      <c r="AG242" s="3">
        <v>12</v>
      </c>
      <c r="AH242" s="3">
        <v>24</v>
      </c>
      <c r="AI242" s="3">
        <v>24</v>
      </c>
      <c r="AJ242" s="3">
        <v>27</v>
      </c>
      <c r="AK242" s="3">
        <v>3</v>
      </c>
      <c r="AL242" s="3">
        <v>9</v>
      </c>
      <c r="AM242" s="3">
        <v>36</v>
      </c>
      <c r="AN242" s="3">
        <v>30</v>
      </c>
      <c r="AO242" s="3">
        <v>27</v>
      </c>
      <c r="AP242" s="3">
        <v>39</v>
      </c>
      <c r="AQ242" s="3">
        <v>36</v>
      </c>
      <c r="AR242" s="3">
        <v>0</v>
      </c>
      <c r="AS242" s="3">
        <v>18</v>
      </c>
      <c r="AT242" s="3">
        <v>15</v>
      </c>
      <c r="AU242" s="3">
        <v>30</v>
      </c>
      <c r="AV242" s="3">
        <v>21</v>
      </c>
      <c r="AW242" s="3">
        <v>6</v>
      </c>
    </row>
    <row r="243" spans="1:49">
      <c r="A243" s="4" t="s">
        <v>35</v>
      </c>
      <c r="B243" s="4" t="str">
        <f t="shared" si="3"/>
        <v>Hair Color</v>
      </c>
      <c r="C243" s="4" t="s">
        <v>1786</v>
      </c>
      <c r="D243" s="4" t="s">
        <v>150</v>
      </c>
      <c r="E243" s="24" t="s">
        <v>44</v>
      </c>
      <c r="F243" s="12" t="s">
        <v>398</v>
      </c>
      <c r="G243" s="4" t="s">
        <v>1787</v>
      </c>
      <c r="H243" s="3">
        <v>27</v>
      </c>
      <c r="I243" s="3">
        <v>36</v>
      </c>
      <c r="J243" s="3">
        <v>21</v>
      </c>
      <c r="K243" s="3">
        <v>36</v>
      </c>
      <c r="L243" s="3">
        <v>6</v>
      </c>
      <c r="M243" s="3">
        <v>30</v>
      </c>
      <c r="N243" s="3">
        <v>6</v>
      </c>
      <c r="O243" s="3">
        <v>15</v>
      </c>
      <c r="P243" s="3">
        <v>18</v>
      </c>
      <c r="Q243" s="3">
        <v>69</v>
      </c>
      <c r="R243" s="3">
        <v>15</v>
      </c>
      <c r="S243" s="3">
        <v>15</v>
      </c>
      <c r="T243" s="3">
        <v>9</v>
      </c>
      <c r="U243" s="3">
        <v>24</v>
      </c>
      <c r="V243" s="3">
        <v>15</v>
      </c>
      <c r="W243" s="3">
        <v>27</v>
      </c>
      <c r="X243" s="3">
        <v>9</v>
      </c>
      <c r="Y243" s="3">
        <v>27</v>
      </c>
      <c r="Z243" s="3">
        <v>24</v>
      </c>
      <c r="AA243" s="3">
        <v>9</v>
      </c>
      <c r="AB243" s="3">
        <v>21</v>
      </c>
      <c r="AC243" s="3">
        <v>12</v>
      </c>
      <c r="AD243" s="3">
        <v>42</v>
      </c>
      <c r="AE243" s="3">
        <v>39</v>
      </c>
      <c r="AF243" s="3">
        <v>18</v>
      </c>
      <c r="AG243" s="3">
        <v>30</v>
      </c>
      <c r="AH243" s="3">
        <v>24</v>
      </c>
      <c r="AI243" s="3">
        <v>9</v>
      </c>
      <c r="AJ243" s="3">
        <v>45</v>
      </c>
      <c r="AK243" s="3">
        <v>18</v>
      </c>
      <c r="AL243" s="3">
        <v>9</v>
      </c>
      <c r="AM243" s="3">
        <v>33</v>
      </c>
      <c r="AN243" s="3">
        <v>21</v>
      </c>
      <c r="AO243" s="3">
        <v>45</v>
      </c>
      <c r="AP243" s="3">
        <v>51</v>
      </c>
      <c r="AQ243" s="3">
        <v>6</v>
      </c>
      <c r="AR243" s="3">
        <v>51</v>
      </c>
      <c r="AS243" s="3">
        <v>36</v>
      </c>
      <c r="AT243" s="3">
        <v>36</v>
      </c>
      <c r="AU243" s="3">
        <v>48</v>
      </c>
      <c r="AV243" s="3">
        <v>30</v>
      </c>
      <c r="AW243" s="3">
        <v>24</v>
      </c>
    </row>
    <row r="244" spans="1:49">
      <c r="A244" s="4" t="s">
        <v>35</v>
      </c>
      <c r="B244" s="4" t="str">
        <f t="shared" si="3"/>
        <v>Hair Color</v>
      </c>
      <c r="C244" s="4" t="s">
        <v>1786</v>
      </c>
      <c r="D244" s="4" t="s">
        <v>150</v>
      </c>
      <c r="E244" s="24" t="s">
        <v>44</v>
      </c>
      <c r="F244" s="12" t="s">
        <v>399</v>
      </c>
      <c r="G244" s="4" t="s">
        <v>1787</v>
      </c>
      <c r="H244" s="3">
        <v>105</v>
      </c>
      <c r="I244" s="3">
        <v>129</v>
      </c>
      <c r="J244" s="3">
        <v>111</v>
      </c>
      <c r="K244" s="3">
        <v>2</v>
      </c>
      <c r="L244" s="3">
        <v>129</v>
      </c>
      <c r="M244" s="3">
        <v>129</v>
      </c>
      <c r="N244" s="3">
        <v>108</v>
      </c>
      <c r="O244" s="3">
        <v>63</v>
      </c>
      <c r="P244" s="3">
        <v>222</v>
      </c>
      <c r="Q244" s="3">
        <v>117</v>
      </c>
      <c r="R244" s="3">
        <v>84</v>
      </c>
      <c r="S244" s="3">
        <v>87</v>
      </c>
      <c r="T244" s="3">
        <v>96</v>
      </c>
      <c r="U244" s="3">
        <v>138</v>
      </c>
      <c r="V244" s="3">
        <v>99</v>
      </c>
      <c r="W244" s="3">
        <v>63</v>
      </c>
      <c r="X244" s="3">
        <v>108</v>
      </c>
      <c r="Y244" s="3">
        <v>63</v>
      </c>
      <c r="Z244" s="3">
        <v>267</v>
      </c>
      <c r="AA244" s="3">
        <v>156</v>
      </c>
      <c r="AB244" s="3">
        <v>177</v>
      </c>
      <c r="AC244" s="3">
        <v>0</v>
      </c>
      <c r="AD244" s="3">
        <v>105</v>
      </c>
      <c r="AE244" s="3">
        <v>183</v>
      </c>
      <c r="AF244" s="3">
        <v>129</v>
      </c>
      <c r="AG244" s="3">
        <v>105</v>
      </c>
      <c r="AH244" s="3">
        <v>276</v>
      </c>
      <c r="AI244" s="3">
        <v>132</v>
      </c>
      <c r="AJ244" s="3">
        <v>126</v>
      </c>
      <c r="AK244" s="3">
        <v>114</v>
      </c>
      <c r="AL244" s="3">
        <v>60</v>
      </c>
      <c r="AM244" s="3">
        <v>201</v>
      </c>
      <c r="AN244" s="3">
        <v>147</v>
      </c>
      <c r="AO244" s="3">
        <v>126</v>
      </c>
      <c r="AP244" s="3">
        <v>144</v>
      </c>
      <c r="AQ244" s="3">
        <v>69</v>
      </c>
      <c r="AR244" s="3">
        <v>72</v>
      </c>
      <c r="AS244" s="3">
        <v>81</v>
      </c>
      <c r="AT244" s="3">
        <v>54</v>
      </c>
      <c r="AU244" s="3">
        <v>57</v>
      </c>
      <c r="AV244" s="3">
        <v>60</v>
      </c>
      <c r="AW244" s="3">
        <v>45</v>
      </c>
    </row>
    <row r="245" spans="1:49">
      <c r="A245" s="4" t="s">
        <v>35</v>
      </c>
      <c r="B245" s="4" t="str">
        <f t="shared" si="3"/>
        <v>Hair Color</v>
      </c>
      <c r="C245" s="4" t="s">
        <v>1786</v>
      </c>
      <c r="D245" s="4" t="s">
        <v>150</v>
      </c>
      <c r="E245" s="24" t="s">
        <v>44</v>
      </c>
      <c r="F245" s="12" t="s">
        <v>400</v>
      </c>
      <c r="G245" s="4" t="s">
        <v>1787</v>
      </c>
      <c r="H245" s="3">
        <v>42</v>
      </c>
      <c r="I245" s="3">
        <v>99</v>
      </c>
      <c r="J245" s="3">
        <v>6</v>
      </c>
      <c r="K245" s="3">
        <v>72</v>
      </c>
      <c r="L245" s="3">
        <v>30</v>
      </c>
      <c r="M245" s="3">
        <v>15</v>
      </c>
      <c r="N245" s="3">
        <v>30</v>
      </c>
      <c r="O245" s="3">
        <v>33</v>
      </c>
      <c r="P245" s="3">
        <v>84</v>
      </c>
      <c r="Q245" s="3">
        <v>42</v>
      </c>
      <c r="R245" s="3">
        <v>21</v>
      </c>
      <c r="S245" s="3">
        <v>45</v>
      </c>
      <c r="T245" s="3">
        <v>42</v>
      </c>
      <c r="U245" s="3">
        <v>45</v>
      </c>
      <c r="V245" s="3">
        <v>36</v>
      </c>
      <c r="W245" s="3">
        <v>33</v>
      </c>
      <c r="X245" s="3">
        <v>72</v>
      </c>
      <c r="Y245" s="3">
        <v>36</v>
      </c>
      <c r="Z245" s="3">
        <v>48</v>
      </c>
      <c r="AA245" s="3">
        <v>30</v>
      </c>
      <c r="AB245" s="3">
        <v>75</v>
      </c>
      <c r="AC245" s="3">
        <v>36</v>
      </c>
      <c r="AD245" s="3">
        <v>24</v>
      </c>
      <c r="AE245" s="3">
        <v>39</v>
      </c>
      <c r="AF245" s="3">
        <v>42</v>
      </c>
      <c r="AG245" s="3">
        <v>27</v>
      </c>
      <c r="AH245" s="3">
        <v>0</v>
      </c>
      <c r="AI245" s="3">
        <v>30</v>
      </c>
      <c r="AJ245" s="3">
        <v>51</v>
      </c>
      <c r="AK245" s="3">
        <v>27</v>
      </c>
      <c r="AL245" s="3">
        <v>6</v>
      </c>
      <c r="AM245" s="3">
        <v>75</v>
      </c>
      <c r="AN245" s="3">
        <v>39</v>
      </c>
      <c r="AO245" s="3">
        <v>27</v>
      </c>
      <c r="AP245" s="3">
        <v>33</v>
      </c>
      <c r="AQ245" s="3">
        <v>27</v>
      </c>
      <c r="AR245" s="3">
        <v>30</v>
      </c>
      <c r="AS245" s="3">
        <v>45</v>
      </c>
      <c r="AT245" s="3">
        <v>39</v>
      </c>
      <c r="AU245" s="3">
        <v>30</v>
      </c>
      <c r="AV245" s="3">
        <v>60</v>
      </c>
      <c r="AW245" s="3">
        <v>33</v>
      </c>
    </row>
    <row r="246" spans="1:49">
      <c r="A246" s="4" t="s">
        <v>35</v>
      </c>
      <c r="B246" s="4" t="str">
        <f t="shared" si="3"/>
        <v>Hair Color</v>
      </c>
      <c r="C246" s="4" t="s">
        <v>1786</v>
      </c>
      <c r="D246" s="4" t="s">
        <v>150</v>
      </c>
      <c r="E246" s="24" t="s">
        <v>44</v>
      </c>
      <c r="F246" s="12" t="s">
        <v>401</v>
      </c>
      <c r="G246" s="4" t="s">
        <v>1787</v>
      </c>
      <c r="H246" s="3">
        <v>18</v>
      </c>
      <c r="I246" s="3">
        <v>45</v>
      </c>
      <c r="J246" s="3">
        <v>27</v>
      </c>
      <c r="K246" s="3">
        <v>36</v>
      </c>
      <c r="L246" s="3">
        <v>12</v>
      </c>
      <c r="M246" s="3">
        <v>33</v>
      </c>
      <c r="N246" s="3">
        <v>9</v>
      </c>
      <c r="O246" s="3">
        <v>21</v>
      </c>
      <c r="P246" s="3">
        <v>45</v>
      </c>
      <c r="Q246" s="3">
        <v>84</v>
      </c>
      <c r="R246" s="3">
        <v>15</v>
      </c>
      <c r="S246" s="3">
        <v>39</v>
      </c>
      <c r="T246" s="3">
        <v>15</v>
      </c>
      <c r="U246" s="3">
        <v>33</v>
      </c>
      <c r="V246" s="3">
        <v>21</v>
      </c>
      <c r="W246" s="3">
        <v>30</v>
      </c>
      <c r="X246" s="3">
        <v>33</v>
      </c>
      <c r="Y246" s="3">
        <v>24</v>
      </c>
      <c r="Z246" s="3">
        <v>18</v>
      </c>
      <c r="AA246" s="3">
        <v>27</v>
      </c>
      <c r="AB246" s="3">
        <v>42</v>
      </c>
      <c r="AC246" s="3">
        <v>60</v>
      </c>
      <c r="AD246" s="3">
        <v>6</v>
      </c>
      <c r="AE246" s="3">
        <v>9</v>
      </c>
      <c r="AF246" s="3">
        <v>45</v>
      </c>
      <c r="AG246" s="3">
        <v>12</v>
      </c>
      <c r="AH246" s="3">
        <v>27</v>
      </c>
      <c r="AI246" s="3">
        <v>30</v>
      </c>
      <c r="AJ246" s="3">
        <v>39</v>
      </c>
      <c r="AK246" s="3">
        <v>15</v>
      </c>
      <c r="AL246" s="3">
        <v>33</v>
      </c>
      <c r="AM246" s="3">
        <v>66</v>
      </c>
      <c r="AN246" s="3">
        <v>36</v>
      </c>
      <c r="AO246" s="3">
        <v>9</v>
      </c>
      <c r="AP246" s="3">
        <v>36</v>
      </c>
      <c r="AQ246" s="3">
        <v>48</v>
      </c>
      <c r="AR246" s="3">
        <v>15</v>
      </c>
      <c r="AS246" s="3">
        <v>6</v>
      </c>
      <c r="AT246" s="3">
        <v>42</v>
      </c>
      <c r="AU246" s="3">
        <v>39</v>
      </c>
      <c r="AV246" s="3">
        <v>27</v>
      </c>
      <c r="AW246" s="3">
        <v>15</v>
      </c>
    </row>
    <row r="247" spans="1:49">
      <c r="A247" s="4" t="s">
        <v>35</v>
      </c>
      <c r="B247" s="4" t="str">
        <f t="shared" si="3"/>
        <v>Hair Color</v>
      </c>
      <c r="C247" s="4" t="s">
        <v>1786</v>
      </c>
      <c r="D247" s="4" t="s">
        <v>150</v>
      </c>
      <c r="E247" s="24" t="s">
        <v>44</v>
      </c>
      <c r="F247" s="12" t="s">
        <v>402</v>
      </c>
      <c r="G247" s="4" t="s">
        <v>1787</v>
      </c>
      <c r="H247" s="3">
        <v>93</v>
      </c>
      <c r="I247" s="3">
        <v>87</v>
      </c>
      <c r="J247" s="3">
        <v>57</v>
      </c>
      <c r="K247" s="3">
        <v>45</v>
      </c>
      <c r="L247" s="3">
        <v>36</v>
      </c>
      <c r="M247" s="3">
        <v>72</v>
      </c>
      <c r="N247" s="3">
        <v>27</v>
      </c>
      <c r="O247" s="3">
        <v>39</v>
      </c>
      <c r="P247" s="3">
        <v>84</v>
      </c>
      <c r="Q247" s="3">
        <v>36</v>
      </c>
      <c r="R247" s="3">
        <v>42</v>
      </c>
      <c r="S247" s="3">
        <v>15</v>
      </c>
      <c r="T247" s="3">
        <v>51</v>
      </c>
      <c r="U247" s="3">
        <v>33</v>
      </c>
      <c r="V247" s="3">
        <v>24</v>
      </c>
      <c r="W247" s="3">
        <v>51</v>
      </c>
      <c r="X247" s="3">
        <v>99</v>
      </c>
      <c r="Y247" s="3">
        <v>60</v>
      </c>
      <c r="Z247" s="3">
        <v>69</v>
      </c>
      <c r="AA247" s="3">
        <v>66</v>
      </c>
      <c r="AB247" s="3">
        <v>108</v>
      </c>
      <c r="AC247" s="3">
        <v>54</v>
      </c>
      <c r="AD247" s="3">
        <v>18</v>
      </c>
      <c r="AE247" s="3">
        <v>81</v>
      </c>
      <c r="AF247" s="3">
        <v>54</v>
      </c>
      <c r="AG247" s="3">
        <v>54</v>
      </c>
      <c r="AH247" s="3">
        <v>96</v>
      </c>
      <c r="AI247" s="3">
        <v>66</v>
      </c>
      <c r="AJ247" s="3">
        <v>45</v>
      </c>
      <c r="AK247" s="3">
        <v>24</v>
      </c>
      <c r="AL247" s="3">
        <v>33</v>
      </c>
      <c r="AM247" s="3">
        <v>54</v>
      </c>
      <c r="AN247" s="3">
        <v>81</v>
      </c>
      <c r="AO247" s="3">
        <v>60</v>
      </c>
      <c r="AP247" s="3">
        <v>72</v>
      </c>
      <c r="AQ247" s="3">
        <v>66</v>
      </c>
      <c r="AR247" s="3">
        <v>33</v>
      </c>
      <c r="AS247" s="3">
        <v>45</v>
      </c>
      <c r="AT247" s="3">
        <v>54</v>
      </c>
      <c r="AU247" s="3">
        <v>27</v>
      </c>
      <c r="AV247" s="3">
        <v>57</v>
      </c>
      <c r="AW247" s="3">
        <v>30</v>
      </c>
    </row>
    <row r="248" spans="1:49">
      <c r="A248" s="4" t="s">
        <v>35</v>
      </c>
      <c r="B248" s="4" t="str">
        <f t="shared" si="3"/>
        <v>Hair Color</v>
      </c>
      <c r="C248" s="4" t="s">
        <v>1786</v>
      </c>
      <c r="D248" s="4" t="s">
        <v>150</v>
      </c>
      <c r="E248" s="24" t="s">
        <v>44</v>
      </c>
      <c r="F248" s="12" t="s">
        <v>403</v>
      </c>
      <c r="G248" s="4" t="s">
        <v>1787</v>
      </c>
      <c r="H248" s="3">
        <v>18</v>
      </c>
      <c r="I248" s="3">
        <v>36</v>
      </c>
      <c r="J248" s="3">
        <v>0</v>
      </c>
      <c r="K248" s="3">
        <v>0</v>
      </c>
      <c r="L248" s="3">
        <v>39</v>
      </c>
      <c r="M248" s="3">
        <v>36</v>
      </c>
      <c r="N248" s="3">
        <v>3</v>
      </c>
      <c r="O248" s="3">
        <v>24</v>
      </c>
      <c r="P248" s="3">
        <v>24</v>
      </c>
      <c r="Q248" s="3">
        <v>45</v>
      </c>
      <c r="R248" s="3">
        <v>12</v>
      </c>
      <c r="S248" s="3">
        <v>12</v>
      </c>
      <c r="T248" s="3">
        <v>30</v>
      </c>
      <c r="U248" s="3">
        <v>24</v>
      </c>
      <c r="V248" s="3">
        <v>18</v>
      </c>
      <c r="W248" s="3">
        <v>18</v>
      </c>
      <c r="X248" s="3">
        <v>27</v>
      </c>
      <c r="Y248" s="3">
        <v>12</v>
      </c>
      <c r="Z248" s="3">
        <v>30</v>
      </c>
      <c r="AA248" s="3">
        <v>15</v>
      </c>
      <c r="AB248" s="3">
        <v>45</v>
      </c>
      <c r="AC248" s="3">
        <v>48</v>
      </c>
      <c r="AD248" s="3">
        <v>12</v>
      </c>
      <c r="AE248" s="3">
        <v>18</v>
      </c>
      <c r="AF248" s="3">
        <v>39</v>
      </c>
      <c r="AG248" s="3">
        <v>27</v>
      </c>
      <c r="AH248" s="3">
        <v>27</v>
      </c>
      <c r="AI248" s="3">
        <v>6</v>
      </c>
      <c r="AJ248" s="3">
        <v>18</v>
      </c>
      <c r="AK248" s="3">
        <v>33</v>
      </c>
      <c r="AL248" s="3">
        <v>9</v>
      </c>
      <c r="AM248" s="3">
        <v>30</v>
      </c>
      <c r="AN248" s="3">
        <v>27</v>
      </c>
      <c r="AO248" s="3">
        <v>21</v>
      </c>
      <c r="AP248" s="3">
        <v>69</v>
      </c>
      <c r="AQ248" s="3">
        <v>42</v>
      </c>
      <c r="AR248" s="3">
        <v>15</v>
      </c>
      <c r="AS248" s="3">
        <v>6</v>
      </c>
      <c r="AT248" s="3">
        <v>36</v>
      </c>
      <c r="AU248" s="3">
        <v>30</v>
      </c>
      <c r="AV248" s="3">
        <v>18</v>
      </c>
      <c r="AW248" s="3">
        <v>12</v>
      </c>
    </row>
    <row r="249" spans="1:49">
      <c r="A249" s="4" t="s">
        <v>35</v>
      </c>
      <c r="B249" s="4" t="str">
        <f t="shared" si="3"/>
        <v>Hair Color</v>
      </c>
      <c r="C249" s="4" t="s">
        <v>1786</v>
      </c>
      <c r="D249" s="4" t="s">
        <v>150</v>
      </c>
      <c r="E249" s="24" t="s">
        <v>44</v>
      </c>
      <c r="F249" s="12" t="s">
        <v>404</v>
      </c>
      <c r="G249" s="4" t="s">
        <v>1787</v>
      </c>
      <c r="H249" s="3">
        <v>9</v>
      </c>
      <c r="I249" s="3">
        <v>3</v>
      </c>
      <c r="J249" s="3">
        <v>6</v>
      </c>
      <c r="K249" s="3">
        <v>6</v>
      </c>
      <c r="L249" s="3">
        <v>9</v>
      </c>
      <c r="M249" s="3">
        <v>15</v>
      </c>
      <c r="N249" s="3">
        <v>21</v>
      </c>
      <c r="O249" s="3">
        <v>24</v>
      </c>
      <c r="P249" s="3">
        <v>30</v>
      </c>
      <c r="Q249" s="3">
        <v>57</v>
      </c>
      <c r="R249" s="3">
        <v>15</v>
      </c>
      <c r="S249" s="3">
        <v>15</v>
      </c>
      <c r="T249" s="3">
        <v>12</v>
      </c>
      <c r="U249" s="3">
        <v>3</v>
      </c>
      <c r="V249" s="3">
        <v>15</v>
      </c>
      <c r="W249" s="3">
        <v>9</v>
      </c>
      <c r="X249" s="3">
        <v>24</v>
      </c>
      <c r="Y249" s="3">
        <v>6</v>
      </c>
      <c r="Z249" s="3">
        <v>39</v>
      </c>
      <c r="AA249" s="3">
        <v>12</v>
      </c>
      <c r="AB249" s="3">
        <v>36</v>
      </c>
      <c r="AC249" s="3">
        <v>48</v>
      </c>
      <c r="AD249" s="3">
        <v>15</v>
      </c>
      <c r="AE249" s="3">
        <v>6</v>
      </c>
      <c r="AF249" s="3">
        <v>33</v>
      </c>
      <c r="AG249" s="3">
        <v>9</v>
      </c>
      <c r="AH249" s="3">
        <v>33</v>
      </c>
      <c r="AI249" s="3">
        <v>0</v>
      </c>
      <c r="AJ249" s="3">
        <v>21</v>
      </c>
      <c r="AK249" s="3">
        <v>21</v>
      </c>
      <c r="AL249" s="3">
        <v>9</v>
      </c>
      <c r="AM249" s="3">
        <v>30</v>
      </c>
      <c r="AN249" s="3">
        <v>36</v>
      </c>
      <c r="AO249" s="3">
        <v>39</v>
      </c>
      <c r="AP249" s="3">
        <v>21</v>
      </c>
      <c r="AQ249" s="3">
        <v>24</v>
      </c>
      <c r="AR249" s="3">
        <v>12</v>
      </c>
      <c r="AS249" s="3">
        <v>6</v>
      </c>
      <c r="AT249" s="3">
        <v>18</v>
      </c>
      <c r="AU249" s="3">
        <v>15</v>
      </c>
      <c r="AV249" s="3">
        <v>3</v>
      </c>
      <c r="AW249" s="3">
        <v>18</v>
      </c>
    </row>
    <row r="250" spans="1:49">
      <c r="A250" s="4" t="s">
        <v>35</v>
      </c>
      <c r="B250" s="4" t="str">
        <f t="shared" si="3"/>
        <v>Hair Color</v>
      </c>
      <c r="C250" s="4" t="s">
        <v>1786</v>
      </c>
      <c r="D250" s="4" t="s">
        <v>150</v>
      </c>
      <c r="E250" s="24" t="s">
        <v>44</v>
      </c>
      <c r="F250" s="12" t="s">
        <v>405</v>
      </c>
      <c r="G250" s="4" t="s">
        <v>1787</v>
      </c>
      <c r="H250" s="3">
        <v>45</v>
      </c>
      <c r="I250" s="3">
        <v>24</v>
      </c>
      <c r="J250" s="3">
        <v>36</v>
      </c>
      <c r="K250" s="3">
        <v>48</v>
      </c>
      <c r="L250" s="3">
        <v>54</v>
      </c>
      <c r="M250" s="3">
        <v>66</v>
      </c>
      <c r="N250" s="3">
        <v>42</v>
      </c>
      <c r="O250" s="3">
        <v>57</v>
      </c>
      <c r="P250" s="3">
        <v>81</v>
      </c>
      <c r="Q250" s="3">
        <v>60</v>
      </c>
      <c r="R250" s="3">
        <v>54</v>
      </c>
      <c r="S250" s="3">
        <v>48</v>
      </c>
      <c r="T250" s="3">
        <v>57</v>
      </c>
      <c r="U250" s="3">
        <v>45</v>
      </c>
      <c r="V250" s="3">
        <v>12</v>
      </c>
      <c r="W250" s="3">
        <v>27</v>
      </c>
      <c r="X250" s="3">
        <v>21</v>
      </c>
      <c r="Y250" s="3">
        <v>24</v>
      </c>
      <c r="Z250" s="3">
        <v>33</v>
      </c>
      <c r="AA250" s="3">
        <v>15</v>
      </c>
      <c r="AB250" s="3">
        <v>117</v>
      </c>
      <c r="AC250" s="3">
        <v>60</v>
      </c>
      <c r="AD250" s="3">
        <v>30</v>
      </c>
      <c r="AE250" s="3">
        <v>36</v>
      </c>
      <c r="AF250" s="3">
        <v>45</v>
      </c>
      <c r="AG250" s="3">
        <v>42</v>
      </c>
      <c r="AH250" s="3">
        <v>174</v>
      </c>
      <c r="AI250" s="3">
        <v>33</v>
      </c>
      <c r="AJ250" s="3">
        <v>48</v>
      </c>
      <c r="AK250" s="3">
        <v>105</v>
      </c>
      <c r="AL250" s="3">
        <v>30</v>
      </c>
      <c r="AM250" s="3">
        <v>57</v>
      </c>
      <c r="AN250" s="3">
        <v>36</v>
      </c>
      <c r="AO250" s="3">
        <v>78</v>
      </c>
      <c r="AP250" s="3">
        <v>81</v>
      </c>
      <c r="AQ250" s="3">
        <v>27</v>
      </c>
      <c r="AR250" s="3">
        <v>33</v>
      </c>
      <c r="AS250" s="3">
        <v>36</v>
      </c>
      <c r="AT250" s="3">
        <v>21</v>
      </c>
      <c r="AU250" s="3">
        <v>33</v>
      </c>
      <c r="AV250" s="3">
        <v>6</v>
      </c>
      <c r="AW250" s="3">
        <v>27</v>
      </c>
    </row>
    <row r="251" spans="1:49">
      <c r="A251" s="4" t="s">
        <v>35</v>
      </c>
      <c r="B251" s="4" t="str">
        <f t="shared" si="3"/>
        <v>Hair Color</v>
      </c>
      <c r="C251" s="4" t="s">
        <v>1786</v>
      </c>
      <c r="D251" s="4" t="s">
        <v>150</v>
      </c>
      <c r="E251" s="24" t="s">
        <v>44</v>
      </c>
      <c r="F251" s="12" t="s">
        <v>406</v>
      </c>
      <c r="G251" s="4" t="s">
        <v>1787</v>
      </c>
      <c r="H251" s="3">
        <v>21</v>
      </c>
      <c r="I251" s="3">
        <v>18</v>
      </c>
      <c r="J251" s="3">
        <v>3</v>
      </c>
      <c r="K251" s="3">
        <v>24</v>
      </c>
      <c r="L251" s="3">
        <v>27</v>
      </c>
      <c r="M251" s="3">
        <v>12</v>
      </c>
      <c r="N251" s="3">
        <v>9</v>
      </c>
      <c r="O251" s="3">
        <v>15</v>
      </c>
      <c r="P251" s="3">
        <v>36</v>
      </c>
      <c r="Q251" s="3">
        <v>54</v>
      </c>
      <c r="R251" s="3">
        <v>27</v>
      </c>
      <c r="S251" s="3">
        <v>21</v>
      </c>
      <c r="T251" s="3">
        <v>33</v>
      </c>
      <c r="U251" s="3">
        <v>27</v>
      </c>
      <c r="V251" s="3">
        <v>25</v>
      </c>
      <c r="W251" s="3">
        <v>27</v>
      </c>
      <c r="X251" s="3">
        <v>54</v>
      </c>
      <c r="Y251" s="3">
        <v>18</v>
      </c>
      <c r="Z251" s="3">
        <v>21</v>
      </c>
      <c r="AA251" s="3">
        <v>15</v>
      </c>
      <c r="AB251" s="3">
        <v>36</v>
      </c>
      <c r="AC251" s="3">
        <v>21</v>
      </c>
      <c r="AD251" s="3">
        <v>42</v>
      </c>
      <c r="AE251" s="3">
        <v>21</v>
      </c>
      <c r="AF251" s="3">
        <v>27</v>
      </c>
      <c r="AG251" s="3">
        <v>42</v>
      </c>
      <c r="AH251" s="3">
        <v>42</v>
      </c>
      <c r="AI251" s="3">
        <v>24</v>
      </c>
      <c r="AJ251" s="3">
        <v>30</v>
      </c>
      <c r="AK251" s="3">
        <v>15</v>
      </c>
      <c r="AL251" s="3">
        <v>27</v>
      </c>
      <c r="AM251" s="3">
        <v>87</v>
      </c>
      <c r="AN251" s="3">
        <v>39</v>
      </c>
      <c r="AO251" s="3">
        <v>30</v>
      </c>
      <c r="AP251" s="3">
        <v>36</v>
      </c>
      <c r="AQ251" s="3">
        <v>27</v>
      </c>
      <c r="AR251" s="3">
        <v>24</v>
      </c>
      <c r="AS251" s="3">
        <v>18</v>
      </c>
      <c r="AT251" s="3">
        <v>3</v>
      </c>
      <c r="AU251" s="3">
        <v>30</v>
      </c>
      <c r="AV251" s="3">
        <v>24</v>
      </c>
      <c r="AW251" s="3">
        <v>9</v>
      </c>
    </row>
    <row r="252" spans="1:49">
      <c r="A252" s="4" t="s">
        <v>35</v>
      </c>
      <c r="B252" s="4" t="str">
        <f t="shared" si="3"/>
        <v>Hair Color</v>
      </c>
      <c r="C252" s="4" t="s">
        <v>1786</v>
      </c>
      <c r="D252" s="4" t="s">
        <v>150</v>
      </c>
      <c r="E252" s="24" t="s">
        <v>44</v>
      </c>
      <c r="F252" s="12" t="s">
        <v>407</v>
      </c>
      <c r="G252" s="4" t="s">
        <v>1787</v>
      </c>
      <c r="H252" s="3">
        <v>84</v>
      </c>
      <c r="I252" s="3">
        <v>72</v>
      </c>
      <c r="J252" s="3">
        <v>66</v>
      </c>
      <c r="K252" s="3">
        <v>9</v>
      </c>
      <c r="L252" s="3">
        <v>99</v>
      </c>
      <c r="M252" s="3">
        <v>99</v>
      </c>
      <c r="N252" s="3">
        <v>51</v>
      </c>
      <c r="O252" s="3">
        <v>66</v>
      </c>
      <c r="P252" s="3">
        <v>87</v>
      </c>
      <c r="Q252" s="3">
        <v>120</v>
      </c>
      <c r="R252" s="3">
        <v>72</v>
      </c>
      <c r="S252" s="3">
        <v>24</v>
      </c>
      <c r="T252" s="3">
        <v>75</v>
      </c>
      <c r="U252" s="3">
        <v>51</v>
      </c>
      <c r="V252" s="3">
        <v>69</v>
      </c>
      <c r="W252" s="3">
        <v>99</v>
      </c>
      <c r="X252" s="3">
        <v>105</v>
      </c>
      <c r="Y252" s="3">
        <v>60</v>
      </c>
      <c r="Z252" s="3">
        <v>84</v>
      </c>
      <c r="AA252" s="3">
        <v>63</v>
      </c>
      <c r="AB252" s="3">
        <v>177</v>
      </c>
      <c r="AC252" s="3">
        <v>60</v>
      </c>
      <c r="AD252" s="3">
        <v>39</v>
      </c>
      <c r="AE252" s="3">
        <v>75</v>
      </c>
      <c r="AF252" s="3">
        <v>69</v>
      </c>
      <c r="AG252" s="3">
        <v>27</v>
      </c>
      <c r="AH252" s="3">
        <v>108</v>
      </c>
      <c r="AI252" s="3">
        <v>51</v>
      </c>
      <c r="AJ252" s="3">
        <v>66</v>
      </c>
      <c r="AK252" s="3">
        <v>36</v>
      </c>
      <c r="AL252" s="3">
        <v>42</v>
      </c>
      <c r="AM252" s="3">
        <v>138</v>
      </c>
      <c r="AN252" s="3">
        <v>99</v>
      </c>
      <c r="AO252" s="3">
        <v>51</v>
      </c>
      <c r="AP252" s="3">
        <v>60</v>
      </c>
      <c r="AQ252" s="3">
        <v>72</v>
      </c>
      <c r="AR252" s="3">
        <v>48</v>
      </c>
      <c r="AS252" s="3">
        <v>48</v>
      </c>
      <c r="AT252" s="3">
        <v>48</v>
      </c>
      <c r="AU252" s="3">
        <v>48</v>
      </c>
      <c r="AV252" s="3">
        <v>60</v>
      </c>
      <c r="AW252" s="3">
        <v>42</v>
      </c>
    </row>
    <row r="253" spans="1:49">
      <c r="A253" s="4" t="s">
        <v>35</v>
      </c>
      <c r="B253" s="4" t="str">
        <f t="shared" si="3"/>
        <v>Hair Color</v>
      </c>
      <c r="C253" s="4" t="s">
        <v>1786</v>
      </c>
      <c r="D253" s="4" t="s">
        <v>150</v>
      </c>
      <c r="E253" s="24" t="s">
        <v>44</v>
      </c>
      <c r="F253" s="12" t="s">
        <v>408</v>
      </c>
      <c r="G253" s="4" t="s">
        <v>1787</v>
      </c>
      <c r="H253" s="3">
        <v>21</v>
      </c>
      <c r="I253" s="3">
        <v>51</v>
      </c>
      <c r="J253" s="3">
        <v>24</v>
      </c>
      <c r="K253" s="3">
        <v>33</v>
      </c>
      <c r="L253" s="3">
        <v>30</v>
      </c>
      <c r="M253" s="3">
        <v>24</v>
      </c>
      <c r="N253" s="3">
        <v>24</v>
      </c>
      <c r="O253" s="3">
        <v>6</v>
      </c>
      <c r="P253" s="3">
        <v>72</v>
      </c>
      <c r="Q253" s="3">
        <v>57</v>
      </c>
      <c r="R253" s="3">
        <v>12</v>
      </c>
      <c r="S253" s="3">
        <v>15</v>
      </c>
      <c r="T253" s="3">
        <v>18</v>
      </c>
      <c r="U253" s="3">
        <v>66</v>
      </c>
      <c r="V253" s="3">
        <v>24</v>
      </c>
      <c r="W253" s="3">
        <v>21</v>
      </c>
      <c r="X253" s="3">
        <v>60</v>
      </c>
      <c r="Y253" s="3">
        <v>12</v>
      </c>
      <c r="Z253" s="3">
        <v>48</v>
      </c>
      <c r="AA253" s="3">
        <v>12</v>
      </c>
      <c r="AB253" s="3">
        <v>66</v>
      </c>
      <c r="AC253" s="3">
        <v>42</v>
      </c>
      <c r="AD253" s="3">
        <v>15</v>
      </c>
      <c r="AE253" s="3">
        <v>12</v>
      </c>
      <c r="AF253" s="3">
        <v>30</v>
      </c>
      <c r="AG253" s="3">
        <v>33</v>
      </c>
      <c r="AH253" s="3">
        <v>15</v>
      </c>
      <c r="AI253" s="3">
        <v>27</v>
      </c>
      <c r="AJ253" s="3">
        <v>33</v>
      </c>
      <c r="AK253" s="3">
        <v>18</v>
      </c>
      <c r="AL253" s="3">
        <v>12</v>
      </c>
      <c r="AM253" s="3">
        <v>99</v>
      </c>
      <c r="AN253" s="3">
        <v>33</v>
      </c>
      <c r="AO253" s="3">
        <v>18</v>
      </c>
      <c r="AP253" s="3">
        <v>33</v>
      </c>
      <c r="AQ253" s="3">
        <v>24</v>
      </c>
      <c r="AR253" s="3">
        <v>24</v>
      </c>
      <c r="AS253" s="3">
        <v>21</v>
      </c>
      <c r="AT253" s="3">
        <v>27</v>
      </c>
      <c r="AU253" s="3">
        <v>48</v>
      </c>
      <c r="AV253" s="3">
        <v>45</v>
      </c>
      <c r="AW253" s="3">
        <v>24</v>
      </c>
    </row>
    <row r="254" spans="1:49">
      <c r="A254" s="4" t="s">
        <v>35</v>
      </c>
      <c r="B254" s="4" t="str">
        <f t="shared" si="3"/>
        <v>Hair Color</v>
      </c>
      <c r="C254" s="4" t="s">
        <v>1786</v>
      </c>
      <c r="D254" s="4" t="s">
        <v>150</v>
      </c>
      <c r="E254" s="24" t="s">
        <v>44</v>
      </c>
      <c r="F254" s="12" t="s">
        <v>409</v>
      </c>
      <c r="G254" s="4" t="s">
        <v>1787</v>
      </c>
      <c r="H254" s="3">
        <v>162</v>
      </c>
      <c r="I254" s="3">
        <v>81</v>
      </c>
      <c r="J254" s="3">
        <v>108</v>
      </c>
      <c r="K254" s="3">
        <v>114</v>
      </c>
      <c r="L254" s="3">
        <v>81</v>
      </c>
      <c r="M254" s="3">
        <v>123</v>
      </c>
      <c r="N254" s="3">
        <v>99</v>
      </c>
      <c r="O254" s="3">
        <v>60</v>
      </c>
      <c r="P254" s="3">
        <v>192</v>
      </c>
      <c r="Q254" s="3">
        <v>57</v>
      </c>
      <c r="R254" s="3">
        <v>114</v>
      </c>
      <c r="S254" s="3">
        <v>102</v>
      </c>
      <c r="T254" s="3">
        <v>153</v>
      </c>
      <c r="U254" s="3">
        <v>96</v>
      </c>
      <c r="V254" s="3">
        <v>78</v>
      </c>
      <c r="W254" s="3">
        <v>48</v>
      </c>
      <c r="X254" s="3">
        <v>84</v>
      </c>
      <c r="Y254" s="3">
        <v>39</v>
      </c>
      <c r="Z254" s="3">
        <v>135</v>
      </c>
      <c r="AA254" s="3">
        <v>342</v>
      </c>
      <c r="AB254" s="3">
        <v>162</v>
      </c>
      <c r="AC254" s="3">
        <v>57</v>
      </c>
      <c r="AD254" s="3">
        <v>33</v>
      </c>
      <c r="AE254" s="3">
        <v>87</v>
      </c>
      <c r="AF254" s="3">
        <v>204</v>
      </c>
      <c r="AG254" s="3">
        <v>177</v>
      </c>
      <c r="AH254" s="3">
        <v>102</v>
      </c>
      <c r="AI254" s="3">
        <v>78</v>
      </c>
      <c r="AJ254" s="3">
        <v>96</v>
      </c>
      <c r="AK254" s="3">
        <v>45</v>
      </c>
      <c r="AL254" s="3">
        <v>66</v>
      </c>
      <c r="AM254" s="3">
        <v>99</v>
      </c>
      <c r="AN254" s="3">
        <v>66</v>
      </c>
      <c r="AO254" s="3">
        <v>129</v>
      </c>
      <c r="AP254" s="3">
        <v>138</v>
      </c>
      <c r="AQ254" s="3">
        <v>36</v>
      </c>
      <c r="AR254" s="3">
        <v>90</v>
      </c>
      <c r="AS254" s="3">
        <v>66</v>
      </c>
      <c r="AT254" s="3">
        <v>21</v>
      </c>
      <c r="AU254" s="3">
        <v>63</v>
      </c>
      <c r="AV254" s="3">
        <v>63</v>
      </c>
      <c r="AW254" s="3">
        <v>30</v>
      </c>
    </row>
    <row r="255" spans="1:49">
      <c r="A255" s="4" t="s">
        <v>35</v>
      </c>
      <c r="B255" s="4" t="str">
        <f t="shared" si="3"/>
        <v>Hair Color</v>
      </c>
      <c r="C255" s="4" t="s">
        <v>1786</v>
      </c>
      <c r="D255" s="4" t="s">
        <v>150</v>
      </c>
      <c r="E255" s="24" t="s">
        <v>44</v>
      </c>
      <c r="F255" s="12" t="s">
        <v>410</v>
      </c>
      <c r="G255" s="4" t="s">
        <v>1787</v>
      </c>
      <c r="H255" s="3">
        <v>108</v>
      </c>
      <c r="I255" s="3">
        <v>105</v>
      </c>
      <c r="J255" s="3">
        <v>102</v>
      </c>
      <c r="K255" s="3">
        <v>0</v>
      </c>
      <c r="L255" s="3">
        <v>84</v>
      </c>
      <c r="M255" s="3">
        <v>225</v>
      </c>
      <c r="N255" s="3">
        <v>96</v>
      </c>
      <c r="O255" s="3">
        <v>72</v>
      </c>
      <c r="P255" s="3">
        <v>129</v>
      </c>
      <c r="Q255" s="3">
        <v>135</v>
      </c>
      <c r="R255" s="3">
        <v>66</v>
      </c>
      <c r="S255" s="3">
        <v>108</v>
      </c>
      <c r="T255" s="3">
        <v>147</v>
      </c>
      <c r="U255" s="3">
        <v>117</v>
      </c>
      <c r="V255" s="3">
        <v>84</v>
      </c>
      <c r="W255" s="3">
        <v>42</v>
      </c>
      <c r="X255" s="3">
        <v>96</v>
      </c>
      <c r="Y255" s="3">
        <v>51</v>
      </c>
      <c r="Z255" s="3">
        <v>54</v>
      </c>
      <c r="AA255" s="3">
        <v>75</v>
      </c>
      <c r="AB255" s="3">
        <v>213</v>
      </c>
      <c r="AC255" s="3">
        <v>0</v>
      </c>
      <c r="AD255" s="3">
        <v>33</v>
      </c>
      <c r="AE255" s="3">
        <v>183</v>
      </c>
      <c r="AF255" s="3">
        <v>195</v>
      </c>
      <c r="AG255" s="3">
        <v>66</v>
      </c>
      <c r="AH255" s="3">
        <v>198</v>
      </c>
      <c r="AI255" s="3">
        <v>108</v>
      </c>
      <c r="AJ255" s="3">
        <v>174</v>
      </c>
      <c r="AK255" s="3">
        <v>144</v>
      </c>
      <c r="AL255" s="3">
        <v>81</v>
      </c>
      <c r="AM255" s="3">
        <v>132</v>
      </c>
      <c r="AN255" s="3">
        <v>99</v>
      </c>
      <c r="AO255" s="3">
        <v>132</v>
      </c>
      <c r="AP255" s="3">
        <v>81</v>
      </c>
      <c r="AQ255" s="3">
        <v>99</v>
      </c>
      <c r="AR255" s="3">
        <v>72</v>
      </c>
      <c r="AS255" s="3">
        <v>57</v>
      </c>
      <c r="AT255" s="3">
        <v>48</v>
      </c>
      <c r="AU255" s="3">
        <v>81</v>
      </c>
      <c r="AV255" s="3">
        <v>27</v>
      </c>
      <c r="AW255" s="3">
        <v>21</v>
      </c>
    </row>
    <row r="256" spans="1:49">
      <c r="A256" s="4" t="s">
        <v>35</v>
      </c>
      <c r="B256" s="4" t="str">
        <f t="shared" si="3"/>
        <v>Hair Color</v>
      </c>
      <c r="C256" s="4" t="s">
        <v>1786</v>
      </c>
      <c r="D256" s="4" t="s">
        <v>150</v>
      </c>
      <c r="E256" s="24" t="s">
        <v>44</v>
      </c>
      <c r="F256" s="12" t="s">
        <v>411</v>
      </c>
      <c r="G256" s="4" t="s">
        <v>1787</v>
      </c>
      <c r="H256" s="3">
        <v>27</v>
      </c>
      <c r="I256" s="3">
        <v>36</v>
      </c>
      <c r="J256" s="3">
        <v>21</v>
      </c>
      <c r="K256" s="3">
        <v>42</v>
      </c>
      <c r="L256" s="3">
        <v>18</v>
      </c>
      <c r="M256" s="3">
        <v>15</v>
      </c>
      <c r="N256" s="3">
        <v>15</v>
      </c>
      <c r="O256" s="3">
        <v>24</v>
      </c>
      <c r="P256" s="3">
        <v>57</v>
      </c>
      <c r="Q256" s="3">
        <v>54</v>
      </c>
      <c r="R256" s="3">
        <v>30</v>
      </c>
      <c r="S256" s="3">
        <v>24</v>
      </c>
      <c r="T256" s="3">
        <v>30</v>
      </c>
      <c r="U256" s="3">
        <v>27</v>
      </c>
      <c r="V256" s="3">
        <v>45</v>
      </c>
      <c r="W256" s="3">
        <v>12</v>
      </c>
      <c r="X256" s="3">
        <v>42</v>
      </c>
      <c r="Y256" s="3">
        <v>30</v>
      </c>
      <c r="Z256" s="3">
        <v>15</v>
      </c>
      <c r="AA256" s="3">
        <v>27</v>
      </c>
      <c r="AB256" s="3">
        <v>42</v>
      </c>
      <c r="AC256" s="3">
        <v>42</v>
      </c>
      <c r="AD256" s="3">
        <v>57</v>
      </c>
      <c r="AE256" s="3">
        <v>36</v>
      </c>
      <c r="AF256" s="3">
        <v>12</v>
      </c>
      <c r="AG256" s="3">
        <v>33</v>
      </c>
      <c r="AH256" s="3">
        <v>39</v>
      </c>
      <c r="AI256" s="3">
        <v>45</v>
      </c>
      <c r="AJ256" s="3">
        <v>24</v>
      </c>
      <c r="AK256" s="3">
        <v>24</v>
      </c>
      <c r="AL256" s="3">
        <v>24</v>
      </c>
      <c r="AM256" s="3">
        <v>78</v>
      </c>
      <c r="AN256" s="3">
        <v>30</v>
      </c>
      <c r="AO256" s="3">
        <v>21</v>
      </c>
      <c r="AP256" s="3">
        <v>45</v>
      </c>
      <c r="AQ256" s="3">
        <v>60</v>
      </c>
      <c r="AR256" s="3">
        <v>27</v>
      </c>
      <c r="AS256" s="3">
        <v>27</v>
      </c>
      <c r="AT256" s="3">
        <v>9</v>
      </c>
      <c r="AU256" s="3">
        <v>39</v>
      </c>
      <c r="AV256" s="3">
        <v>36</v>
      </c>
      <c r="AW256" s="3">
        <v>12</v>
      </c>
    </row>
    <row r="257" spans="1:49">
      <c r="A257" s="4" t="s">
        <v>35</v>
      </c>
      <c r="B257" s="4" t="str">
        <f t="shared" si="3"/>
        <v>Hair Color</v>
      </c>
      <c r="C257" s="4" t="s">
        <v>1786</v>
      </c>
      <c r="D257" s="4" t="s">
        <v>150</v>
      </c>
      <c r="E257" s="24" t="s">
        <v>44</v>
      </c>
      <c r="F257" s="12" t="s">
        <v>412</v>
      </c>
      <c r="G257" s="4" t="s">
        <v>1787</v>
      </c>
      <c r="H257" s="3">
        <v>0</v>
      </c>
      <c r="I257" s="3">
        <v>0</v>
      </c>
      <c r="J257" s="3">
        <v>12</v>
      </c>
      <c r="K257" s="3">
        <v>24</v>
      </c>
      <c r="L257" s="3">
        <v>6</v>
      </c>
      <c r="M257" s="3">
        <v>3</v>
      </c>
      <c r="N257" s="3">
        <v>0</v>
      </c>
      <c r="O257" s="3">
        <v>0</v>
      </c>
      <c r="P257" s="3">
        <v>12</v>
      </c>
      <c r="Q257" s="3">
        <v>0</v>
      </c>
      <c r="R257" s="3">
        <v>6</v>
      </c>
      <c r="S257" s="3">
        <v>18</v>
      </c>
      <c r="T257" s="3">
        <v>54</v>
      </c>
      <c r="U257" s="3">
        <v>24</v>
      </c>
      <c r="V257" s="3">
        <v>6</v>
      </c>
      <c r="W257" s="3">
        <v>9</v>
      </c>
      <c r="X257" s="3">
        <v>18</v>
      </c>
      <c r="Y257" s="3">
        <v>30</v>
      </c>
      <c r="Z257" s="3">
        <v>33</v>
      </c>
      <c r="AA257" s="3">
        <v>0</v>
      </c>
      <c r="AB257" s="3">
        <v>30</v>
      </c>
      <c r="AC257" s="3">
        <v>6</v>
      </c>
      <c r="AD257" s="3">
        <v>6</v>
      </c>
      <c r="AE257" s="3">
        <v>6</v>
      </c>
      <c r="AF257" s="3">
        <v>0</v>
      </c>
      <c r="AG257" s="3">
        <v>3</v>
      </c>
      <c r="AH257" s="3">
        <v>6</v>
      </c>
      <c r="AI257" s="3">
        <v>9</v>
      </c>
      <c r="AJ257" s="3">
        <v>12</v>
      </c>
      <c r="AK257" s="3">
        <v>6</v>
      </c>
      <c r="AL257" s="3">
        <v>0</v>
      </c>
      <c r="AM257" s="3">
        <v>6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21</v>
      </c>
      <c r="AV257" s="3">
        <v>21</v>
      </c>
      <c r="AW257" s="3">
        <v>0</v>
      </c>
    </row>
    <row r="258" spans="1:49">
      <c r="A258" s="4" t="s">
        <v>35</v>
      </c>
      <c r="B258" s="4" t="str">
        <f t="shared" si="3"/>
        <v>Hair Color</v>
      </c>
      <c r="C258" s="4" t="s">
        <v>1786</v>
      </c>
      <c r="D258" s="4" t="s">
        <v>150</v>
      </c>
      <c r="E258" s="24" t="s">
        <v>44</v>
      </c>
      <c r="F258" s="12" t="s">
        <v>413</v>
      </c>
      <c r="G258" s="4" t="s">
        <v>1787</v>
      </c>
      <c r="H258" s="3">
        <v>6</v>
      </c>
      <c r="I258" s="3">
        <v>3</v>
      </c>
      <c r="J258" s="3">
        <v>12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6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3</v>
      </c>
      <c r="AB258" s="3">
        <v>0</v>
      </c>
      <c r="AC258" s="3">
        <v>0</v>
      </c>
      <c r="AD258" s="3">
        <v>3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12</v>
      </c>
      <c r="AN258" s="3">
        <v>3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12</v>
      </c>
      <c r="AV258" s="3">
        <v>0</v>
      </c>
      <c r="AW258" s="3">
        <v>3</v>
      </c>
    </row>
    <row r="259" spans="1:49">
      <c r="A259" s="4" t="s">
        <v>35</v>
      </c>
      <c r="B259" s="4" t="str">
        <f t="shared" ref="B259:B322" si="4">A259</f>
        <v>Hair Color</v>
      </c>
      <c r="C259" s="4" t="s">
        <v>1786</v>
      </c>
      <c r="D259" s="4" t="s">
        <v>150</v>
      </c>
      <c r="E259" s="24" t="s">
        <v>414</v>
      </c>
      <c r="F259" s="12" t="s">
        <v>415</v>
      </c>
      <c r="G259" s="4" t="s">
        <v>1787</v>
      </c>
      <c r="H259" s="3">
        <v>444</v>
      </c>
      <c r="I259" s="3">
        <v>870</v>
      </c>
      <c r="J259" s="3">
        <v>810</v>
      </c>
      <c r="K259" s="3">
        <v>678</v>
      </c>
      <c r="L259" s="3">
        <v>456</v>
      </c>
      <c r="M259" s="3">
        <v>1224</v>
      </c>
      <c r="N259" s="3">
        <v>498</v>
      </c>
      <c r="O259" s="3">
        <v>678</v>
      </c>
      <c r="P259" s="3">
        <v>564</v>
      </c>
      <c r="Q259" s="3">
        <v>942</v>
      </c>
      <c r="R259" s="3">
        <v>444</v>
      </c>
      <c r="S259" s="3">
        <v>624</v>
      </c>
      <c r="T259" s="3">
        <v>528</v>
      </c>
      <c r="U259" s="3">
        <v>750</v>
      </c>
      <c r="V259" s="3">
        <v>498</v>
      </c>
      <c r="W259" s="3">
        <v>300</v>
      </c>
      <c r="X259" s="3">
        <v>960</v>
      </c>
      <c r="Y259" s="3">
        <v>510</v>
      </c>
      <c r="Z259" s="3">
        <v>672</v>
      </c>
      <c r="AA259" s="3">
        <v>474</v>
      </c>
      <c r="AB259" s="3">
        <v>810</v>
      </c>
      <c r="AC259" s="3">
        <v>444</v>
      </c>
      <c r="AD259" s="3">
        <v>282</v>
      </c>
      <c r="AE259" s="3">
        <v>564</v>
      </c>
      <c r="AF259" s="3">
        <v>978</v>
      </c>
      <c r="AG259" s="3">
        <v>270</v>
      </c>
      <c r="AH259" s="3">
        <v>66</v>
      </c>
      <c r="AI259" s="3">
        <v>738</v>
      </c>
      <c r="AJ259" s="3">
        <v>390</v>
      </c>
      <c r="AK259" s="3">
        <v>390</v>
      </c>
      <c r="AL259" s="3">
        <v>282</v>
      </c>
      <c r="AM259" s="3">
        <v>438</v>
      </c>
      <c r="AN259" s="3">
        <v>438</v>
      </c>
      <c r="AO259" s="3">
        <v>498</v>
      </c>
      <c r="AP259" s="3">
        <v>540</v>
      </c>
      <c r="AQ259" s="3">
        <v>648</v>
      </c>
      <c r="AR259" s="3">
        <v>336</v>
      </c>
      <c r="AS259" s="3">
        <v>474</v>
      </c>
      <c r="AT259" s="3">
        <v>474</v>
      </c>
      <c r="AU259" s="3">
        <v>738</v>
      </c>
      <c r="AV259" s="3">
        <v>636</v>
      </c>
      <c r="AW259" s="3">
        <v>618</v>
      </c>
    </row>
    <row r="260" spans="1:49">
      <c r="A260" s="4" t="s">
        <v>35</v>
      </c>
      <c r="B260" s="4" t="str">
        <f t="shared" si="4"/>
        <v>Hair Color</v>
      </c>
      <c r="C260" s="4" t="s">
        <v>1786</v>
      </c>
      <c r="D260" s="4" t="s">
        <v>150</v>
      </c>
      <c r="E260" s="24" t="s">
        <v>414</v>
      </c>
      <c r="F260" s="12" t="s">
        <v>416</v>
      </c>
      <c r="G260" s="4" t="s">
        <v>1787</v>
      </c>
      <c r="H260" s="3">
        <v>384</v>
      </c>
      <c r="I260" s="3">
        <v>654</v>
      </c>
      <c r="J260" s="3">
        <v>918</v>
      </c>
      <c r="K260" s="3">
        <v>528</v>
      </c>
      <c r="L260" s="3">
        <v>504</v>
      </c>
      <c r="M260" s="3">
        <v>756</v>
      </c>
      <c r="N260" s="3">
        <v>1098</v>
      </c>
      <c r="O260" s="3">
        <v>270</v>
      </c>
      <c r="P260" s="3">
        <v>546</v>
      </c>
      <c r="Q260" s="3">
        <v>924</v>
      </c>
      <c r="R260" s="3">
        <v>546</v>
      </c>
      <c r="S260" s="3">
        <v>408</v>
      </c>
      <c r="T260" s="3">
        <v>534</v>
      </c>
      <c r="U260" s="3">
        <v>786</v>
      </c>
      <c r="V260" s="3">
        <v>420</v>
      </c>
      <c r="W260" s="3">
        <v>156</v>
      </c>
      <c r="X260" s="3">
        <v>894</v>
      </c>
      <c r="Y260" s="3">
        <v>342</v>
      </c>
      <c r="Z260" s="3">
        <v>708</v>
      </c>
      <c r="AA260" s="3">
        <v>474</v>
      </c>
      <c r="AB260" s="3">
        <v>420</v>
      </c>
      <c r="AC260" s="3">
        <v>312</v>
      </c>
      <c r="AD260" s="3">
        <v>360</v>
      </c>
      <c r="AE260" s="3">
        <v>642</v>
      </c>
      <c r="AF260" s="3">
        <v>804</v>
      </c>
      <c r="AG260" s="3">
        <v>6</v>
      </c>
      <c r="AH260" s="3">
        <v>0</v>
      </c>
      <c r="AI260" s="3">
        <v>798</v>
      </c>
      <c r="AJ260" s="3">
        <v>396</v>
      </c>
      <c r="AK260" s="3">
        <v>432</v>
      </c>
      <c r="AL260" s="3">
        <v>216</v>
      </c>
      <c r="AM260" s="3">
        <v>324</v>
      </c>
      <c r="AN260" s="3">
        <v>588</v>
      </c>
      <c r="AO260" s="3">
        <v>390</v>
      </c>
      <c r="AP260" s="3">
        <v>612</v>
      </c>
      <c r="AQ260" s="3">
        <v>714</v>
      </c>
      <c r="AR260" s="3">
        <v>360</v>
      </c>
      <c r="AS260" s="3">
        <v>492</v>
      </c>
      <c r="AT260" s="3">
        <v>474</v>
      </c>
      <c r="AU260" s="3">
        <v>1026</v>
      </c>
      <c r="AV260" s="3">
        <v>660</v>
      </c>
      <c r="AW260" s="3">
        <v>504</v>
      </c>
    </row>
    <row r="261" spans="1:49">
      <c r="A261" s="4" t="s">
        <v>35</v>
      </c>
      <c r="B261" s="4" t="str">
        <f t="shared" si="4"/>
        <v>Hair Color</v>
      </c>
      <c r="C261" s="4" t="s">
        <v>1786</v>
      </c>
      <c r="D261" s="4" t="s">
        <v>150</v>
      </c>
      <c r="E261" s="24" t="s">
        <v>414</v>
      </c>
      <c r="F261" s="12" t="s">
        <v>417</v>
      </c>
      <c r="G261" s="4" t="s">
        <v>1787</v>
      </c>
      <c r="H261" s="3">
        <v>852</v>
      </c>
      <c r="I261" s="3">
        <v>1464</v>
      </c>
      <c r="J261" s="3">
        <v>1344</v>
      </c>
      <c r="K261" s="3">
        <v>864</v>
      </c>
      <c r="L261" s="3">
        <v>966</v>
      </c>
      <c r="M261" s="3">
        <v>1182</v>
      </c>
      <c r="N261" s="3">
        <v>1410</v>
      </c>
      <c r="O261" s="3">
        <v>750</v>
      </c>
      <c r="P261" s="3">
        <v>822</v>
      </c>
      <c r="Q261" s="3">
        <v>1176</v>
      </c>
      <c r="R261" s="3">
        <v>606</v>
      </c>
      <c r="S261" s="3">
        <v>882</v>
      </c>
      <c r="T261" s="3">
        <v>1248</v>
      </c>
      <c r="U261" s="3">
        <v>930</v>
      </c>
      <c r="V261" s="3">
        <v>792</v>
      </c>
      <c r="W261" s="3">
        <v>372</v>
      </c>
      <c r="X261" s="3">
        <v>1590</v>
      </c>
      <c r="Y261" s="3">
        <v>696</v>
      </c>
      <c r="Z261" s="3">
        <v>1014</v>
      </c>
      <c r="AA261" s="3">
        <v>540</v>
      </c>
      <c r="AB261" s="3">
        <v>870</v>
      </c>
      <c r="AC261" s="3">
        <v>426</v>
      </c>
      <c r="AD261" s="3">
        <v>468</v>
      </c>
      <c r="AE261" s="3">
        <v>1122</v>
      </c>
      <c r="AF261" s="3">
        <v>1032</v>
      </c>
      <c r="AG261" s="3">
        <v>222</v>
      </c>
      <c r="AH261" s="3">
        <v>0</v>
      </c>
      <c r="AI261" s="3">
        <v>54</v>
      </c>
      <c r="AJ261" s="3">
        <v>570</v>
      </c>
      <c r="AK261" s="3">
        <v>624</v>
      </c>
      <c r="AL261" s="3">
        <v>300</v>
      </c>
      <c r="AM261" s="3">
        <v>360</v>
      </c>
      <c r="AN261" s="3">
        <v>390</v>
      </c>
      <c r="AO261" s="3">
        <v>768</v>
      </c>
      <c r="AP261" s="3">
        <v>786</v>
      </c>
      <c r="AQ261" s="3">
        <v>761</v>
      </c>
      <c r="AR261" s="3">
        <v>750</v>
      </c>
      <c r="AS261" s="3">
        <v>546</v>
      </c>
      <c r="AT261" s="3">
        <v>852</v>
      </c>
      <c r="AU261" s="3">
        <v>1296</v>
      </c>
      <c r="AV261" s="3">
        <v>840</v>
      </c>
      <c r="AW261" s="3">
        <v>852</v>
      </c>
    </row>
    <row r="262" spans="1:49">
      <c r="A262" s="4" t="s">
        <v>35</v>
      </c>
      <c r="B262" s="4" t="str">
        <f t="shared" si="4"/>
        <v>Hair Color</v>
      </c>
      <c r="C262" s="4" t="s">
        <v>1786</v>
      </c>
      <c r="D262" s="4" t="s">
        <v>150</v>
      </c>
      <c r="E262" s="24" t="s">
        <v>414</v>
      </c>
      <c r="F262" s="12" t="s">
        <v>418</v>
      </c>
      <c r="G262" s="4" t="s">
        <v>1787</v>
      </c>
      <c r="H262" s="3">
        <v>120</v>
      </c>
      <c r="I262" s="3">
        <v>150</v>
      </c>
      <c r="J262" s="3">
        <v>288</v>
      </c>
      <c r="K262" s="3">
        <v>150</v>
      </c>
      <c r="L262" s="3">
        <v>222</v>
      </c>
      <c r="M262" s="3">
        <v>240</v>
      </c>
      <c r="N262" s="3">
        <v>132</v>
      </c>
      <c r="O262" s="3">
        <v>270</v>
      </c>
      <c r="P262" s="3">
        <v>306</v>
      </c>
      <c r="Q262" s="3">
        <v>180</v>
      </c>
      <c r="R262" s="3">
        <v>90</v>
      </c>
      <c r="S262" s="3">
        <v>222</v>
      </c>
      <c r="T262" s="3">
        <v>276</v>
      </c>
      <c r="U262" s="3">
        <v>240</v>
      </c>
      <c r="V262" s="3">
        <v>186</v>
      </c>
      <c r="W262" s="3">
        <v>186</v>
      </c>
      <c r="X262" s="3">
        <v>288</v>
      </c>
      <c r="Y262" s="3">
        <v>204</v>
      </c>
      <c r="Z262" s="3">
        <v>264</v>
      </c>
      <c r="AA262" s="3">
        <v>228</v>
      </c>
      <c r="AB262" s="3">
        <v>510</v>
      </c>
      <c r="AC262" s="3">
        <v>324</v>
      </c>
      <c r="AD262" s="3">
        <v>402</v>
      </c>
      <c r="AE262" s="3">
        <v>384</v>
      </c>
      <c r="AF262" s="3">
        <v>396</v>
      </c>
      <c r="AG262" s="3">
        <v>150</v>
      </c>
      <c r="AH262" s="3">
        <v>0</v>
      </c>
      <c r="AI262" s="3">
        <v>744</v>
      </c>
      <c r="AJ262" s="3">
        <v>545</v>
      </c>
      <c r="AK262" s="3">
        <v>426</v>
      </c>
      <c r="AL262" s="3">
        <v>222</v>
      </c>
      <c r="AM262" s="3">
        <v>270</v>
      </c>
      <c r="AN262" s="3">
        <v>282</v>
      </c>
      <c r="AO262" s="3">
        <v>504</v>
      </c>
      <c r="AP262" s="3">
        <v>378</v>
      </c>
      <c r="AQ262" s="3">
        <v>510</v>
      </c>
      <c r="AR262" s="3">
        <v>450</v>
      </c>
      <c r="AS262" s="3">
        <v>507</v>
      </c>
      <c r="AT262" s="3">
        <v>420</v>
      </c>
      <c r="AU262" s="3">
        <v>1012</v>
      </c>
      <c r="AV262" s="3">
        <v>552</v>
      </c>
      <c r="AW262" s="3">
        <v>450</v>
      </c>
    </row>
    <row r="263" spans="1:49">
      <c r="A263" s="4" t="s">
        <v>35</v>
      </c>
      <c r="B263" s="4" t="str">
        <f t="shared" si="4"/>
        <v>Hair Color</v>
      </c>
      <c r="C263" s="4" t="s">
        <v>1786</v>
      </c>
      <c r="D263" s="4" t="s">
        <v>150</v>
      </c>
      <c r="E263" s="24" t="s">
        <v>414</v>
      </c>
      <c r="F263" s="12" t="s">
        <v>419</v>
      </c>
      <c r="G263" s="4" t="s">
        <v>1787</v>
      </c>
      <c r="H263" s="3">
        <v>306</v>
      </c>
      <c r="I263" s="3">
        <v>888</v>
      </c>
      <c r="J263" s="3">
        <v>1266</v>
      </c>
      <c r="K263" s="3">
        <v>726</v>
      </c>
      <c r="L263" s="3">
        <v>684</v>
      </c>
      <c r="M263" s="3">
        <v>954</v>
      </c>
      <c r="N263" s="3">
        <v>1152</v>
      </c>
      <c r="O263" s="3">
        <v>702</v>
      </c>
      <c r="P263" s="3">
        <v>612</v>
      </c>
      <c r="Q263" s="3">
        <v>1248</v>
      </c>
      <c r="R263" s="3">
        <v>366</v>
      </c>
      <c r="S263" s="3">
        <v>792</v>
      </c>
      <c r="T263" s="3">
        <v>888</v>
      </c>
      <c r="U263" s="3">
        <v>726</v>
      </c>
      <c r="V263" s="3">
        <v>642</v>
      </c>
      <c r="W263" s="3">
        <v>426</v>
      </c>
      <c r="X263" s="3">
        <v>696</v>
      </c>
      <c r="Y263" s="3">
        <v>528</v>
      </c>
      <c r="Z263" s="3">
        <v>732</v>
      </c>
      <c r="AA263" s="3">
        <v>642</v>
      </c>
      <c r="AB263" s="3">
        <v>852</v>
      </c>
      <c r="AC263" s="3">
        <v>366</v>
      </c>
      <c r="AD263" s="3">
        <v>372</v>
      </c>
      <c r="AE263" s="3">
        <v>594</v>
      </c>
      <c r="AF263" s="3">
        <v>996</v>
      </c>
      <c r="AG263" s="3">
        <v>438</v>
      </c>
      <c r="AH263" s="3">
        <v>60</v>
      </c>
      <c r="AI263" s="3">
        <v>720</v>
      </c>
      <c r="AJ263" s="3">
        <v>618</v>
      </c>
      <c r="AK263" s="3">
        <v>384</v>
      </c>
      <c r="AL263" s="3">
        <v>186</v>
      </c>
      <c r="AM263" s="3">
        <v>324</v>
      </c>
      <c r="AN263" s="3">
        <v>318</v>
      </c>
      <c r="AO263" s="3">
        <v>696</v>
      </c>
      <c r="AP263" s="3">
        <v>636</v>
      </c>
      <c r="AQ263" s="3">
        <v>540</v>
      </c>
      <c r="AR263" s="3">
        <v>498</v>
      </c>
      <c r="AS263" s="3">
        <v>600</v>
      </c>
      <c r="AT263" s="3">
        <v>606</v>
      </c>
      <c r="AU263" s="3">
        <v>918</v>
      </c>
      <c r="AV263" s="3">
        <v>852</v>
      </c>
      <c r="AW263" s="3">
        <v>816</v>
      </c>
    </row>
    <row r="264" spans="1:49">
      <c r="A264" s="4" t="s">
        <v>35</v>
      </c>
      <c r="B264" s="4" t="str">
        <f t="shared" si="4"/>
        <v>Hair Color</v>
      </c>
      <c r="C264" s="4" t="s">
        <v>1786</v>
      </c>
      <c r="D264" s="4" t="s">
        <v>150</v>
      </c>
      <c r="E264" s="24" t="s">
        <v>414</v>
      </c>
      <c r="F264" s="12" t="s">
        <v>420</v>
      </c>
      <c r="G264" s="4" t="s">
        <v>1787</v>
      </c>
      <c r="H264" s="3">
        <v>936</v>
      </c>
      <c r="I264" s="3">
        <v>624</v>
      </c>
      <c r="J264" s="3">
        <v>954</v>
      </c>
      <c r="K264" s="3">
        <v>528</v>
      </c>
      <c r="L264" s="3">
        <v>732</v>
      </c>
      <c r="M264" s="3">
        <v>798</v>
      </c>
      <c r="N264" s="3">
        <v>1056</v>
      </c>
      <c r="O264" s="3">
        <v>654</v>
      </c>
      <c r="P264" s="3">
        <v>534</v>
      </c>
      <c r="Q264" s="3">
        <v>1164</v>
      </c>
      <c r="R264" s="3">
        <v>402</v>
      </c>
      <c r="S264" s="3">
        <v>492</v>
      </c>
      <c r="T264" s="3">
        <v>894</v>
      </c>
      <c r="U264" s="3">
        <v>804</v>
      </c>
      <c r="V264" s="3">
        <v>606</v>
      </c>
      <c r="W264" s="3">
        <v>342</v>
      </c>
      <c r="X264" s="3">
        <v>1128</v>
      </c>
      <c r="Y264" s="3">
        <v>600</v>
      </c>
      <c r="Z264" s="3">
        <v>906</v>
      </c>
      <c r="AA264" s="3">
        <v>648</v>
      </c>
      <c r="AB264" s="3">
        <v>738</v>
      </c>
      <c r="AC264" s="3">
        <v>282</v>
      </c>
      <c r="AD264" s="3">
        <v>396</v>
      </c>
      <c r="AE264" s="3">
        <v>1002</v>
      </c>
      <c r="AF264" s="3">
        <v>1062</v>
      </c>
      <c r="AG264" s="3">
        <v>6</v>
      </c>
      <c r="AH264" s="3">
        <v>0</v>
      </c>
      <c r="AI264" s="3">
        <v>876</v>
      </c>
      <c r="AJ264" s="3">
        <v>474</v>
      </c>
      <c r="AK264" s="3">
        <v>486</v>
      </c>
      <c r="AL264" s="3">
        <v>282</v>
      </c>
      <c r="AM264" s="3">
        <v>384</v>
      </c>
      <c r="AN264" s="3">
        <v>552</v>
      </c>
      <c r="AO264" s="3">
        <v>624</v>
      </c>
      <c r="AP264" s="3">
        <v>618</v>
      </c>
      <c r="AQ264" s="3">
        <v>828</v>
      </c>
      <c r="AR264" s="3">
        <v>648</v>
      </c>
      <c r="AS264" s="3">
        <v>288</v>
      </c>
      <c r="AT264" s="3">
        <v>648</v>
      </c>
      <c r="AU264" s="3">
        <v>1110</v>
      </c>
      <c r="AV264" s="3">
        <v>816</v>
      </c>
      <c r="AW264" s="3">
        <v>810</v>
      </c>
    </row>
    <row r="265" spans="1:49">
      <c r="A265" s="4" t="s">
        <v>35</v>
      </c>
      <c r="B265" s="4" t="str">
        <f t="shared" si="4"/>
        <v>Hair Color</v>
      </c>
      <c r="C265" s="4" t="s">
        <v>1786</v>
      </c>
      <c r="D265" s="4" t="s">
        <v>150</v>
      </c>
      <c r="E265" s="24" t="s">
        <v>414</v>
      </c>
      <c r="F265" s="12" t="s">
        <v>421</v>
      </c>
      <c r="G265" s="4" t="s">
        <v>1787</v>
      </c>
      <c r="H265" s="3">
        <v>150</v>
      </c>
      <c r="I265" s="3">
        <v>138</v>
      </c>
      <c r="J265" s="3">
        <v>360</v>
      </c>
      <c r="K265" s="3">
        <v>270</v>
      </c>
      <c r="L265" s="3">
        <v>246</v>
      </c>
      <c r="M265" s="3">
        <v>306</v>
      </c>
      <c r="N265" s="3">
        <v>150</v>
      </c>
      <c r="O265" s="3">
        <v>300</v>
      </c>
      <c r="P265" s="3">
        <v>228</v>
      </c>
      <c r="Q265" s="3">
        <v>270</v>
      </c>
      <c r="R265" s="3">
        <v>132</v>
      </c>
      <c r="S265" s="3">
        <v>174</v>
      </c>
      <c r="T265" s="3">
        <v>258</v>
      </c>
      <c r="U265" s="3">
        <v>264</v>
      </c>
      <c r="V265" s="3">
        <v>228</v>
      </c>
      <c r="W265" s="3">
        <v>204</v>
      </c>
      <c r="X265" s="3">
        <v>348</v>
      </c>
      <c r="Y265" s="3">
        <v>174</v>
      </c>
      <c r="Z265" s="3">
        <v>198</v>
      </c>
      <c r="AA265" s="3">
        <v>204</v>
      </c>
      <c r="AB265" s="3">
        <v>246</v>
      </c>
      <c r="AC265" s="3">
        <v>144</v>
      </c>
      <c r="AD265" s="3">
        <v>108</v>
      </c>
      <c r="AE265" s="3">
        <v>270</v>
      </c>
      <c r="AF265" s="3">
        <v>186</v>
      </c>
      <c r="AG265" s="3">
        <v>222</v>
      </c>
      <c r="AH265" s="3">
        <v>186</v>
      </c>
      <c r="AI265" s="3">
        <v>318</v>
      </c>
      <c r="AJ265" s="3">
        <v>306</v>
      </c>
      <c r="AK265" s="3">
        <v>354</v>
      </c>
      <c r="AL265" s="3">
        <v>204</v>
      </c>
      <c r="AM265" s="3">
        <v>144</v>
      </c>
      <c r="AN265" s="3">
        <v>276</v>
      </c>
      <c r="AO265" s="3">
        <v>336</v>
      </c>
      <c r="AP265" s="3">
        <v>360</v>
      </c>
      <c r="AQ265" s="3">
        <v>294</v>
      </c>
      <c r="AR265" s="3">
        <v>372</v>
      </c>
      <c r="AS265" s="3">
        <v>198</v>
      </c>
      <c r="AT265" s="3">
        <v>228</v>
      </c>
      <c r="AU265" s="3">
        <v>846</v>
      </c>
      <c r="AV265" s="3">
        <v>372</v>
      </c>
      <c r="AW265" s="3">
        <v>396</v>
      </c>
    </row>
    <row r="266" spans="1:49">
      <c r="A266" s="4" t="s">
        <v>35</v>
      </c>
      <c r="B266" s="4" t="str">
        <f t="shared" si="4"/>
        <v>Hair Color</v>
      </c>
      <c r="C266" s="4" t="s">
        <v>1786</v>
      </c>
      <c r="D266" s="4" t="s">
        <v>150</v>
      </c>
      <c r="E266" s="24" t="s">
        <v>414</v>
      </c>
      <c r="F266" s="12" t="s">
        <v>422</v>
      </c>
      <c r="G266" s="4" t="s">
        <v>1787</v>
      </c>
      <c r="H266" s="3">
        <v>282</v>
      </c>
      <c r="I266" s="3">
        <v>852</v>
      </c>
      <c r="J266" s="3">
        <v>882</v>
      </c>
      <c r="K266" s="3">
        <v>792</v>
      </c>
      <c r="L266" s="3">
        <v>402</v>
      </c>
      <c r="M266" s="3">
        <v>798</v>
      </c>
      <c r="N266" s="3">
        <v>1140</v>
      </c>
      <c r="O266" s="3">
        <v>708</v>
      </c>
      <c r="P266" s="3">
        <v>396</v>
      </c>
      <c r="Q266" s="3">
        <v>894</v>
      </c>
      <c r="R266" s="3">
        <v>282</v>
      </c>
      <c r="S266" s="3">
        <v>540</v>
      </c>
      <c r="T266" s="3">
        <v>888</v>
      </c>
      <c r="U266" s="3">
        <v>690</v>
      </c>
      <c r="V266" s="3">
        <v>480</v>
      </c>
      <c r="W266" s="3">
        <v>318</v>
      </c>
      <c r="X266" s="3">
        <v>978</v>
      </c>
      <c r="Y266" s="3">
        <v>498</v>
      </c>
      <c r="Z266" s="3">
        <v>612</v>
      </c>
      <c r="AA266" s="3">
        <v>522</v>
      </c>
      <c r="AB266" s="3">
        <v>684</v>
      </c>
      <c r="AC266" s="3">
        <v>360</v>
      </c>
      <c r="AD266" s="3">
        <v>348</v>
      </c>
      <c r="AE266" s="3">
        <v>876</v>
      </c>
      <c r="AF266" s="3">
        <v>834</v>
      </c>
      <c r="AG266" s="3">
        <v>-6</v>
      </c>
      <c r="AH266" s="3">
        <v>0</v>
      </c>
      <c r="AI266" s="3">
        <v>1044</v>
      </c>
      <c r="AJ266" s="3">
        <v>558</v>
      </c>
      <c r="AK266" s="3">
        <v>528</v>
      </c>
      <c r="AL266" s="3">
        <v>228</v>
      </c>
      <c r="AM266" s="3">
        <v>402</v>
      </c>
      <c r="AN266" s="3">
        <v>876</v>
      </c>
      <c r="AO266" s="3">
        <v>708</v>
      </c>
      <c r="AP266" s="3">
        <v>756</v>
      </c>
      <c r="AQ266" s="3">
        <v>924</v>
      </c>
      <c r="AR266" s="3">
        <v>516</v>
      </c>
      <c r="AS266" s="3">
        <v>354</v>
      </c>
      <c r="AT266" s="3">
        <v>636</v>
      </c>
      <c r="AU266" s="3">
        <v>1476</v>
      </c>
      <c r="AV266" s="3">
        <v>732</v>
      </c>
      <c r="AW266" s="3">
        <v>792</v>
      </c>
    </row>
    <row r="267" spans="1:49">
      <c r="A267" s="4" t="s">
        <v>35</v>
      </c>
      <c r="B267" s="4" t="str">
        <f t="shared" si="4"/>
        <v>Hair Color</v>
      </c>
      <c r="C267" s="4" t="s">
        <v>1786</v>
      </c>
      <c r="D267" s="4" t="s">
        <v>150</v>
      </c>
      <c r="E267" s="24" t="s">
        <v>414</v>
      </c>
      <c r="F267" s="12" t="s">
        <v>423</v>
      </c>
      <c r="G267" s="4" t="s">
        <v>1787</v>
      </c>
      <c r="H267" s="3">
        <v>528</v>
      </c>
      <c r="I267" s="3">
        <v>1056</v>
      </c>
      <c r="J267" s="3">
        <v>1374</v>
      </c>
      <c r="K267" s="3">
        <v>576</v>
      </c>
      <c r="L267" s="3">
        <v>942</v>
      </c>
      <c r="M267" s="3">
        <v>930</v>
      </c>
      <c r="N267" s="3">
        <v>1188</v>
      </c>
      <c r="O267" s="3">
        <v>924</v>
      </c>
      <c r="P267" s="3">
        <v>552</v>
      </c>
      <c r="Q267" s="3">
        <v>1044</v>
      </c>
      <c r="R267" s="3">
        <v>912</v>
      </c>
      <c r="S267" s="3">
        <v>612</v>
      </c>
      <c r="T267" s="3">
        <v>996</v>
      </c>
      <c r="U267" s="3">
        <v>1056</v>
      </c>
      <c r="V267" s="3">
        <v>720</v>
      </c>
      <c r="W267" s="3">
        <v>414</v>
      </c>
      <c r="X267" s="3">
        <v>1050</v>
      </c>
      <c r="Y267" s="3">
        <v>696</v>
      </c>
      <c r="Z267" s="3">
        <v>978</v>
      </c>
      <c r="AA267" s="3">
        <v>816</v>
      </c>
      <c r="AB267" s="3">
        <v>894</v>
      </c>
      <c r="AC267" s="3">
        <v>348</v>
      </c>
      <c r="AD267" s="3">
        <v>336</v>
      </c>
      <c r="AE267" s="3">
        <v>948</v>
      </c>
      <c r="AF267" s="3">
        <v>984</v>
      </c>
      <c r="AG267" s="3">
        <v>12</v>
      </c>
      <c r="AH267" s="3">
        <v>0</v>
      </c>
      <c r="AI267" s="3">
        <v>1002</v>
      </c>
      <c r="AJ267" s="3">
        <v>468</v>
      </c>
      <c r="AK267" s="3">
        <v>552</v>
      </c>
      <c r="AL267" s="3">
        <v>258</v>
      </c>
      <c r="AM267" s="3">
        <v>330</v>
      </c>
      <c r="AN267" s="3">
        <v>690</v>
      </c>
      <c r="AO267" s="3">
        <v>600</v>
      </c>
      <c r="AP267" s="3">
        <v>708</v>
      </c>
      <c r="AQ267" s="3">
        <v>936</v>
      </c>
      <c r="AR267" s="3">
        <v>564</v>
      </c>
      <c r="AS267" s="3">
        <v>537</v>
      </c>
      <c r="AT267" s="3">
        <v>612</v>
      </c>
      <c r="AU267" s="3">
        <v>1134</v>
      </c>
      <c r="AV267" s="3">
        <v>966</v>
      </c>
      <c r="AW267" s="3">
        <v>738</v>
      </c>
    </row>
    <row r="268" spans="1:49">
      <c r="A268" s="4" t="s">
        <v>35</v>
      </c>
      <c r="B268" s="4" t="str">
        <f t="shared" si="4"/>
        <v>Hair Color</v>
      </c>
      <c r="C268" s="4" t="s">
        <v>1786</v>
      </c>
      <c r="D268" s="4" t="s">
        <v>150</v>
      </c>
      <c r="E268" s="24" t="s">
        <v>414</v>
      </c>
      <c r="F268" s="12" t="s">
        <v>424</v>
      </c>
      <c r="G268" s="4" t="s">
        <v>1787</v>
      </c>
      <c r="H268" s="3">
        <v>1572</v>
      </c>
      <c r="I268" s="3">
        <v>1608</v>
      </c>
      <c r="J268" s="3">
        <v>1842</v>
      </c>
      <c r="K268" s="3">
        <v>1332</v>
      </c>
      <c r="L268" s="3">
        <v>1440</v>
      </c>
      <c r="M268" s="3">
        <v>1746</v>
      </c>
      <c r="N268" s="3">
        <v>1938</v>
      </c>
      <c r="O268" s="3">
        <v>1242</v>
      </c>
      <c r="P268" s="3">
        <v>1140</v>
      </c>
      <c r="Q268" s="3">
        <v>1590</v>
      </c>
      <c r="R268" s="3">
        <v>1002</v>
      </c>
      <c r="S268" s="3">
        <v>1296</v>
      </c>
      <c r="T268" s="3">
        <v>1650</v>
      </c>
      <c r="U268" s="3">
        <v>1788</v>
      </c>
      <c r="V268" s="3">
        <v>1224</v>
      </c>
      <c r="W268" s="3">
        <v>1182</v>
      </c>
      <c r="X268" s="3">
        <v>2022</v>
      </c>
      <c r="Y268" s="3">
        <v>996</v>
      </c>
      <c r="Z268" s="3">
        <v>1452</v>
      </c>
      <c r="AA268" s="3">
        <v>1158</v>
      </c>
      <c r="AB268" s="3">
        <v>1566</v>
      </c>
      <c r="AC268" s="3">
        <v>1074</v>
      </c>
      <c r="AD268" s="3">
        <v>653</v>
      </c>
      <c r="AE268" s="3">
        <v>1206</v>
      </c>
      <c r="AF268" s="3">
        <v>1698</v>
      </c>
      <c r="AG268" s="3">
        <v>1224</v>
      </c>
      <c r="AH268" s="3">
        <v>807</v>
      </c>
      <c r="AI268" s="3">
        <v>1194</v>
      </c>
      <c r="AJ268" s="3">
        <v>1074</v>
      </c>
      <c r="AK268" s="3">
        <v>762</v>
      </c>
      <c r="AL268" s="3">
        <v>456</v>
      </c>
      <c r="AM268" s="3">
        <v>690</v>
      </c>
      <c r="AN268" s="3">
        <v>1092</v>
      </c>
      <c r="AO268" s="3">
        <v>1122</v>
      </c>
      <c r="AP268" s="3">
        <v>1056</v>
      </c>
      <c r="AQ268" s="3">
        <v>1206</v>
      </c>
      <c r="AR268" s="3">
        <v>876</v>
      </c>
      <c r="AS268" s="3">
        <v>834</v>
      </c>
      <c r="AT268" s="3">
        <v>1050</v>
      </c>
      <c r="AU268" s="3">
        <v>1782</v>
      </c>
      <c r="AV268" s="3">
        <v>1254</v>
      </c>
      <c r="AW268" s="3">
        <v>1326</v>
      </c>
    </row>
    <row r="269" spans="1:49">
      <c r="A269" s="4" t="s">
        <v>35</v>
      </c>
      <c r="B269" s="4" t="str">
        <f t="shared" si="4"/>
        <v>Hair Color</v>
      </c>
      <c r="C269" s="4" t="s">
        <v>1786</v>
      </c>
      <c r="D269" s="4" t="s">
        <v>150</v>
      </c>
      <c r="E269" s="24" t="s">
        <v>414</v>
      </c>
      <c r="F269" s="12" t="s">
        <v>425</v>
      </c>
      <c r="G269" s="4" t="s">
        <v>1787</v>
      </c>
      <c r="H269" s="3">
        <v>372</v>
      </c>
      <c r="I269" s="3">
        <v>1020</v>
      </c>
      <c r="J269" s="3">
        <v>954</v>
      </c>
      <c r="K269" s="3">
        <v>708</v>
      </c>
      <c r="L269" s="3">
        <v>912</v>
      </c>
      <c r="M269" s="3">
        <v>840</v>
      </c>
      <c r="N269" s="3">
        <v>1098</v>
      </c>
      <c r="O269" s="3">
        <v>810</v>
      </c>
      <c r="P269" s="3">
        <v>498</v>
      </c>
      <c r="Q269" s="3">
        <v>1266</v>
      </c>
      <c r="R269" s="3">
        <v>618</v>
      </c>
      <c r="S269" s="3">
        <v>642</v>
      </c>
      <c r="T269" s="3">
        <v>924</v>
      </c>
      <c r="U269" s="3">
        <v>816</v>
      </c>
      <c r="V269" s="3">
        <v>786</v>
      </c>
      <c r="W269" s="3">
        <v>546</v>
      </c>
      <c r="X269" s="3">
        <v>1050</v>
      </c>
      <c r="Y269" s="3">
        <v>660</v>
      </c>
      <c r="Z269" s="3">
        <v>1104</v>
      </c>
      <c r="AA269" s="3">
        <v>654</v>
      </c>
      <c r="AB269" s="3">
        <v>930</v>
      </c>
      <c r="AC269" s="3">
        <v>432</v>
      </c>
      <c r="AD269" s="3">
        <v>270</v>
      </c>
      <c r="AE269" s="3">
        <v>876</v>
      </c>
      <c r="AF269" s="3">
        <v>990</v>
      </c>
      <c r="AG269" s="3">
        <v>594</v>
      </c>
      <c r="AH269" s="3">
        <v>522</v>
      </c>
      <c r="AI269" s="3">
        <v>672</v>
      </c>
      <c r="AJ269" s="3">
        <v>558</v>
      </c>
      <c r="AK269" s="3">
        <v>552</v>
      </c>
      <c r="AL269" s="3">
        <v>270</v>
      </c>
      <c r="AM269" s="3">
        <v>468</v>
      </c>
      <c r="AN269" s="3">
        <v>492</v>
      </c>
      <c r="AO269" s="3">
        <v>720</v>
      </c>
      <c r="AP269" s="3">
        <v>672</v>
      </c>
      <c r="AQ269" s="3">
        <v>816</v>
      </c>
      <c r="AR269" s="3">
        <v>671</v>
      </c>
      <c r="AS269" s="3">
        <v>684</v>
      </c>
      <c r="AT269" s="3">
        <v>744</v>
      </c>
      <c r="AU269" s="3">
        <v>1158</v>
      </c>
      <c r="AV269" s="3">
        <v>804</v>
      </c>
      <c r="AW269" s="3">
        <v>840</v>
      </c>
    </row>
    <row r="270" spans="1:49">
      <c r="A270" s="4" t="s">
        <v>35</v>
      </c>
      <c r="B270" s="4" t="str">
        <f t="shared" si="4"/>
        <v>Hair Color</v>
      </c>
      <c r="C270" s="4" t="s">
        <v>1786</v>
      </c>
      <c r="D270" s="4" t="s">
        <v>150</v>
      </c>
      <c r="E270" s="24" t="s">
        <v>414</v>
      </c>
      <c r="F270" s="12" t="s">
        <v>426</v>
      </c>
      <c r="G270" s="4" t="s">
        <v>1787</v>
      </c>
      <c r="H270" s="3">
        <v>1056</v>
      </c>
      <c r="I270" s="3">
        <v>978</v>
      </c>
      <c r="J270" s="3">
        <v>1146</v>
      </c>
      <c r="K270" s="3">
        <v>834</v>
      </c>
      <c r="L270" s="3">
        <v>984</v>
      </c>
      <c r="M270" s="3">
        <v>1146</v>
      </c>
      <c r="N270" s="3">
        <v>1194</v>
      </c>
      <c r="O270" s="3">
        <v>1014</v>
      </c>
      <c r="P270" s="3">
        <v>858</v>
      </c>
      <c r="Q270" s="3">
        <v>1524</v>
      </c>
      <c r="R270" s="3">
        <v>384</v>
      </c>
      <c r="S270" s="3">
        <v>786</v>
      </c>
      <c r="T270" s="3">
        <v>1296</v>
      </c>
      <c r="U270" s="3">
        <v>1056</v>
      </c>
      <c r="V270" s="3">
        <v>726</v>
      </c>
      <c r="W270" s="3">
        <v>516</v>
      </c>
      <c r="X270" s="3">
        <v>1284</v>
      </c>
      <c r="Y270" s="3">
        <v>834</v>
      </c>
      <c r="Z270" s="3">
        <v>1224</v>
      </c>
      <c r="AA270" s="3">
        <v>726</v>
      </c>
      <c r="AB270" s="3">
        <v>1164</v>
      </c>
      <c r="AC270" s="3">
        <v>456</v>
      </c>
      <c r="AD270" s="3">
        <v>539</v>
      </c>
      <c r="AE270" s="3">
        <v>966</v>
      </c>
      <c r="AF270" s="3">
        <v>1302</v>
      </c>
      <c r="AG270" s="3">
        <v>750</v>
      </c>
      <c r="AH270" s="3">
        <v>450</v>
      </c>
      <c r="AI270" s="3">
        <v>636</v>
      </c>
      <c r="AJ270" s="3">
        <v>702</v>
      </c>
      <c r="AK270" s="3">
        <v>612</v>
      </c>
      <c r="AL270" s="3">
        <v>372</v>
      </c>
      <c r="AM270" s="3">
        <v>444</v>
      </c>
      <c r="AN270" s="3">
        <v>528</v>
      </c>
      <c r="AO270" s="3">
        <v>960</v>
      </c>
      <c r="AP270" s="3">
        <v>966</v>
      </c>
      <c r="AQ270" s="3">
        <v>672</v>
      </c>
      <c r="AR270" s="3">
        <v>870</v>
      </c>
      <c r="AS270" s="3">
        <v>762</v>
      </c>
      <c r="AT270" s="3">
        <v>888</v>
      </c>
      <c r="AU270" s="3">
        <v>1356</v>
      </c>
      <c r="AV270" s="3">
        <v>948</v>
      </c>
      <c r="AW270" s="3">
        <v>810</v>
      </c>
    </row>
    <row r="271" spans="1:49">
      <c r="A271" s="4" t="s">
        <v>35</v>
      </c>
      <c r="B271" s="4" t="str">
        <f t="shared" si="4"/>
        <v>Hair Color</v>
      </c>
      <c r="C271" s="4" t="s">
        <v>1786</v>
      </c>
      <c r="D271" s="4" t="s">
        <v>150</v>
      </c>
      <c r="E271" s="24" t="s">
        <v>414</v>
      </c>
      <c r="F271" s="12" t="s">
        <v>427</v>
      </c>
      <c r="G271" s="4" t="s">
        <v>1787</v>
      </c>
      <c r="H271" s="3">
        <v>378</v>
      </c>
      <c r="I271" s="3">
        <v>774</v>
      </c>
      <c r="J271" s="3">
        <v>-18</v>
      </c>
      <c r="K271" s="3">
        <v>900</v>
      </c>
      <c r="L271" s="3">
        <v>594</v>
      </c>
      <c r="M271" s="3">
        <v>738</v>
      </c>
      <c r="N271" s="3">
        <v>1020</v>
      </c>
      <c r="O271" s="3">
        <v>228</v>
      </c>
      <c r="P271" s="3">
        <v>420</v>
      </c>
      <c r="Q271" s="3">
        <v>960</v>
      </c>
      <c r="R271" s="3">
        <v>816</v>
      </c>
      <c r="S271" s="3">
        <v>474</v>
      </c>
      <c r="T271" s="3">
        <v>546</v>
      </c>
      <c r="U271" s="3">
        <v>846</v>
      </c>
      <c r="V271" s="3">
        <v>492</v>
      </c>
      <c r="W271" s="3">
        <v>276</v>
      </c>
      <c r="X271" s="3">
        <v>1026</v>
      </c>
      <c r="Y271" s="3">
        <v>462</v>
      </c>
      <c r="Z271" s="3">
        <v>762</v>
      </c>
      <c r="AA271" s="3">
        <v>726</v>
      </c>
      <c r="AB271" s="3">
        <v>672</v>
      </c>
      <c r="AC271" s="3">
        <v>390</v>
      </c>
      <c r="AD271" s="3">
        <v>252</v>
      </c>
      <c r="AE271" s="3">
        <v>924</v>
      </c>
      <c r="AF271" s="3">
        <v>912</v>
      </c>
      <c r="AG271" s="3">
        <v>294</v>
      </c>
      <c r="AH271" s="3">
        <v>390</v>
      </c>
      <c r="AI271" s="3">
        <v>486</v>
      </c>
      <c r="AJ271" s="3">
        <v>504</v>
      </c>
      <c r="AK271" s="3">
        <v>516</v>
      </c>
      <c r="AL271" s="3">
        <v>186</v>
      </c>
      <c r="AM271" s="3">
        <v>336</v>
      </c>
      <c r="AN271" s="3">
        <v>678</v>
      </c>
      <c r="AO271" s="3">
        <v>594</v>
      </c>
      <c r="AP271" s="3">
        <v>546</v>
      </c>
      <c r="AQ271" s="3">
        <v>762</v>
      </c>
      <c r="AR271" s="3">
        <v>534</v>
      </c>
      <c r="AS271" s="3">
        <v>522</v>
      </c>
      <c r="AT271" s="3">
        <v>624</v>
      </c>
      <c r="AU271" s="3">
        <v>1134</v>
      </c>
      <c r="AV271" s="3">
        <v>666</v>
      </c>
      <c r="AW271" s="3">
        <v>690</v>
      </c>
    </row>
    <row r="272" spans="1:49">
      <c r="A272" s="4" t="s">
        <v>35</v>
      </c>
      <c r="B272" s="4" t="str">
        <f t="shared" si="4"/>
        <v>Hair Color</v>
      </c>
      <c r="C272" s="4" t="s">
        <v>1786</v>
      </c>
      <c r="D272" s="4" t="s">
        <v>150</v>
      </c>
      <c r="E272" s="24" t="s">
        <v>414</v>
      </c>
      <c r="F272" s="12" t="s">
        <v>428</v>
      </c>
      <c r="G272" s="4" t="s">
        <v>1787</v>
      </c>
      <c r="H272" s="3">
        <v>1098</v>
      </c>
      <c r="I272" s="3">
        <v>1146</v>
      </c>
      <c r="J272" s="3">
        <v>1404</v>
      </c>
      <c r="K272" s="3">
        <v>924</v>
      </c>
      <c r="L272" s="3">
        <v>1061</v>
      </c>
      <c r="M272" s="3">
        <v>1272</v>
      </c>
      <c r="N272" s="3">
        <v>1728</v>
      </c>
      <c r="O272" s="3">
        <v>594</v>
      </c>
      <c r="P272" s="3">
        <v>738</v>
      </c>
      <c r="Q272" s="3">
        <v>1572</v>
      </c>
      <c r="R272" s="3">
        <v>426</v>
      </c>
      <c r="S272" s="3">
        <v>810</v>
      </c>
      <c r="T272" s="3">
        <v>1314</v>
      </c>
      <c r="U272" s="3">
        <v>1140</v>
      </c>
      <c r="V272" s="3">
        <v>918</v>
      </c>
      <c r="W272" s="3">
        <v>612</v>
      </c>
      <c r="X272" s="3">
        <v>1458</v>
      </c>
      <c r="Y272" s="3">
        <v>792</v>
      </c>
      <c r="Z272" s="3">
        <v>966</v>
      </c>
      <c r="AA272" s="3">
        <v>918</v>
      </c>
      <c r="AB272" s="3">
        <v>1152</v>
      </c>
      <c r="AC272" s="3">
        <v>516</v>
      </c>
      <c r="AD272" s="3">
        <v>540</v>
      </c>
      <c r="AE272" s="3">
        <v>1200</v>
      </c>
      <c r="AF272" s="3">
        <v>1254</v>
      </c>
      <c r="AG272" s="3">
        <v>798</v>
      </c>
      <c r="AH272" s="3">
        <v>216</v>
      </c>
      <c r="AI272" s="3">
        <v>246</v>
      </c>
      <c r="AJ272" s="3">
        <v>1212</v>
      </c>
      <c r="AK272" s="3">
        <v>810</v>
      </c>
      <c r="AL272" s="3">
        <v>150</v>
      </c>
      <c r="AM272" s="3">
        <v>840</v>
      </c>
      <c r="AN272" s="3">
        <v>774</v>
      </c>
      <c r="AO272" s="3">
        <v>906</v>
      </c>
      <c r="AP272" s="3">
        <v>906</v>
      </c>
      <c r="AQ272" s="3">
        <v>1056</v>
      </c>
      <c r="AR272" s="3">
        <v>780</v>
      </c>
      <c r="AS272" s="3">
        <v>762</v>
      </c>
      <c r="AT272" s="3">
        <v>726</v>
      </c>
      <c r="AU272" s="3">
        <v>1560</v>
      </c>
      <c r="AV272" s="3">
        <v>894</v>
      </c>
      <c r="AW272" s="3">
        <v>942</v>
      </c>
    </row>
    <row r="273" spans="1:49">
      <c r="A273" s="4" t="s">
        <v>35</v>
      </c>
      <c r="B273" s="4" t="str">
        <f t="shared" si="4"/>
        <v>Hair Color</v>
      </c>
      <c r="C273" s="4" t="s">
        <v>1786</v>
      </c>
      <c r="D273" s="4" t="s">
        <v>150</v>
      </c>
      <c r="E273" s="24" t="s">
        <v>414</v>
      </c>
      <c r="F273" s="12" t="s">
        <v>429</v>
      </c>
      <c r="G273" s="4" t="s">
        <v>1787</v>
      </c>
      <c r="H273" s="3">
        <v>180</v>
      </c>
      <c r="I273" s="3">
        <v>606</v>
      </c>
      <c r="J273" s="3">
        <v>480</v>
      </c>
      <c r="K273" s="3">
        <v>690</v>
      </c>
      <c r="L273" s="3">
        <v>480</v>
      </c>
      <c r="M273" s="3">
        <v>738</v>
      </c>
      <c r="N273" s="3">
        <v>1368</v>
      </c>
      <c r="O273" s="3">
        <v>456</v>
      </c>
      <c r="P273" s="3">
        <v>306</v>
      </c>
      <c r="Q273" s="3">
        <v>822</v>
      </c>
      <c r="R273" s="3">
        <v>221</v>
      </c>
      <c r="S273" s="3">
        <v>396</v>
      </c>
      <c r="T273" s="3">
        <v>624</v>
      </c>
      <c r="U273" s="3">
        <v>639</v>
      </c>
      <c r="V273" s="3">
        <v>396</v>
      </c>
      <c r="W273" s="3">
        <v>240</v>
      </c>
      <c r="X273" s="3">
        <v>762</v>
      </c>
      <c r="Y273" s="3">
        <v>414</v>
      </c>
      <c r="Z273" s="3">
        <v>624</v>
      </c>
      <c r="AA273" s="3">
        <v>660</v>
      </c>
      <c r="AB273" s="3">
        <v>456</v>
      </c>
      <c r="AC273" s="3">
        <v>258</v>
      </c>
      <c r="AD273" s="3">
        <v>186</v>
      </c>
      <c r="AE273" s="3">
        <v>552</v>
      </c>
      <c r="AF273" s="3">
        <v>796</v>
      </c>
      <c r="AG273" s="3">
        <v>210</v>
      </c>
      <c r="AH273" s="3">
        <v>366</v>
      </c>
      <c r="AI273" s="3">
        <v>480</v>
      </c>
      <c r="AJ273" s="3">
        <v>408</v>
      </c>
      <c r="AK273" s="3">
        <v>462</v>
      </c>
      <c r="AL273" s="3">
        <v>144</v>
      </c>
      <c r="AM273" s="3">
        <v>282</v>
      </c>
      <c r="AN273" s="3">
        <v>606</v>
      </c>
      <c r="AO273" s="3">
        <v>510</v>
      </c>
      <c r="AP273" s="3">
        <v>582</v>
      </c>
      <c r="AQ273" s="3">
        <v>702</v>
      </c>
      <c r="AR273" s="3">
        <v>384</v>
      </c>
      <c r="AS273" s="3">
        <v>492</v>
      </c>
      <c r="AT273" s="3">
        <v>330</v>
      </c>
      <c r="AU273" s="3">
        <v>996</v>
      </c>
      <c r="AV273" s="3">
        <v>588</v>
      </c>
      <c r="AW273" s="3">
        <v>384</v>
      </c>
    </row>
    <row r="274" spans="1:49">
      <c r="A274" s="4" t="s">
        <v>35</v>
      </c>
      <c r="B274" s="4" t="str">
        <f t="shared" si="4"/>
        <v>Hair Color</v>
      </c>
      <c r="C274" s="4" t="s">
        <v>1786</v>
      </c>
      <c r="D274" s="4" t="s">
        <v>150</v>
      </c>
      <c r="E274" s="24" t="s">
        <v>414</v>
      </c>
      <c r="F274" s="12" t="s">
        <v>428</v>
      </c>
      <c r="G274" s="4" t="s">
        <v>1787</v>
      </c>
      <c r="H274" s="3">
        <v>252</v>
      </c>
      <c r="I274" s="3">
        <v>198</v>
      </c>
      <c r="J274" s="3">
        <v>426</v>
      </c>
      <c r="K274" s="3">
        <v>306</v>
      </c>
      <c r="L274" s="3">
        <v>342</v>
      </c>
      <c r="M274" s="3">
        <v>330</v>
      </c>
      <c r="N274" s="3">
        <v>132</v>
      </c>
      <c r="O274" s="3">
        <v>510</v>
      </c>
      <c r="P274" s="3">
        <v>252</v>
      </c>
      <c r="Q274" s="3">
        <v>264</v>
      </c>
      <c r="R274" s="3">
        <v>282</v>
      </c>
      <c r="S274" s="3">
        <v>264</v>
      </c>
      <c r="T274" s="3">
        <v>432</v>
      </c>
      <c r="U274" s="3">
        <v>240</v>
      </c>
      <c r="V274" s="3">
        <v>222</v>
      </c>
      <c r="W274" s="3">
        <v>348</v>
      </c>
      <c r="X274" s="3">
        <v>342</v>
      </c>
      <c r="Y274" s="3">
        <v>324</v>
      </c>
      <c r="Z274" s="3">
        <v>276</v>
      </c>
      <c r="AA274" s="3">
        <v>396</v>
      </c>
      <c r="AB274" s="3">
        <v>228</v>
      </c>
      <c r="AC274" s="3">
        <v>144</v>
      </c>
      <c r="AD274" s="3">
        <v>264</v>
      </c>
      <c r="AE274" s="3">
        <v>336</v>
      </c>
      <c r="AF274" s="3">
        <v>330</v>
      </c>
      <c r="AG274" s="3">
        <v>264</v>
      </c>
      <c r="AH274" s="3">
        <v>324</v>
      </c>
      <c r="AI274" s="3">
        <v>402</v>
      </c>
      <c r="AJ274" s="3">
        <v>396</v>
      </c>
      <c r="AK274" s="3">
        <v>318</v>
      </c>
      <c r="AL274" s="3">
        <v>216</v>
      </c>
      <c r="AM274" s="3">
        <v>246</v>
      </c>
      <c r="AN274" s="3">
        <v>336</v>
      </c>
      <c r="AO274" s="3">
        <v>312</v>
      </c>
      <c r="AP274" s="3">
        <v>366</v>
      </c>
      <c r="AQ274" s="3">
        <v>318</v>
      </c>
      <c r="AR274" s="3">
        <v>546</v>
      </c>
      <c r="AS274" s="3">
        <v>198</v>
      </c>
      <c r="AT274" s="3">
        <v>486</v>
      </c>
      <c r="AU274" s="3">
        <v>654</v>
      </c>
      <c r="AV274" s="3">
        <v>486</v>
      </c>
      <c r="AW274" s="3">
        <v>492</v>
      </c>
    </row>
    <row r="275" spans="1:49">
      <c r="A275" s="4" t="s">
        <v>35</v>
      </c>
      <c r="B275" s="4" t="str">
        <f t="shared" si="4"/>
        <v>Hair Color</v>
      </c>
      <c r="C275" s="4" t="s">
        <v>1786</v>
      </c>
      <c r="D275" s="4" t="s">
        <v>150</v>
      </c>
      <c r="E275" s="24" t="s">
        <v>414</v>
      </c>
      <c r="F275" s="12" t="s">
        <v>430</v>
      </c>
      <c r="G275" s="4" t="s">
        <v>1787</v>
      </c>
      <c r="H275" s="3">
        <v>636</v>
      </c>
      <c r="I275" s="3">
        <v>1626</v>
      </c>
      <c r="J275" s="3">
        <v>2076</v>
      </c>
      <c r="K275" s="3">
        <v>1098</v>
      </c>
      <c r="L275" s="3">
        <v>1146</v>
      </c>
      <c r="M275" s="3">
        <v>1440</v>
      </c>
      <c r="N275" s="3">
        <v>1566</v>
      </c>
      <c r="O275" s="3">
        <v>1050</v>
      </c>
      <c r="P275" s="3">
        <v>1038</v>
      </c>
      <c r="Q275" s="3">
        <v>1758</v>
      </c>
      <c r="R275" s="3">
        <v>912</v>
      </c>
      <c r="S275" s="3">
        <v>864</v>
      </c>
      <c r="T275" s="3">
        <v>1428</v>
      </c>
      <c r="U275" s="3">
        <v>1446</v>
      </c>
      <c r="V275" s="3">
        <v>1145</v>
      </c>
      <c r="W275" s="3">
        <v>654</v>
      </c>
      <c r="X275" s="3">
        <v>1716</v>
      </c>
      <c r="Y275" s="3">
        <v>1128</v>
      </c>
      <c r="Z275" s="3">
        <v>1344</v>
      </c>
      <c r="AA275" s="3">
        <v>1068</v>
      </c>
      <c r="AB275" s="3">
        <v>1314</v>
      </c>
      <c r="AC275" s="3">
        <v>828</v>
      </c>
      <c r="AD275" s="3">
        <v>636</v>
      </c>
      <c r="AE275" s="3">
        <v>1170</v>
      </c>
      <c r="AF275" s="3">
        <v>1608</v>
      </c>
      <c r="AG275" s="3">
        <v>756</v>
      </c>
      <c r="AH275" s="3">
        <v>0</v>
      </c>
      <c r="AI275" s="3">
        <v>1512</v>
      </c>
      <c r="AJ275" s="3">
        <v>1067</v>
      </c>
      <c r="AK275" s="3">
        <v>816</v>
      </c>
      <c r="AL275" s="3">
        <v>138</v>
      </c>
      <c r="AM275" s="3">
        <v>540</v>
      </c>
      <c r="AN275" s="3">
        <v>1086</v>
      </c>
      <c r="AO275" s="3">
        <v>960</v>
      </c>
      <c r="AP275" s="3">
        <v>1002</v>
      </c>
      <c r="AQ275" s="3">
        <v>1122</v>
      </c>
      <c r="AR275" s="3">
        <v>882</v>
      </c>
      <c r="AS275" s="3">
        <v>888</v>
      </c>
      <c r="AT275" s="3">
        <v>1002</v>
      </c>
      <c r="AU275" s="3">
        <v>1668</v>
      </c>
      <c r="AV275" s="3">
        <v>1038</v>
      </c>
      <c r="AW275" s="3">
        <v>1020</v>
      </c>
    </row>
    <row r="276" spans="1:49">
      <c r="A276" s="4" t="s">
        <v>35</v>
      </c>
      <c r="B276" s="4" t="str">
        <f t="shared" si="4"/>
        <v>Hair Color</v>
      </c>
      <c r="C276" s="4" t="s">
        <v>1786</v>
      </c>
      <c r="D276" s="4" t="s">
        <v>150</v>
      </c>
      <c r="E276" s="24" t="s">
        <v>414</v>
      </c>
      <c r="F276" s="12" t="s">
        <v>431</v>
      </c>
      <c r="G276" s="4" t="s">
        <v>1787</v>
      </c>
      <c r="H276" s="3">
        <v>324</v>
      </c>
      <c r="I276" s="3">
        <v>1056</v>
      </c>
      <c r="J276" s="3">
        <v>1122</v>
      </c>
      <c r="K276" s="3">
        <v>576</v>
      </c>
      <c r="L276" s="3">
        <v>660</v>
      </c>
      <c r="M276" s="3">
        <v>942</v>
      </c>
      <c r="N276" s="3">
        <v>1152</v>
      </c>
      <c r="O276" s="3">
        <v>642</v>
      </c>
      <c r="P276" s="3">
        <v>426</v>
      </c>
      <c r="Q276" s="3">
        <v>1044</v>
      </c>
      <c r="R276" s="3">
        <v>462</v>
      </c>
      <c r="S276" s="3">
        <v>750</v>
      </c>
      <c r="T276" s="3">
        <v>1014</v>
      </c>
      <c r="U276" s="3">
        <v>951</v>
      </c>
      <c r="V276" s="3">
        <v>618</v>
      </c>
      <c r="W276" s="3">
        <v>336</v>
      </c>
      <c r="X276" s="3">
        <v>1092</v>
      </c>
      <c r="Y276" s="3">
        <v>660</v>
      </c>
      <c r="Z276" s="3">
        <v>1068</v>
      </c>
      <c r="AA276" s="3">
        <v>630</v>
      </c>
      <c r="AB276" s="3">
        <v>780</v>
      </c>
      <c r="AC276" s="3">
        <v>306</v>
      </c>
      <c r="AD276" s="3">
        <v>504</v>
      </c>
      <c r="AE276" s="3">
        <v>942</v>
      </c>
      <c r="AF276" s="3">
        <v>1038</v>
      </c>
      <c r="AG276" s="3">
        <v>0</v>
      </c>
      <c r="AH276" s="3">
        <v>0</v>
      </c>
      <c r="AI276" s="3">
        <v>678</v>
      </c>
      <c r="AJ276" s="3">
        <v>372</v>
      </c>
      <c r="AK276" s="3">
        <v>336</v>
      </c>
      <c r="AL276" s="3">
        <v>216</v>
      </c>
      <c r="AM276" s="3">
        <v>276</v>
      </c>
      <c r="AN276" s="3">
        <v>318</v>
      </c>
      <c r="AO276" s="3">
        <v>708</v>
      </c>
      <c r="AP276" s="3">
        <v>786</v>
      </c>
      <c r="AQ276" s="3">
        <v>672</v>
      </c>
      <c r="AR276" s="3">
        <v>522</v>
      </c>
      <c r="AS276" s="3">
        <v>540</v>
      </c>
      <c r="AT276" s="3">
        <v>522</v>
      </c>
      <c r="AU276" s="3">
        <v>1332</v>
      </c>
      <c r="AV276" s="3">
        <v>690</v>
      </c>
      <c r="AW276" s="3">
        <v>666</v>
      </c>
    </row>
    <row r="277" spans="1:49">
      <c r="A277" s="4" t="s">
        <v>35</v>
      </c>
      <c r="B277" s="4" t="str">
        <f t="shared" si="4"/>
        <v>Hair Color</v>
      </c>
      <c r="C277" s="4" t="s">
        <v>1786</v>
      </c>
      <c r="D277" s="4" t="s">
        <v>150</v>
      </c>
      <c r="E277" s="24" t="s">
        <v>414</v>
      </c>
      <c r="F277" s="12" t="s">
        <v>432</v>
      </c>
      <c r="G277" s="4" t="s">
        <v>1787</v>
      </c>
      <c r="H277" s="3">
        <v>774</v>
      </c>
      <c r="I277" s="3">
        <v>1770</v>
      </c>
      <c r="J277" s="3">
        <v>1824</v>
      </c>
      <c r="K277" s="3">
        <v>1044</v>
      </c>
      <c r="L277" s="3">
        <v>1494</v>
      </c>
      <c r="M277" s="3">
        <v>1536</v>
      </c>
      <c r="N277" s="3">
        <v>1890</v>
      </c>
      <c r="O277" s="3">
        <v>1182</v>
      </c>
      <c r="P277" s="3">
        <v>1176</v>
      </c>
      <c r="Q277" s="3">
        <v>1548</v>
      </c>
      <c r="R277" s="3">
        <v>768</v>
      </c>
      <c r="S277" s="3">
        <v>1392</v>
      </c>
      <c r="T277" s="3">
        <v>1002</v>
      </c>
      <c r="U277" s="3">
        <v>1248</v>
      </c>
      <c r="V277" s="3">
        <v>942</v>
      </c>
      <c r="W277" s="3">
        <v>582</v>
      </c>
      <c r="X277" s="3">
        <v>1920</v>
      </c>
      <c r="Y277" s="3">
        <v>762</v>
      </c>
      <c r="Z277" s="3">
        <v>1050</v>
      </c>
      <c r="AA277" s="3">
        <v>924</v>
      </c>
      <c r="AB277" s="3">
        <v>1224</v>
      </c>
      <c r="AC277" s="3">
        <v>960</v>
      </c>
      <c r="AD277" s="3">
        <v>666</v>
      </c>
      <c r="AE277" s="3">
        <v>1158</v>
      </c>
      <c r="AF277" s="3">
        <v>1452</v>
      </c>
      <c r="AG277" s="3">
        <v>636</v>
      </c>
      <c r="AH277" s="3">
        <v>6</v>
      </c>
      <c r="AI277" s="3">
        <v>1518</v>
      </c>
      <c r="AJ277" s="3">
        <v>939</v>
      </c>
      <c r="AK277" s="3">
        <v>714</v>
      </c>
      <c r="AL277" s="3">
        <v>252</v>
      </c>
      <c r="AM277" s="3">
        <v>588</v>
      </c>
      <c r="AN277" s="3">
        <v>1380</v>
      </c>
      <c r="AO277" s="3">
        <v>1056</v>
      </c>
      <c r="AP277" s="3">
        <v>1224</v>
      </c>
      <c r="AQ277" s="3">
        <v>1194</v>
      </c>
      <c r="AR277" s="3">
        <v>870</v>
      </c>
      <c r="AS277" s="3">
        <v>924</v>
      </c>
      <c r="AT277" s="3">
        <v>888</v>
      </c>
      <c r="AU277" s="3">
        <v>1842</v>
      </c>
      <c r="AV277" s="3">
        <v>1350</v>
      </c>
      <c r="AW277" s="3">
        <v>1176</v>
      </c>
    </row>
    <row r="278" spans="1:49">
      <c r="A278" s="4" t="s">
        <v>35</v>
      </c>
      <c r="B278" s="4" t="str">
        <f t="shared" si="4"/>
        <v>Hair Color</v>
      </c>
      <c r="C278" s="4" t="s">
        <v>1786</v>
      </c>
      <c r="D278" s="4" t="s">
        <v>150</v>
      </c>
      <c r="E278" s="24" t="s">
        <v>414</v>
      </c>
      <c r="F278" s="12" t="s">
        <v>433</v>
      </c>
      <c r="G278" s="4" t="s">
        <v>1787</v>
      </c>
      <c r="H278" s="3">
        <v>312</v>
      </c>
      <c r="I278" s="3">
        <v>876</v>
      </c>
      <c r="J278" s="3">
        <v>816</v>
      </c>
      <c r="K278" s="3">
        <v>606</v>
      </c>
      <c r="L278" s="3">
        <v>618</v>
      </c>
      <c r="M278" s="3">
        <v>942</v>
      </c>
      <c r="N278" s="3">
        <v>1098</v>
      </c>
      <c r="O278" s="3">
        <v>552</v>
      </c>
      <c r="P278" s="3">
        <v>498</v>
      </c>
      <c r="Q278" s="3">
        <v>936</v>
      </c>
      <c r="R278" s="3">
        <v>660</v>
      </c>
      <c r="S278" s="3">
        <v>468</v>
      </c>
      <c r="T278" s="3">
        <v>792</v>
      </c>
      <c r="U278" s="3">
        <v>858</v>
      </c>
      <c r="V278" s="3">
        <v>618</v>
      </c>
      <c r="W278" s="3">
        <v>252</v>
      </c>
      <c r="X278" s="3">
        <v>942</v>
      </c>
      <c r="Y278" s="3">
        <v>414</v>
      </c>
      <c r="Z278" s="3">
        <v>720</v>
      </c>
      <c r="AA278" s="3">
        <v>726</v>
      </c>
      <c r="AB278" s="3">
        <v>630</v>
      </c>
      <c r="AC278" s="3">
        <v>264</v>
      </c>
      <c r="AD278" s="3">
        <v>288</v>
      </c>
      <c r="AE278" s="3">
        <v>870</v>
      </c>
      <c r="AF278" s="3">
        <v>804</v>
      </c>
      <c r="AG278" s="3">
        <v>336</v>
      </c>
      <c r="AH278" s="3">
        <v>18</v>
      </c>
      <c r="AI278" s="3">
        <v>774</v>
      </c>
      <c r="AJ278" s="3">
        <v>396</v>
      </c>
      <c r="AK278" s="3">
        <v>474</v>
      </c>
      <c r="AL278" s="3">
        <v>174</v>
      </c>
      <c r="AM278" s="3">
        <v>348</v>
      </c>
      <c r="AN278" s="3">
        <v>618</v>
      </c>
      <c r="AO278" s="3">
        <v>192</v>
      </c>
      <c r="AP278" s="3">
        <v>834</v>
      </c>
      <c r="AQ278" s="3">
        <v>780</v>
      </c>
      <c r="AR278" s="3">
        <v>492</v>
      </c>
      <c r="AS278" s="3">
        <v>477</v>
      </c>
      <c r="AT278" s="3">
        <v>534</v>
      </c>
      <c r="AU278" s="3">
        <v>1128</v>
      </c>
      <c r="AV278" s="3">
        <v>708</v>
      </c>
      <c r="AW278" s="3">
        <v>564</v>
      </c>
    </row>
    <row r="279" spans="1:49">
      <c r="A279" s="4" t="s">
        <v>35</v>
      </c>
      <c r="B279" s="4" t="str">
        <f t="shared" si="4"/>
        <v>Hair Color</v>
      </c>
      <c r="C279" s="4" t="s">
        <v>1786</v>
      </c>
      <c r="D279" s="4" t="s">
        <v>150</v>
      </c>
      <c r="E279" s="24" t="s">
        <v>414</v>
      </c>
      <c r="F279" s="12" t="s">
        <v>434</v>
      </c>
      <c r="G279" s="4" t="s">
        <v>1787</v>
      </c>
      <c r="H279" s="3">
        <v>132</v>
      </c>
      <c r="I279" s="3">
        <v>120</v>
      </c>
      <c r="J279" s="3">
        <v>42</v>
      </c>
      <c r="K279" s="3">
        <v>252</v>
      </c>
      <c r="L279" s="3">
        <v>186</v>
      </c>
      <c r="M279" s="3">
        <v>234</v>
      </c>
      <c r="N279" s="3">
        <v>96</v>
      </c>
      <c r="O279" s="3">
        <v>282</v>
      </c>
      <c r="P279" s="3">
        <v>138</v>
      </c>
      <c r="Q279" s="3">
        <v>246</v>
      </c>
      <c r="R279" s="3">
        <v>114</v>
      </c>
      <c r="S279" s="3">
        <v>156</v>
      </c>
      <c r="T279" s="3">
        <v>246</v>
      </c>
      <c r="U279" s="3">
        <v>240</v>
      </c>
      <c r="V279" s="3">
        <v>90</v>
      </c>
      <c r="W279" s="3">
        <v>144</v>
      </c>
      <c r="X279" s="3">
        <v>324</v>
      </c>
      <c r="Y279" s="3">
        <v>108</v>
      </c>
      <c r="Z279" s="3">
        <v>252</v>
      </c>
      <c r="AA279" s="3">
        <v>204</v>
      </c>
      <c r="AB279" s="3">
        <v>498</v>
      </c>
      <c r="AC279" s="3">
        <v>306</v>
      </c>
      <c r="AD279" s="3">
        <v>234</v>
      </c>
      <c r="AE279" s="3">
        <v>402</v>
      </c>
      <c r="AF279" s="3">
        <v>336</v>
      </c>
      <c r="AG279" s="3">
        <v>90</v>
      </c>
      <c r="AH279" s="3">
        <v>-3</v>
      </c>
      <c r="AI279" s="3">
        <v>636</v>
      </c>
      <c r="AJ279" s="3">
        <v>450</v>
      </c>
      <c r="AK279" s="3">
        <v>366</v>
      </c>
      <c r="AL279" s="3">
        <v>222</v>
      </c>
      <c r="AM279" s="3">
        <v>228</v>
      </c>
      <c r="AN279" s="3">
        <v>360</v>
      </c>
      <c r="AO279" s="3">
        <v>432</v>
      </c>
      <c r="AP279" s="3">
        <v>252</v>
      </c>
      <c r="AQ279" s="3">
        <v>726</v>
      </c>
      <c r="AR279" s="3">
        <v>468</v>
      </c>
      <c r="AS279" s="3">
        <v>672</v>
      </c>
      <c r="AT279" s="3">
        <v>564</v>
      </c>
      <c r="AU279" s="3">
        <v>1014</v>
      </c>
      <c r="AV279" s="3">
        <v>666</v>
      </c>
      <c r="AW279" s="3">
        <v>882</v>
      </c>
    </row>
    <row r="280" spans="1:49">
      <c r="A280" s="4" t="s">
        <v>35</v>
      </c>
      <c r="B280" s="4" t="str">
        <f t="shared" si="4"/>
        <v>Hair Color</v>
      </c>
      <c r="C280" s="4" t="s">
        <v>1786</v>
      </c>
      <c r="D280" s="4" t="s">
        <v>150</v>
      </c>
      <c r="E280" s="24" t="s">
        <v>414</v>
      </c>
      <c r="F280" s="12" t="s">
        <v>435</v>
      </c>
      <c r="G280" s="4" t="s">
        <v>1787</v>
      </c>
      <c r="H280" s="3">
        <v>732</v>
      </c>
      <c r="I280" s="3">
        <v>576</v>
      </c>
      <c r="J280" s="3">
        <v>810</v>
      </c>
      <c r="K280" s="3">
        <v>576</v>
      </c>
      <c r="L280" s="3">
        <v>948</v>
      </c>
      <c r="M280" s="3">
        <v>636</v>
      </c>
      <c r="N280" s="3">
        <v>492</v>
      </c>
      <c r="O280" s="3">
        <v>720</v>
      </c>
      <c r="P280" s="3">
        <v>816</v>
      </c>
      <c r="Q280" s="3">
        <v>972</v>
      </c>
      <c r="R280" s="3">
        <v>450</v>
      </c>
      <c r="S280" s="3">
        <v>648</v>
      </c>
      <c r="T280" s="3">
        <v>930</v>
      </c>
      <c r="U280" s="3">
        <v>756</v>
      </c>
      <c r="V280" s="3">
        <v>666</v>
      </c>
      <c r="W280" s="3">
        <v>810</v>
      </c>
      <c r="X280" s="3">
        <v>840</v>
      </c>
      <c r="Y280" s="3">
        <v>708</v>
      </c>
      <c r="Z280" s="3">
        <v>978</v>
      </c>
      <c r="AA280" s="3">
        <v>684</v>
      </c>
      <c r="AB280" s="3">
        <v>594</v>
      </c>
      <c r="AC280" s="3">
        <v>738</v>
      </c>
      <c r="AD280" s="3">
        <v>414</v>
      </c>
      <c r="AE280" s="3">
        <v>798</v>
      </c>
      <c r="AF280" s="3">
        <v>672</v>
      </c>
      <c r="AG280" s="3">
        <v>864</v>
      </c>
      <c r="AH280" s="3">
        <v>324</v>
      </c>
      <c r="AI280" s="3">
        <v>882</v>
      </c>
      <c r="AJ280" s="3">
        <v>984</v>
      </c>
      <c r="AK280" s="3">
        <v>456</v>
      </c>
      <c r="AL280" s="3">
        <v>546</v>
      </c>
      <c r="AM280" s="3">
        <v>612</v>
      </c>
      <c r="AN280" s="3">
        <v>624</v>
      </c>
      <c r="AO280" s="3">
        <v>750</v>
      </c>
      <c r="AP280" s="3">
        <v>768</v>
      </c>
      <c r="AQ280" s="3">
        <v>570</v>
      </c>
      <c r="AR280" s="3">
        <v>840</v>
      </c>
      <c r="AS280" s="3">
        <v>720</v>
      </c>
      <c r="AT280" s="3">
        <v>822</v>
      </c>
      <c r="AU280" s="3">
        <v>1302</v>
      </c>
      <c r="AV280" s="3">
        <v>864</v>
      </c>
      <c r="AW280" s="3">
        <v>948</v>
      </c>
    </row>
    <row r="281" spans="1:49">
      <c r="A281" s="4" t="s">
        <v>35</v>
      </c>
      <c r="B281" s="4" t="str">
        <f t="shared" si="4"/>
        <v>Hair Color</v>
      </c>
      <c r="C281" s="4" t="s">
        <v>1786</v>
      </c>
      <c r="D281" s="4" t="s">
        <v>150</v>
      </c>
      <c r="E281" s="24" t="s">
        <v>414</v>
      </c>
      <c r="F281" s="12" t="s">
        <v>436</v>
      </c>
      <c r="G281" s="4" t="s">
        <v>1787</v>
      </c>
      <c r="H281" s="3">
        <v>804</v>
      </c>
      <c r="I281" s="3">
        <v>2022</v>
      </c>
      <c r="J281" s="3">
        <v>2580</v>
      </c>
      <c r="K281" s="3">
        <v>1182</v>
      </c>
      <c r="L281" s="3">
        <v>1314</v>
      </c>
      <c r="M281" s="3">
        <v>1770</v>
      </c>
      <c r="N281" s="3">
        <v>1722</v>
      </c>
      <c r="O281" s="3">
        <v>1452</v>
      </c>
      <c r="P281" s="3">
        <v>1470</v>
      </c>
      <c r="Q281" s="3">
        <v>1614</v>
      </c>
      <c r="R281" s="3">
        <v>1308</v>
      </c>
      <c r="S281" s="3">
        <v>1128</v>
      </c>
      <c r="T281" s="3">
        <v>1902</v>
      </c>
      <c r="U281" s="3">
        <v>1692</v>
      </c>
      <c r="V281" s="3">
        <v>1518</v>
      </c>
      <c r="W281" s="3">
        <v>852</v>
      </c>
      <c r="X281" s="3">
        <v>1968</v>
      </c>
      <c r="Y281" s="3">
        <v>1104</v>
      </c>
      <c r="Z281" s="3">
        <v>1098</v>
      </c>
      <c r="AA281" s="3">
        <v>1116</v>
      </c>
      <c r="AB281" s="3">
        <v>1218</v>
      </c>
      <c r="AC281" s="3">
        <v>708</v>
      </c>
      <c r="AD281" s="3">
        <v>714</v>
      </c>
      <c r="AE281" s="3">
        <v>1494</v>
      </c>
      <c r="AF281" s="3">
        <v>1602</v>
      </c>
      <c r="AG281" s="3">
        <v>972</v>
      </c>
      <c r="AH281" s="3">
        <v>834</v>
      </c>
      <c r="AI281" s="3">
        <v>612</v>
      </c>
      <c r="AJ281" s="3">
        <v>834</v>
      </c>
      <c r="AK281" s="3">
        <v>648</v>
      </c>
      <c r="AL281" s="3">
        <v>564</v>
      </c>
      <c r="AM281" s="3">
        <v>510</v>
      </c>
      <c r="AN281" s="3">
        <v>738</v>
      </c>
      <c r="AO281" s="3">
        <v>1038</v>
      </c>
      <c r="AP281" s="3">
        <v>1170</v>
      </c>
      <c r="AQ281" s="3">
        <v>1092</v>
      </c>
      <c r="AR281" s="3">
        <v>972</v>
      </c>
      <c r="AS281" s="3">
        <v>948</v>
      </c>
      <c r="AT281" s="3">
        <v>1098</v>
      </c>
      <c r="AU281" s="3">
        <v>2034</v>
      </c>
      <c r="AV281" s="3">
        <v>936</v>
      </c>
      <c r="AW281" s="3">
        <v>1080</v>
      </c>
    </row>
    <row r="282" spans="1:49">
      <c r="A282" s="4" t="s">
        <v>35</v>
      </c>
      <c r="B282" s="4" t="str">
        <f t="shared" si="4"/>
        <v>Hair Color</v>
      </c>
      <c r="C282" s="4" t="s">
        <v>1786</v>
      </c>
      <c r="D282" s="4" t="s">
        <v>150</v>
      </c>
      <c r="E282" s="24" t="s">
        <v>414</v>
      </c>
      <c r="F282" s="12" t="s">
        <v>437</v>
      </c>
      <c r="G282" s="4" t="s">
        <v>1787</v>
      </c>
      <c r="H282" s="3">
        <v>486</v>
      </c>
      <c r="I282" s="3">
        <v>1488</v>
      </c>
      <c r="J282" s="3">
        <v>1800</v>
      </c>
      <c r="K282" s="3">
        <v>894</v>
      </c>
      <c r="L282" s="3">
        <v>1374</v>
      </c>
      <c r="M282" s="3">
        <v>1404</v>
      </c>
      <c r="N282" s="3">
        <v>1926</v>
      </c>
      <c r="O282" s="3">
        <v>750</v>
      </c>
      <c r="P282" s="3">
        <v>906</v>
      </c>
      <c r="Q282" s="3">
        <v>1596</v>
      </c>
      <c r="R282" s="3">
        <v>654</v>
      </c>
      <c r="S282" s="3">
        <v>1032</v>
      </c>
      <c r="T282" s="3">
        <v>1481</v>
      </c>
      <c r="U282" s="3">
        <v>1242</v>
      </c>
      <c r="V282" s="3">
        <v>912</v>
      </c>
      <c r="W282" s="3">
        <v>732</v>
      </c>
      <c r="X282" s="3">
        <v>1524</v>
      </c>
      <c r="Y282" s="3">
        <v>858</v>
      </c>
      <c r="Z282" s="3">
        <v>1218</v>
      </c>
      <c r="AA282" s="3">
        <v>840</v>
      </c>
      <c r="AB282" s="3">
        <v>1494</v>
      </c>
      <c r="AC282" s="3">
        <v>546</v>
      </c>
      <c r="AD282" s="3">
        <v>600</v>
      </c>
      <c r="AE282" s="3">
        <v>1104</v>
      </c>
      <c r="AF282" s="3">
        <v>1230</v>
      </c>
      <c r="AG282" s="3">
        <v>474</v>
      </c>
      <c r="AH282" s="3">
        <v>0</v>
      </c>
      <c r="AI282" s="3">
        <v>1584</v>
      </c>
      <c r="AJ282" s="3">
        <v>1092</v>
      </c>
      <c r="AK282" s="3">
        <v>612</v>
      </c>
      <c r="AL282" s="3">
        <v>384</v>
      </c>
      <c r="AM282" s="3">
        <v>642</v>
      </c>
      <c r="AN282" s="3">
        <v>1170</v>
      </c>
      <c r="AO282" s="3">
        <v>876</v>
      </c>
      <c r="AP282" s="3">
        <v>978</v>
      </c>
      <c r="AQ282" s="3">
        <v>1212</v>
      </c>
      <c r="AR282" s="3">
        <v>804</v>
      </c>
      <c r="AS282" s="3">
        <v>918</v>
      </c>
      <c r="AT282" s="3">
        <v>894</v>
      </c>
      <c r="AU282" s="3">
        <v>1674</v>
      </c>
      <c r="AV282" s="3">
        <v>1152</v>
      </c>
      <c r="AW282" s="3">
        <v>930</v>
      </c>
    </row>
    <row r="283" spans="1:49">
      <c r="A283" s="4" t="s">
        <v>35</v>
      </c>
      <c r="B283" s="4" t="str">
        <f t="shared" si="4"/>
        <v>Hair Color</v>
      </c>
      <c r="C283" s="4" t="s">
        <v>1786</v>
      </c>
      <c r="D283" s="4" t="s">
        <v>150</v>
      </c>
      <c r="E283" s="24" t="s">
        <v>414</v>
      </c>
      <c r="F283" s="12" t="s">
        <v>438</v>
      </c>
      <c r="G283" s="4" t="s">
        <v>1787</v>
      </c>
      <c r="H283" s="3">
        <v>216</v>
      </c>
      <c r="I283" s="3">
        <v>450</v>
      </c>
      <c r="J283" s="3">
        <v>510</v>
      </c>
      <c r="K283" s="3">
        <v>426</v>
      </c>
      <c r="L283" s="3">
        <v>504</v>
      </c>
      <c r="M283" s="3">
        <v>702</v>
      </c>
      <c r="N283" s="3">
        <v>1296</v>
      </c>
      <c r="O283" s="3">
        <v>420</v>
      </c>
      <c r="P283" s="3">
        <v>330</v>
      </c>
      <c r="Q283" s="3">
        <v>786</v>
      </c>
      <c r="R283" s="3">
        <v>420</v>
      </c>
      <c r="S283" s="3">
        <v>426</v>
      </c>
      <c r="T283" s="3">
        <v>528</v>
      </c>
      <c r="U283" s="3">
        <v>606</v>
      </c>
      <c r="V283" s="3">
        <v>234</v>
      </c>
      <c r="W283" s="3">
        <v>258</v>
      </c>
      <c r="X283" s="3">
        <v>618</v>
      </c>
      <c r="Y283" s="3">
        <v>366</v>
      </c>
      <c r="Z283" s="3">
        <v>648</v>
      </c>
      <c r="AA283" s="3">
        <v>774</v>
      </c>
      <c r="AB283" s="3">
        <v>360</v>
      </c>
      <c r="AC283" s="3">
        <v>222</v>
      </c>
      <c r="AD283" s="3">
        <v>252</v>
      </c>
      <c r="AE283" s="3">
        <v>648</v>
      </c>
      <c r="AF283" s="3">
        <v>750</v>
      </c>
      <c r="AG283" s="3">
        <v>60</v>
      </c>
      <c r="AH283" s="3">
        <v>0</v>
      </c>
      <c r="AI283" s="3">
        <v>540</v>
      </c>
      <c r="AJ283" s="3">
        <v>372</v>
      </c>
      <c r="AK283" s="3">
        <v>312</v>
      </c>
      <c r="AL283" s="3">
        <v>156</v>
      </c>
      <c r="AM283" s="3">
        <v>138</v>
      </c>
      <c r="AN283" s="3">
        <v>504</v>
      </c>
      <c r="AO283" s="3">
        <v>486</v>
      </c>
      <c r="AP283" s="3">
        <v>450</v>
      </c>
      <c r="AQ283" s="3">
        <v>648</v>
      </c>
      <c r="AR283" s="3">
        <v>330</v>
      </c>
      <c r="AS283" s="3">
        <v>474</v>
      </c>
      <c r="AT283" s="3">
        <v>450</v>
      </c>
      <c r="AU283" s="3">
        <v>738</v>
      </c>
      <c r="AV283" s="3">
        <v>558</v>
      </c>
      <c r="AW283" s="3">
        <v>750</v>
      </c>
    </row>
    <row r="284" spans="1:49">
      <c r="A284" s="4" t="s">
        <v>35</v>
      </c>
      <c r="B284" s="4" t="str">
        <f t="shared" si="4"/>
        <v>Hair Color</v>
      </c>
      <c r="C284" s="4" t="s">
        <v>1786</v>
      </c>
      <c r="D284" s="4" t="s">
        <v>150</v>
      </c>
      <c r="E284" s="24" t="s">
        <v>414</v>
      </c>
      <c r="F284" s="12" t="s">
        <v>439</v>
      </c>
      <c r="G284" s="4" t="s">
        <v>1787</v>
      </c>
      <c r="H284" s="3">
        <v>234</v>
      </c>
      <c r="I284" s="3">
        <v>420</v>
      </c>
      <c r="J284" s="3">
        <v>576</v>
      </c>
      <c r="K284" s="3">
        <v>474</v>
      </c>
      <c r="L284" s="3">
        <v>354</v>
      </c>
      <c r="M284" s="3">
        <v>528</v>
      </c>
      <c r="N284" s="3">
        <v>846</v>
      </c>
      <c r="O284" s="3">
        <v>330</v>
      </c>
      <c r="P284" s="3">
        <v>372</v>
      </c>
      <c r="Q284" s="3">
        <v>582</v>
      </c>
      <c r="R284" s="3">
        <v>366</v>
      </c>
      <c r="S284" s="3">
        <v>690</v>
      </c>
      <c r="T284" s="3">
        <v>426</v>
      </c>
      <c r="U284" s="3">
        <v>462</v>
      </c>
      <c r="V284" s="3">
        <v>354</v>
      </c>
      <c r="W284" s="3">
        <v>240</v>
      </c>
      <c r="X284" s="3">
        <v>762</v>
      </c>
      <c r="Y284" s="3">
        <v>432</v>
      </c>
      <c r="Z284" s="3">
        <v>408</v>
      </c>
      <c r="AA284" s="3">
        <v>282</v>
      </c>
      <c r="AB284" s="3">
        <v>564</v>
      </c>
      <c r="AC284" s="3">
        <v>180</v>
      </c>
      <c r="AD284" s="3">
        <v>342</v>
      </c>
      <c r="AE284" s="3">
        <v>156</v>
      </c>
      <c r="AF284" s="3">
        <v>984</v>
      </c>
      <c r="AG284" s="3">
        <v>246</v>
      </c>
      <c r="AH284" s="3">
        <v>384</v>
      </c>
      <c r="AI284" s="3">
        <v>324</v>
      </c>
      <c r="AJ284" s="3">
        <v>396</v>
      </c>
      <c r="AK284" s="3">
        <v>396</v>
      </c>
      <c r="AL284" s="3">
        <v>186</v>
      </c>
      <c r="AM284" s="3">
        <v>353</v>
      </c>
      <c r="AN284" s="3">
        <v>330</v>
      </c>
      <c r="AO284" s="3">
        <v>492</v>
      </c>
      <c r="AP284" s="3">
        <v>582</v>
      </c>
      <c r="AQ284" s="3">
        <v>702</v>
      </c>
      <c r="AR284" s="3">
        <v>360</v>
      </c>
      <c r="AS284" s="3">
        <v>144</v>
      </c>
      <c r="AT284" s="3">
        <v>312</v>
      </c>
      <c r="AU284" s="3">
        <v>906</v>
      </c>
      <c r="AV284" s="3">
        <v>684</v>
      </c>
      <c r="AW284" s="3">
        <v>786</v>
      </c>
    </row>
    <row r="285" spans="1:49">
      <c r="A285" s="4" t="s">
        <v>35</v>
      </c>
      <c r="B285" s="4" t="str">
        <f t="shared" si="4"/>
        <v>Hair Color</v>
      </c>
      <c r="C285" s="4" t="s">
        <v>1786</v>
      </c>
      <c r="D285" s="4" t="s">
        <v>150</v>
      </c>
      <c r="E285" s="24" t="s">
        <v>414</v>
      </c>
      <c r="F285" s="12" t="s">
        <v>440</v>
      </c>
      <c r="G285" s="4" t="s">
        <v>1787</v>
      </c>
      <c r="H285" s="3">
        <v>426</v>
      </c>
      <c r="I285" s="3">
        <v>870</v>
      </c>
      <c r="J285" s="3">
        <v>1302</v>
      </c>
      <c r="K285" s="3">
        <v>666</v>
      </c>
      <c r="L285" s="3">
        <v>552</v>
      </c>
      <c r="M285" s="3">
        <v>762</v>
      </c>
      <c r="N285" s="3">
        <v>1068</v>
      </c>
      <c r="O285" s="3">
        <v>678</v>
      </c>
      <c r="P285" s="3">
        <v>498</v>
      </c>
      <c r="Q285" s="3">
        <v>1374</v>
      </c>
      <c r="R285" s="3">
        <v>864</v>
      </c>
      <c r="S285" s="3">
        <v>480</v>
      </c>
      <c r="T285" s="3">
        <v>828</v>
      </c>
      <c r="U285" s="3">
        <v>780</v>
      </c>
      <c r="V285" s="3">
        <v>468</v>
      </c>
      <c r="W285" s="3">
        <v>432</v>
      </c>
      <c r="X285" s="3">
        <v>828</v>
      </c>
      <c r="Y285" s="3">
        <v>552</v>
      </c>
      <c r="Z285" s="3">
        <v>1014</v>
      </c>
      <c r="AA285" s="3">
        <v>654</v>
      </c>
      <c r="AB285" s="3">
        <v>636</v>
      </c>
      <c r="AC285" s="3">
        <v>342</v>
      </c>
      <c r="AD285" s="3">
        <v>282</v>
      </c>
      <c r="AE285" s="3">
        <v>294</v>
      </c>
      <c r="AF285" s="3">
        <v>1181</v>
      </c>
      <c r="AG285" s="3">
        <v>402</v>
      </c>
      <c r="AH285" s="3">
        <v>456</v>
      </c>
      <c r="AI285" s="3">
        <v>324</v>
      </c>
      <c r="AJ285" s="3">
        <v>438</v>
      </c>
      <c r="AK285" s="3">
        <v>318</v>
      </c>
      <c r="AL285" s="3">
        <v>204</v>
      </c>
      <c r="AM285" s="3">
        <v>234</v>
      </c>
      <c r="AN285" s="3">
        <v>264</v>
      </c>
      <c r="AO285" s="3">
        <v>720</v>
      </c>
      <c r="AP285" s="3">
        <v>594</v>
      </c>
      <c r="AQ285" s="3">
        <v>834</v>
      </c>
      <c r="AR285" s="3">
        <v>432</v>
      </c>
      <c r="AS285" s="3">
        <v>486</v>
      </c>
      <c r="AT285" s="3">
        <v>636</v>
      </c>
      <c r="AU285" s="3">
        <v>858</v>
      </c>
      <c r="AV285" s="3">
        <v>552</v>
      </c>
      <c r="AW285" s="3">
        <v>792</v>
      </c>
    </row>
    <row r="286" spans="1:49">
      <c r="A286" s="4" t="s">
        <v>35</v>
      </c>
      <c r="B286" s="4" t="str">
        <f t="shared" si="4"/>
        <v>Hair Color</v>
      </c>
      <c r="C286" s="4" t="s">
        <v>1786</v>
      </c>
      <c r="D286" s="4" t="s">
        <v>150</v>
      </c>
      <c r="E286" s="24" t="s">
        <v>441</v>
      </c>
      <c r="F286" s="12" t="s">
        <v>442</v>
      </c>
      <c r="G286" s="4" t="s">
        <v>1787</v>
      </c>
      <c r="H286" s="3">
        <v>81</v>
      </c>
      <c r="I286" s="3">
        <v>138</v>
      </c>
      <c r="J286" s="3">
        <v>69</v>
      </c>
      <c r="K286" s="3">
        <v>189</v>
      </c>
      <c r="L286" s="3">
        <v>81</v>
      </c>
      <c r="M286" s="3">
        <v>66</v>
      </c>
      <c r="N286" s="3">
        <v>105</v>
      </c>
      <c r="O286" s="3">
        <v>72</v>
      </c>
      <c r="P286" s="3">
        <v>93</v>
      </c>
      <c r="Q286" s="3">
        <v>150</v>
      </c>
      <c r="R286" s="3">
        <v>69</v>
      </c>
      <c r="S286" s="3">
        <v>42</v>
      </c>
      <c r="T286" s="3">
        <v>51</v>
      </c>
      <c r="U286" s="3">
        <v>72</v>
      </c>
      <c r="V286" s="3">
        <v>45</v>
      </c>
      <c r="W286" s="3">
        <v>27</v>
      </c>
      <c r="X286" s="3">
        <v>189</v>
      </c>
      <c r="Y286" s="3">
        <v>72</v>
      </c>
      <c r="Z286" s="3">
        <v>48</v>
      </c>
      <c r="AA286" s="3">
        <v>27</v>
      </c>
      <c r="AB286" s="3">
        <v>60</v>
      </c>
      <c r="AC286" s="3">
        <v>66</v>
      </c>
      <c r="AD286" s="3">
        <v>30</v>
      </c>
      <c r="AE286" s="3">
        <v>39</v>
      </c>
      <c r="AF286" s="3">
        <v>39</v>
      </c>
      <c r="AG286" s="3">
        <v>51</v>
      </c>
      <c r="AH286" s="3">
        <v>63</v>
      </c>
      <c r="AI286" s="3">
        <v>69</v>
      </c>
      <c r="AJ286" s="3">
        <v>60</v>
      </c>
      <c r="AK286" s="3">
        <v>78</v>
      </c>
      <c r="AL286" s="3">
        <v>15</v>
      </c>
      <c r="AM286" s="3">
        <v>0</v>
      </c>
      <c r="AN286" s="3">
        <v>72</v>
      </c>
      <c r="AO286" s="3">
        <v>135</v>
      </c>
      <c r="AP286" s="3">
        <v>150</v>
      </c>
      <c r="AQ286" s="3">
        <v>3</v>
      </c>
      <c r="AR286" s="3">
        <v>33</v>
      </c>
      <c r="AS286" s="3">
        <v>9</v>
      </c>
      <c r="AT286" s="3">
        <v>27</v>
      </c>
      <c r="AU286" s="3">
        <v>87</v>
      </c>
      <c r="AV286" s="3">
        <v>24</v>
      </c>
      <c r="AW286" s="3">
        <v>51</v>
      </c>
    </row>
    <row r="287" spans="1:49">
      <c r="A287" s="4" t="s">
        <v>35</v>
      </c>
      <c r="B287" s="4" t="str">
        <f t="shared" si="4"/>
        <v>Hair Color</v>
      </c>
      <c r="C287" s="4" t="s">
        <v>1786</v>
      </c>
      <c r="D287" s="4" t="s">
        <v>150</v>
      </c>
      <c r="E287" s="24" t="s">
        <v>441</v>
      </c>
      <c r="F287" s="12" t="s">
        <v>443</v>
      </c>
      <c r="G287" s="4" t="s">
        <v>1787</v>
      </c>
      <c r="H287" s="3">
        <v>147</v>
      </c>
      <c r="I287" s="3">
        <v>144</v>
      </c>
      <c r="J287" s="3">
        <v>51</v>
      </c>
      <c r="K287" s="3">
        <v>177</v>
      </c>
      <c r="L287" s="3">
        <v>90</v>
      </c>
      <c r="M287" s="3">
        <v>87</v>
      </c>
      <c r="N287" s="3">
        <v>186</v>
      </c>
      <c r="O287" s="3">
        <v>72</v>
      </c>
      <c r="P287" s="3">
        <v>81</v>
      </c>
      <c r="Q287" s="3">
        <v>87</v>
      </c>
      <c r="R287" s="3">
        <v>69</v>
      </c>
      <c r="S287" s="3">
        <v>36</v>
      </c>
      <c r="T287" s="3">
        <v>66</v>
      </c>
      <c r="U287" s="3">
        <v>48</v>
      </c>
      <c r="V287" s="3">
        <v>81</v>
      </c>
      <c r="W287" s="3">
        <v>54</v>
      </c>
      <c r="X287" s="3">
        <v>72</v>
      </c>
      <c r="Y287" s="3">
        <v>60</v>
      </c>
      <c r="Z287" s="3">
        <v>27</v>
      </c>
      <c r="AA287" s="3">
        <v>24</v>
      </c>
      <c r="AB287" s="3">
        <v>78</v>
      </c>
      <c r="AC287" s="3">
        <v>42</v>
      </c>
      <c r="AD287" s="3">
        <v>45</v>
      </c>
      <c r="AE287" s="3">
        <v>45</v>
      </c>
      <c r="AF287" s="3">
        <v>57</v>
      </c>
      <c r="AG287" s="3">
        <v>39</v>
      </c>
      <c r="AH287" s="3">
        <v>24</v>
      </c>
      <c r="AI287" s="3">
        <v>69</v>
      </c>
      <c r="AJ287" s="3">
        <v>84</v>
      </c>
      <c r="AK287" s="3">
        <v>57</v>
      </c>
      <c r="AL287" s="3">
        <v>0</v>
      </c>
      <c r="AM287" s="3">
        <v>6</v>
      </c>
      <c r="AN287" s="3">
        <v>6</v>
      </c>
      <c r="AO287" s="3">
        <v>96</v>
      </c>
      <c r="AP287" s="3">
        <v>51</v>
      </c>
      <c r="AQ287" s="3">
        <v>57</v>
      </c>
      <c r="AR287" s="3">
        <v>51</v>
      </c>
      <c r="AS287" s="3">
        <v>39</v>
      </c>
      <c r="AT287" s="3">
        <v>45</v>
      </c>
      <c r="AU287" s="3">
        <v>60</v>
      </c>
      <c r="AV287" s="3">
        <v>42</v>
      </c>
      <c r="AW287" s="3">
        <v>33</v>
      </c>
    </row>
    <row r="288" spans="1:49">
      <c r="A288" s="4" t="s">
        <v>35</v>
      </c>
      <c r="B288" s="4" t="str">
        <f t="shared" si="4"/>
        <v>Hair Color</v>
      </c>
      <c r="C288" s="4" t="s">
        <v>1786</v>
      </c>
      <c r="D288" s="4" t="s">
        <v>150</v>
      </c>
      <c r="E288" s="24" t="s">
        <v>441</v>
      </c>
      <c r="F288" s="12" t="s">
        <v>444</v>
      </c>
      <c r="G288" s="4" t="s">
        <v>1787</v>
      </c>
      <c r="H288" s="3">
        <v>321</v>
      </c>
      <c r="I288" s="3">
        <v>342</v>
      </c>
      <c r="J288" s="3">
        <v>279</v>
      </c>
      <c r="K288" s="3">
        <v>432</v>
      </c>
      <c r="L288" s="3">
        <v>327</v>
      </c>
      <c r="M288" s="3">
        <v>249</v>
      </c>
      <c r="N288" s="3">
        <v>330</v>
      </c>
      <c r="O288" s="3">
        <v>249</v>
      </c>
      <c r="P288" s="3">
        <v>252</v>
      </c>
      <c r="Q288" s="3">
        <v>345</v>
      </c>
      <c r="R288" s="3">
        <v>156</v>
      </c>
      <c r="S288" s="3">
        <v>144</v>
      </c>
      <c r="T288" s="3">
        <v>222</v>
      </c>
      <c r="U288" s="3">
        <v>291</v>
      </c>
      <c r="V288" s="3">
        <v>180</v>
      </c>
      <c r="W288" s="3">
        <v>129</v>
      </c>
      <c r="X288" s="3">
        <v>453</v>
      </c>
      <c r="Y288" s="3">
        <v>171</v>
      </c>
      <c r="Z288" s="3">
        <v>123</v>
      </c>
      <c r="AA288" s="3">
        <v>198</v>
      </c>
      <c r="AB288" s="3">
        <v>237</v>
      </c>
      <c r="AC288" s="3">
        <v>111</v>
      </c>
      <c r="AD288" s="3">
        <v>108</v>
      </c>
      <c r="AE288" s="3">
        <v>114</v>
      </c>
      <c r="AF288" s="3">
        <v>114</v>
      </c>
      <c r="AG288" s="3">
        <v>105</v>
      </c>
      <c r="AH288" s="3">
        <v>99</v>
      </c>
      <c r="AI288" s="3">
        <v>78</v>
      </c>
      <c r="AJ288" s="3">
        <v>162</v>
      </c>
      <c r="AK288" s="3">
        <v>9</v>
      </c>
      <c r="AL288" s="3">
        <v>234</v>
      </c>
      <c r="AM288" s="3">
        <v>195</v>
      </c>
      <c r="AN288" s="3">
        <v>240</v>
      </c>
      <c r="AO288" s="3">
        <v>201</v>
      </c>
      <c r="AP288" s="3">
        <v>147</v>
      </c>
      <c r="AQ288" s="3">
        <v>105</v>
      </c>
      <c r="AR288" s="3">
        <v>183</v>
      </c>
      <c r="AS288" s="3">
        <v>156</v>
      </c>
      <c r="AT288" s="3">
        <v>147</v>
      </c>
      <c r="AU288" s="3">
        <v>195</v>
      </c>
      <c r="AV288" s="3">
        <v>126</v>
      </c>
      <c r="AW288" s="3">
        <v>165</v>
      </c>
    </row>
    <row r="289" spans="1:49">
      <c r="A289" s="4" t="s">
        <v>35</v>
      </c>
      <c r="B289" s="4" t="str">
        <f t="shared" si="4"/>
        <v>Hair Color</v>
      </c>
      <c r="C289" s="4" t="s">
        <v>1786</v>
      </c>
      <c r="D289" s="4" t="s">
        <v>150</v>
      </c>
      <c r="E289" s="24" t="s">
        <v>441</v>
      </c>
      <c r="F289" s="12" t="s">
        <v>445</v>
      </c>
      <c r="G289" s="4" t="s">
        <v>1787</v>
      </c>
      <c r="H289" s="3">
        <v>357</v>
      </c>
      <c r="I289" s="3">
        <v>492</v>
      </c>
      <c r="J289" s="3">
        <v>369</v>
      </c>
      <c r="K289" s="3">
        <v>390</v>
      </c>
      <c r="L289" s="3">
        <v>414</v>
      </c>
      <c r="M289" s="3">
        <v>330</v>
      </c>
      <c r="N289" s="3">
        <v>531</v>
      </c>
      <c r="O289" s="3">
        <v>300</v>
      </c>
      <c r="P289" s="3">
        <v>330</v>
      </c>
      <c r="Q289" s="3">
        <v>387</v>
      </c>
      <c r="R289" s="3">
        <v>204</v>
      </c>
      <c r="S289" s="3">
        <v>213</v>
      </c>
      <c r="T289" s="3">
        <v>354</v>
      </c>
      <c r="U289" s="3">
        <v>246</v>
      </c>
      <c r="V289" s="3">
        <v>261</v>
      </c>
      <c r="W289" s="3">
        <v>222</v>
      </c>
      <c r="X289" s="3">
        <v>522</v>
      </c>
      <c r="Y289" s="3">
        <v>252</v>
      </c>
      <c r="Z289" s="3">
        <v>285</v>
      </c>
      <c r="AA289" s="3">
        <v>168</v>
      </c>
      <c r="AB289" s="3">
        <v>321</v>
      </c>
      <c r="AC289" s="3">
        <v>75</v>
      </c>
      <c r="AD289" s="3">
        <v>123</v>
      </c>
      <c r="AE289" s="3">
        <v>105</v>
      </c>
      <c r="AF289" s="3">
        <v>174</v>
      </c>
      <c r="AG289" s="3">
        <v>171</v>
      </c>
      <c r="AH289" s="3">
        <v>48</v>
      </c>
      <c r="AI289" s="3">
        <v>329</v>
      </c>
      <c r="AJ289" s="3">
        <v>156</v>
      </c>
      <c r="AK289" s="3">
        <v>180</v>
      </c>
      <c r="AL289" s="3">
        <v>174</v>
      </c>
      <c r="AM289" s="3">
        <v>225</v>
      </c>
      <c r="AN289" s="3">
        <v>0</v>
      </c>
      <c r="AO289" s="3">
        <v>273</v>
      </c>
      <c r="AP289" s="3">
        <v>312</v>
      </c>
      <c r="AQ289" s="3">
        <v>165</v>
      </c>
      <c r="AR289" s="3">
        <v>153</v>
      </c>
      <c r="AS289" s="3">
        <v>87</v>
      </c>
      <c r="AT289" s="3">
        <v>255</v>
      </c>
      <c r="AU289" s="3">
        <v>249</v>
      </c>
      <c r="AV289" s="3">
        <v>159</v>
      </c>
      <c r="AW289" s="3">
        <v>222</v>
      </c>
    </row>
    <row r="290" spans="1:49">
      <c r="A290" s="4" t="s">
        <v>35</v>
      </c>
      <c r="B290" s="4" t="str">
        <f t="shared" si="4"/>
        <v>Hair Color</v>
      </c>
      <c r="C290" s="4" t="s">
        <v>1786</v>
      </c>
      <c r="D290" s="4" t="s">
        <v>150</v>
      </c>
      <c r="E290" s="24" t="s">
        <v>441</v>
      </c>
      <c r="F290" s="12" t="s">
        <v>446</v>
      </c>
      <c r="G290" s="4" t="s">
        <v>1787</v>
      </c>
      <c r="H290" s="3">
        <v>99</v>
      </c>
      <c r="I290" s="3">
        <v>99</v>
      </c>
      <c r="J290" s="3">
        <v>84</v>
      </c>
      <c r="K290" s="3">
        <v>126</v>
      </c>
      <c r="L290" s="3">
        <v>141</v>
      </c>
      <c r="M290" s="3">
        <v>90</v>
      </c>
      <c r="N290" s="3">
        <v>81</v>
      </c>
      <c r="O290" s="3">
        <v>102</v>
      </c>
      <c r="P290" s="3">
        <v>90</v>
      </c>
      <c r="Q290" s="3">
        <v>111</v>
      </c>
      <c r="R290" s="3">
        <v>72</v>
      </c>
      <c r="S290" s="3">
        <v>54</v>
      </c>
      <c r="T290" s="3">
        <v>75</v>
      </c>
      <c r="U290" s="3">
        <v>90</v>
      </c>
      <c r="V290" s="3">
        <v>63</v>
      </c>
      <c r="W290" s="3">
        <v>75</v>
      </c>
      <c r="X290" s="3">
        <v>147</v>
      </c>
      <c r="Y290" s="3">
        <v>72</v>
      </c>
      <c r="Z290" s="3">
        <v>33</v>
      </c>
      <c r="AA290" s="3">
        <v>75</v>
      </c>
      <c r="AB290" s="3">
        <v>102</v>
      </c>
      <c r="AC290" s="3">
        <v>36</v>
      </c>
      <c r="AD290" s="3">
        <v>54</v>
      </c>
      <c r="AE290" s="3">
        <v>78</v>
      </c>
      <c r="AF290" s="3">
        <v>51</v>
      </c>
      <c r="AG290" s="3">
        <v>48</v>
      </c>
      <c r="AH290" s="3">
        <v>87</v>
      </c>
      <c r="AI290" s="3">
        <v>24</v>
      </c>
      <c r="AJ290" s="3">
        <v>60</v>
      </c>
      <c r="AK290" s="3">
        <v>90</v>
      </c>
      <c r="AL290" s="3">
        <v>78</v>
      </c>
      <c r="AM290" s="3">
        <v>75</v>
      </c>
      <c r="AN290" s="3">
        <v>78</v>
      </c>
      <c r="AO290" s="3">
        <v>75</v>
      </c>
      <c r="AP290" s="3">
        <v>87</v>
      </c>
      <c r="AQ290" s="3">
        <v>129</v>
      </c>
      <c r="AR290" s="3">
        <v>72</v>
      </c>
      <c r="AS290" s="3">
        <v>42</v>
      </c>
      <c r="AT290" s="3">
        <v>79</v>
      </c>
      <c r="AU290" s="3">
        <v>120</v>
      </c>
      <c r="AV290" s="3">
        <v>87</v>
      </c>
      <c r="AW290" s="3">
        <v>99</v>
      </c>
    </row>
    <row r="291" spans="1:49">
      <c r="A291" s="4" t="s">
        <v>35</v>
      </c>
      <c r="B291" s="4" t="str">
        <f t="shared" si="4"/>
        <v>Hair Color</v>
      </c>
      <c r="C291" s="4" t="s">
        <v>1786</v>
      </c>
      <c r="D291" s="4" t="s">
        <v>150</v>
      </c>
      <c r="E291" s="24" t="s">
        <v>441</v>
      </c>
      <c r="F291" s="12" t="s">
        <v>447</v>
      </c>
      <c r="G291" s="4" t="s">
        <v>1787</v>
      </c>
      <c r="H291" s="3">
        <v>390</v>
      </c>
      <c r="I291" s="3">
        <v>510</v>
      </c>
      <c r="J291" s="3">
        <v>366</v>
      </c>
      <c r="K291" s="3">
        <v>519</v>
      </c>
      <c r="L291" s="3">
        <v>294</v>
      </c>
      <c r="M291" s="3">
        <v>315</v>
      </c>
      <c r="N291" s="3">
        <v>429</v>
      </c>
      <c r="O291" s="3">
        <v>282</v>
      </c>
      <c r="P291" s="3">
        <v>291</v>
      </c>
      <c r="Q291" s="3">
        <v>459</v>
      </c>
      <c r="R291" s="3">
        <v>162</v>
      </c>
      <c r="S291" s="3">
        <v>258</v>
      </c>
      <c r="T291" s="3">
        <v>291</v>
      </c>
      <c r="U291" s="3">
        <v>348</v>
      </c>
      <c r="V291" s="3">
        <v>270</v>
      </c>
      <c r="W291" s="3">
        <v>204</v>
      </c>
      <c r="X291" s="3">
        <v>441</v>
      </c>
      <c r="Y291" s="3">
        <v>240</v>
      </c>
      <c r="Z291" s="3">
        <v>195</v>
      </c>
      <c r="AA291" s="3">
        <v>336</v>
      </c>
      <c r="AB291" s="3">
        <v>555</v>
      </c>
      <c r="AC291" s="3">
        <v>108</v>
      </c>
      <c r="AD291" s="3">
        <v>165</v>
      </c>
      <c r="AE291" s="3">
        <v>171</v>
      </c>
      <c r="AF291" s="3">
        <v>225</v>
      </c>
      <c r="AG291" s="3">
        <v>243</v>
      </c>
      <c r="AH291" s="3">
        <v>315</v>
      </c>
      <c r="AI291" s="3">
        <v>135</v>
      </c>
      <c r="AJ291" s="3">
        <v>411</v>
      </c>
      <c r="AK291" s="3">
        <v>192</v>
      </c>
      <c r="AL291" s="3">
        <v>240</v>
      </c>
      <c r="AM291" s="3">
        <v>234</v>
      </c>
      <c r="AN291" s="3">
        <v>0</v>
      </c>
      <c r="AO291" s="3">
        <v>381</v>
      </c>
      <c r="AP291" s="3">
        <v>309</v>
      </c>
      <c r="AQ291" s="3">
        <v>291</v>
      </c>
      <c r="AR291" s="3">
        <v>222</v>
      </c>
      <c r="AS291" s="3">
        <v>192</v>
      </c>
      <c r="AT291" s="3">
        <v>333</v>
      </c>
      <c r="AU291" s="3">
        <v>285</v>
      </c>
      <c r="AV291" s="3">
        <v>216</v>
      </c>
      <c r="AW291" s="3">
        <v>249</v>
      </c>
    </row>
    <row r="292" spans="1:49">
      <c r="A292" s="4" t="s">
        <v>35</v>
      </c>
      <c r="B292" s="4" t="str">
        <f t="shared" si="4"/>
        <v>Hair Color</v>
      </c>
      <c r="C292" s="4" t="s">
        <v>1786</v>
      </c>
      <c r="D292" s="4" t="s">
        <v>150</v>
      </c>
      <c r="E292" s="24" t="s">
        <v>441</v>
      </c>
      <c r="F292" s="12" t="s">
        <v>448</v>
      </c>
      <c r="G292" s="4" t="s">
        <v>1787</v>
      </c>
      <c r="H292" s="3">
        <v>135</v>
      </c>
      <c r="I292" s="3">
        <v>90</v>
      </c>
      <c r="J292" s="3">
        <v>87</v>
      </c>
      <c r="K292" s="3">
        <v>165</v>
      </c>
      <c r="L292" s="3">
        <v>144</v>
      </c>
      <c r="M292" s="3">
        <v>99</v>
      </c>
      <c r="N292" s="3">
        <v>111</v>
      </c>
      <c r="O292" s="3">
        <v>93</v>
      </c>
      <c r="P292" s="3">
        <v>96</v>
      </c>
      <c r="Q292" s="3">
        <v>135</v>
      </c>
      <c r="R292" s="3">
        <v>90</v>
      </c>
      <c r="S292" s="3">
        <v>93</v>
      </c>
      <c r="T292" s="3">
        <v>111</v>
      </c>
      <c r="U292" s="3">
        <v>102</v>
      </c>
      <c r="V292" s="3">
        <v>78</v>
      </c>
      <c r="W292" s="3">
        <v>60</v>
      </c>
      <c r="X292" s="3">
        <v>150</v>
      </c>
      <c r="Y292" s="3">
        <v>93</v>
      </c>
      <c r="Z292" s="3">
        <v>60</v>
      </c>
      <c r="AA292" s="3">
        <v>75</v>
      </c>
      <c r="AB292" s="3">
        <v>174</v>
      </c>
      <c r="AC292" s="3">
        <v>33</v>
      </c>
      <c r="AD292" s="3">
        <v>36</v>
      </c>
      <c r="AE292" s="3">
        <v>66</v>
      </c>
      <c r="AF292" s="3">
        <v>57</v>
      </c>
      <c r="AG292" s="3">
        <v>102</v>
      </c>
      <c r="AH292" s="3">
        <v>-6</v>
      </c>
      <c r="AI292" s="3">
        <v>111</v>
      </c>
      <c r="AJ292" s="3">
        <v>111</v>
      </c>
      <c r="AK292" s="3">
        <v>87</v>
      </c>
      <c r="AL292" s="3">
        <v>96</v>
      </c>
      <c r="AM292" s="3">
        <v>105</v>
      </c>
      <c r="AN292" s="3">
        <v>54</v>
      </c>
      <c r="AO292" s="3">
        <v>99</v>
      </c>
      <c r="AP292" s="3">
        <v>108</v>
      </c>
      <c r="AQ292" s="3">
        <v>84</v>
      </c>
      <c r="AR292" s="3">
        <v>132</v>
      </c>
      <c r="AS292" s="3">
        <v>114</v>
      </c>
      <c r="AT292" s="3">
        <v>84</v>
      </c>
      <c r="AU292" s="3">
        <v>120</v>
      </c>
      <c r="AV292" s="3">
        <v>105</v>
      </c>
      <c r="AW292" s="3">
        <v>87</v>
      </c>
    </row>
    <row r="293" spans="1:49">
      <c r="A293" s="4" t="s">
        <v>35</v>
      </c>
      <c r="B293" s="4" t="str">
        <f t="shared" si="4"/>
        <v>Hair Color</v>
      </c>
      <c r="C293" s="4" t="s">
        <v>1786</v>
      </c>
      <c r="D293" s="4" t="s">
        <v>150</v>
      </c>
      <c r="E293" s="24" t="s">
        <v>441</v>
      </c>
      <c r="F293" s="12" t="s">
        <v>449</v>
      </c>
      <c r="G293" s="4" t="s">
        <v>1787</v>
      </c>
      <c r="H293" s="3">
        <v>357</v>
      </c>
      <c r="I293" s="3">
        <v>258</v>
      </c>
      <c r="J293" s="3">
        <v>240</v>
      </c>
      <c r="K293" s="3">
        <v>324</v>
      </c>
      <c r="L293" s="3">
        <v>177</v>
      </c>
      <c r="M293" s="3">
        <v>210</v>
      </c>
      <c r="N293" s="3">
        <v>327</v>
      </c>
      <c r="O293" s="3">
        <v>162</v>
      </c>
      <c r="P293" s="3">
        <v>159</v>
      </c>
      <c r="Q293" s="3">
        <v>237</v>
      </c>
      <c r="R293" s="3">
        <v>141</v>
      </c>
      <c r="S293" s="3">
        <v>156</v>
      </c>
      <c r="T293" s="3">
        <v>117</v>
      </c>
      <c r="U293" s="3">
        <v>231</v>
      </c>
      <c r="V293" s="3">
        <v>120</v>
      </c>
      <c r="W293" s="3">
        <v>111</v>
      </c>
      <c r="X293" s="3">
        <v>270</v>
      </c>
      <c r="Y293" s="3">
        <v>129</v>
      </c>
      <c r="Z293" s="3">
        <v>132</v>
      </c>
      <c r="AA293" s="3">
        <v>129</v>
      </c>
      <c r="AB293" s="3">
        <v>330</v>
      </c>
      <c r="AC293" s="3">
        <v>60</v>
      </c>
      <c r="AD293" s="3">
        <v>165</v>
      </c>
      <c r="AE293" s="3">
        <v>96</v>
      </c>
      <c r="AF293" s="3">
        <v>99</v>
      </c>
      <c r="AG293" s="3">
        <v>213</v>
      </c>
      <c r="AH293" s="3">
        <v>204</v>
      </c>
      <c r="AI293" s="3">
        <v>174</v>
      </c>
      <c r="AJ293" s="3">
        <v>207</v>
      </c>
      <c r="AK293" s="3">
        <v>114</v>
      </c>
      <c r="AL293" s="3">
        <v>156</v>
      </c>
      <c r="AM293" s="3">
        <v>240</v>
      </c>
      <c r="AN293" s="3">
        <v>156</v>
      </c>
      <c r="AO293" s="3">
        <v>6</v>
      </c>
      <c r="AP293" s="3">
        <v>519</v>
      </c>
      <c r="AQ293" s="3">
        <v>225</v>
      </c>
      <c r="AR293" s="3">
        <v>156</v>
      </c>
      <c r="AS293" s="3">
        <v>75</v>
      </c>
      <c r="AT293" s="3">
        <v>162</v>
      </c>
      <c r="AU293" s="3">
        <v>156</v>
      </c>
      <c r="AV293" s="3">
        <v>141</v>
      </c>
      <c r="AW293" s="3">
        <v>150</v>
      </c>
    </row>
    <row r="294" spans="1:49">
      <c r="A294" s="4" t="s">
        <v>35</v>
      </c>
      <c r="B294" s="4" t="str">
        <f t="shared" si="4"/>
        <v>Hair Color</v>
      </c>
      <c r="C294" s="4" t="s">
        <v>1786</v>
      </c>
      <c r="D294" s="4" t="s">
        <v>150</v>
      </c>
      <c r="E294" s="24" t="s">
        <v>441</v>
      </c>
      <c r="F294" s="12" t="s">
        <v>450</v>
      </c>
      <c r="G294" s="4" t="s">
        <v>1787</v>
      </c>
      <c r="H294" s="3">
        <v>213</v>
      </c>
      <c r="I294" s="3">
        <v>246</v>
      </c>
      <c r="J294" s="3">
        <v>123</v>
      </c>
      <c r="K294" s="3">
        <v>177</v>
      </c>
      <c r="L294" s="3">
        <v>216</v>
      </c>
      <c r="M294" s="3">
        <v>129</v>
      </c>
      <c r="N294" s="3">
        <v>297</v>
      </c>
      <c r="O294" s="3">
        <v>132</v>
      </c>
      <c r="P294" s="3">
        <v>99</v>
      </c>
      <c r="Q294" s="3">
        <v>177</v>
      </c>
      <c r="R294" s="3">
        <v>60</v>
      </c>
      <c r="S294" s="3">
        <v>72</v>
      </c>
      <c r="T294" s="3">
        <v>117</v>
      </c>
      <c r="U294" s="3">
        <v>180</v>
      </c>
      <c r="V294" s="3">
        <v>75</v>
      </c>
      <c r="W294" s="3">
        <v>90</v>
      </c>
      <c r="X294" s="3">
        <v>108</v>
      </c>
      <c r="Y294" s="3">
        <v>123</v>
      </c>
      <c r="Z294" s="3">
        <v>72</v>
      </c>
      <c r="AA294" s="3">
        <v>99</v>
      </c>
      <c r="AB294" s="3">
        <v>96</v>
      </c>
      <c r="AC294" s="3">
        <v>117</v>
      </c>
      <c r="AD294" s="3">
        <v>75</v>
      </c>
      <c r="AE294" s="3">
        <v>105</v>
      </c>
      <c r="AF294" s="3">
        <v>78</v>
      </c>
      <c r="AG294" s="3">
        <v>78</v>
      </c>
      <c r="AH294" s="3">
        <v>177</v>
      </c>
      <c r="AI294" s="3">
        <v>126</v>
      </c>
      <c r="AJ294" s="3">
        <v>66</v>
      </c>
      <c r="AK294" s="3">
        <v>102</v>
      </c>
      <c r="AL294" s="3">
        <v>141</v>
      </c>
      <c r="AM294" s="3">
        <v>135</v>
      </c>
      <c r="AN294" s="3">
        <v>132</v>
      </c>
      <c r="AO294" s="3">
        <v>102</v>
      </c>
      <c r="AP294" s="3">
        <v>168</v>
      </c>
      <c r="AQ294" s="3">
        <v>81</v>
      </c>
      <c r="AR294" s="3">
        <v>108</v>
      </c>
      <c r="AS294" s="3">
        <v>51</v>
      </c>
      <c r="AT294" s="3">
        <v>117</v>
      </c>
      <c r="AU294" s="3">
        <v>141</v>
      </c>
      <c r="AV294" s="3">
        <v>174</v>
      </c>
      <c r="AW294" s="3">
        <v>138</v>
      </c>
    </row>
    <row r="295" spans="1:49">
      <c r="A295" s="4" t="s">
        <v>35</v>
      </c>
      <c r="B295" s="4" t="str">
        <f t="shared" si="4"/>
        <v>Hair Color</v>
      </c>
      <c r="C295" s="4" t="s">
        <v>1786</v>
      </c>
      <c r="D295" s="4" t="s">
        <v>150</v>
      </c>
      <c r="E295" s="24" t="s">
        <v>441</v>
      </c>
      <c r="F295" s="12" t="s">
        <v>451</v>
      </c>
      <c r="G295" s="4" t="s">
        <v>1787</v>
      </c>
      <c r="H295" s="3">
        <v>72</v>
      </c>
      <c r="I295" s="3">
        <v>87</v>
      </c>
      <c r="J295" s="3">
        <v>90</v>
      </c>
      <c r="K295" s="3">
        <v>132</v>
      </c>
      <c r="L295" s="3">
        <v>111</v>
      </c>
      <c r="M295" s="3">
        <v>69</v>
      </c>
      <c r="N295" s="3">
        <v>57</v>
      </c>
      <c r="O295" s="3">
        <v>69</v>
      </c>
      <c r="P295" s="3">
        <v>66</v>
      </c>
      <c r="Q295" s="3">
        <v>84</v>
      </c>
      <c r="R295" s="3">
        <v>42</v>
      </c>
      <c r="S295" s="3">
        <v>39</v>
      </c>
      <c r="T295" s="3">
        <v>60</v>
      </c>
      <c r="U295" s="3">
        <v>39</v>
      </c>
      <c r="V295" s="3">
        <v>84</v>
      </c>
      <c r="W295" s="3">
        <v>36</v>
      </c>
      <c r="X295" s="3">
        <v>87</v>
      </c>
      <c r="Y295" s="3">
        <v>63</v>
      </c>
      <c r="Z295" s="3">
        <v>30</v>
      </c>
      <c r="AA295" s="3">
        <v>48</v>
      </c>
      <c r="AB295" s="3">
        <v>51</v>
      </c>
      <c r="AC295" s="3">
        <v>48</v>
      </c>
      <c r="AD295" s="3">
        <v>48</v>
      </c>
      <c r="AE295" s="3">
        <v>60</v>
      </c>
      <c r="AF295" s="3">
        <v>42</v>
      </c>
      <c r="AG295" s="3">
        <v>48</v>
      </c>
      <c r="AH295" s="3">
        <v>0</v>
      </c>
      <c r="AI295" s="3">
        <v>39</v>
      </c>
      <c r="AJ295" s="3">
        <v>93</v>
      </c>
      <c r="AK295" s="3">
        <v>42</v>
      </c>
      <c r="AL295" s="3">
        <v>45</v>
      </c>
      <c r="AM295" s="3">
        <v>69</v>
      </c>
      <c r="AN295" s="3">
        <v>18</v>
      </c>
      <c r="AO295" s="3">
        <v>24</v>
      </c>
      <c r="AP295" s="3">
        <v>44</v>
      </c>
      <c r="AQ295" s="3">
        <v>15</v>
      </c>
      <c r="AR295" s="3">
        <v>54</v>
      </c>
      <c r="AS295" s="3">
        <v>30</v>
      </c>
      <c r="AT295" s="3">
        <v>33</v>
      </c>
      <c r="AU295" s="3">
        <v>57</v>
      </c>
      <c r="AV295" s="3">
        <v>39</v>
      </c>
      <c r="AW295" s="3">
        <v>12</v>
      </c>
    </row>
    <row r="296" spans="1:49">
      <c r="A296" s="4" t="s">
        <v>35</v>
      </c>
      <c r="B296" s="4" t="str">
        <f t="shared" si="4"/>
        <v>Hair Color</v>
      </c>
      <c r="C296" s="4" t="s">
        <v>1786</v>
      </c>
      <c r="D296" s="4" t="s">
        <v>150</v>
      </c>
      <c r="E296" s="24" t="s">
        <v>441</v>
      </c>
      <c r="F296" s="12" t="s">
        <v>452</v>
      </c>
      <c r="G296" s="4" t="s">
        <v>1787</v>
      </c>
      <c r="H296" s="3">
        <v>480</v>
      </c>
      <c r="I296" s="3">
        <v>513</v>
      </c>
      <c r="J296" s="3">
        <v>327</v>
      </c>
      <c r="K296" s="3">
        <v>552</v>
      </c>
      <c r="L296" s="3">
        <v>435</v>
      </c>
      <c r="M296" s="3">
        <v>411</v>
      </c>
      <c r="N296" s="3">
        <v>495</v>
      </c>
      <c r="O296" s="3">
        <v>354</v>
      </c>
      <c r="P296" s="3">
        <v>429</v>
      </c>
      <c r="Q296" s="3">
        <v>483</v>
      </c>
      <c r="R296" s="3">
        <v>210</v>
      </c>
      <c r="S296" s="3">
        <v>243</v>
      </c>
      <c r="T296" s="3">
        <v>369</v>
      </c>
      <c r="U296" s="3">
        <v>363</v>
      </c>
      <c r="V296" s="3">
        <v>360</v>
      </c>
      <c r="W296" s="3">
        <v>267</v>
      </c>
      <c r="X296" s="3">
        <v>345</v>
      </c>
      <c r="Y296" s="3">
        <v>501</v>
      </c>
      <c r="Z296" s="3">
        <v>234</v>
      </c>
      <c r="AA296" s="3">
        <v>375</v>
      </c>
      <c r="AB296" s="3">
        <v>459</v>
      </c>
      <c r="AC296" s="3">
        <v>189</v>
      </c>
      <c r="AD296" s="3">
        <v>162</v>
      </c>
      <c r="AE296" s="3">
        <v>204</v>
      </c>
      <c r="AF296" s="3">
        <v>189</v>
      </c>
      <c r="AG296" s="3">
        <v>192</v>
      </c>
      <c r="AH296" s="3">
        <v>186</v>
      </c>
      <c r="AI296" s="3">
        <v>315</v>
      </c>
      <c r="AJ296" s="3">
        <v>435</v>
      </c>
      <c r="AK296" s="3">
        <v>189</v>
      </c>
      <c r="AL296" s="3">
        <v>162</v>
      </c>
      <c r="AM296" s="3">
        <v>0</v>
      </c>
      <c r="AN296" s="3">
        <v>279</v>
      </c>
      <c r="AO296" s="3">
        <v>66</v>
      </c>
      <c r="AP296" s="3">
        <v>234</v>
      </c>
      <c r="AQ296" s="3">
        <v>345</v>
      </c>
      <c r="AR296" s="3">
        <v>324</v>
      </c>
      <c r="AS296" s="3">
        <v>189</v>
      </c>
      <c r="AT296" s="3">
        <v>195</v>
      </c>
      <c r="AU296" s="3">
        <v>348</v>
      </c>
      <c r="AV296" s="3">
        <v>243</v>
      </c>
      <c r="AW296" s="3">
        <v>366</v>
      </c>
    </row>
    <row r="297" spans="1:49">
      <c r="A297" s="4" t="s">
        <v>35</v>
      </c>
      <c r="B297" s="4" t="str">
        <f t="shared" si="4"/>
        <v>Hair Color</v>
      </c>
      <c r="C297" s="4" t="s">
        <v>1786</v>
      </c>
      <c r="D297" s="4" t="s">
        <v>150</v>
      </c>
      <c r="E297" s="24" t="s">
        <v>441</v>
      </c>
      <c r="F297" s="12" t="s">
        <v>453</v>
      </c>
      <c r="G297" s="4" t="s">
        <v>1787</v>
      </c>
      <c r="H297" s="3">
        <v>60</v>
      </c>
      <c r="I297" s="3">
        <v>84</v>
      </c>
      <c r="J297" s="3">
        <v>93</v>
      </c>
      <c r="K297" s="3">
        <v>153</v>
      </c>
      <c r="L297" s="3">
        <v>87</v>
      </c>
      <c r="M297" s="3">
        <v>93</v>
      </c>
      <c r="N297" s="3">
        <v>81</v>
      </c>
      <c r="O297" s="3">
        <v>45</v>
      </c>
      <c r="P297" s="3">
        <v>72</v>
      </c>
      <c r="Q297" s="3">
        <v>57</v>
      </c>
      <c r="R297" s="3">
        <v>90</v>
      </c>
      <c r="S297" s="3">
        <v>51</v>
      </c>
      <c r="T297" s="3">
        <v>57</v>
      </c>
      <c r="U297" s="3">
        <v>48</v>
      </c>
      <c r="V297" s="3">
        <v>60</v>
      </c>
      <c r="W297" s="3">
        <v>69</v>
      </c>
      <c r="X297" s="3">
        <v>84</v>
      </c>
      <c r="Y297" s="3">
        <v>63</v>
      </c>
      <c r="Z297" s="3">
        <v>39</v>
      </c>
      <c r="AA297" s="3">
        <v>12</v>
      </c>
      <c r="AB297" s="3">
        <v>9</v>
      </c>
      <c r="AC297" s="3">
        <v>18</v>
      </c>
      <c r="AD297" s="3">
        <v>18</v>
      </c>
      <c r="AE297" s="3">
        <v>18</v>
      </c>
      <c r="AF297" s="3">
        <v>12</v>
      </c>
      <c r="AG297" s="3">
        <v>0</v>
      </c>
      <c r="AH297" s="3">
        <v>6</v>
      </c>
      <c r="AI297" s="3">
        <v>0</v>
      </c>
      <c r="AJ297" s="3">
        <v>0</v>
      </c>
      <c r="AK297" s="3">
        <v>18</v>
      </c>
      <c r="AL297" s="3">
        <v>0</v>
      </c>
      <c r="AM297" s="3">
        <v>42</v>
      </c>
      <c r="AN297" s="3">
        <v>9</v>
      </c>
      <c r="AO297" s="3">
        <v>18</v>
      </c>
      <c r="AP297" s="3">
        <v>9</v>
      </c>
      <c r="AQ297" s="3">
        <v>21</v>
      </c>
      <c r="AR297" s="3">
        <v>27</v>
      </c>
      <c r="AS297" s="3">
        <v>135</v>
      </c>
      <c r="AT297" s="3">
        <v>159</v>
      </c>
      <c r="AU297" s="3">
        <v>105</v>
      </c>
      <c r="AV297" s="3">
        <v>81</v>
      </c>
      <c r="AW297" s="3">
        <v>81</v>
      </c>
    </row>
    <row r="298" spans="1:49">
      <c r="A298" s="4" t="s">
        <v>35</v>
      </c>
      <c r="B298" s="4" t="str">
        <f t="shared" si="4"/>
        <v>Hair Color</v>
      </c>
      <c r="C298" s="4" t="s">
        <v>1786</v>
      </c>
      <c r="D298" s="4" t="s">
        <v>150</v>
      </c>
      <c r="E298" s="24" t="s">
        <v>441</v>
      </c>
      <c r="F298" s="12" t="s">
        <v>454</v>
      </c>
      <c r="G298" s="4" t="s">
        <v>1787</v>
      </c>
      <c r="H298" s="3">
        <v>204</v>
      </c>
      <c r="I298" s="3">
        <v>297</v>
      </c>
      <c r="J298" s="3">
        <v>174</v>
      </c>
      <c r="K298" s="3">
        <v>210</v>
      </c>
      <c r="L298" s="3">
        <v>228</v>
      </c>
      <c r="M298" s="3">
        <v>249</v>
      </c>
      <c r="N298" s="3">
        <v>402</v>
      </c>
      <c r="O298" s="3">
        <v>180</v>
      </c>
      <c r="P298" s="3">
        <v>177</v>
      </c>
      <c r="Q298" s="3">
        <v>276</v>
      </c>
      <c r="R298" s="3">
        <v>117</v>
      </c>
      <c r="S298" s="3">
        <v>111</v>
      </c>
      <c r="T298" s="3">
        <v>141</v>
      </c>
      <c r="U298" s="3">
        <v>204</v>
      </c>
      <c r="V298" s="3">
        <v>90</v>
      </c>
      <c r="W298" s="3">
        <v>90</v>
      </c>
      <c r="X298" s="3">
        <v>258</v>
      </c>
      <c r="Y298" s="3">
        <v>177</v>
      </c>
      <c r="Z298" s="3">
        <v>132</v>
      </c>
      <c r="AA298" s="3">
        <v>45</v>
      </c>
      <c r="AB298" s="3">
        <v>56</v>
      </c>
      <c r="AC298" s="3">
        <v>0</v>
      </c>
      <c r="AD298" s="3">
        <v>198</v>
      </c>
      <c r="AE298" s="3">
        <v>159</v>
      </c>
      <c r="AF298" s="3">
        <v>258</v>
      </c>
      <c r="AG298" s="3">
        <v>0</v>
      </c>
      <c r="AH298" s="3">
        <v>51</v>
      </c>
      <c r="AI298" s="3">
        <v>333</v>
      </c>
      <c r="AJ298" s="3">
        <v>183</v>
      </c>
      <c r="AK298" s="3">
        <v>192</v>
      </c>
      <c r="AL298" s="3">
        <v>84</v>
      </c>
      <c r="AM298" s="3">
        <v>177</v>
      </c>
      <c r="AN298" s="3">
        <v>153</v>
      </c>
      <c r="AO298" s="3">
        <v>135</v>
      </c>
      <c r="AP298" s="3">
        <v>192</v>
      </c>
      <c r="AQ298" s="3">
        <v>198</v>
      </c>
      <c r="AR298" s="3">
        <v>132</v>
      </c>
      <c r="AS298" s="3">
        <v>78</v>
      </c>
      <c r="AT298" s="3">
        <v>165</v>
      </c>
      <c r="AU298" s="3">
        <v>168</v>
      </c>
      <c r="AV298" s="3">
        <v>129</v>
      </c>
      <c r="AW298" s="3">
        <v>174</v>
      </c>
    </row>
    <row r="299" spans="1:49">
      <c r="A299" s="4" t="s">
        <v>35</v>
      </c>
      <c r="B299" s="4" t="str">
        <f t="shared" si="4"/>
        <v>Hair Color</v>
      </c>
      <c r="C299" s="4" t="s">
        <v>1786</v>
      </c>
      <c r="D299" s="4" t="s">
        <v>150</v>
      </c>
      <c r="E299" s="24" t="s">
        <v>441</v>
      </c>
      <c r="F299" s="12" t="s">
        <v>455</v>
      </c>
      <c r="G299" s="4" t="s">
        <v>1787</v>
      </c>
      <c r="H299" s="3">
        <v>225</v>
      </c>
      <c r="I299" s="3">
        <v>156</v>
      </c>
      <c r="J299" s="3">
        <v>186</v>
      </c>
      <c r="K299" s="3">
        <v>180</v>
      </c>
      <c r="L299" s="3">
        <v>204</v>
      </c>
      <c r="M299" s="3">
        <v>192</v>
      </c>
      <c r="N299" s="3">
        <v>288</v>
      </c>
      <c r="O299" s="3">
        <v>153</v>
      </c>
      <c r="P299" s="3">
        <v>183</v>
      </c>
      <c r="Q299" s="3">
        <v>195</v>
      </c>
      <c r="R299" s="3">
        <v>141</v>
      </c>
      <c r="S299" s="3">
        <v>81</v>
      </c>
      <c r="T299" s="3">
        <v>81</v>
      </c>
      <c r="U299" s="3">
        <v>189</v>
      </c>
      <c r="V299" s="3">
        <v>102</v>
      </c>
      <c r="W299" s="3">
        <v>72</v>
      </c>
      <c r="X299" s="3">
        <v>216</v>
      </c>
      <c r="Y299" s="3">
        <v>123</v>
      </c>
      <c r="Z299" s="3">
        <v>51</v>
      </c>
      <c r="AA299" s="3">
        <v>93</v>
      </c>
      <c r="AB299" s="3">
        <v>165</v>
      </c>
      <c r="AC299" s="3">
        <v>51</v>
      </c>
      <c r="AD299" s="3">
        <v>81</v>
      </c>
      <c r="AE299" s="3">
        <v>90</v>
      </c>
      <c r="AF299" s="3">
        <v>54</v>
      </c>
      <c r="AG299" s="3">
        <v>63</v>
      </c>
      <c r="AH299" s="3">
        <v>54</v>
      </c>
      <c r="AI299" s="3">
        <v>108</v>
      </c>
      <c r="AJ299" s="3">
        <v>102</v>
      </c>
      <c r="AK299" s="3">
        <v>72</v>
      </c>
      <c r="AL299" s="3">
        <v>75</v>
      </c>
      <c r="AM299" s="3">
        <v>102</v>
      </c>
      <c r="AN299" s="3">
        <v>126</v>
      </c>
      <c r="AO299" s="3">
        <v>63</v>
      </c>
      <c r="AP299" s="3">
        <v>156</v>
      </c>
      <c r="AQ299" s="3">
        <v>63</v>
      </c>
      <c r="AR299" s="3">
        <v>63</v>
      </c>
      <c r="AS299" s="3">
        <v>54</v>
      </c>
      <c r="AT299" s="3">
        <v>72</v>
      </c>
      <c r="AU299" s="3">
        <v>117</v>
      </c>
      <c r="AV299" s="3">
        <v>93</v>
      </c>
      <c r="AW299" s="3">
        <v>147</v>
      </c>
    </row>
    <row r="300" spans="1:49">
      <c r="A300" s="4" t="s">
        <v>35</v>
      </c>
      <c r="B300" s="4" t="str">
        <f t="shared" si="4"/>
        <v>Hair Color</v>
      </c>
      <c r="C300" s="4" t="s">
        <v>1786</v>
      </c>
      <c r="D300" s="4" t="s">
        <v>150</v>
      </c>
      <c r="E300" s="24" t="s">
        <v>441</v>
      </c>
      <c r="F300" s="12" t="s">
        <v>456</v>
      </c>
      <c r="G300" s="4" t="s">
        <v>1787</v>
      </c>
      <c r="H300" s="3">
        <v>213</v>
      </c>
      <c r="I300" s="3">
        <v>243</v>
      </c>
      <c r="J300" s="3">
        <v>294</v>
      </c>
      <c r="K300" s="3">
        <v>252</v>
      </c>
      <c r="L300" s="3">
        <v>120</v>
      </c>
      <c r="M300" s="3">
        <v>198</v>
      </c>
      <c r="N300" s="3">
        <v>210</v>
      </c>
      <c r="O300" s="3">
        <v>237</v>
      </c>
      <c r="P300" s="3">
        <v>186</v>
      </c>
      <c r="Q300" s="3">
        <v>261</v>
      </c>
      <c r="R300" s="3">
        <v>123</v>
      </c>
      <c r="S300" s="3">
        <v>96</v>
      </c>
      <c r="T300" s="3">
        <v>129</v>
      </c>
      <c r="U300" s="3">
        <v>210</v>
      </c>
      <c r="V300" s="3">
        <v>111</v>
      </c>
      <c r="W300" s="3">
        <v>87</v>
      </c>
      <c r="X300" s="3">
        <v>282</v>
      </c>
      <c r="Y300" s="3">
        <v>114</v>
      </c>
      <c r="Z300" s="3">
        <v>114</v>
      </c>
      <c r="AA300" s="3">
        <v>72</v>
      </c>
      <c r="AB300" s="3">
        <v>129</v>
      </c>
      <c r="AC300" s="3">
        <v>87</v>
      </c>
      <c r="AD300" s="3">
        <v>78</v>
      </c>
      <c r="AE300" s="3">
        <v>63</v>
      </c>
      <c r="AF300" s="3">
        <v>108</v>
      </c>
      <c r="AG300" s="3">
        <v>42</v>
      </c>
      <c r="AH300" s="3">
        <v>47</v>
      </c>
      <c r="AI300" s="3">
        <v>99</v>
      </c>
      <c r="AJ300" s="3">
        <v>102</v>
      </c>
      <c r="AK300" s="3">
        <v>84</v>
      </c>
      <c r="AL300" s="3">
        <v>81</v>
      </c>
      <c r="AM300" s="3">
        <v>171</v>
      </c>
      <c r="AN300" s="3">
        <v>138</v>
      </c>
      <c r="AO300" s="3">
        <v>60</v>
      </c>
      <c r="AP300" s="3">
        <v>312</v>
      </c>
      <c r="AQ300" s="3">
        <v>0</v>
      </c>
      <c r="AR300" s="3">
        <v>120</v>
      </c>
      <c r="AS300" s="3">
        <v>75</v>
      </c>
      <c r="AT300" s="3">
        <v>72</v>
      </c>
      <c r="AU300" s="3">
        <v>120</v>
      </c>
      <c r="AV300" s="3">
        <v>99</v>
      </c>
      <c r="AW300" s="3">
        <v>90</v>
      </c>
    </row>
    <row r="301" spans="1:49">
      <c r="A301" s="4" t="s">
        <v>35</v>
      </c>
      <c r="B301" s="4" t="str">
        <f t="shared" si="4"/>
        <v>Hair Color</v>
      </c>
      <c r="C301" s="4" t="s">
        <v>1786</v>
      </c>
      <c r="D301" s="4" t="s">
        <v>150</v>
      </c>
      <c r="E301" s="24" t="s">
        <v>441</v>
      </c>
      <c r="F301" s="12" t="s">
        <v>457</v>
      </c>
      <c r="G301" s="4" t="s">
        <v>1787</v>
      </c>
      <c r="H301" s="3">
        <v>183</v>
      </c>
      <c r="I301" s="3">
        <v>162</v>
      </c>
      <c r="J301" s="3">
        <v>159</v>
      </c>
      <c r="K301" s="3">
        <v>189</v>
      </c>
      <c r="L301" s="3">
        <v>177</v>
      </c>
      <c r="M301" s="3">
        <v>168</v>
      </c>
      <c r="N301" s="3">
        <v>270</v>
      </c>
      <c r="O301" s="3">
        <v>126</v>
      </c>
      <c r="P301" s="3">
        <v>150</v>
      </c>
      <c r="Q301" s="3">
        <v>174</v>
      </c>
      <c r="R301" s="3">
        <v>105</v>
      </c>
      <c r="S301" s="3">
        <v>84</v>
      </c>
      <c r="T301" s="3">
        <v>147</v>
      </c>
      <c r="U301" s="3">
        <v>165</v>
      </c>
      <c r="V301" s="3">
        <v>87</v>
      </c>
      <c r="W301" s="3">
        <v>123</v>
      </c>
      <c r="X301" s="3">
        <v>111</v>
      </c>
      <c r="Y301" s="3">
        <v>126</v>
      </c>
      <c r="Z301" s="3">
        <v>123</v>
      </c>
      <c r="AA301" s="3">
        <v>132</v>
      </c>
      <c r="AB301" s="3">
        <v>243</v>
      </c>
      <c r="AC301" s="3">
        <v>96</v>
      </c>
      <c r="AD301" s="3">
        <v>195</v>
      </c>
      <c r="AE301" s="3">
        <v>111</v>
      </c>
      <c r="AF301" s="3">
        <v>102</v>
      </c>
      <c r="AG301" s="3">
        <v>99</v>
      </c>
      <c r="AH301" s="3">
        <v>156</v>
      </c>
      <c r="AI301" s="3">
        <v>114</v>
      </c>
      <c r="AJ301" s="3">
        <v>81</v>
      </c>
      <c r="AK301" s="3">
        <v>111</v>
      </c>
      <c r="AL301" s="3">
        <v>108</v>
      </c>
      <c r="AM301" s="3">
        <v>186</v>
      </c>
      <c r="AN301" s="3">
        <v>81</v>
      </c>
      <c r="AO301" s="3">
        <v>102</v>
      </c>
      <c r="AP301" s="3">
        <v>66</v>
      </c>
      <c r="AQ301" s="3">
        <v>129</v>
      </c>
      <c r="AR301" s="3">
        <v>141</v>
      </c>
      <c r="AS301" s="3">
        <v>96</v>
      </c>
      <c r="AT301" s="3">
        <v>123</v>
      </c>
      <c r="AU301" s="3">
        <v>150</v>
      </c>
      <c r="AV301" s="3">
        <v>108</v>
      </c>
      <c r="AW301" s="3">
        <v>162</v>
      </c>
    </row>
    <row r="302" spans="1:49">
      <c r="A302" s="4" t="s">
        <v>35</v>
      </c>
      <c r="B302" s="4" t="str">
        <f t="shared" si="4"/>
        <v>Hair Color</v>
      </c>
      <c r="C302" s="4" t="s">
        <v>1786</v>
      </c>
      <c r="D302" s="4" t="s">
        <v>150</v>
      </c>
      <c r="E302" s="24" t="s">
        <v>441</v>
      </c>
      <c r="F302" s="12" t="s">
        <v>458</v>
      </c>
      <c r="G302" s="4" t="s">
        <v>1787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12</v>
      </c>
      <c r="R302" s="3">
        <v>84</v>
      </c>
      <c r="S302" s="3">
        <v>3</v>
      </c>
      <c r="T302" s="3">
        <v>0</v>
      </c>
      <c r="U302" s="3">
        <v>0</v>
      </c>
      <c r="V302" s="3">
        <v>129</v>
      </c>
      <c r="W302" s="3">
        <v>0</v>
      </c>
      <c r="X302" s="3">
        <v>0</v>
      </c>
      <c r="Y302" s="3">
        <v>12</v>
      </c>
      <c r="Z302" s="3">
        <v>0</v>
      </c>
      <c r="AA302" s="3">
        <v>0</v>
      </c>
      <c r="AB302" s="3">
        <v>12</v>
      </c>
      <c r="AC302" s="3">
        <v>27</v>
      </c>
      <c r="AD302" s="3">
        <v>0</v>
      </c>
      <c r="AE302" s="3">
        <v>24</v>
      </c>
      <c r="AF302" s="3">
        <v>12</v>
      </c>
      <c r="AG302" s="3">
        <v>0</v>
      </c>
      <c r="AH302" s="3">
        <v>12</v>
      </c>
      <c r="AI302" s="3">
        <v>3</v>
      </c>
      <c r="AJ302" s="3">
        <v>12</v>
      </c>
      <c r="AK302" s="3">
        <v>0</v>
      </c>
      <c r="AL302" s="3">
        <v>0</v>
      </c>
      <c r="AM302" s="3">
        <v>36</v>
      </c>
      <c r="AN302" s="3">
        <v>12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</row>
    <row r="303" spans="1:49">
      <c r="A303" s="4" t="s">
        <v>35</v>
      </c>
      <c r="B303" s="4" t="str">
        <f t="shared" si="4"/>
        <v>Hair Color</v>
      </c>
      <c r="C303" s="4" t="s">
        <v>1786</v>
      </c>
      <c r="D303" s="4" t="s">
        <v>150</v>
      </c>
      <c r="E303" s="24" t="s">
        <v>441</v>
      </c>
      <c r="F303" s="12" t="s">
        <v>459</v>
      </c>
      <c r="G303" s="4" t="s">
        <v>1787</v>
      </c>
      <c r="H303" s="3">
        <v>27</v>
      </c>
      <c r="I303" s="3">
        <v>30</v>
      </c>
      <c r="J303" s="3">
        <v>21</v>
      </c>
      <c r="K303" s="3">
        <v>66</v>
      </c>
      <c r="L303" s="3">
        <v>42</v>
      </c>
      <c r="M303" s="3">
        <v>39</v>
      </c>
      <c r="N303" s="3">
        <v>36</v>
      </c>
      <c r="O303" s="3">
        <v>27</v>
      </c>
      <c r="P303" s="3">
        <v>33</v>
      </c>
      <c r="Q303" s="3">
        <v>39</v>
      </c>
      <c r="R303" s="3">
        <v>60</v>
      </c>
      <c r="S303" s="3">
        <v>24</v>
      </c>
      <c r="T303" s="3">
        <v>27</v>
      </c>
      <c r="U303" s="3">
        <v>33</v>
      </c>
      <c r="V303" s="3">
        <v>39</v>
      </c>
      <c r="W303" s="3">
        <v>33</v>
      </c>
      <c r="X303" s="3">
        <v>54</v>
      </c>
      <c r="Y303" s="3">
        <v>36</v>
      </c>
      <c r="Z303" s="3">
        <v>9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</row>
    <row r="304" spans="1:49">
      <c r="A304" s="4" t="s">
        <v>35</v>
      </c>
      <c r="B304" s="4" t="str">
        <f t="shared" si="4"/>
        <v>Hair Color</v>
      </c>
      <c r="C304" s="4" t="s">
        <v>1786</v>
      </c>
      <c r="D304" s="4" t="s">
        <v>150</v>
      </c>
      <c r="E304" s="24" t="s">
        <v>441</v>
      </c>
      <c r="F304" s="12" t="s">
        <v>460</v>
      </c>
      <c r="G304" s="4" t="s">
        <v>1787</v>
      </c>
      <c r="H304" s="3">
        <v>153</v>
      </c>
      <c r="I304" s="3">
        <v>105</v>
      </c>
      <c r="J304" s="3">
        <v>45</v>
      </c>
      <c r="K304" s="3">
        <v>132</v>
      </c>
      <c r="L304" s="3">
        <v>57</v>
      </c>
      <c r="M304" s="3">
        <v>60</v>
      </c>
      <c r="N304" s="3">
        <v>126</v>
      </c>
      <c r="O304" s="3">
        <v>36</v>
      </c>
      <c r="P304" s="3">
        <v>117</v>
      </c>
      <c r="Q304" s="3">
        <v>75</v>
      </c>
      <c r="R304" s="3">
        <v>27</v>
      </c>
      <c r="S304" s="3">
        <v>30</v>
      </c>
      <c r="T304" s="3">
        <v>21</v>
      </c>
      <c r="U304" s="3">
        <v>30</v>
      </c>
      <c r="V304" s="3">
        <v>30</v>
      </c>
      <c r="W304" s="3">
        <v>12</v>
      </c>
      <c r="X304" s="3">
        <v>129</v>
      </c>
      <c r="Y304" s="3">
        <v>57</v>
      </c>
      <c r="Z304" s="3">
        <v>9</v>
      </c>
      <c r="AA304" s="3">
        <v>3</v>
      </c>
      <c r="AB304" s="3">
        <v>12</v>
      </c>
      <c r="AC304" s="3">
        <v>30</v>
      </c>
      <c r="AD304" s="3">
        <v>0</v>
      </c>
      <c r="AE304" s="3">
        <v>0</v>
      </c>
      <c r="AF304" s="3">
        <v>18</v>
      </c>
      <c r="AG304" s="3">
        <v>6</v>
      </c>
      <c r="AH304" s="3">
        <v>36</v>
      </c>
      <c r="AI304" s="3">
        <v>0</v>
      </c>
      <c r="AJ304" s="3">
        <v>27</v>
      </c>
      <c r="AK304" s="3">
        <v>0</v>
      </c>
      <c r="AL304" s="3">
        <v>3</v>
      </c>
      <c r="AM304" s="3">
        <v>159</v>
      </c>
      <c r="AN304" s="3">
        <v>33</v>
      </c>
      <c r="AO304" s="3">
        <v>33</v>
      </c>
      <c r="AP304" s="3">
        <v>60</v>
      </c>
      <c r="AQ304" s="3">
        <v>42</v>
      </c>
      <c r="AR304" s="3">
        <v>15</v>
      </c>
      <c r="AS304" s="3">
        <v>18</v>
      </c>
      <c r="AT304" s="3">
        <v>54</v>
      </c>
      <c r="AU304" s="3">
        <v>15</v>
      </c>
      <c r="AV304" s="3">
        <v>42</v>
      </c>
      <c r="AW304" s="3">
        <v>18</v>
      </c>
    </row>
    <row r="305" spans="1:49">
      <c r="A305" s="4" t="s">
        <v>35</v>
      </c>
      <c r="B305" s="4" t="str">
        <f t="shared" si="4"/>
        <v>Hair Color</v>
      </c>
      <c r="C305" s="4" t="s">
        <v>1786</v>
      </c>
      <c r="D305" s="4" t="s">
        <v>150</v>
      </c>
      <c r="E305" s="24" t="s">
        <v>441</v>
      </c>
      <c r="F305" s="12" t="s">
        <v>461</v>
      </c>
      <c r="G305" s="4" t="s">
        <v>1787</v>
      </c>
      <c r="H305" s="3">
        <v>45</v>
      </c>
      <c r="I305" s="3">
        <v>39</v>
      </c>
      <c r="J305" s="3">
        <v>57</v>
      </c>
      <c r="K305" s="3">
        <v>129</v>
      </c>
      <c r="L305" s="3">
        <v>33</v>
      </c>
      <c r="M305" s="3">
        <v>63</v>
      </c>
      <c r="N305" s="3">
        <v>39</v>
      </c>
      <c r="O305" s="3">
        <v>15</v>
      </c>
      <c r="P305" s="3">
        <v>45</v>
      </c>
      <c r="Q305" s="3">
        <v>42</v>
      </c>
      <c r="R305" s="3">
        <v>18</v>
      </c>
      <c r="S305" s="3">
        <v>36</v>
      </c>
      <c r="T305" s="3">
        <v>30</v>
      </c>
      <c r="U305" s="3">
        <v>27</v>
      </c>
      <c r="V305" s="3">
        <v>27</v>
      </c>
      <c r="W305" s="3">
        <v>21</v>
      </c>
      <c r="X305" s="3">
        <v>48</v>
      </c>
      <c r="Y305" s="3">
        <v>30</v>
      </c>
      <c r="Z305" s="3">
        <v>12</v>
      </c>
      <c r="AA305" s="3">
        <v>21</v>
      </c>
      <c r="AB305" s="3">
        <v>0</v>
      </c>
      <c r="AC305" s="3">
        <v>0</v>
      </c>
      <c r="AD305" s="3">
        <v>6</v>
      </c>
      <c r="AE305" s="3">
        <v>0</v>
      </c>
      <c r="AF305" s="3">
        <v>0</v>
      </c>
      <c r="AG305" s="3">
        <v>6</v>
      </c>
      <c r="AH305" s="3">
        <v>0</v>
      </c>
      <c r="AI305" s="3">
        <v>3</v>
      </c>
      <c r="AJ305" s="3">
        <v>6</v>
      </c>
      <c r="AK305" s="3">
        <v>15</v>
      </c>
      <c r="AL305" s="3">
        <v>3</v>
      </c>
      <c r="AM305" s="3">
        <v>114</v>
      </c>
      <c r="AN305" s="3">
        <v>18</v>
      </c>
      <c r="AO305" s="3">
        <v>33</v>
      </c>
      <c r="AP305" s="3">
        <v>45</v>
      </c>
      <c r="AQ305" s="3">
        <v>21</v>
      </c>
      <c r="AR305" s="3">
        <v>12</v>
      </c>
      <c r="AS305" s="3">
        <v>18</v>
      </c>
      <c r="AT305" s="3">
        <v>9</v>
      </c>
      <c r="AU305" s="3">
        <v>15</v>
      </c>
      <c r="AV305" s="3">
        <v>54</v>
      </c>
      <c r="AW305" s="3">
        <v>36</v>
      </c>
    </row>
    <row r="306" spans="1:49">
      <c r="A306" s="4" t="s">
        <v>35</v>
      </c>
      <c r="B306" s="4" t="str">
        <f t="shared" si="4"/>
        <v>Hair Color</v>
      </c>
      <c r="C306" s="4" t="s">
        <v>1786</v>
      </c>
      <c r="D306" s="4" t="s">
        <v>150</v>
      </c>
      <c r="E306" s="24" t="s">
        <v>441</v>
      </c>
      <c r="F306" s="12" t="s">
        <v>462</v>
      </c>
      <c r="G306" s="4" t="s">
        <v>1787</v>
      </c>
      <c r="H306" s="3">
        <v>129</v>
      </c>
      <c r="I306" s="3">
        <v>117</v>
      </c>
      <c r="J306" s="3">
        <v>54</v>
      </c>
      <c r="K306" s="3">
        <v>114</v>
      </c>
      <c r="L306" s="3">
        <v>84</v>
      </c>
      <c r="M306" s="3">
        <v>84</v>
      </c>
      <c r="N306" s="3">
        <v>117</v>
      </c>
      <c r="O306" s="3">
        <v>45</v>
      </c>
      <c r="P306" s="3">
        <v>69</v>
      </c>
      <c r="Q306" s="3">
        <v>114</v>
      </c>
      <c r="R306" s="3">
        <v>36</v>
      </c>
      <c r="S306" s="3">
        <v>51</v>
      </c>
      <c r="T306" s="3">
        <v>48</v>
      </c>
      <c r="U306" s="3">
        <v>84</v>
      </c>
      <c r="V306" s="3">
        <v>27</v>
      </c>
      <c r="W306" s="3">
        <v>21</v>
      </c>
      <c r="X306" s="3">
        <v>87</v>
      </c>
      <c r="Y306" s="3">
        <v>6</v>
      </c>
      <c r="Z306" s="3">
        <v>39</v>
      </c>
      <c r="AA306" s="3">
        <v>12</v>
      </c>
      <c r="AB306" s="3">
        <v>18</v>
      </c>
      <c r="AC306" s="3">
        <v>0</v>
      </c>
      <c r="AD306" s="3">
        <v>0</v>
      </c>
      <c r="AE306" s="3">
        <v>12</v>
      </c>
      <c r="AF306" s="3">
        <v>18</v>
      </c>
      <c r="AG306" s="3">
        <v>12</v>
      </c>
      <c r="AH306" s="3">
        <v>36</v>
      </c>
      <c r="AI306" s="3">
        <v>3</v>
      </c>
      <c r="AJ306" s="3">
        <v>18</v>
      </c>
      <c r="AK306" s="3">
        <v>6</v>
      </c>
      <c r="AL306" s="3">
        <v>3</v>
      </c>
      <c r="AM306" s="3">
        <v>126</v>
      </c>
      <c r="AN306" s="3">
        <v>45</v>
      </c>
      <c r="AO306" s="3">
        <v>51</v>
      </c>
      <c r="AP306" s="3">
        <v>24</v>
      </c>
      <c r="AQ306" s="3">
        <v>3</v>
      </c>
      <c r="AR306" s="3">
        <v>63</v>
      </c>
      <c r="AS306" s="3">
        <v>27</v>
      </c>
      <c r="AT306" s="3">
        <v>24</v>
      </c>
      <c r="AU306" s="3">
        <v>30</v>
      </c>
      <c r="AV306" s="3">
        <v>3</v>
      </c>
      <c r="AW306" s="3">
        <v>51</v>
      </c>
    </row>
    <row r="307" spans="1:49">
      <c r="A307" s="4" t="s">
        <v>35</v>
      </c>
      <c r="B307" s="4" t="str">
        <f t="shared" si="4"/>
        <v>Hair Color</v>
      </c>
      <c r="C307" s="4" t="s">
        <v>1786</v>
      </c>
      <c r="D307" s="4" t="s">
        <v>150</v>
      </c>
      <c r="E307" s="24" t="s">
        <v>441</v>
      </c>
      <c r="F307" s="12" t="s">
        <v>463</v>
      </c>
      <c r="G307" s="4" t="s">
        <v>1787</v>
      </c>
      <c r="H307" s="3">
        <v>102</v>
      </c>
      <c r="I307" s="3">
        <v>54</v>
      </c>
      <c r="J307" s="3">
        <v>66</v>
      </c>
      <c r="K307" s="3">
        <v>87</v>
      </c>
      <c r="L307" s="3">
        <v>63</v>
      </c>
      <c r="M307" s="3">
        <v>75</v>
      </c>
      <c r="N307" s="3">
        <v>129</v>
      </c>
      <c r="O307" s="3">
        <v>57</v>
      </c>
      <c r="P307" s="3">
        <v>27</v>
      </c>
      <c r="Q307" s="3">
        <v>15</v>
      </c>
      <c r="R307" s="3">
        <v>33</v>
      </c>
      <c r="S307" s="3">
        <v>48</v>
      </c>
      <c r="T307" s="3">
        <v>27</v>
      </c>
      <c r="U307" s="3">
        <v>12</v>
      </c>
      <c r="V307" s="3">
        <v>24</v>
      </c>
      <c r="W307" s="3">
        <v>15</v>
      </c>
      <c r="X307" s="3">
        <v>54</v>
      </c>
      <c r="Y307" s="3">
        <v>27</v>
      </c>
      <c r="Z307" s="3">
        <v>18</v>
      </c>
      <c r="AA307" s="3">
        <v>36</v>
      </c>
      <c r="AB307" s="3">
        <v>6</v>
      </c>
      <c r="AC307" s="3">
        <v>0</v>
      </c>
      <c r="AD307" s="3">
        <v>9</v>
      </c>
      <c r="AE307" s="3">
        <v>0</v>
      </c>
      <c r="AF307" s="3">
        <v>0</v>
      </c>
      <c r="AG307" s="3">
        <v>0</v>
      </c>
      <c r="AH307" s="3">
        <v>0</v>
      </c>
      <c r="AI307" s="3">
        <v>6</v>
      </c>
      <c r="AJ307" s="3">
        <v>30</v>
      </c>
      <c r="AK307" s="3">
        <v>0</v>
      </c>
      <c r="AL307" s="3">
        <v>0</v>
      </c>
      <c r="AM307" s="3">
        <v>144</v>
      </c>
      <c r="AN307" s="3">
        <v>0</v>
      </c>
      <c r="AO307" s="3">
        <v>21</v>
      </c>
      <c r="AP307" s="3">
        <v>96</v>
      </c>
      <c r="AQ307" s="3">
        <v>48</v>
      </c>
      <c r="AR307" s="3">
        <v>39</v>
      </c>
      <c r="AS307" s="3">
        <v>39</v>
      </c>
      <c r="AT307" s="3">
        <v>36</v>
      </c>
      <c r="AU307" s="3">
        <v>30</v>
      </c>
      <c r="AV307" s="3">
        <v>36</v>
      </c>
      <c r="AW307" s="3">
        <v>60</v>
      </c>
    </row>
    <row r="308" spans="1:49">
      <c r="A308" s="4" t="s">
        <v>35</v>
      </c>
      <c r="B308" s="4" t="str">
        <f t="shared" si="4"/>
        <v>Hair Color</v>
      </c>
      <c r="C308" s="4" t="s">
        <v>1786</v>
      </c>
      <c r="D308" s="4" t="s">
        <v>150</v>
      </c>
      <c r="E308" s="24" t="s">
        <v>441</v>
      </c>
      <c r="F308" s="12" t="s">
        <v>464</v>
      </c>
      <c r="G308" s="4" t="s">
        <v>1787</v>
      </c>
      <c r="H308" s="3">
        <v>36</v>
      </c>
      <c r="I308" s="3">
        <v>78</v>
      </c>
      <c r="J308" s="3">
        <v>42</v>
      </c>
      <c r="K308" s="3">
        <v>132</v>
      </c>
      <c r="L308" s="3">
        <v>48</v>
      </c>
      <c r="M308" s="3">
        <v>51</v>
      </c>
      <c r="N308" s="3">
        <v>15</v>
      </c>
      <c r="O308" s="3">
        <v>15</v>
      </c>
      <c r="P308" s="3">
        <v>60</v>
      </c>
      <c r="Q308" s="3">
        <v>93</v>
      </c>
      <c r="R308" s="3">
        <v>60</v>
      </c>
      <c r="S308" s="3">
        <v>18</v>
      </c>
      <c r="T308" s="3">
        <v>27</v>
      </c>
      <c r="U308" s="3">
        <v>39</v>
      </c>
      <c r="V308" s="3">
        <v>27</v>
      </c>
      <c r="W308" s="3">
        <v>24</v>
      </c>
      <c r="X308" s="3">
        <v>90</v>
      </c>
      <c r="Y308" s="3">
        <v>75</v>
      </c>
      <c r="Z308" s="3">
        <v>6</v>
      </c>
      <c r="AA308" s="3">
        <v>36</v>
      </c>
      <c r="AB308" s="3">
        <v>3</v>
      </c>
      <c r="AC308" s="3">
        <v>30</v>
      </c>
      <c r="AD308" s="3">
        <v>9</v>
      </c>
      <c r="AE308" s="3">
        <v>0</v>
      </c>
      <c r="AF308" s="3">
        <v>39</v>
      </c>
      <c r="AG308" s="3">
        <v>15</v>
      </c>
      <c r="AH308" s="3">
        <v>33</v>
      </c>
      <c r="AI308" s="3">
        <v>12</v>
      </c>
      <c r="AJ308" s="3">
        <v>66</v>
      </c>
      <c r="AK308" s="3">
        <v>9</v>
      </c>
      <c r="AL308" s="3">
        <v>21</v>
      </c>
      <c r="AM308" s="3">
        <v>117</v>
      </c>
      <c r="AN308" s="3">
        <v>33</v>
      </c>
      <c r="AO308" s="3">
        <v>6</v>
      </c>
      <c r="AP308" s="3">
        <v>93</v>
      </c>
      <c r="AQ308" s="3">
        <v>108</v>
      </c>
      <c r="AR308" s="3">
        <v>18</v>
      </c>
      <c r="AS308" s="3">
        <v>27</v>
      </c>
      <c r="AT308" s="3">
        <v>45</v>
      </c>
      <c r="AU308" s="3">
        <v>57</v>
      </c>
      <c r="AV308" s="3">
        <v>36</v>
      </c>
      <c r="AW308" s="3">
        <v>33</v>
      </c>
    </row>
    <row r="309" spans="1:49">
      <c r="A309" s="4" t="s">
        <v>35</v>
      </c>
      <c r="B309" s="4" t="str">
        <f t="shared" si="4"/>
        <v>Hair Color</v>
      </c>
      <c r="C309" s="4" t="s">
        <v>1786</v>
      </c>
      <c r="D309" s="4" t="s">
        <v>150</v>
      </c>
      <c r="E309" s="24" t="s">
        <v>441</v>
      </c>
      <c r="F309" s="12" t="s">
        <v>465</v>
      </c>
      <c r="G309" s="4" t="s">
        <v>1787</v>
      </c>
      <c r="H309" s="3">
        <v>102</v>
      </c>
      <c r="I309" s="3">
        <v>9</v>
      </c>
      <c r="J309" s="3">
        <v>0</v>
      </c>
      <c r="K309" s="3">
        <v>258</v>
      </c>
      <c r="L309" s="3">
        <v>111</v>
      </c>
      <c r="M309" s="3">
        <v>90</v>
      </c>
      <c r="N309" s="3">
        <v>156</v>
      </c>
      <c r="O309" s="3">
        <v>60</v>
      </c>
      <c r="P309" s="3">
        <v>63</v>
      </c>
      <c r="Q309" s="3">
        <v>24</v>
      </c>
      <c r="R309" s="3">
        <v>60</v>
      </c>
      <c r="S309" s="3">
        <v>45</v>
      </c>
      <c r="T309" s="3">
        <v>57</v>
      </c>
      <c r="U309" s="3">
        <v>51</v>
      </c>
      <c r="V309" s="3">
        <v>45</v>
      </c>
      <c r="W309" s="3">
        <v>42</v>
      </c>
      <c r="X309" s="3">
        <v>66</v>
      </c>
      <c r="Y309" s="3">
        <v>33</v>
      </c>
      <c r="Z309" s="3">
        <v>27</v>
      </c>
      <c r="AA309" s="3">
        <v>27</v>
      </c>
      <c r="AB309" s="3">
        <v>33</v>
      </c>
      <c r="AC309" s="3">
        <v>24</v>
      </c>
      <c r="AD309" s="3">
        <v>45</v>
      </c>
      <c r="AE309" s="3">
        <v>51</v>
      </c>
      <c r="AF309" s="3">
        <v>36</v>
      </c>
      <c r="AG309" s="3">
        <v>30</v>
      </c>
      <c r="AH309" s="3">
        <v>27</v>
      </c>
      <c r="AI309" s="3">
        <v>48</v>
      </c>
      <c r="AJ309" s="3">
        <v>24</v>
      </c>
      <c r="AK309" s="3">
        <v>36</v>
      </c>
      <c r="AL309" s="3">
        <v>57</v>
      </c>
      <c r="AM309" s="3">
        <v>60</v>
      </c>
      <c r="AN309" s="3">
        <v>27</v>
      </c>
      <c r="AO309" s="3">
        <v>24</v>
      </c>
      <c r="AP309" s="3">
        <v>54</v>
      </c>
      <c r="AQ309" s="3">
        <v>34</v>
      </c>
      <c r="AR309" s="3">
        <v>30</v>
      </c>
      <c r="AS309" s="3">
        <v>27</v>
      </c>
      <c r="AT309" s="3">
        <v>15</v>
      </c>
      <c r="AU309" s="3">
        <v>39</v>
      </c>
      <c r="AV309" s="3">
        <v>60</v>
      </c>
      <c r="AW309" s="3">
        <v>57</v>
      </c>
    </row>
    <row r="310" spans="1:49">
      <c r="A310" s="4" t="s">
        <v>35</v>
      </c>
      <c r="B310" s="4" t="str">
        <f t="shared" si="4"/>
        <v>Hair Color</v>
      </c>
      <c r="C310" s="4" t="s">
        <v>1786</v>
      </c>
      <c r="D310" s="4" t="s">
        <v>150</v>
      </c>
      <c r="E310" s="24" t="s">
        <v>441</v>
      </c>
      <c r="F310" s="12" t="s">
        <v>466</v>
      </c>
      <c r="G310" s="4" t="s">
        <v>1787</v>
      </c>
      <c r="H310" s="3">
        <v>111</v>
      </c>
      <c r="I310" s="3">
        <v>0</v>
      </c>
      <c r="J310" s="3">
        <v>258</v>
      </c>
      <c r="K310" s="3">
        <v>312</v>
      </c>
      <c r="L310" s="3">
        <v>132</v>
      </c>
      <c r="M310" s="3">
        <v>96</v>
      </c>
      <c r="N310" s="3">
        <v>225</v>
      </c>
      <c r="O310" s="3">
        <v>57</v>
      </c>
      <c r="P310" s="3">
        <v>171</v>
      </c>
      <c r="Q310" s="3">
        <v>141</v>
      </c>
      <c r="R310" s="3">
        <v>69</v>
      </c>
      <c r="S310" s="3">
        <v>69</v>
      </c>
      <c r="T310" s="3">
        <v>99</v>
      </c>
      <c r="U310" s="3">
        <v>132</v>
      </c>
      <c r="V310" s="3">
        <v>57</v>
      </c>
      <c r="W310" s="3">
        <v>42</v>
      </c>
      <c r="X310" s="3">
        <v>180</v>
      </c>
      <c r="Y310" s="3">
        <v>27</v>
      </c>
      <c r="Z310" s="3">
        <v>54</v>
      </c>
      <c r="AA310" s="3">
        <v>48</v>
      </c>
      <c r="AB310" s="3">
        <v>54</v>
      </c>
      <c r="AC310" s="3">
        <v>78</v>
      </c>
      <c r="AD310" s="3">
        <v>84</v>
      </c>
      <c r="AE310" s="3">
        <v>69</v>
      </c>
      <c r="AF310" s="3">
        <v>54</v>
      </c>
      <c r="AG310" s="3">
        <v>0</v>
      </c>
      <c r="AH310" s="3">
        <v>54</v>
      </c>
      <c r="AI310" s="3">
        <v>102</v>
      </c>
      <c r="AJ310" s="3">
        <v>96</v>
      </c>
      <c r="AK310" s="3">
        <v>66</v>
      </c>
      <c r="AL310" s="3">
        <v>63</v>
      </c>
      <c r="AM310" s="3">
        <v>93</v>
      </c>
      <c r="AN310" s="3">
        <v>96</v>
      </c>
      <c r="AO310" s="3">
        <v>63</v>
      </c>
      <c r="AP310" s="3">
        <v>81</v>
      </c>
      <c r="AQ310" s="3">
        <v>42</v>
      </c>
      <c r="AR310" s="3">
        <v>42</v>
      </c>
      <c r="AS310" s="3">
        <v>78</v>
      </c>
      <c r="AT310" s="3">
        <v>48</v>
      </c>
      <c r="AU310" s="3">
        <v>102</v>
      </c>
      <c r="AV310" s="3">
        <v>87</v>
      </c>
      <c r="AW310" s="3">
        <v>87</v>
      </c>
    </row>
    <row r="311" spans="1:49">
      <c r="A311" s="4" t="s">
        <v>35</v>
      </c>
      <c r="B311" s="4" t="str">
        <f t="shared" si="4"/>
        <v>Hair Color</v>
      </c>
      <c r="C311" s="4" t="s">
        <v>1786</v>
      </c>
      <c r="D311" s="4" t="s">
        <v>150</v>
      </c>
      <c r="E311" s="24" t="s">
        <v>441</v>
      </c>
      <c r="F311" s="12" t="s">
        <v>467</v>
      </c>
      <c r="G311" s="4" t="s">
        <v>1787</v>
      </c>
      <c r="H311" s="3">
        <v>6</v>
      </c>
      <c r="I311" s="3">
        <v>429</v>
      </c>
      <c r="J311" s="3">
        <v>222</v>
      </c>
      <c r="K311" s="3">
        <v>123</v>
      </c>
      <c r="L311" s="3">
        <v>78</v>
      </c>
      <c r="M311" s="3">
        <v>57</v>
      </c>
      <c r="N311" s="3">
        <v>60</v>
      </c>
      <c r="O311" s="3">
        <v>36</v>
      </c>
      <c r="P311" s="3">
        <v>96</v>
      </c>
      <c r="Q311" s="3">
        <v>84</v>
      </c>
      <c r="R311" s="3">
        <v>36</v>
      </c>
      <c r="S311" s="3">
        <v>24</v>
      </c>
      <c r="T311" s="3">
        <v>51</v>
      </c>
      <c r="U311" s="3">
        <v>6</v>
      </c>
      <c r="V311" s="3">
        <v>39</v>
      </c>
      <c r="W311" s="3">
        <v>48</v>
      </c>
      <c r="X311" s="3">
        <v>72</v>
      </c>
      <c r="Y311" s="3">
        <v>27</v>
      </c>
      <c r="Z311" s="3">
        <v>3</v>
      </c>
      <c r="AA311" s="3">
        <v>54</v>
      </c>
      <c r="AB311" s="3">
        <v>42</v>
      </c>
      <c r="AC311" s="3">
        <v>36</v>
      </c>
      <c r="AD311" s="3">
        <v>72</v>
      </c>
      <c r="AE311" s="3">
        <v>63</v>
      </c>
      <c r="AF311" s="3">
        <v>54</v>
      </c>
      <c r="AG311" s="3">
        <v>30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72</v>
      </c>
      <c r="AN311" s="3">
        <v>0</v>
      </c>
      <c r="AO311" s="3">
        <v>183</v>
      </c>
      <c r="AP311" s="3">
        <v>276</v>
      </c>
      <c r="AQ311" s="3">
        <v>87</v>
      </c>
      <c r="AR311" s="3">
        <v>78</v>
      </c>
      <c r="AS311" s="3">
        <v>24</v>
      </c>
      <c r="AT311" s="3">
        <v>6</v>
      </c>
      <c r="AU311" s="3">
        <v>60</v>
      </c>
      <c r="AV311" s="3">
        <v>27</v>
      </c>
      <c r="AW311" s="3">
        <v>24</v>
      </c>
    </row>
    <row r="312" spans="1:49">
      <c r="A312" s="4" t="s">
        <v>35</v>
      </c>
      <c r="B312" s="4" t="str">
        <f t="shared" si="4"/>
        <v>Hair Color</v>
      </c>
      <c r="C312" s="4" t="s">
        <v>1786</v>
      </c>
      <c r="D312" s="4" t="s">
        <v>150</v>
      </c>
      <c r="E312" s="24" t="s">
        <v>441</v>
      </c>
      <c r="F312" s="12" t="s">
        <v>468</v>
      </c>
      <c r="G312" s="4" t="s">
        <v>1787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474</v>
      </c>
      <c r="AA312" s="3">
        <v>153</v>
      </c>
      <c r="AB312" s="3">
        <v>27</v>
      </c>
      <c r="AC312" s="3">
        <v>21</v>
      </c>
      <c r="AD312" s="3">
        <v>30</v>
      </c>
      <c r="AE312" s="3">
        <v>204</v>
      </c>
      <c r="AF312" s="3">
        <v>27</v>
      </c>
      <c r="AG312" s="3">
        <v>18</v>
      </c>
      <c r="AH312" s="3">
        <v>30</v>
      </c>
      <c r="AI312" s="3">
        <v>42</v>
      </c>
      <c r="AJ312" s="3">
        <v>60</v>
      </c>
      <c r="AK312" s="3">
        <v>6</v>
      </c>
      <c r="AL312" s="3">
        <v>24</v>
      </c>
      <c r="AM312" s="3">
        <v>45</v>
      </c>
      <c r="AN312" s="3">
        <v>39</v>
      </c>
      <c r="AO312" s="3">
        <v>60</v>
      </c>
      <c r="AP312" s="3">
        <v>15</v>
      </c>
      <c r="AQ312" s="3">
        <v>21</v>
      </c>
      <c r="AR312" s="3">
        <v>36</v>
      </c>
      <c r="AS312" s="3">
        <v>12</v>
      </c>
      <c r="AT312" s="3">
        <v>36</v>
      </c>
      <c r="AU312" s="3">
        <v>66</v>
      </c>
      <c r="AV312" s="3">
        <v>33</v>
      </c>
      <c r="AW312" s="3">
        <v>45</v>
      </c>
    </row>
    <row r="313" spans="1:49">
      <c r="A313" s="4" t="s">
        <v>35</v>
      </c>
      <c r="B313" s="4" t="str">
        <f t="shared" si="4"/>
        <v>Hair Color</v>
      </c>
      <c r="C313" s="4" t="s">
        <v>1786</v>
      </c>
      <c r="D313" s="4" t="s">
        <v>150</v>
      </c>
      <c r="E313" s="24" t="s">
        <v>441</v>
      </c>
      <c r="F313" s="12" t="s">
        <v>469</v>
      </c>
      <c r="G313" s="4" t="s">
        <v>1787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519</v>
      </c>
      <c r="AA313" s="3">
        <v>156</v>
      </c>
      <c r="AB313" s="3">
        <v>72</v>
      </c>
      <c r="AC313" s="3">
        <v>30</v>
      </c>
      <c r="AD313" s="3">
        <v>189</v>
      </c>
      <c r="AE313" s="3">
        <v>225</v>
      </c>
      <c r="AF313" s="3">
        <v>126</v>
      </c>
      <c r="AG313" s="3">
        <v>156</v>
      </c>
      <c r="AH313" s="3">
        <v>183</v>
      </c>
      <c r="AI313" s="3">
        <v>194</v>
      </c>
      <c r="AJ313" s="3">
        <v>255</v>
      </c>
      <c r="AK313" s="3">
        <v>159</v>
      </c>
      <c r="AL313" s="3">
        <v>252</v>
      </c>
      <c r="AM313" s="3">
        <v>83</v>
      </c>
      <c r="AN313" s="3">
        <v>0</v>
      </c>
      <c r="AO313" s="3">
        <v>267</v>
      </c>
      <c r="AP313" s="3">
        <v>228</v>
      </c>
      <c r="AQ313" s="3">
        <v>33</v>
      </c>
      <c r="AR313" s="3">
        <v>234</v>
      </c>
      <c r="AS313" s="3">
        <v>126</v>
      </c>
      <c r="AT313" s="3">
        <v>195</v>
      </c>
      <c r="AU313" s="3">
        <v>264</v>
      </c>
      <c r="AV313" s="3">
        <v>120</v>
      </c>
      <c r="AW313" s="3">
        <v>165</v>
      </c>
    </row>
    <row r="314" spans="1:49">
      <c r="A314" s="4" t="s">
        <v>35</v>
      </c>
      <c r="B314" s="4" t="str">
        <f t="shared" si="4"/>
        <v>Hair Color</v>
      </c>
      <c r="C314" s="4" t="s">
        <v>1786</v>
      </c>
      <c r="D314" s="4" t="s">
        <v>150</v>
      </c>
      <c r="E314" s="24" t="s">
        <v>441</v>
      </c>
      <c r="F314" s="12" t="s">
        <v>470</v>
      </c>
      <c r="G314" s="4" t="s">
        <v>1787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549</v>
      </c>
      <c r="AA314" s="3">
        <v>135</v>
      </c>
      <c r="AB314" s="3">
        <v>36</v>
      </c>
      <c r="AC314" s="3">
        <v>48</v>
      </c>
      <c r="AD314" s="3">
        <v>36</v>
      </c>
      <c r="AE314" s="3">
        <v>231</v>
      </c>
      <c r="AF314" s="3">
        <v>123</v>
      </c>
      <c r="AG314" s="3">
        <v>51</v>
      </c>
      <c r="AH314" s="3">
        <v>84</v>
      </c>
      <c r="AI314" s="3">
        <v>36</v>
      </c>
      <c r="AJ314" s="3">
        <v>165</v>
      </c>
      <c r="AK314" s="3">
        <v>51</v>
      </c>
      <c r="AL314" s="3">
        <v>58</v>
      </c>
      <c r="AM314" s="3">
        <v>114</v>
      </c>
      <c r="AN314" s="3">
        <v>123</v>
      </c>
      <c r="AO314" s="3">
        <v>96</v>
      </c>
      <c r="AP314" s="3">
        <v>73</v>
      </c>
      <c r="AQ314" s="3">
        <v>33</v>
      </c>
      <c r="AR314" s="3">
        <v>105</v>
      </c>
      <c r="AS314" s="3">
        <v>75</v>
      </c>
      <c r="AT314" s="3">
        <v>162</v>
      </c>
      <c r="AU314" s="3">
        <v>129</v>
      </c>
      <c r="AV314" s="3">
        <v>81</v>
      </c>
      <c r="AW314" s="3">
        <v>132</v>
      </c>
    </row>
    <row r="315" spans="1:49">
      <c r="A315" s="4" t="s">
        <v>35</v>
      </c>
      <c r="B315" s="4" t="str">
        <f t="shared" si="4"/>
        <v>Hair Color</v>
      </c>
      <c r="C315" s="4" t="s">
        <v>1786</v>
      </c>
      <c r="D315" s="4" t="s">
        <v>150</v>
      </c>
      <c r="E315" s="24" t="s">
        <v>441</v>
      </c>
      <c r="F315" s="12" t="s">
        <v>471</v>
      </c>
      <c r="G315" s="4" t="s">
        <v>1787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420</v>
      </c>
      <c r="AB315" s="3">
        <v>102</v>
      </c>
      <c r="AC315" s="3">
        <v>21</v>
      </c>
      <c r="AD315" s="3">
        <v>15</v>
      </c>
      <c r="AE315" s="3">
        <v>285</v>
      </c>
      <c r="AF315" s="3">
        <v>12</v>
      </c>
      <c r="AG315" s="3">
        <v>6</v>
      </c>
      <c r="AH315" s="3">
        <v>3</v>
      </c>
      <c r="AI315" s="3">
        <v>9</v>
      </c>
      <c r="AJ315" s="3">
        <v>33</v>
      </c>
      <c r="AK315" s="3">
        <v>15</v>
      </c>
      <c r="AL315" s="3">
        <v>0</v>
      </c>
      <c r="AM315" s="3">
        <v>24</v>
      </c>
      <c r="AN315" s="3">
        <v>3</v>
      </c>
      <c r="AO315" s="3">
        <v>6</v>
      </c>
      <c r="AP315" s="3">
        <v>57</v>
      </c>
      <c r="AQ315" s="3">
        <v>6</v>
      </c>
      <c r="AR315" s="3">
        <v>6</v>
      </c>
      <c r="AS315" s="3">
        <v>0</v>
      </c>
      <c r="AT315" s="3">
        <v>12</v>
      </c>
      <c r="AU315" s="3">
        <v>51</v>
      </c>
      <c r="AV315" s="3">
        <v>3</v>
      </c>
      <c r="AW315" s="3">
        <v>12</v>
      </c>
    </row>
    <row r="316" spans="1:49">
      <c r="A316" s="4" t="s">
        <v>35</v>
      </c>
      <c r="B316" s="4" t="str">
        <f t="shared" si="4"/>
        <v>Hair Color</v>
      </c>
      <c r="C316" s="4" t="s">
        <v>1786</v>
      </c>
      <c r="D316" s="4" t="s">
        <v>150</v>
      </c>
      <c r="E316" s="24" t="s">
        <v>441</v>
      </c>
      <c r="F316" s="12" t="s">
        <v>472</v>
      </c>
      <c r="G316" s="4" t="s">
        <v>1787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522</v>
      </c>
      <c r="AA316" s="3">
        <v>174</v>
      </c>
      <c r="AB316" s="3">
        <v>57</v>
      </c>
      <c r="AC316" s="3">
        <v>33</v>
      </c>
      <c r="AD316" s="3">
        <v>141</v>
      </c>
      <c r="AE316" s="3">
        <v>306</v>
      </c>
      <c r="AF316" s="3">
        <v>138</v>
      </c>
      <c r="AG316" s="3">
        <v>78</v>
      </c>
      <c r="AH316" s="3">
        <v>7</v>
      </c>
      <c r="AI316" s="3">
        <v>0</v>
      </c>
      <c r="AJ316" s="3">
        <v>0</v>
      </c>
      <c r="AK316" s="3">
        <v>261</v>
      </c>
      <c r="AL316" s="3">
        <v>141</v>
      </c>
      <c r="AM316" s="3">
        <v>123</v>
      </c>
      <c r="AN316" s="3">
        <v>102</v>
      </c>
      <c r="AO316" s="3">
        <v>99</v>
      </c>
      <c r="AP316" s="3">
        <v>153</v>
      </c>
      <c r="AQ316" s="3">
        <v>135</v>
      </c>
      <c r="AR316" s="3">
        <v>135</v>
      </c>
      <c r="AS316" s="3">
        <v>90</v>
      </c>
      <c r="AT316" s="3">
        <v>120</v>
      </c>
      <c r="AU316" s="3">
        <v>147</v>
      </c>
      <c r="AV316" s="3">
        <v>111</v>
      </c>
      <c r="AW316" s="3">
        <v>132</v>
      </c>
    </row>
    <row r="317" spans="1:49">
      <c r="A317" s="4" t="s">
        <v>35</v>
      </c>
      <c r="B317" s="4" t="str">
        <f t="shared" si="4"/>
        <v>Hair Color</v>
      </c>
      <c r="C317" s="4" t="s">
        <v>1786</v>
      </c>
      <c r="D317" s="4" t="s">
        <v>150</v>
      </c>
      <c r="E317" s="24" t="s">
        <v>441</v>
      </c>
      <c r="F317" s="12" t="s">
        <v>473</v>
      </c>
      <c r="G317" s="4" t="s">
        <v>1787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564</v>
      </c>
      <c r="AA317" s="3">
        <v>129</v>
      </c>
      <c r="AB317" s="3">
        <v>30</v>
      </c>
      <c r="AC317" s="3">
        <v>27</v>
      </c>
      <c r="AD317" s="3">
        <v>21</v>
      </c>
      <c r="AE317" s="3">
        <v>186</v>
      </c>
      <c r="AF317" s="3">
        <v>72</v>
      </c>
      <c r="AG317" s="3">
        <v>21</v>
      </c>
      <c r="AH317" s="3">
        <v>36</v>
      </c>
      <c r="AI317" s="3">
        <v>42</v>
      </c>
      <c r="AJ317" s="3">
        <v>81</v>
      </c>
      <c r="AK317" s="3">
        <v>30</v>
      </c>
      <c r="AL317" s="3">
        <v>57</v>
      </c>
      <c r="AM317" s="3">
        <v>42</v>
      </c>
      <c r="AN317" s="3">
        <v>39</v>
      </c>
      <c r="AO317" s="3">
        <v>51</v>
      </c>
      <c r="AP317" s="3">
        <v>156</v>
      </c>
      <c r="AQ317" s="3">
        <v>72</v>
      </c>
      <c r="AR317" s="3">
        <v>48</v>
      </c>
      <c r="AS317" s="3">
        <v>27</v>
      </c>
      <c r="AT317" s="3">
        <v>30</v>
      </c>
      <c r="AU317" s="3">
        <v>90</v>
      </c>
      <c r="AV317" s="3">
        <v>15</v>
      </c>
      <c r="AW317" s="3">
        <v>72</v>
      </c>
    </row>
    <row r="318" spans="1:49">
      <c r="A318" s="4" t="s">
        <v>35</v>
      </c>
      <c r="B318" s="4" t="str">
        <f t="shared" si="4"/>
        <v>Hair Color</v>
      </c>
      <c r="C318" s="4" t="s">
        <v>1786</v>
      </c>
      <c r="D318" s="4" t="s">
        <v>150</v>
      </c>
      <c r="E318" s="24" t="s">
        <v>441</v>
      </c>
      <c r="F318" s="12" t="s">
        <v>474</v>
      </c>
      <c r="G318" s="4" t="s">
        <v>1787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564</v>
      </c>
      <c r="AA318" s="3">
        <v>135</v>
      </c>
      <c r="AB318" s="3">
        <v>54</v>
      </c>
      <c r="AC318" s="3">
        <v>42</v>
      </c>
      <c r="AD318" s="3">
        <v>60</v>
      </c>
      <c r="AE318" s="3">
        <v>336</v>
      </c>
      <c r="AF318" s="3">
        <v>123</v>
      </c>
      <c r="AG318" s="3">
        <v>84</v>
      </c>
      <c r="AH318" s="3">
        <v>132</v>
      </c>
      <c r="AI318" s="3">
        <v>169</v>
      </c>
      <c r="AJ318" s="3">
        <v>219</v>
      </c>
      <c r="AK318" s="3">
        <v>99</v>
      </c>
      <c r="AL318" s="3">
        <v>97</v>
      </c>
      <c r="AM318" s="3">
        <v>123</v>
      </c>
      <c r="AN318" s="3">
        <v>0</v>
      </c>
      <c r="AO318" s="3">
        <v>180</v>
      </c>
      <c r="AP318" s="3">
        <v>231</v>
      </c>
      <c r="AQ318" s="3">
        <v>204</v>
      </c>
      <c r="AR318" s="3">
        <v>135</v>
      </c>
      <c r="AS318" s="3">
        <v>72</v>
      </c>
      <c r="AT318" s="3">
        <v>114</v>
      </c>
      <c r="AU318" s="3">
        <v>195</v>
      </c>
      <c r="AV318" s="3">
        <v>87</v>
      </c>
      <c r="AW318" s="3">
        <v>117</v>
      </c>
    </row>
    <row r="319" spans="1:49">
      <c r="A319" s="4" t="s">
        <v>35</v>
      </c>
      <c r="B319" s="4" t="str">
        <f t="shared" si="4"/>
        <v>Hair Color</v>
      </c>
      <c r="C319" s="4" t="s">
        <v>1786</v>
      </c>
      <c r="D319" s="4" t="s">
        <v>150</v>
      </c>
      <c r="E319" s="24" t="s">
        <v>441</v>
      </c>
      <c r="F319" s="12" t="s">
        <v>475</v>
      </c>
      <c r="G319" s="4" t="s">
        <v>1787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567</v>
      </c>
      <c r="AA319" s="3">
        <v>135</v>
      </c>
      <c r="AB319" s="3">
        <v>69</v>
      </c>
      <c r="AC319" s="3">
        <v>51</v>
      </c>
      <c r="AD319" s="3">
        <v>111</v>
      </c>
      <c r="AE319" s="3">
        <v>267</v>
      </c>
      <c r="AF319" s="3">
        <v>123</v>
      </c>
      <c r="AG319" s="3">
        <v>66</v>
      </c>
      <c r="AH319" s="3">
        <v>132</v>
      </c>
      <c r="AI319" s="3">
        <v>150</v>
      </c>
      <c r="AJ319" s="3">
        <v>204</v>
      </c>
      <c r="AK319" s="3">
        <v>36</v>
      </c>
      <c r="AL319" s="3">
        <v>60</v>
      </c>
      <c r="AM319" s="3">
        <v>186</v>
      </c>
      <c r="AN319" s="3">
        <v>114</v>
      </c>
      <c r="AO319" s="3">
        <v>93</v>
      </c>
      <c r="AP319" s="3">
        <v>810</v>
      </c>
      <c r="AQ319" s="3">
        <v>36</v>
      </c>
      <c r="AR319" s="3">
        <v>150</v>
      </c>
      <c r="AS319" s="3">
        <v>63</v>
      </c>
      <c r="AT319" s="3">
        <v>69</v>
      </c>
      <c r="AU319" s="3">
        <v>153</v>
      </c>
      <c r="AV319" s="3">
        <v>72</v>
      </c>
      <c r="AW319" s="3">
        <v>96</v>
      </c>
    </row>
    <row r="320" spans="1:49">
      <c r="A320" s="4" t="s">
        <v>35</v>
      </c>
      <c r="B320" s="4" t="str">
        <f t="shared" si="4"/>
        <v>Hair Color</v>
      </c>
      <c r="C320" s="4" t="s">
        <v>1786</v>
      </c>
      <c r="D320" s="4" t="s">
        <v>150</v>
      </c>
      <c r="E320" s="24" t="s">
        <v>441</v>
      </c>
      <c r="F320" s="12" t="s">
        <v>476</v>
      </c>
      <c r="G320" s="4" t="s">
        <v>1787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282</v>
      </c>
      <c r="AA320" s="3">
        <v>285</v>
      </c>
      <c r="AB320" s="3">
        <v>60</v>
      </c>
      <c r="AC320" s="3">
        <v>24</v>
      </c>
      <c r="AD320" s="3">
        <v>57</v>
      </c>
      <c r="AE320" s="3">
        <v>264</v>
      </c>
      <c r="AF320" s="3">
        <v>36</v>
      </c>
      <c r="AG320" s="3">
        <v>45</v>
      </c>
      <c r="AH320" s="3">
        <v>75</v>
      </c>
      <c r="AI320" s="3">
        <v>84</v>
      </c>
      <c r="AJ320" s="3">
        <v>153</v>
      </c>
      <c r="AK320" s="3">
        <v>24</v>
      </c>
      <c r="AL320" s="3">
        <v>21</v>
      </c>
      <c r="AM320" s="3">
        <v>141</v>
      </c>
      <c r="AN320" s="3">
        <v>102</v>
      </c>
      <c r="AO320" s="3">
        <v>51</v>
      </c>
      <c r="AP320" s="3">
        <v>60</v>
      </c>
      <c r="AQ320" s="3">
        <v>48</v>
      </c>
      <c r="AR320" s="3">
        <v>60</v>
      </c>
      <c r="AS320" s="3">
        <v>81</v>
      </c>
      <c r="AT320" s="3">
        <v>66</v>
      </c>
      <c r="AU320" s="3">
        <v>126</v>
      </c>
      <c r="AV320" s="3">
        <v>33</v>
      </c>
      <c r="AW320" s="3">
        <v>63</v>
      </c>
    </row>
    <row r="321" spans="1:49">
      <c r="A321" s="4" t="s">
        <v>35</v>
      </c>
      <c r="B321" s="4" t="str">
        <f t="shared" si="4"/>
        <v>Hair Color</v>
      </c>
      <c r="C321" s="4" t="s">
        <v>1786</v>
      </c>
      <c r="D321" s="4" t="s">
        <v>150</v>
      </c>
      <c r="E321" s="24" t="s">
        <v>441</v>
      </c>
      <c r="F321" s="12" t="s">
        <v>477</v>
      </c>
      <c r="G321" s="4" t="s">
        <v>1787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141</v>
      </c>
      <c r="AI321" s="3">
        <v>90</v>
      </c>
      <c r="AJ321" s="3">
        <v>64</v>
      </c>
      <c r="AK321" s="3">
        <v>48</v>
      </c>
      <c r="AL321" s="3">
        <v>90</v>
      </c>
      <c r="AM321" s="3">
        <v>123</v>
      </c>
      <c r="AN321" s="3">
        <v>93</v>
      </c>
      <c r="AO321" s="3">
        <v>60</v>
      </c>
      <c r="AP321" s="3">
        <v>69</v>
      </c>
      <c r="AQ321" s="3">
        <v>28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</row>
    <row r="322" spans="1:49">
      <c r="A322" s="4" t="s">
        <v>35</v>
      </c>
      <c r="B322" s="4" t="str">
        <f t="shared" si="4"/>
        <v>Hair Color</v>
      </c>
      <c r="C322" s="4" t="s">
        <v>1786</v>
      </c>
      <c r="D322" s="4" t="s">
        <v>150</v>
      </c>
      <c r="E322" s="24" t="s">
        <v>441</v>
      </c>
      <c r="F322" s="12" t="s">
        <v>478</v>
      </c>
      <c r="G322" s="4" t="s">
        <v>1787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66</v>
      </c>
      <c r="AK322" s="3">
        <v>33</v>
      </c>
      <c r="AL322" s="3">
        <v>69</v>
      </c>
      <c r="AM322" s="3">
        <v>126</v>
      </c>
      <c r="AN322" s="3">
        <v>-29</v>
      </c>
      <c r="AO322" s="3">
        <v>9</v>
      </c>
      <c r="AP322" s="3">
        <v>12</v>
      </c>
      <c r="AQ322" s="3">
        <v>6</v>
      </c>
      <c r="AR322" s="3">
        <v>27</v>
      </c>
      <c r="AS322" s="3">
        <v>12</v>
      </c>
      <c r="AT322" s="3">
        <v>24</v>
      </c>
      <c r="AU322" s="3">
        <v>-12</v>
      </c>
      <c r="AV322" s="3">
        <v>0</v>
      </c>
      <c r="AW322" s="3">
        <v>0</v>
      </c>
    </row>
    <row r="323" spans="1:49">
      <c r="A323" s="4" t="s">
        <v>35</v>
      </c>
      <c r="B323" s="4" t="str">
        <f t="shared" ref="B323:B386" si="5">A323</f>
        <v>Hair Color</v>
      </c>
      <c r="C323" s="4" t="s">
        <v>1786</v>
      </c>
      <c r="D323" s="4" t="s">
        <v>150</v>
      </c>
      <c r="E323" s="24" t="s">
        <v>441</v>
      </c>
      <c r="F323" s="12" t="s">
        <v>479</v>
      </c>
      <c r="G323" s="4" t="s">
        <v>1787</v>
      </c>
      <c r="H323" s="3">
        <v>30</v>
      </c>
      <c r="I323" s="3">
        <v>42</v>
      </c>
      <c r="J323" s="3">
        <v>0</v>
      </c>
      <c r="K323" s="3">
        <v>6</v>
      </c>
      <c r="L323" s="3">
        <v>9</v>
      </c>
      <c r="M323" s="3">
        <v>48</v>
      </c>
      <c r="N323" s="3">
        <v>6</v>
      </c>
      <c r="O323" s="3">
        <v>0</v>
      </c>
      <c r="P323" s="3">
        <v>0</v>
      </c>
      <c r="Q323" s="3">
        <v>78</v>
      </c>
      <c r="R323" s="3">
        <v>24</v>
      </c>
      <c r="S323" s="3">
        <v>18</v>
      </c>
      <c r="T323" s="3">
        <v>0</v>
      </c>
      <c r="U323" s="3">
        <v>36</v>
      </c>
      <c r="V323" s="3">
        <v>9</v>
      </c>
      <c r="W323" s="3">
        <v>0</v>
      </c>
      <c r="X323" s="3">
        <v>42</v>
      </c>
      <c r="Y323" s="3">
        <v>6</v>
      </c>
      <c r="Z323" s="3">
        <v>12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</row>
    <row r="324" spans="1:49">
      <c r="A324" s="4" t="s">
        <v>35</v>
      </c>
      <c r="B324" s="4" t="str">
        <f t="shared" si="5"/>
        <v>Hair Color</v>
      </c>
      <c r="C324" s="4" t="s">
        <v>1786</v>
      </c>
      <c r="D324" s="4" t="s">
        <v>150</v>
      </c>
      <c r="E324" s="24" t="s">
        <v>441</v>
      </c>
      <c r="F324" s="12" t="s">
        <v>480</v>
      </c>
      <c r="G324" s="4" t="s">
        <v>1787</v>
      </c>
      <c r="H324" s="3">
        <v>18</v>
      </c>
      <c r="I324" s="3">
        <v>18</v>
      </c>
      <c r="J324" s="3">
        <v>3</v>
      </c>
      <c r="K324" s="3">
        <v>24</v>
      </c>
      <c r="L324" s="3">
        <v>12</v>
      </c>
      <c r="M324" s="3">
        <v>15</v>
      </c>
      <c r="N324" s="3">
        <v>0</v>
      </c>
      <c r="O324" s="3">
        <v>0</v>
      </c>
      <c r="P324" s="3">
        <v>9</v>
      </c>
      <c r="Q324" s="3">
        <v>3</v>
      </c>
      <c r="R324" s="3">
        <v>0</v>
      </c>
      <c r="S324" s="3">
        <v>3</v>
      </c>
      <c r="T324" s="3">
        <v>15</v>
      </c>
      <c r="U324" s="3">
        <v>3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</row>
    <row r="325" spans="1:49">
      <c r="A325" s="4" t="s">
        <v>35</v>
      </c>
      <c r="B325" s="4" t="str">
        <f t="shared" si="5"/>
        <v>Hair Color</v>
      </c>
      <c r="C325" s="4" t="s">
        <v>1786</v>
      </c>
      <c r="D325" s="4" t="s">
        <v>150</v>
      </c>
      <c r="E325" s="24" t="s">
        <v>441</v>
      </c>
      <c r="F325" s="12" t="s">
        <v>481</v>
      </c>
      <c r="G325" s="4" t="s">
        <v>1787</v>
      </c>
      <c r="H325" s="3">
        <v>18</v>
      </c>
      <c r="I325" s="3">
        <v>60</v>
      </c>
      <c r="J325" s="3">
        <v>6</v>
      </c>
      <c r="K325" s="3">
        <v>6</v>
      </c>
      <c r="L325" s="3">
        <v>21</v>
      </c>
      <c r="M325" s="3">
        <v>24</v>
      </c>
      <c r="N325" s="3">
        <v>3</v>
      </c>
      <c r="O325" s="3">
        <v>9</v>
      </c>
      <c r="P325" s="3">
        <v>57</v>
      </c>
      <c r="Q325" s="3">
        <v>51</v>
      </c>
      <c r="R325" s="3">
        <v>27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</row>
    <row r="326" spans="1:49">
      <c r="A326" s="4" t="s">
        <v>35</v>
      </c>
      <c r="B326" s="4" t="str">
        <f t="shared" si="5"/>
        <v>Hair Color</v>
      </c>
      <c r="C326" s="4" t="s">
        <v>1786</v>
      </c>
      <c r="D326" s="4" t="s">
        <v>150</v>
      </c>
      <c r="E326" s="24" t="s">
        <v>441</v>
      </c>
      <c r="F326" s="12" t="s">
        <v>482</v>
      </c>
      <c r="G326" s="4" t="s">
        <v>1787</v>
      </c>
      <c r="H326" s="3">
        <v>6</v>
      </c>
      <c r="I326" s="3">
        <v>6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</row>
    <row r="327" spans="1:49">
      <c r="A327" s="4" t="s">
        <v>35</v>
      </c>
      <c r="B327" s="4" t="str">
        <f t="shared" si="5"/>
        <v>Hair Color</v>
      </c>
      <c r="C327" s="4" t="s">
        <v>1786</v>
      </c>
      <c r="D327" s="4" t="s">
        <v>150</v>
      </c>
      <c r="E327" s="24" t="s">
        <v>441</v>
      </c>
      <c r="F327" s="12" t="s">
        <v>483</v>
      </c>
      <c r="G327" s="4" t="s">
        <v>1787</v>
      </c>
      <c r="H327" s="3">
        <v>6</v>
      </c>
      <c r="I327" s="3">
        <v>78</v>
      </c>
      <c r="J327" s="3">
        <v>21</v>
      </c>
      <c r="K327" s="3">
        <v>66</v>
      </c>
      <c r="L327" s="3">
        <v>21</v>
      </c>
      <c r="M327" s="3">
        <v>42</v>
      </c>
      <c r="N327" s="3">
        <v>18</v>
      </c>
      <c r="O327" s="3">
        <v>30</v>
      </c>
      <c r="P327" s="3">
        <v>66</v>
      </c>
      <c r="Q327" s="3">
        <v>84</v>
      </c>
      <c r="R327" s="3">
        <v>30</v>
      </c>
      <c r="S327" s="3">
        <v>39</v>
      </c>
      <c r="T327" s="3">
        <v>15</v>
      </c>
      <c r="U327" s="3">
        <v>66</v>
      </c>
      <c r="V327" s="3">
        <v>18</v>
      </c>
      <c r="W327" s="3">
        <v>15</v>
      </c>
      <c r="X327" s="3">
        <v>69</v>
      </c>
      <c r="Y327" s="3">
        <v>33</v>
      </c>
      <c r="Z327" s="3">
        <v>45</v>
      </c>
      <c r="AA327" s="3">
        <v>30</v>
      </c>
      <c r="AB327" s="3">
        <v>66</v>
      </c>
      <c r="AC327" s="3">
        <v>15</v>
      </c>
      <c r="AD327" s="3">
        <v>12</v>
      </c>
      <c r="AE327" s="3">
        <v>12</v>
      </c>
      <c r="AF327" s="3">
        <v>18</v>
      </c>
      <c r="AG327" s="3">
        <v>36</v>
      </c>
      <c r="AH327" s="3">
        <v>12</v>
      </c>
      <c r="AI327" s="3">
        <v>24</v>
      </c>
      <c r="AJ327" s="3">
        <v>0</v>
      </c>
      <c r="AK327" s="3">
        <v>0</v>
      </c>
      <c r="AL327" s="3">
        <v>36</v>
      </c>
      <c r="AM327" s="3">
        <v>0</v>
      </c>
      <c r="AN327" s="3">
        <v>36</v>
      </c>
      <c r="AO327" s="3">
        <v>60</v>
      </c>
      <c r="AP327" s="3">
        <v>69</v>
      </c>
      <c r="AQ327" s="3">
        <v>0</v>
      </c>
      <c r="AR327" s="3">
        <v>0</v>
      </c>
      <c r="AS327" s="3">
        <v>12</v>
      </c>
      <c r="AT327" s="3">
        <v>39</v>
      </c>
      <c r="AU327" s="3">
        <v>24</v>
      </c>
      <c r="AV327" s="3">
        <v>12</v>
      </c>
      <c r="AW327" s="3">
        <v>27</v>
      </c>
    </row>
    <row r="328" spans="1:49">
      <c r="A328" s="4" t="s">
        <v>35</v>
      </c>
      <c r="B328" s="4" t="str">
        <f t="shared" si="5"/>
        <v>Hair Color</v>
      </c>
      <c r="C328" s="4" t="s">
        <v>1786</v>
      </c>
      <c r="D328" s="4" t="s">
        <v>150</v>
      </c>
      <c r="E328" s="24" t="s">
        <v>441</v>
      </c>
      <c r="F328" s="12" t="s">
        <v>484</v>
      </c>
      <c r="G328" s="4" t="s">
        <v>1787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249</v>
      </c>
      <c r="AI328" s="3">
        <v>66</v>
      </c>
      <c r="AJ328" s="3">
        <v>186</v>
      </c>
      <c r="AK328" s="3">
        <v>81</v>
      </c>
      <c r="AL328" s="3">
        <v>96</v>
      </c>
      <c r="AM328" s="3">
        <v>165</v>
      </c>
      <c r="AN328" s="3">
        <v>138</v>
      </c>
      <c r="AO328" s="3">
        <v>102</v>
      </c>
      <c r="AP328" s="3">
        <v>144</v>
      </c>
      <c r="AQ328" s="3">
        <v>102</v>
      </c>
      <c r="AR328" s="3">
        <v>105</v>
      </c>
      <c r="AS328" s="3">
        <v>87</v>
      </c>
      <c r="AT328" s="3">
        <v>27</v>
      </c>
      <c r="AU328" s="3">
        <v>0</v>
      </c>
      <c r="AV328" s="3">
        <v>0</v>
      </c>
      <c r="AW328" s="3">
        <v>0</v>
      </c>
    </row>
    <row r="329" spans="1:49">
      <c r="A329" s="4" t="s">
        <v>35</v>
      </c>
      <c r="B329" s="4" t="str">
        <f t="shared" si="5"/>
        <v>Hair Color</v>
      </c>
      <c r="C329" s="4" t="s">
        <v>1786</v>
      </c>
      <c r="D329" s="4" t="s">
        <v>150</v>
      </c>
      <c r="E329" s="24" t="s">
        <v>441</v>
      </c>
      <c r="F329" s="12" t="s">
        <v>485</v>
      </c>
      <c r="G329" s="4" t="s">
        <v>1787</v>
      </c>
      <c r="H329" s="3">
        <v>204</v>
      </c>
      <c r="I329" s="3">
        <v>210</v>
      </c>
      <c r="J329" s="3">
        <v>150</v>
      </c>
      <c r="K329" s="3">
        <v>150</v>
      </c>
      <c r="L329" s="3">
        <v>162</v>
      </c>
      <c r="M329" s="3">
        <v>123</v>
      </c>
      <c r="N329" s="3">
        <v>327</v>
      </c>
      <c r="O329" s="3">
        <v>99</v>
      </c>
      <c r="P329" s="3">
        <v>54</v>
      </c>
      <c r="Q329" s="3">
        <v>105</v>
      </c>
      <c r="R329" s="3">
        <v>57</v>
      </c>
      <c r="S329" s="3">
        <v>72</v>
      </c>
      <c r="T329" s="3">
        <v>87</v>
      </c>
      <c r="U329" s="3">
        <v>108</v>
      </c>
      <c r="V329" s="3">
        <v>48</v>
      </c>
      <c r="W329" s="3">
        <v>51</v>
      </c>
      <c r="X329" s="3">
        <v>189</v>
      </c>
      <c r="Y329" s="3">
        <v>96</v>
      </c>
      <c r="Z329" s="3">
        <v>60</v>
      </c>
      <c r="AA329" s="3">
        <v>9</v>
      </c>
      <c r="AB329" s="3">
        <v>93</v>
      </c>
      <c r="AC329" s="3">
        <v>21</v>
      </c>
      <c r="AD329" s="3">
        <v>48</v>
      </c>
      <c r="AE329" s="3">
        <v>6</v>
      </c>
      <c r="AF329" s="3">
        <v>21</v>
      </c>
      <c r="AG329" s="3">
        <v>30</v>
      </c>
      <c r="AH329" s="3">
        <v>33</v>
      </c>
      <c r="AI329" s="3">
        <v>30</v>
      </c>
      <c r="AJ329" s="3">
        <v>45</v>
      </c>
      <c r="AK329" s="3">
        <v>42</v>
      </c>
      <c r="AL329" s="3">
        <v>39</v>
      </c>
      <c r="AM329" s="3">
        <v>243</v>
      </c>
      <c r="AN329" s="3">
        <v>9</v>
      </c>
      <c r="AO329" s="3">
        <v>204</v>
      </c>
      <c r="AP329" s="3">
        <v>168</v>
      </c>
      <c r="AQ329" s="3">
        <v>9</v>
      </c>
      <c r="AR329" s="3">
        <v>57</v>
      </c>
      <c r="AS329" s="3">
        <v>93</v>
      </c>
      <c r="AT329" s="3">
        <v>81</v>
      </c>
      <c r="AU329" s="3">
        <v>108</v>
      </c>
      <c r="AV329" s="3">
        <v>114</v>
      </c>
      <c r="AW329" s="3">
        <v>63</v>
      </c>
    </row>
    <row r="330" spans="1:49">
      <c r="A330" s="4" t="s">
        <v>35</v>
      </c>
      <c r="B330" s="4" t="str">
        <f t="shared" si="5"/>
        <v>Hair Color</v>
      </c>
      <c r="C330" s="4" t="s">
        <v>1786</v>
      </c>
      <c r="D330" s="4" t="s">
        <v>150</v>
      </c>
      <c r="E330" s="24" t="s">
        <v>441</v>
      </c>
      <c r="F330" s="12" t="s">
        <v>486</v>
      </c>
      <c r="G330" s="4" t="s">
        <v>1787</v>
      </c>
      <c r="H330" s="3">
        <v>501</v>
      </c>
      <c r="I330" s="3">
        <v>477</v>
      </c>
      <c r="J330" s="3">
        <v>252</v>
      </c>
      <c r="K330" s="3">
        <v>510</v>
      </c>
      <c r="L330" s="3">
        <v>282</v>
      </c>
      <c r="M330" s="3">
        <v>324</v>
      </c>
      <c r="N330" s="3">
        <v>381</v>
      </c>
      <c r="O330" s="3">
        <v>300</v>
      </c>
      <c r="P330" s="3">
        <v>318</v>
      </c>
      <c r="Q330" s="3">
        <v>369</v>
      </c>
      <c r="R330" s="3">
        <v>183</v>
      </c>
      <c r="S330" s="3">
        <v>255</v>
      </c>
      <c r="T330" s="3">
        <v>270</v>
      </c>
      <c r="U330" s="3">
        <v>306</v>
      </c>
      <c r="V330" s="3">
        <v>207</v>
      </c>
      <c r="W330" s="3">
        <v>204</v>
      </c>
      <c r="X330" s="3">
        <v>242</v>
      </c>
      <c r="Y330" s="3">
        <v>384</v>
      </c>
      <c r="Z330" s="3">
        <v>186</v>
      </c>
      <c r="AA330" s="3">
        <v>147</v>
      </c>
      <c r="AB330" s="3">
        <v>477</v>
      </c>
      <c r="AC330" s="3">
        <v>144</v>
      </c>
      <c r="AD330" s="3">
        <v>138</v>
      </c>
      <c r="AE330" s="3">
        <v>159</v>
      </c>
      <c r="AF330" s="3">
        <v>204</v>
      </c>
      <c r="AG330" s="3">
        <v>156</v>
      </c>
      <c r="AH330" s="3">
        <v>309</v>
      </c>
      <c r="AI330" s="3">
        <v>108</v>
      </c>
      <c r="AJ330" s="3">
        <v>189</v>
      </c>
      <c r="AK330" s="3">
        <v>222</v>
      </c>
      <c r="AL330" s="3">
        <v>138</v>
      </c>
      <c r="AM330" s="3">
        <v>300</v>
      </c>
      <c r="AN330" s="3">
        <v>330</v>
      </c>
      <c r="AO330" s="3">
        <v>189</v>
      </c>
      <c r="AP330" s="3">
        <v>381</v>
      </c>
      <c r="AQ330" s="3">
        <v>33</v>
      </c>
      <c r="AR330" s="3">
        <v>249</v>
      </c>
      <c r="AS330" s="3">
        <v>174</v>
      </c>
      <c r="AT330" s="3">
        <v>204</v>
      </c>
      <c r="AU330" s="3">
        <v>315</v>
      </c>
      <c r="AV330" s="3">
        <v>261</v>
      </c>
      <c r="AW330" s="3">
        <v>231</v>
      </c>
    </row>
    <row r="331" spans="1:49">
      <c r="A331" s="4" t="s">
        <v>35</v>
      </c>
      <c r="B331" s="4" t="str">
        <f t="shared" si="5"/>
        <v>Hair Color</v>
      </c>
      <c r="C331" s="4" t="s">
        <v>1786</v>
      </c>
      <c r="D331" s="4" t="s">
        <v>150</v>
      </c>
      <c r="E331" s="24" t="s">
        <v>441</v>
      </c>
      <c r="F331" s="12" t="s">
        <v>487</v>
      </c>
      <c r="G331" s="4" t="s">
        <v>1787</v>
      </c>
      <c r="H331" s="3">
        <v>294</v>
      </c>
      <c r="I331" s="3">
        <v>285</v>
      </c>
      <c r="J331" s="3">
        <v>222</v>
      </c>
      <c r="K331" s="3">
        <v>360</v>
      </c>
      <c r="L331" s="3">
        <v>231</v>
      </c>
      <c r="M331" s="3">
        <v>225</v>
      </c>
      <c r="N331" s="3">
        <v>345</v>
      </c>
      <c r="O331" s="3">
        <v>186</v>
      </c>
      <c r="P331" s="3">
        <v>216</v>
      </c>
      <c r="Q331" s="3">
        <v>330</v>
      </c>
      <c r="R331" s="3">
        <v>165</v>
      </c>
      <c r="S331" s="3">
        <v>186</v>
      </c>
      <c r="T331" s="3">
        <v>213</v>
      </c>
      <c r="U331" s="3">
        <v>198</v>
      </c>
      <c r="V331" s="3">
        <v>168</v>
      </c>
      <c r="W331" s="3">
        <v>120</v>
      </c>
      <c r="X331" s="3">
        <v>261</v>
      </c>
      <c r="Y331" s="3">
        <v>165</v>
      </c>
      <c r="Z331" s="3">
        <v>141</v>
      </c>
      <c r="AA331" s="3">
        <v>234</v>
      </c>
      <c r="AB331" s="3">
        <v>342</v>
      </c>
      <c r="AC331" s="3">
        <v>75</v>
      </c>
      <c r="AD331" s="3">
        <v>153</v>
      </c>
      <c r="AE331" s="3">
        <v>141</v>
      </c>
      <c r="AF331" s="3">
        <v>132</v>
      </c>
      <c r="AG331" s="3">
        <v>129</v>
      </c>
      <c r="AH331" s="3">
        <v>192</v>
      </c>
      <c r="AI331" s="3">
        <v>96</v>
      </c>
      <c r="AJ331" s="3">
        <v>207</v>
      </c>
      <c r="AK331" s="3">
        <v>129</v>
      </c>
      <c r="AL331" s="3">
        <v>114</v>
      </c>
      <c r="AM331" s="3">
        <v>222</v>
      </c>
      <c r="AN331" s="3">
        <v>204</v>
      </c>
      <c r="AO331" s="3">
        <v>171</v>
      </c>
      <c r="AP331" s="3">
        <v>288</v>
      </c>
      <c r="AQ331" s="3">
        <v>102</v>
      </c>
      <c r="AR331" s="3">
        <v>117</v>
      </c>
      <c r="AS331" s="3">
        <v>81</v>
      </c>
      <c r="AT331" s="3">
        <v>192</v>
      </c>
      <c r="AU331" s="3">
        <v>222</v>
      </c>
      <c r="AV331" s="3">
        <v>123</v>
      </c>
      <c r="AW331" s="3">
        <v>162</v>
      </c>
    </row>
    <row r="332" spans="1:49">
      <c r="A332" s="4" t="s">
        <v>35</v>
      </c>
      <c r="B332" s="4" t="str">
        <f t="shared" si="5"/>
        <v>Hair Color</v>
      </c>
      <c r="C332" s="4" t="s">
        <v>1786</v>
      </c>
      <c r="D332" s="4" t="s">
        <v>150</v>
      </c>
      <c r="E332" s="24" t="s">
        <v>441</v>
      </c>
      <c r="F332" s="12" t="s">
        <v>488</v>
      </c>
      <c r="G332" s="4" t="s">
        <v>1787</v>
      </c>
      <c r="H332" s="3">
        <v>225</v>
      </c>
      <c r="I332" s="3">
        <v>141</v>
      </c>
      <c r="J332" s="3">
        <v>87</v>
      </c>
      <c r="K332" s="3">
        <v>147</v>
      </c>
      <c r="L332" s="3">
        <v>120</v>
      </c>
      <c r="M332" s="3">
        <v>84</v>
      </c>
      <c r="N332" s="3">
        <v>285</v>
      </c>
      <c r="O332" s="3">
        <v>102</v>
      </c>
      <c r="P332" s="3">
        <v>96</v>
      </c>
      <c r="Q332" s="3">
        <v>144</v>
      </c>
      <c r="R332" s="3">
        <v>81</v>
      </c>
      <c r="S332" s="3">
        <v>57</v>
      </c>
      <c r="T332" s="3">
        <v>57</v>
      </c>
      <c r="U332" s="3">
        <v>171</v>
      </c>
      <c r="V332" s="3">
        <v>63</v>
      </c>
      <c r="W332" s="3">
        <v>72</v>
      </c>
      <c r="X332" s="3">
        <v>144</v>
      </c>
      <c r="Y332" s="3">
        <v>123</v>
      </c>
      <c r="Z332" s="3">
        <v>30</v>
      </c>
      <c r="AA332" s="3">
        <v>81</v>
      </c>
      <c r="AB332" s="3">
        <v>177</v>
      </c>
      <c r="AC332" s="3">
        <v>12</v>
      </c>
      <c r="AD332" s="3">
        <v>30</v>
      </c>
      <c r="AE332" s="3">
        <v>45</v>
      </c>
      <c r="AF332" s="3">
        <v>60</v>
      </c>
      <c r="AG332" s="3">
        <v>45</v>
      </c>
      <c r="AH332" s="3">
        <v>72</v>
      </c>
      <c r="AI332" s="3">
        <v>3</v>
      </c>
      <c r="AJ332" s="3">
        <v>0</v>
      </c>
      <c r="AK332" s="3">
        <v>93</v>
      </c>
      <c r="AL332" s="3">
        <v>39</v>
      </c>
      <c r="AM332" s="3">
        <v>243</v>
      </c>
      <c r="AN332" s="3">
        <v>114</v>
      </c>
      <c r="AO332" s="3">
        <v>84</v>
      </c>
      <c r="AP332" s="3">
        <v>75</v>
      </c>
      <c r="AQ332" s="3">
        <v>111</v>
      </c>
      <c r="AR332" s="3">
        <v>54</v>
      </c>
      <c r="AS332" s="3">
        <v>36</v>
      </c>
      <c r="AT332" s="3">
        <v>84</v>
      </c>
      <c r="AU332" s="3">
        <v>93</v>
      </c>
      <c r="AV332" s="3">
        <v>48</v>
      </c>
      <c r="AW332" s="3">
        <v>87</v>
      </c>
    </row>
    <row r="333" spans="1:49">
      <c r="A333" s="4" t="s">
        <v>35</v>
      </c>
      <c r="B333" s="4" t="str">
        <f t="shared" si="5"/>
        <v>Hair Color</v>
      </c>
      <c r="C333" s="4" t="s">
        <v>1786</v>
      </c>
      <c r="D333" s="4" t="s">
        <v>150</v>
      </c>
      <c r="E333" s="24" t="s">
        <v>441</v>
      </c>
      <c r="F333" s="12" t="s">
        <v>489</v>
      </c>
      <c r="G333" s="4" t="s">
        <v>1787</v>
      </c>
      <c r="H333" s="3">
        <v>216</v>
      </c>
      <c r="I333" s="3">
        <v>216</v>
      </c>
      <c r="J333" s="3">
        <v>159</v>
      </c>
      <c r="K333" s="3">
        <v>240</v>
      </c>
      <c r="L333" s="3">
        <v>276</v>
      </c>
      <c r="M333" s="3">
        <v>183</v>
      </c>
      <c r="N333" s="3">
        <v>258</v>
      </c>
      <c r="O333" s="3">
        <v>147</v>
      </c>
      <c r="P333" s="3">
        <v>123</v>
      </c>
      <c r="Q333" s="3">
        <v>153</v>
      </c>
      <c r="R333" s="3">
        <v>117</v>
      </c>
      <c r="S333" s="3">
        <v>102</v>
      </c>
      <c r="T333" s="3">
        <v>111</v>
      </c>
      <c r="U333" s="3">
        <v>99</v>
      </c>
      <c r="V333" s="3">
        <v>111</v>
      </c>
      <c r="W333" s="3">
        <v>129</v>
      </c>
      <c r="X333" s="3">
        <v>114</v>
      </c>
      <c r="Y333" s="3">
        <v>117</v>
      </c>
      <c r="Z333" s="3">
        <v>102</v>
      </c>
      <c r="AA333" s="3">
        <v>138</v>
      </c>
      <c r="AB333" s="3">
        <v>210</v>
      </c>
      <c r="AC333" s="3">
        <v>51</v>
      </c>
      <c r="AD333" s="3">
        <v>102</v>
      </c>
      <c r="AE333" s="3">
        <v>144</v>
      </c>
      <c r="AF333" s="3">
        <v>87</v>
      </c>
      <c r="AG333" s="3">
        <v>96</v>
      </c>
      <c r="AH333" s="3">
        <v>219</v>
      </c>
      <c r="AI333" s="3">
        <v>63</v>
      </c>
      <c r="AJ333" s="3">
        <v>90</v>
      </c>
      <c r="AK333" s="3">
        <v>117</v>
      </c>
      <c r="AL333" s="3">
        <v>57</v>
      </c>
      <c r="AM333" s="3">
        <v>126</v>
      </c>
      <c r="AN333" s="3">
        <v>168</v>
      </c>
      <c r="AO333" s="3">
        <v>102</v>
      </c>
      <c r="AP333" s="3">
        <v>186</v>
      </c>
      <c r="AQ333" s="3">
        <v>48</v>
      </c>
      <c r="AR333" s="3">
        <v>51</v>
      </c>
      <c r="AS333" s="3">
        <v>42</v>
      </c>
      <c r="AT333" s="3">
        <v>60</v>
      </c>
      <c r="AU333" s="3">
        <v>111</v>
      </c>
      <c r="AV333" s="3">
        <v>144</v>
      </c>
      <c r="AW333" s="3">
        <v>153</v>
      </c>
    </row>
    <row r="334" spans="1:49">
      <c r="A334" s="4" t="s">
        <v>35</v>
      </c>
      <c r="B334" s="4" t="str">
        <f t="shared" si="5"/>
        <v>Hair Color</v>
      </c>
      <c r="C334" s="4" t="s">
        <v>1786</v>
      </c>
      <c r="D334" s="4" t="s">
        <v>150</v>
      </c>
      <c r="E334" s="24" t="s">
        <v>441</v>
      </c>
      <c r="F334" s="12" t="s">
        <v>478</v>
      </c>
      <c r="G334" s="4" t="s">
        <v>1787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18</v>
      </c>
    </row>
    <row r="335" spans="1:49">
      <c r="A335" s="4" t="s">
        <v>35</v>
      </c>
      <c r="B335" s="4" t="str">
        <f t="shared" si="5"/>
        <v>Hair Color</v>
      </c>
      <c r="C335" s="4" t="s">
        <v>1786</v>
      </c>
      <c r="D335" s="4" t="s">
        <v>150</v>
      </c>
      <c r="E335" s="24" t="s">
        <v>441</v>
      </c>
      <c r="F335" s="12" t="s">
        <v>477</v>
      </c>
      <c r="G335" s="4" t="s">
        <v>1787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12</v>
      </c>
      <c r="AR335" s="3">
        <v>84</v>
      </c>
      <c r="AS335" s="3">
        <v>33</v>
      </c>
      <c r="AT335" s="3">
        <v>18</v>
      </c>
      <c r="AU335" s="3">
        <v>48</v>
      </c>
      <c r="AV335" s="3">
        <v>36</v>
      </c>
      <c r="AW335" s="3">
        <v>30</v>
      </c>
    </row>
    <row r="336" spans="1:49">
      <c r="A336" s="4" t="s">
        <v>35</v>
      </c>
      <c r="B336" s="4" t="str">
        <f t="shared" si="5"/>
        <v>Hair Color</v>
      </c>
      <c r="C336" s="4" t="s">
        <v>1786</v>
      </c>
      <c r="D336" s="4" t="s">
        <v>150</v>
      </c>
      <c r="E336" s="24" t="s">
        <v>441</v>
      </c>
      <c r="F336" s="12" t="s">
        <v>490</v>
      </c>
      <c r="G336" s="4" t="s">
        <v>1787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3</v>
      </c>
      <c r="AU336" s="3">
        <v>54</v>
      </c>
      <c r="AV336" s="3">
        <v>27</v>
      </c>
      <c r="AW336" s="3">
        <v>36</v>
      </c>
    </row>
    <row r="337" spans="1:49">
      <c r="A337" s="4" t="s">
        <v>35</v>
      </c>
      <c r="B337" s="4" t="str">
        <f t="shared" si="5"/>
        <v>Hair Color</v>
      </c>
      <c r="C337" s="4" t="s">
        <v>1786</v>
      </c>
      <c r="D337" s="4" t="s">
        <v>150</v>
      </c>
      <c r="E337" s="24" t="s">
        <v>441</v>
      </c>
      <c r="F337" s="12" t="s">
        <v>491</v>
      </c>
      <c r="G337" s="4" t="s">
        <v>1787</v>
      </c>
      <c r="H337" s="3">
        <v>153</v>
      </c>
      <c r="I337" s="3">
        <v>210</v>
      </c>
      <c r="J337" s="3">
        <v>171</v>
      </c>
      <c r="K337" s="3">
        <v>189</v>
      </c>
      <c r="L337" s="3">
        <v>102</v>
      </c>
      <c r="M337" s="3">
        <v>111</v>
      </c>
      <c r="N337" s="3">
        <v>225</v>
      </c>
      <c r="O337" s="3">
        <v>105</v>
      </c>
      <c r="P337" s="3">
        <v>156</v>
      </c>
      <c r="Q337" s="3">
        <v>225</v>
      </c>
      <c r="R337" s="3">
        <v>63</v>
      </c>
      <c r="S337" s="3">
        <v>90</v>
      </c>
      <c r="T337" s="3">
        <v>135</v>
      </c>
      <c r="U337" s="3">
        <v>162</v>
      </c>
      <c r="V337" s="3">
        <v>90</v>
      </c>
      <c r="W337" s="3">
        <v>69</v>
      </c>
      <c r="X337" s="3">
        <v>240</v>
      </c>
      <c r="Y337" s="3">
        <v>51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</row>
    <row r="338" spans="1:49">
      <c r="A338" s="4" t="s">
        <v>35</v>
      </c>
      <c r="B338" s="4" t="str">
        <f t="shared" si="5"/>
        <v>Hair Color</v>
      </c>
      <c r="C338" s="4" t="s">
        <v>1786</v>
      </c>
      <c r="D338" s="4" t="s">
        <v>150</v>
      </c>
      <c r="E338" s="24" t="s">
        <v>441</v>
      </c>
      <c r="F338" s="12" t="s">
        <v>492</v>
      </c>
      <c r="G338" s="4" t="s">
        <v>1787</v>
      </c>
      <c r="H338" s="3">
        <v>6</v>
      </c>
      <c r="I338" s="3">
        <v>48</v>
      </c>
      <c r="J338" s="3">
        <v>6</v>
      </c>
      <c r="K338" s="3">
        <v>36</v>
      </c>
      <c r="L338" s="3">
        <v>12</v>
      </c>
      <c r="M338" s="3">
        <v>9</v>
      </c>
      <c r="N338" s="3">
        <v>15</v>
      </c>
      <c r="O338" s="3">
        <v>9</v>
      </c>
      <c r="P338" s="3">
        <v>42</v>
      </c>
      <c r="Q338" s="3">
        <v>66</v>
      </c>
      <c r="R338" s="3">
        <v>6</v>
      </c>
      <c r="S338" s="3">
        <v>24</v>
      </c>
      <c r="T338" s="3">
        <v>42</v>
      </c>
      <c r="U338" s="3">
        <v>33</v>
      </c>
      <c r="V338" s="3">
        <v>18</v>
      </c>
      <c r="W338" s="3">
        <v>12</v>
      </c>
      <c r="X338" s="3">
        <v>177</v>
      </c>
      <c r="Y338" s="3">
        <v>15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</row>
    <row r="339" spans="1:49">
      <c r="A339" s="4" t="s">
        <v>35</v>
      </c>
      <c r="B339" s="4" t="str">
        <f t="shared" si="5"/>
        <v>Hair Color</v>
      </c>
      <c r="C339" s="4" t="s">
        <v>1786</v>
      </c>
      <c r="D339" s="4" t="s">
        <v>150</v>
      </c>
      <c r="E339" s="24" t="s">
        <v>441</v>
      </c>
      <c r="F339" s="12" t="s">
        <v>493</v>
      </c>
      <c r="G339" s="4" t="s">
        <v>1787</v>
      </c>
      <c r="H339" s="3">
        <v>51</v>
      </c>
      <c r="I339" s="3">
        <v>81</v>
      </c>
      <c r="J339" s="3">
        <v>24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</row>
    <row r="340" spans="1:49">
      <c r="A340" s="4" t="s">
        <v>35</v>
      </c>
      <c r="B340" s="4" t="str">
        <f t="shared" si="5"/>
        <v>Hair Color</v>
      </c>
      <c r="C340" s="4" t="s">
        <v>1786</v>
      </c>
      <c r="D340" s="4" t="s">
        <v>150</v>
      </c>
      <c r="E340" s="24" t="s">
        <v>441</v>
      </c>
      <c r="F340" s="12" t="s">
        <v>494</v>
      </c>
      <c r="G340" s="4" t="s">
        <v>1787</v>
      </c>
      <c r="H340" s="3">
        <v>93</v>
      </c>
      <c r="I340" s="3">
        <v>117</v>
      </c>
      <c r="J340" s="3">
        <v>99</v>
      </c>
      <c r="K340" s="3">
        <v>159</v>
      </c>
      <c r="L340" s="3">
        <v>111</v>
      </c>
      <c r="M340" s="3">
        <v>111</v>
      </c>
      <c r="N340" s="3">
        <v>87</v>
      </c>
      <c r="O340" s="3">
        <v>87</v>
      </c>
      <c r="P340" s="3">
        <v>114</v>
      </c>
      <c r="Q340" s="3">
        <v>180</v>
      </c>
      <c r="R340" s="3">
        <v>87</v>
      </c>
      <c r="S340" s="3">
        <v>87</v>
      </c>
      <c r="T340" s="3">
        <v>81</v>
      </c>
      <c r="U340" s="3">
        <v>132</v>
      </c>
      <c r="V340" s="3">
        <v>66</v>
      </c>
      <c r="W340" s="3">
        <v>69</v>
      </c>
      <c r="X340" s="3">
        <v>246</v>
      </c>
      <c r="Y340" s="3">
        <v>66</v>
      </c>
      <c r="Z340" s="3">
        <v>48</v>
      </c>
      <c r="AA340" s="3">
        <v>84</v>
      </c>
      <c r="AB340" s="3">
        <v>201</v>
      </c>
      <c r="AC340" s="3">
        <v>48</v>
      </c>
      <c r="AD340" s="3">
        <v>75</v>
      </c>
      <c r="AE340" s="3">
        <v>39</v>
      </c>
      <c r="AF340" s="3">
        <v>39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</row>
    <row r="341" spans="1:49">
      <c r="A341" s="4" t="s">
        <v>35</v>
      </c>
      <c r="B341" s="4" t="str">
        <f t="shared" si="5"/>
        <v>Hair Color</v>
      </c>
      <c r="C341" s="4" t="s">
        <v>1786</v>
      </c>
      <c r="D341" s="4" t="s">
        <v>150</v>
      </c>
      <c r="E341" s="24" t="s">
        <v>441</v>
      </c>
      <c r="F341" s="12" t="s">
        <v>495</v>
      </c>
      <c r="G341" s="4" t="s">
        <v>1787</v>
      </c>
      <c r="H341" s="3">
        <v>48</v>
      </c>
      <c r="I341" s="3">
        <v>24</v>
      </c>
      <c r="J341" s="3">
        <v>30</v>
      </c>
      <c r="K341" s="3">
        <v>105</v>
      </c>
      <c r="L341" s="3">
        <v>69</v>
      </c>
      <c r="M341" s="3">
        <v>48</v>
      </c>
      <c r="N341" s="3">
        <v>48</v>
      </c>
      <c r="O341" s="3">
        <v>24</v>
      </c>
      <c r="P341" s="3">
        <v>45</v>
      </c>
      <c r="Q341" s="3">
        <v>36</v>
      </c>
      <c r="R341" s="3">
        <v>42</v>
      </c>
      <c r="S341" s="3">
        <v>30</v>
      </c>
      <c r="T341" s="3">
        <v>42</v>
      </c>
      <c r="U341" s="3">
        <v>33</v>
      </c>
      <c r="V341" s="3">
        <v>48</v>
      </c>
      <c r="W341" s="3">
        <v>24</v>
      </c>
      <c r="X341" s="3">
        <v>78</v>
      </c>
      <c r="Y341" s="3">
        <v>48</v>
      </c>
      <c r="Z341" s="3">
        <v>39</v>
      </c>
      <c r="AA341" s="3">
        <v>21</v>
      </c>
      <c r="AB341" s="3">
        <v>39</v>
      </c>
      <c r="AC341" s="3">
        <v>18</v>
      </c>
      <c r="AD341" s="3">
        <v>3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</row>
    <row r="342" spans="1:49">
      <c r="A342" s="4" t="s">
        <v>35</v>
      </c>
      <c r="B342" s="4" t="str">
        <f t="shared" si="5"/>
        <v>Hair Color</v>
      </c>
      <c r="C342" s="4" t="s">
        <v>1786</v>
      </c>
      <c r="D342" s="4" t="s">
        <v>150</v>
      </c>
      <c r="E342" s="24" t="s">
        <v>36</v>
      </c>
      <c r="F342" s="12" t="s">
        <v>496</v>
      </c>
      <c r="G342" s="4" t="s">
        <v>1787</v>
      </c>
      <c r="H342" s="3">
        <v>24</v>
      </c>
      <c r="I342" s="3">
        <v>18</v>
      </c>
      <c r="J342" s="3">
        <v>18</v>
      </c>
      <c r="K342" s="3">
        <v>6</v>
      </c>
      <c r="L342" s="3">
        <v>12</v>
      </c>
      <c r="M342" s="3">
        <v>6</v>
      </c>
      <c r="N342" s="3">
        <v>12</v>
      </c>
      <c r="O342" s="3">
        <v>0</v>
      </c>
      <c r="P342" s="3">
        <v>0</v>
      </c>
      <c r="Q342" s="3">
        <v>18</v>
      </c>
      <c r="R342" s="3">
        <v>48</v>
      </c>
      <c r="S342" s="3">
        <v>132</v>
      </c>
      <c r="T342" s="3">
        <v>72</v>
      </c>
      <c r="U342" s="3">
        <v>48</v>
      </c>
      <c r="V342" s="3">
        <v>48</v>
      </c>
      <c r="W342" s="3">
        <v>54</v>
      </c>
      <c r="X342" s="3">
        <v>84</v>
      </c>
      <c r="Y342" s="3">
        <v>18</v>
      </c>
      <c r="Z342" s="3">
        <v>6</v>
      </c>
      <c r="AA342" s="3">
        <v>12</v>
      </c>
      <c r="AB342" s="3">
        <v>30</v>
      </c>
      <c r="AC342" s="3">
        <v>18</v>
      </c>
      <c r="AD342" s="3">
        <v>42</v>
      </c>
      <c r="AE342" s="3">
        <v>6</v>
      </c>
      <c r="AF342" s="3">
        <v>18</v>
      </c>
      <c r="AG342" s="3">
        <v>18</v>
      </c>
      <c r="AH342" s="3">
        <v>12</v>
      </c>
      <c r="AI342" s="3">
        <v>18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84</v>
      </c>
      <c r="AQ342" s="3">
        <v>18</v>
      </c>
      <c r="AR342" s="3">
        <v>60</v>
      </c>
      <c r="AS342" s="3">
        <v>24</v>
      </c>
      <c r="AT342" s="3">
        <v>6</v>
      </c>
      <c r="AU342" s="3">
        <v>24</v>
      </c>
      <c r="AV342" s="3">
        <v>54</v>
      </c>
      <c r="AW342" s="3">
        <v>84</v>
      </c>
    </row>
    <row r="343" spans="1:49">
      <c r="A343" s="4" t="s">
        <v>35</v>
      </c>
      <c r="B343" s="4" t="str">
        <f t="shared" si="5"/>
        <v>Hair Color</v>
      </c>
      <c r="C343" s="4" t="s">
        <v>1786</v>
      </c>
      <c r="D343" s="4" t="s">
        <v>150</v>
      </c>
      <c r="E343" s="24" t="s">
        <v>36</v>
      </c>
      <c r="F343" s="12" t="s">
        <v>497</v>
      </c>
      <c r="G343" s="4" t="s">
        <v>1787</v>
      </c>
      <c r="H343" s="3">
        <v>18</v>
      </c>
      <c r="I343" s="3">
        <v>48</v>
      </c>
      <c r="J343" s="3">
        <v>66</v>
      </c>
      <c r="K343" s="3">
        <v>54</v>
      </c>
      <c r="L343" s="3">
        <v>30</v>
      </c>
      <c r="M343" s="3">
        <v>36</v>
      </c>
      <c r="N343" s="3">
        <v>18</v>
      </c>
      <c r="O343" s="3">
        <v>12</v>
      </c>
      <c r="P343" s="3">
        <v>30</v>
      </c>
      <c r="Q343" s="3">
        <v>6</v>
      </c>
      <c r="R343" s="3">
        <v>54</v>
      </c>
      <c r="S343" s="3">
        <v>30</v>
      </c>
      <c r="T343" s="3">
        <v>132</v>
      </c>
      <c r="U343" s="3">
        <v>120</v>
      </c>
      <c r="V343" s="3">
        <v>72</v>
      </c>
      <c r="W343" s="3">
        <v>66</v>
      </c>
      <c r="X343" s="3">
        <v>84</v>
      </c>
      <c r="Y343" s="3">
        <v>12</v>
      </c>
      <c r="Z343" s="3">
        <v>24</v>
      </c>
      <c r="AA343" s="3">
        <v>18</v>
      </c>
      <c r="AB343" s="3">
        <v>0</v>
      </c>
      <c r="AC343" s="3">
        <v>12</v>
      </c>
      <c r="AD343" s="3">
        <v>42</v>
      </c>
      <c r="AE343" s="3">
        <v>48</v>
      </c>
      <c r="AF343" s="3">
        <v>36</v>
      </c>
      <c r="AG343" s="3">
        <v>0</v>
      </c>
      <c r="AH343" s="3">
        <v>0</v>
      </c>
      <c r="AI343" s="3">
        <v>12</v>
      </c>
      <c r="AJ343" s="3">
        <v>60</v>
      </c>
      <c r="AK343" s="3">
        <v>42</v>
      </c>
      <c r="AL343" s="3">
        <v>0</v>
      </c>
      <c r="AM343" s="3">
        <v>6</v>
      </c>
      <c r="AN343" s="3">
        <v>78</v>
      </c>
      <c r="AO343" s="3">
        <v>24</v>
      </c>
      <c r="AP343" s="3">
        <v>0</v>
      </c>
      <c r="AQ343" s="3">
        <v>6</v>
      </c>
      <c r="AR343" s="3">
        <v>114</v>
      </c>
      <c r="AS343" s="3">
        <v>48</v>
      </c>
      <c r="AT343" s="3">
        <v>12</v>
      </c>
      <c r="AU343" s="3">
        <v>54</v>
      </c>
      <c r="AV343" s="3">
        <v>18</v>
      </c>
      <c r="AW343" s="3">
        <v>36</v>
      </c>
    </row>
    <row r="344" spans="1:49">
      <c r="A344" s="4" t="s">
        <v>35</v>
      </c>
      <c r="B344" s="4" t="str">
        <f t="shared" si="5"/>
        <v>Hair Color</v>
      </c>
      <c r="C344" s="4" t="s">
        <v>1786</v>
      </c>
      <c r="D344" s="4" t="s">
        <v>150</v>
      </c>
      <c r="E344" s="24" t="s">
        <v>36</v>
      </c>
      <c r="F344" s="12" t="s">
        <v>497</v>
      </c>
      <c r="G344" s="4" t="s">
        <v>1787</v>
      </c>
      <c r="H344" s="3">
        <v>6</v>
      </c>
      <c r="I344" s="3">
        <v>0</v>
      </c>
      <c r="J344" s="3">
        <v>0</v>
      </c>
      <c r="K344" s="3">
        <v>54</v>
      </c>
      <c r="L344" s="3">
        <v>6</v>
      </c>
      <c r="M344" s="3">
        <v>18</v>
      </c>
      <c r="N344" s="3">
        <v>0</v>
      </c>
      <c r="O344" s="3">
        <v>6</v>
      </c>
      <c r="P344" s="3">
        <v>48</v>
      </c>
      <c r="Q344" s="3">
        <v>18</v>
      </c>
      <c r="R344" s="3">
        <v>24</v>
      </c>
      <c r="S344" s="3">
        <v>18</v>
      </c>
      <c r="T344" s="3">
        <v>6</v>
      </c>
      <c r="U344" s="3">
        <v>6</v>
      </c>
      <c r="V344" s="3">
        <v>18</v>
      </c>
      <c r="W344" s="3">
        <v>0</v>
      </c>
      <c r="X344" s="3">
        <v>60</v>
      </c>
      <c r="Y344" s="3">
        <v>0</v>
      </c>
      <c r="Z344" s="3">
        <v>24</v>
      </c>
      <c r="AA344" s="3">
        <v>0</v>
      </c>
      <c r="AB344" s="3">
        <v>0</v>
      </c>
      <c r="AC344" s="3">
        <v>102</v>
      </c>
      <c r="AD344" s="3">
        <v>18</v>
      </c>
      <c r="AE344" s="3">
        <v>12</v>
      </c>
      <c r="AF344" s="3">
        <v>12</v>
      </c>
      <c r="AG344" s="3">
        <v>12</v>
      </c>
      <c r="AH344" s="3">
        <v>0</v>
      </c>
      <c r="AI344" s="3">
        <v>36</v>
      </c>
      <c r="AJ344" s="3">
        <v>18</v>
      </c>
      <c r="AK344" s="3">
        <v>6</v>
      </c>
      <c r="AL344" s="3">
        <v>36</v>
      </c>
      <c r="AM344" s="3">
        <v>0</v>
      </c>
      <c r="AN344" s="3">
        <v>84</v>
      </c>
      <c r="AO344" s="3">
        <v>0</v>
      </c>
      <c r="AP344" s="3">
        <v>66</v>
      </c>
      <c r="AQ344" s="3">
        <v>18</v>
      </c>
      <c r="AR344" s="3">
        <v>18</v>
      </c>
      <c r="AS344" s="3">
        <v>36</v>
      </c>
      <c r="AT344" s="3">
        <v>120</v>
      </c>
      <c r="AU344" s="3">
        <v>36</v>
      </c>
      <c r="AV344" s="3">
        <v>18</v>
      </c>
      <c r="AW344" s="3">
        <v>48</v>
      </c>
    </row>
    <row r="345" spans="1:49">
      <c r="A345" s="4" t="s">
        <v>35</v>
      </c>
      <c r="B345" s="4" t="str">
        <f t="shared" si="5"/>
        <v>Hair Color</v>
      </c>
      <c r="C345" s="4" t="s">
        <v>1786</v>
      </c>
      <c r="D345" s="4" t="s">
        <v>150</v>
      </c>
      <c r="E345" s="24" t="s">
        <v>36</v>
      </c>
      <c r="F345" s="12" t="s">
        <v>498</v>
      </c>
      <c r="G345" s="4" t="s">
        <v>1787</v>
      </c>
      <c r="H345" s="3">
        <v>0</v>
      </c>
      <c r="I345" s="3">
        <v>0</v>
      </c>
      <c r="J345" s="3">
        <v>276</v>
      </c>
      <c r="K345" s="3">
        <v>204</v>
      </c>
      <c r="L345" s="3">
        <v>0</v>
      </c>
      <c r="M345" s="3">
        <v>204</v>
      </c>
      <c r="N345" s="3">
        <v>114</v>
      </c>
      <c r="O345" s="3">
        <v>54</v>
      </c>
      <c r="P345" s="3">
        <v>144</v>
      </c>
      <c r="Q345" s="3">
        <v>90</v>
      </c>
      <c r="R345" s="3">
        <v>102</v>
      </c>
      <c r="S345" s="3">
        <v>156</v>
      </c>
      <c r="T345" s="3">
        <v>174</v>
      </c>
      <c r="U345" s="3">
        <v>72</v>
      </c>
      <c r="V345" s="3">
        <v>126</v>
      </c>
      <c r="W345" s="3">
        <v>108</v>
      </c>
      <c r="X345" s="3">
        <v>120</v>
      </c>
      <c r="Y345" s="3">
        <v>108</v>
      </c>
      <c r="Z345" s="3">
        <v>96</v>
      </c>
      <c r="AA345" s="3">
        <v>42</v>
      </c>
      <c r="AB345" s="3">
        <v>144</v>
      </c>
      <c r="AC345" s="3">
        <v>90</v>
      </c>
      <c r="AD345" s="3">
        <v>72</v>
      </c>
      <c r="AE345" s="3">
        <v>120</v>
      </c>
      <c r="AF345" s="3">
        <v>132</v>
      </c>
      <c r="AG345" s="3">
        <v>96</v>
      </c>
      <c r="AH345" s="3">
        <v>60</v>
      </c>
      <c r="AI345" s="3">
        <v>126</v>
      </c>
      <c r="AJ345" s="3">
        <v>66</v>
      </c>
      <c r="AK345" s="3">
        <v>0</v>
      </c>
      <c r="AL345" s="3">
        <v>216</v>
      </c>
      <c r="AM345" s="3">
        <v>168</v>
      </c>
      <c r="AN345" s="3">
        <v>90</v>
      </c>
      <c r="AO345" s="3">
        <v>0</v>
      </c>
      <c r="AP345" s="3">
        <v>174</v>
      </c>
      <c r="AQ345" s="3">
        <v>84</v>
      </c>
      <c r="AR345" s="3">
        <v>156</v>
      </c>
      <c r="AS345" s="3">
        <v>120</v>
      </c>
      <c r="AT345" s="3">
        <v>192</v>
      </c>
      <c r="AU345" s="3">
        <v>150</v>
      </c>
      <c r="AV345" s="3">
        <v>108</v>
      </c>
      <c r="AW345" s="3">
        <v>96</v>
      </c>
    </row>
    <row r="346" spans="1:49">
      <c r="A346" s="4" t="s">
        <v>35</v>
      </c>
      <c r="B346" s="4" t="str">
        <f t="shared" si="5"/>
        <v>Hair Color</v>
      </c>
      <c r="C346" s="4" t="s">
        <v>1786</v>
      </c>
      <c r="D346" s="4" t="s">
        <v>150</v>
      </c>
      <c r="E346" s="24" t="s">
        <v>36</v>
      </c>
      <c r="F346" s="12" t="s">
        <v>499</v>
      </c>
      <c r="G346" s="4" t="s">
        <v>1787</v>
      </c>
      <c r="H346" s="3">
        <v>24</v>
      </c>
      <c r="I346" s="3">
        <v>6</v>
      </c>
      <c r="J346" s="3">
        <v>12</v>
      </c>
      <c r="K346" s="3">
        <v>72</v>
      </c>
      <c r="L346" s="3">
        <v>36</v>
      </c>
      <c r="M346" s="3">
        <v>30</v>
      </c>
      <c r="N346" s="3">
        <v>42</v>
      </c>
      <c r="O346" s="3">
        <v>18</v>
      </c>
      <c r="P346" s="3">
        <v>84</v>
      </c>
      <c r="Q346" s="3">
        <v>24</v>
      </c>
      <c r="R346" s="3">
        <v>36</v>
      </c>
      <c r="S346" s="3">
        <v>42</v>
      </c>
      <c r="T346" s="3">
        <v>48</v>
      </c>
      <c r="U346" s="3">
        <v>48</v>
      </c>
      <c r="V346" s="3">
        <v>66</v>
      </c>
      <c r="W346" s="3">
        <v>60</v>
      </c>
      <c r="X346" s="3">
        <v>42</v>
      </c>
      <c r="Y346" s="3">
        <v>18</v>
      </c>
      <c r="Z346" s="3">
        <v>60</v>
      </c>
      <c r="AA346" s="3">
        <v>24</v>
      </c>
      <c r="AB346" s="3">
        <v>36</v>
      </c>
      <c r="AC346" s="3">
        <v>12</v>
      </c>
      <c r="AD346" s="3">
        <v>30</v>
      </c>
      <c r="AE346" s="3">
        <v>12</v>
      </c>
      <c r="AF346" s="3">
        <v>0</v>
      </c>
      <c r="AG346" s="3">
        <v>0</v>
      </c>
      <c r="AH346" s="3">
        <v>0</v>
      </c>
      <c r="AI346" s="3">
        <v>60</v>
      </c>
      <c r="AJ346" s="3">
        <v>0</v>
      </c>
      <c r="AK346" s="3">
        <v>12</v>
      </c>
      <c r="AL346" s="3">
        <v>30</v>
      </c>
      <c r="AM346" s="3">
        <v>6</v>
      </c>
      <c r="AN346" s="3">
        <v>72</v>
      </c>
      <c r="AO346" s="3">
        <v>12</v>
      </c>
      <c r="AP346" s="3">
        <v>84</v>
      </c>
      <c r="AQ346" s="3">
        <v>18</v>
      </c>
      <c r="AR346" s="3">
        <v>42</v>
      </c>
      <c r="AS346" s="3">
        <v>48</v>
      </c>
      <c r="AT346" s="3">
        <v>138</v>
      </c>
      <c r="AU346" s="3">
        <v>60</v>
      </c>
      <c r="AV346" s="3">
        <v>66</v>
      </c>
      <c r="AW346" s="3">
        <v>36</v>
      </c>
    </row>
    <row r="347" spans="1:49">
      <c r="A347" s="4" t="s">
        <v>35</v>
      </c>
      <c r="B347" s="4" t="str">
        <f t="shared" si="5"/>
        <v>Hair Color</v>
      </c>
      <c r="C347" s="4" t="s">
        <v>1786</v>
      </c>
      <c r="D347" s="4" t="s">
        <v>150</v>
      </c>
      <c r="E347" s="24" t="s">
        <v>36</v>
      </c>
      <c r="F347" s="12" t="s">
        <v>500</v>
      </c>
      <c r="G347" s="4" t="s">
        <v>1787</v>
      </c>
      <c r="H347" s="3">
        <v>60</v>
      </c>
      <c r="I347" s="3">
        <v>0</v>
      </c>
      <c r="J347" s="3">
        <v>294</v>
      </c>
      <c r="K347" s="3">
        <v>18</v>
      </c>
      <c r="L347" s="3">
        <v>0</v>
      </c>
      <c r="M347" s="3">
        <v>300</v>
      </c>
      <c r="N347" s="3">
        <v>114</v>
      </c>
      <c r="O347" s="3">
        <v>24</v>
      </c>
      <c r="P347" s="3">
        <v>126</v>
      </c>
      <c r="Q347" s="3">
        <v>246</v>
      </c>
      <c r="R347" s="3">
        <v>120</v>
      </c>
      <c r="S347" s="3">
        <v>60</v>
      </c>
      <c r="T347" s="3">
        <v>132</v>
      </c>
      <c r="U347" s="3">
        <v>138</v>
      </c>
      <c r="V347" s="3">
        <v>90</v>
      </c>
      <c r="W347" s="3">
        <v>96</v>
      </c>
      <c r="X347" s="3">
        <v>78</v>
      </c>
      <c r="Y347" s="3">
        <v>78</v>
      </c>
      <c r="Z347" s="3">
        <v>0</v>
      </c>
      <c r="AA347" s="3">
        <v>228</v>
      </c>
      <c r="AB347" s="3">
        <v>78</v>
      </c>
      <c r="AC347" s="3">
        <v>24</v>
      </c>
      <c r="AD347" s="3">
        <v>144</v>
      </c>
      <c r="AE347" s="3">
        <v>84</v>
      </c>
      <c r="AF347" s="3">
        <v>114</v>
      </c>
      <c r="AG347" s="3">
        <v>168</v>
      </c>
      <c r="AH347" s="3">
        <v>96</v>
      </c>
      <c r="AI347" s="3">
        <v>48</v>
      </c>
      <c r="AJ347" s="3">
        <v>78</v>
      </c>
      <c r="AK347" s="3">
        <v>66</v>
      </c>
      <c r="AL347" s="3">
        <v>138</v>
      </c>
      <c r="AM347" s="3">
        <v>54</v>
      </c>
      <c r="AN347" s="3">
        <v>48</v>
      </c>
      <c r="AO347" s="3">
        <v>42</v>
      </c>
      <c r="AP347" s="3">
        <v>150</v>
      </c>
      <c r="AQ347" s="3">
        <v>54</v>
      </c>
      <c r="AR347" s="3">
        <v>126</v>
      </c>
      <c r="AS347" s="3">
        <v>90</v>
      </c>
      <c r="AT347" s="3">
        <v>42</v>
      </c>
      <c r="AU347" s="3">
        <v>48</v>
      </c>
      <c r="AV347" s="3">
        <v>114</v>
      </c>
      <c r="AW347" s="3">
        <v>54</v>
      </c>
    </row>
    <row r="348" spans="1:49">
      <c r="A348" s="4" t="s">
        <v>35</v>
      </c>
      <c r="B348" s="4" t="str">
        <f t="shared" si="5"/>
        <v>Hair Color</v>
      </c>
      <c r="C348" s="4" t="s">
        <v>1786</v>
      </c>
      <c r="D348" s="4" t="s">
        <v>150</v>
      </c>
      <c r="E348" s="24" t="s">
        <v>36</v>
      </c>
      <c r="F348" s="12" t="s">
        <v>501</v>
      </c>
      <c r="G348" s="4" t="s">
        <v>1787</v>
      </c>
      <c r="H348" s="3">
        <v>156</v>
      </c>
      <c r="I348" s="3">
        <v>0</v>
      </c>
      <c r="J348" s="3">
        <v>198</v>
      </c>
      <c r="K348" s="3">
        <v>42</v>
      </c>
      <c r="L348" s="3">
        <v>114</v>
      </c>
      <c r="M348" s="3">
        <v>312</v>
      </c>
      <c r="N348" s="3">
        <v>18</v>
      </c>
      <c r="O348" s="3">
        <v>48</v>
      </c>
      <c r="P348" s="3">
        <v>300</v>
      </c>
      <c r="Q348" s="3">
        <v>144</v>
      </c>
      <c r="R348" s="3">
        <v>96</v>
      </c>
      <c r="S348" s="3">
        <v>174</v>
      </c>
      <c r="T348" s="3">
        <v>144</v>
      </c>
      <c r="U348" s="3">
        <v>192</v>
      </c>
      <c r="V348" s="3">
        <v>90</v>
      </c>
      <c r="W348" s="3">
        <v>120</v>
      </c>
      <c r="X348" s="3">
        <v>138</v>
      </c>
      <c r="Y348" s="3">
        <v>162</v>
      </c>
      <c r="Z348" s="3">
        <v>192</v>
      </c>
      <c r="AA348" s="3">
        <v>132</v>
      </c>
      <c r="AB348" s="3">
        <v>210</v>
      </c>
      <c r="AC348" s="3">
        <v>186</v>
      </c>
      <c r="AD348" s="3">
        <v>114</v>
      </c>
      <c r="AE348" s="3">
        <v>96</v>
      </c>
      <c r="AF348" s="3">
        <v>252</v>
      </c>
      <c r="AG348" s="3">
        <v>78</v>
      </c>
      <c r="AH348" s="3">
        <v>0</v>
      </c>
      <c r="AI348" s="3">
        <v>246</v>
      </c>
      <c r="AJ348" s="3">
        <v>120</v>
      </c>
      <c r="AK348" s="3">
        <v>108</v>
      </c>
      <c r="AL348" s="3">
        <v>162</v>
      </c>
      <c r="AM348" s="3">
        <v>138</v>
      </c>
      <c r="AN348" s="3">
        <v>282</v>
      </c>
      <c r="AO348" s="3">
        <v>12</v>
      </c>
      <c r="AP348" s="3">
        <v>336</v>
      </c>
      <c r="AQ348" s="3">
        <v>168</v>
      </c>
      <c r="AR348" s="3">
        <v>252</v>
      </c>
      <c r="AS348" s="3">
        <v>252</v>
      </c>
      <c r="AT348" s="3">
        <v>228</v>
      </c>
      <c r="AU348" s="3">
        <v>168</v>
      </c>
      <c r="AV348" s="3">
        <v>132</v>
      </c>
      <c r="AW348" s="3">
        <v>210</v>
      </c>
    </row>
    <row r="349" spans="1:49">
      <c r="A349" s="4" t="s">
        <v>35</v>
      </c>
      <c r="B349" s="4" t="str">
        <f t="shared" si="5"/>
        <v>Hair Color</v>
      </c>
      <c r="C349" s="4" t="s">
        <v>1786</v>
      </c>
      <c r="D349" s="4" t="s">
        <v>150</v>
      </c>
      <c r="E349" s="24" t="s">
        <v>36</v>
      </c>
      <c r="F349" s="12" t="s">
        <v>502</v>
      </c>
      <c r="G349" s="4" t="s">
        <v>1787</v>
      </c>
      <c r="H349" s="3">
        <v>18</v>
      </c>
      <c r="I349" s="3">
        <v>18</v>
      </c>
      <c r="J349" s="3">
        <v>6</v>
      </c>
      <c r="K349" s="3">
        <v>24</v>
      </c>
      <c r="L349" s="3">
        <v>12</v>
      </c>
      <c r="M349" s="3">
        <v>24</v>
      </c>
      <c r="N349" s="3">
        <v>0</v>
      </c>
      <c r="O349" s="3">
        <v>12</v>
      </c>
      <c r="P349" s="3">
        <v>24</v>
      </c>
      <c r="Q349" s="3">
        <v>21</v>
      </c>
      <c r="R349" s="3">
        <v>54</v>
      </c>
      <c r="S349" s="3">
        <v>36</v>
      </c>
      <c r="T349" s="3">
        <v>18</v>
      </c>
      <c r="U349" s="3">
        <v>78</v>
      </c>
      <c r="V349" s="3">
        <v>126</v>
      </c>
      <c r="W349" s="3">
        <v>0</v>
      </c>
      <c r="X349" s="3">
        <v>96</v>
      </c>
      <c r="Y349" s="3">
        <v>60</v>
      </c>
      <c r="Z349" s="3">
        <v>30</v>
      </c>
      <c r="AA349" s="3">
        <v>18</v>
      </c>
      <c r="AB349" s="3">
        <v>6</v>
      </c>
      <c r="AC349" s="3">
        <v>6</v>
      </c>
      <c r="AD349" s="3">
        <v>0</v>
      </c>
      <c r="AE349" s="3">
        <v>36</v>
      </c>
      <c r="AF349" s="3">
        <v>36</v>
      </c>
      <c r="AG349" s="3">
        <v>12</v>
      </c>
      <c r="AH349" s="3">
        <v>6</v>
      </c>
      <c r="AI349" s="3">
        <v>42</v>
      </c>
      <c r="AJ349" s="3">
        <v>30</v>
      </c>
      <c r="AK349" s="3">
        <v>84</v>
      </c>
      <c r="AL349" s="3">
        <v>42</v>
      </c>
      <c r="AM349" s="3">
        <v>60</v>
      </c>
      <c r="AN349" s="3">
        <v>12</v>
      </c>
      <c r="AO349" s="3">
        <v>12</v>
      </c>
      <c r="AP349" s="3">
        <v>36</v>
      </c>
      <c r="AQ349" s="3">
        <v>12</v>
      </c>
      <c r="AR349" s="3">
        <v>18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</row>
    <row r="350" spans="1:49">
      <c r="A350" s="4" t="s">
        <v>35</v>
      </c>
      <c r="B350" s="4" t="str">
        <f t="shared" si="5"/>
        <v>Hair Color</v>
      </c>
      <c r="C350" s="4" t="s">
        <v>1786</v>
      </c>
      <c r="D350" s="4" t="s">
        <v>150</v>
      </c>
      <c r="E350" s="24" t="s">
        <v>503</v>
      </c>
      <c r="F350" s="12" t="s">
        <v>504</v>
      </c>
      <c r="G350" s="4" t="s">
        <v>1787</v>
      </c>
      <c r="H350" s="3">
        <v>120</v>
      </c>
      <c r="I350" s="3">
        <v>102</v>
      </c>
      <c r="J350" s="3">
        <v>69</v>
      </c>
      <c r="K350" s="3">
        <v>63</v>
      </c>
      <c r="L350" s="3">
        <v>60</v>
      </c>
      <c r="M350" s="3">
        <v>99</v>
      </c>
      <c r="N350" s="3">
        <v>81</v>
      </c>
      <c r="O350" s="3">
        <v>81</v>
      </c>
      <c r="P350" s="3">
        <v>69</v>
      </c>
      <c r="Q350" s="3">
        <v>120</v>
      </c>
      <c r="R350" s="3">
        <v>39</v>
      </c>
      <c r="S350" s="3">
        <v>48</v>
      </c>
      <c r="T350" s="3">
        <v>60</v>
      </c>
      <c r="U350" s="3">
        <v>87</v>
      </c>
      <c r="V350" s="3">
        <v>72</v>
      </c>
      <c r="W350" s="3">
        <v>33</v>
      </c>
      <c r="X350" s="3">
        <v>42</v>
      </c>
      <c r="Y350" s="3">
        <v>144</v>
      </c>
      <c r="Z350" s="3">
        <v>18</v>
      </c>
      <c r="AA350" s="3">
        <v>54</v>
      </c>
      <c r="AB350" s="3">
        <v>69</v>
      </c>
      <c r="AC350" s="3">
        <v>30</v>
      </c>
      <c r="AD350" s="3">
        <v>24</v>
      </c>
      <c r="AE350" s="3">
        <v>57</v>
      </c>
      <c r="AF350" s="3">
        <v>66</v>
      </c>
      <c r="AG350" s="3">
        <v>48</v>
      </c>
      <c r="AH350" s="3">
        <v>21</v>
      </c>
      <c r="AI350" s="3">
        <v>0</v>
      </c>
      <c r="AJ350" s="3">
        <v>69</v>
      </c>
      <c r="AK350" s="3">
        <v>57</v>
      </c>
      <c r="AL350" s="3">
        <v>0</v>
      </c>
      <c r="AM350" s="3">
        <v>180</v>
      </c>
      <c r="AN350" s="3">
        <v>81</v>
      </c>
      <c r="AO350" s="3">
        <v>99</v>
      </c>
      <c r="AP350" s="3">
        <v>27</v>
      </c>
      <c r="AQ350" s="3">
        <v>0</v>
      </c>
      <c r="AR350" s="3">
        <v>144</v>
      </c>
      <c r="AS350" s="3">
        <v>30</v>
      </c>
      <c r="AT350" s="3">
        <v>66</v>
      </c>
      <c r="AU350" s="3">
        <v>36</v>
      </c>
      <c r="AV350" s="3">
        <v>33</v>
      </c>
      <c r="AW350" s="3">
        <v>60</v>
      </c>
    </row>
    <row r="351" spans="1:49">
      <c r="A351" s="4" t="s">
        <v>35</v>
      </c>
      <c r="B351" s="4" t="str">
        <f t="shared" si="5"/>
        <v>Hair Color</v>
      </c>
      <c r="C351" s="4" t="s">
        <v>1786</v>
      </c>
      <c r="D351" s="4" t="s">
        <v>150</v>
      </c>
      <c r="E351" s="24" t="s">
        <v>503</v>
      </c>
      <c r="F351" s="12" t="s">
        <v>505</v>
      </c>
      <c r="G351" s="4" t="s">
        <v>1787</v>
      </c>
      <c r="H351" s="3">
        <v>48</v>
      </c>
      <c r="I351" s="3">
        <v>117</v>
      </c>
      <c r="J351" s="3">
        <v>54</v>
      </c>
      <c r="K351" s="3">
        <v>21</v>
      </c>
      <c r="L351" s="3">
        <v>72</v>
      </c>
      <c r="M351" s="3">
        <v>51</v>
      </c>
      <c r="N351" s="3">
        <v>39</v>
      </c>
      <c r="O351" s="3">
        <v>21</v>
      </c>
      <c r="P351" s="3">
        <v>108</v>
      </c>
      <c r="Q351" s="3">
        <v>66</v>
      </c>
      <c r="R351" s="3">
        <v>45</v>
      </c>
      <c r="S351" s="3">
        <v>42</v>
      </c>
      <c r="T351" s="3">
        <v>27</v>
      </c>
      <c r="U351" s="3">
        <v>102</v>
      </c>
      <c r="V351" s="3">
        <v>24</v>
      </c>
      <c r="W351" s="3">
        <v>51</v>
      </c>
      <c r="X351" s="3">
        <v>27</v>
      </c>
      <c r="Y351" s="3">
        <v>96</v>
      </c>
      <c r="Z351" s="3">
        <v>36</v>
      </c>
      <c r="AA351" s="3">
        <v>33</v>
      </c>
      <c r="AB351" s="3">
        <v>66</v>
      </c>
      <c r="AC351" s="3">
        <v>84</v>
      </c>
      <c r="AD351" s="3">
        <v>30</v>
      </c>
      <c r="AE351" s="3">
        <v>48</v>
      </c>
      <c r="AF351" s="3">
        <v>21</v>
      </c>
      <c r="AG351" s="3">
        <v>9</v>
      </c>
      <c r="AH351" s="3">
        <v>69</v>
      </c>
      <c r="AI351" s="3">
        <v>57</v>
      </c>
      <c r="AJ351" s="3">
        <v>48</v>
      </c>
      <c r="AK351" s="3">
        <v>24</v>
      </c>
      <c r="AL351" s="3">
        <v>57</v>
      </c>
      <c r="AM351" s="3">
        <v>81</v>
      </c>
      <c r="AN351" s="3">
        <v>93</v>
      </c>
      <c r="AO351" s="3">
        <v>12</v>
      </c>
      <c r="AP351" s="3">
        <v>345</v>
      </c>
      <c r="AQ351" s="3">
        <v>129</v>
      </c>
      <c r="AR351" s="3">
        <v>78</v>
      </c>
      <c r="AS351" s="3">
        <v>39</v>
      </c>
      <c r="AT351" s="3">
        <v>12</v>
      </c>
      <c r="AU351" s="3">
        <v>63</v>
      </c>
      <c r="AV351" s="3">
        <v>30</v>
      </c>
      <c r="AW351" s="3">
        <v>102</v>
      </c>
    </row>
    <row r="352" spans="1:49">
      <c r="A352" s="4" t="s">
        <v>35</v>
      </c>
      <c r="B352" s="4" t="str">
        <f t="shared" si="5"/>
        <v>Hair Color</v>
      </c>
      <c r="C352" s="4" t="s">
        <v>1786</v>
      </c>
      <c r="D352" s="4" t="s">
        <v>150</v>
      </c>
      <c r="E352" s="24" t="s">
        <v>503</v>
      </c>
      <c r="F352" s="12" t="s">
        <v>506</v>
      </c>
      <c r="G352" s="4" t="s">
        <v>1787</v>
      </c>
      <c r="H352" s="3">
        <v>78</v>
      </c>
      <c r="I352" s="3">
        <v>93</v>
      </c>
      <c r="J352" s="3">
        <v>84</v>
      </c>
      <c r="K352" s="3">
        <v>51</v>
      </c>
      <c r="L352" s="3">
        <v>57</v>
      </c>
      <c r="M352" s="3">
        <v>84</v>
      </c>
      <c r="N352" s="3">
        <v>51</v>
      </c>
      <c r="O352" s="3">
        <v>75</v>
      </c>
      <c r="P352" s="3">
        <v>102</v>
      </c>
      <c r="Q352" s="3">
        <v>117</v>
      </c>
      <c r="R352" s="3">
        <v>63</v>
      </c>
      <c r="S352" s="3">
        <v>87</v>
      </c>
      <c r="T352" s="3">
        <v>90</v>
      </c>
      <c r="U352" s="3">
        <v>180</v>
      </c>
      <c r="V352" s="3">
        <v>84</v>
      </c>
      <c r="W352" s="3">
        <v>51</v>
      </c>
      <c r="X352" s="3">
        <v>51</v>
      </c>
      <c r="Y352" s="3">
        <v>126</v>
      </c>
      <c r="Z352" s="3">
        <v>99</v>
      </c>
      <c r="AA352" s="3">
        <v>48</v>
      </c>
      <c r="AB352" s="3">
        <v>132</v>
      </c>
      <c r="AC352" s="3">
        <v>78</v>
      </c>
      <c r="AD352" s="3">
        <v>12</v>
      </c>
      <c r="AE352" s="3">
        <v>132</v>
      </c>
      <c r="AF352" s="3">
        <v>81</v>
      </c>
      <c r="AG352" s="3">
        <v>87</v>
      </c>
      <c r="AH352" s="3">
        <v>87</v>
      </c>
      <c r="AI352" s="3">
        <v>84</v>
      </c>
      <c r="AJ352" s="3">
        <v>87</v>
      </c>
      <c r="AK352" s="3">
        <v>66</v>
      </c>
      <c r="AL352" s="3">
        <v>63</v>
      </c>
      <c r="AM352" s="3">
        <v>87</v>
      </c>
      <c r="AN352" s="3">
        <v>0</v>
      </c>
      <c r="AO352" s="3">
        <v>0</v>
      </c>
      <c r="AP352" s="3">
        <v>117</v>
      </c>
      <c r="AQ352" s="3">
        <v>177</v>
      </c>
      <c r="AR352" s="3">
        <v>147</v>
      </c>
      <c r="AS352" s="3">
        <v>138</v>
      </c>
      <c r="AT352" s="3">
        <v>24</v>
      </c>
      <c r="AU352" s="3">
        <v>78</v>
      </c>
      <c r="AV352" s="3">
        <v>39</v>
      </c>
      <c r="AW352" s="3">
        <v>117</v>
      </c>
    </row>
    <row r="353" spans="1:49">
      <c r="A353" s="4" t="s">
        <v>35</v>
      </c>
      <c r="B353" s="4" t="str">
        <f t="shared" si="5"/>
        <v>Hair Color</v>
      </c>
      <c r="C353" s="4" t="s">
        <v>1786</v>
      </c>
      <c r="D353" s="4" t="s">
        <v>150</v>
      </c>
      <c r="E353" s="24" t="s">
        <v>503</v>
      </c>
      <c r="F353" s="12" t="s">
        <v>507</v>
      </c>
      <c r="G353" s="4" t="s">
        <v>1787</v>
      </c>
      <c r="H353" s="3">
        <v>381</v>
      </c>
      <c r="I353" s="3">
        <v>252</v>
      </c>
      <c r="J353" s="3">
        <v>261</v>
      </c>
      <c r="K353" s="3">
        <v>276</v>
      </c>
      <c r="L353" s="3">
        <v>279</v>
      </c>
      <c r="M353" s="3">
        <v>312</v>
      </c>
      <c r="N353" s="3">
        <v>249</v>
      </c>
      <c r="O353" s="3">
        <v>240</v>
      </c>
      <c r="P353" s="3">
        <v>225</v>
      </c>
      <c r="Q353" s="3">
        <v>300</v>
      </c>
      <c r="R353" s="3">
        <v>174</v>
      </c>
      <c r="S353" s="3">
        <v>246</v>
      </c>
      <c r="T353" s="3">
        <v>204</v>
      </c>
      <c r="U353" s="3">
        <v>276</v>
      </c>
      <c r="V353" s="3">
        <v>165</v>
      </c>
      <c r="W353" s="3">
        <v>186</v>
      </c>
      <c r="X353" s="3">
        <v>258</v>
      </c>
      <c r="Y353" s="3">
        <v>222</v>
      </c>
      <c r="Z353" s="3">
        <v>204</v>
      </c>
      <c r="AA353" s="3">
        <v>222</v>
      </c>
      <c r="AB353" s="3">
        <v>285</v>
      </c>
      <c r="AC353" s="3">
        <v>165</v>
      </c>
      <c r="AD353" s="3">
        <v>207</v>
      </c>
      <c r="AE353" s="3">
        <v>183</v>
      </c>
      <c r="AF353" s="3">
        <v>216</v>
      </c>
      <c r="AG353" s="3">
        <v>141</v>
      </c>
      <c r="AH353" s="3">
        <v>78</v>
      </c>
      <c r="AI353" s="3">
        <v>183</v>
      </c>
      <c r="AJ353" s="3">
        <v>141</v>
      </c>
      <c r="AK353" s="3">
        <v>48</v>
      </c>
      <c r="AL353" s="3">
        <v>285</v>
      </c>
      <c r="AM353" s="3">
        <v>6</v>
      </c>
      <c r="AN353" s="3">
        <v>0</v>
      </c>
      <c r="AO353" s="3">
        <v>0</v>
      </c>
      <c r="AP353" s="3">
        <v>198</v>
      </c>
      <c r="AQ353" s="3">
        <v>0</v>
      </c>
      <c r="AR353" s="3">
        <v>255</v>
      </c>
      <c r="AS353" s="3">
        <v>222</v>
      </c>
      <c r="AT353" s="3">
        <v>156</v>
      </c>
      <c r="AU353" s="3">
        <v>153</v>
      </c>
      <c r="AV353" s="3">
        <v>168</v>
      </c>
      <c r="AW353" s="3">
        <v>147</v>
      </c>
    </row>
    <row r="354" spans="1:49">
      <c r="A354" s="4" t="s">
        <v>35</v>
      </c>
      <c r="B354" s="4" t="str">
        <f t="shared" si="5"/>
        <v>Hair Color</v>
      </c>
      <c r="C354" s="4" t="s">
        <v>1786</v>
      </c>
      <c r="D354" s="4" t="s">
        <v>150</v>
      </c>
      <c r="E354" s="24" t="s">
        <v>47</v>
      </c>
      <c r="F354" s="12" t="s">
        <v>508</v>
      </c>
      <c r="G354" s="4" t="s">
        <v>1787</v>
      </c>
      <c r="H354" s="3">
        <v>381</v>
      </c>
      <c r="I354" s="3">
        <v>258</v>
      </c>
      <c r="J354" s="3">
        <v>243</v>
      </c>
      <c r="K354" s="3">
        <v>201</v>
      </c>
      <c r="L354" s="3">
        <v>201</v>
      </c>
      <c r="M354" s="3">
        <v>294</v>
      </c>
      <c r="N354" s="3">
        <v>291</v>
      </c>
      <c r="O354" s="3">
        <v>777</v>
      </c>
      <c r="P354" s="3">
        <v>555</v>
      </c>
      <c r="Q354" s="3">
        <v>255</v>
      </c>
      <c r="R354" s="3">
        <v>111</v>
      </c>
      <c r="S354" s="3">
        <v>297</v>
      </c>
      <c r="T354" s="3">
        <v>1068</v>
      </c>
      <c r="U354" s="3">
        <v>324</v>
      </c>
      <c r="V354" s="3">
        <v>87</v>
      </c>
      <c r="W354" s="3">
        <v>69</v>
      </c>
      <c r="X354" s="3">
        <v>-477</v>
      </c>
      <c r="Y354" s="3">
        <v>84</v>
      </c>
      <c r="Z354" s="3">
        <v>66</v>
      </c>
      <c r="AA354" s="3">
        <v>75</v>
      </c>
      <c r="AB354" s="3">
        <v>390</v>
      </c>
      <c r="AC354" s="3">
        <v>201</v>
      </c>
      <c r="AD354" s="3">
        <v>123</v>
      </c>
      <c r="AE354" s="3">
        <v>186</v>
      </c>
      <c r="AF354" s="3">
        <v>3</v>
      </c>
      <c r="AG354" s="3">
        <v>0</v>
      </c>
      <c r="AH354" s="3">
        <v>42</v>
      </c>
      <c r="AI354" s="3">
        <v>141</v>
      </c>
      <c r="AJ354" s="3">
        <v>120</v>
      </c>
      <c r="AK354" s="3">
        <v>87</v>
      </c>
      <c r="AL354" s="3">
        <v>78</v>
      </c>
      <c r="AM354" s="3">
        <v>105</v>
      </c>
      <c r="AN354" s="3">
        <v>183</v>
      </c>
      <c r="AO354" s="3">
        <v>141</v>
      </c>
      <c r="AP354" s="3">
        <v>156</v>
      </c>
      <c r="AQ354" s="3">
        <v>156</v>
      </c>
      <c r="AR354" s="3">
        <v>117</v>
      </c>
      <c r="AS354" s="3">
        <v>63</v>
      </c>
      <c r="AT354" s="3">
        <v>183</v>
      </c>
      <c r="AU354" s="3">
        <v>168</v>
      </c>
      <c r="AV354" s="3">
        <v>117</v>
      </c>
      <c r="AW354" s="3">
        <v>135</v>
      </c>
    </row>
    <row r="355" spans="1:49">
      <c r="A355" s="4" t="s">
        <v>35</v>
      </c>
      <c r="B355" s="4" t="str">
        <f t="shared" si="5"/>
        <v>Hair Color</v>
      </c>
      <c r="C355" s="4" t="s">
        <v>1786</v>
      </c>
      <c r="D355" s="4" t="s">
        <v>150</v>
      </c>
      <c r="E355" s="24" t="s">
        <v>47</v>
      </c>
      <c r="F355" s="12" t="s">
        <v>509</v>
      </c>
      <c r="G355" s="4" t="s">
        <v>1787</v>
      </c>
      <c r="H355" s="3">
        <v>243</v>
      </c>
      <c r="I355" s="3">
        <v>192</v>
      </c>
      <c r="J355" s="3">
        <v>204</v>
      </c>
      <c r="K355" s="3">
        <v>144</v>
      </c>
      <c r="L355" s="3">
        <v>186</v>
      </c>
      <c r="M355" s="3">
        <v>294</v>
      </c>
      <c r="N355" s="3">
        <v>267</v>
      </c>
      <c r="O355" s="3">
        <v>924</v>
      </c>
      <c r="P355" s="3">
        <v>528</v>
      </c>
      <c r="Q355" s="3">
        <v>252</v>
      </c>
      <c r="R355" s="3">
        <v>123</v>
      </c>
      <c r="S355" s="3">
        <v>222</v>
      </c>
      <c r="T355" s="3">
        <v>990</v>
      </c>
      <c r="U355" s="3">
        <v>297</v>
      </c>
      <c r="V355" s="3">
        <v>78</v>
      </c>
      <c r="W355" s="3">
        <v>66</v>
      </c>
      <c r="X355" s="3">
        <v>-534</v>
      </c>
      <c r="Y355" s="3">
        <v>66</v>
      </c>
      <c r="Z355" s="3">
        <v>57</v>
      </c>
      <c r="AA355" s="3">
        <v>87</v>
      </c>
      <c r="AB355" s="3">
        <v>528</v>
      </c>
      <c r="AC355" s="3">
        <v>180</v>
      </c>
      <c r="AD355" s="3">
        <v>69</v>
      </c>
      <c r="AE355" s="3">
        <v>183</v>
      </c>
      <c r="AF355" s="3">
        <v>342</v>
      </c>
      <c r="AG355" s="3">
        <v>0</v>
      </c>
      <c r="AH355" s="3">
        <v>45</v>
      </c>
      <c r="AI355" s="3">
        <v>192</v>
      </c>
      <c r="AJ355" s="3">
        <v>114</v>
      </c>
      <c r="AK355" s="3">
        <v>120</v>
      </c>
      <c r="AL355" s="3">
        <v>126</v>
      </c>
      <c r="AM355" s="3">
        <v>186</v>
      </c>
      <c r="AN355" s="3">
        <v>213</v>
      </c>
      <c r="AO355" s="3">
        <v>135</v>
      </c>
      <c r="AP355" s="3">
        <v>273</v>
      </c>
      <c r="AQ355" s="3">
        <v>162</v>
      </c>
      <c r="AR355" s="3">
        <v>198</v>
      </c>
      <c r="AS355" s="3">
        <v>87</v>
      </c>
      <c r="AT355" s="3">
        <v>153</v>
      </c>
      <c r="AU355" s="3">
        <v>162</v>
      </c>
      <c r="AV355" s="3">
        <v>90</v>
      </c>
      <c r="AW355" s="3">
        <v>165</v>
      </c>
    </row>
    <row r="356" spans="1:49">
      <c r="A356" s="4" t="s">
        <v>35</v>
      </c>
      <c r="B356" s="4" t="str">
        <f t="shared" si="5"/>
        <v>Hair Color</v>
      </c>
      <c r="C356" s="4" t="s">
        <v>1786</v>
      </c>
      <c r="D356" s="4" t="s">
        <v>150</v>
      </c>
      <c r="E356" s="24" t="s">
        <v>47</v>
      </c>
      <c r="F356" s="12" t="s">
        <v>510</v>
      </c>
      <c r="G356" s="4" t="s">
        <v>1787</v>
      </c>
      <c r="H356" s="3">
        <v>279</v>
      </c>
      <c r="I356" s="3">
        <v>303</v>
      </c>
      <c r="J356" s="3">
        <v>189</v>
      </c>
      <c r="K356" s="3">
        <v>207</v>
      </c>
      <c r="L356" s="3">
        <v>156</v>
      </c>
      <c r="M356" s="3">
        <v>264</v>
      </c>
      <c r="N356" s="3">
        <v>330</v>
      </c>
      <c r="O356" s="3">
        <v>771</v>
      </c>
      <c r="P356" s="3">
        <v>549</v>
      </c>
      <c r="Q356" s="3">
        <v>261</v>
      </c>
      <c r="R356" s="3">
        <v>132</v>
      </c>
      <c r="S356" s="3">
        <v>243</v>
      </c>
      <c r="T356" s="3">
        <v>1038</v>
      </c>
      <c r="U356" s="3">
        <v>327</v>
      </c>
      <c r="V356" s="3">
        <v>105</v>
      </c>
      <c r="W356" s="3">
        <v>54</v>
      </c>
      <c r="X356" s="3">
        <v>-468</v>
      </c>
      <c r="Y356" s="3">
        <v>90</v>
      </c>
      <c r="Z356" s="3">
        <v>69</v>
      </c>
      <c r="AA356" s="3">
        <v>90</v>
      </c>
      <c r="AB356" s="3">
        <v>516</v>
      </c>
      <c r="AC356" s="3">
        <v>162</v>
      </c>
      <c r="AD356" s="3">
        <v>99</v>
      </c>
      <c r="AE356" s="3">
        <v>210</v>
      </c>
      <c r="AF356" s="3">
        <v>204</v>
      </c>
      <c r="AG356" s="3">
        <v>138</v>
      </c>
      <c r="AH356" s="3">
        <v>0</v>
      </c>
      <c r="AI356" s="3">
        <v>270</v>
      </c>
      <c r="AJ356" s="3">
        <v>0</v>
      </c>
      <c r="AK356" s="3">
        <v>243</v>
      </c>
      <c r="AL356" s="3">
        <v>171</v>
      </c>
      <c r="AM356" s="3">
        <v>159</v>
      </c>
      <c r="AN356" s="3">
        <v>474</v>
      </c>
      <c r="AO356" s="3">
        <v>180</v>
      </c>
      <c r="AP356" s="3">
        <v>273</v>
      </c>
      <c r="AQ356" s="3">
        <v>180</v>
      </c>
      <c r="AR356" s="3">
        <v>177</v>
      </c>
      <c r="AS356" s="3">
        <v>84</v>
      </c>
      <c r="AT356" s="3">
        <v>159</v>
      </c>
      <c r="AU356" s="3">
        <v>249</v>
      </c>
      <c r="AV356" s="3">
        <v>159</v>
      </c>
      <c r="AW356" s="3">
        <v>252</v>
      </c>
    </row>
    <row r="357" spans="1:49">
      <c r="A357" s="4" t="s">
        <v>35</v>
      </c>
      <c r="B357" s="4" t="str">
        <f t="shared" si="5"/>
        <v>Hair Color</v>
      </c>
      <c r="C357" s="4" t="s">
        <v>1786</v>
      </c>
      <c r="D357" s="4" t="s">
        <v>150</v>
      </c>
      <c r="E357" s="24" t="s">
        <v>47</v>
      </c>
      <c r="F357" s="12" t="s">
        <v>511</v>
      </c>
      <c r="G357" s="4" t="s">
        <v>1787</v>
      </c>
      <c r="H357" s="3">
        <v>189</v>
      </c>
      <c r="I357" s="3">
        <v>192</v>
      </c>
      <c r="J357" s="3">
        <v>165</v>
      </c>
      <c r="K357" s="3">
        <v>219</v>
      </c>
      <c r="L357" s="3">
        <v>141</v>
      </c>
      <c r="M357" s="3">
        <v>249</v>
      </c>
      <c r="N357" s="3">
        <v>309</v>
      </c>
      <c r="O357" s="3">
        <v>420</v>
      </c>
      <c r="P357" s="3">
        <v>543</v>
      </c>
      <c r="Q357" s="3">
        <v>366</v>
      </c>
      <c r="R357" s="3">
        <v>42</v>
      </c>
      <c r="S357" s="3">
        <v>93</v>
      </c>
      <c r="T357" s="3">
        <v>129</v>
      </c>
      <c r="U357" s="3">
        <v>78</v>
      </c>
      <c r="V357" s="3">
        <v>120</v>
      </c>
      <c r="W357" s="3">
        <v>99</v>
      </c>
      <c r="X357" s="3">
        <v>153</v>
      </c>
      <c r="Y357" s="3">
        <v>159</v>
      </c>
      <c r="Z357" s="3">
        <v>102</v>
      </c>
      <c r="AA357" s="3">
        <v>75</v>
      </c>
      <c r="AB357" s="3">
        <v>300</v>
      </c>
      <c r="AC357" s="3">
        <v>87</v>
      </c>
      <c r="AD357" s="3">
        <v>87</v>
      </c>
      <c r="AE357" s="3">
        <v>108</v>
      </c>
      <c r="AF357" s="3">
        <v>78</v>
      </c>
      <c r="AG357" s="3">
        <v>30</v>
      </c>
      <c r="AH357" s="3">
        <v>66</v>
      </c>
      <c r="AI357" s="3">
        <v>150</v>
      </c>
      <c r="AJ357" s="3">
        <v>192</v>
      </c>
      <c r="AK357" s="3">
        <v>105</v>
      </c>
      <c r="AL357" s="3">
        <v>87</v>
      </c>
      <c r="AM357" s="3">
        <v>126</v>
      </c>
      <c r="AN357" s="3">
        <v>213</v>
      </c>
      <c r="AO357" s="3">
        <v>111</v>
      </c>
      <c r="AP357" s="3">
        <v>165</v>
      </c>
      <c r="AQ357" s="3">
        <v>177</v>
      </c>
      <c r="AR357" s="3">
        <v>204</v>
      </c>
      <c r="AS357" s="3">
        <v>111</v>
      </c>
      <c r="AT357" s="3">
        <v>237</v>
      </c>
      <c r="AU357" s="3">
        <v>195</v>
      </c>
      <c r="AV357" s="3">
        <v>162</v>
      </c>
      <c r="AW357" s="3">
        <v>231</v>
      </c>
    </row>
    <row r="358" spans="1:49">
      <c r="A358" s="4" t="s">
        <v>35</v>
      </c>
      <c r="B358" s="4" t="str">
        <f t="shared" si="5"/>
        <v>Hair Color</v>
      </c>
      <c r="C358" s="4" t="s">
        <v>1786</v>
      </c>
      <c r="D358" s="4" t="s">
        <v>150</v>
      </c>
      <c r="E358" s="24" t="s">
        <v>47</v>
      </c>
      <c r="F358" s="12" t="s">
        <v>512</v>
      </c>
      <c r="G358" s="4" t="s">
        <v>1787</v>
      </c>
      <c r="H358" s="3">
        <v>126</v>
      </c>
      <c r="I358" s="3">
        <v>123</v>
      </c>
      <c r="J358" s="3">
        <v>66</v>
      </c>
      <c r="K358" s="3">
        <v>84</v>
      </c>
      <c r="L358" s="3">
        <v>81</v>
      </c>
      <c r="M358" s="3">
        <v>129</v>
      </c>
      <c r="N358" s="3">
        <v>207</v>
      </c>
      <c r="O358" s="3">
        <v>300</v>
      </c>
      <c r="P358" s="3">
        <v>45</v>
      </c>
      <c r="Q358" s="3">
        <v>141</v>
      </c>
      <c r="R358" s="3">
        <v>93</v>
      </c>
      <c r="S358" s="3">
        <v>132</v>
      </c>
      <c r="T358" s="3">
        <v>762</v>
      </c>
      <c r="U358" s="3">
        <v>84</v>
      </c>
      <c r="V358" s="3">
        <v>51</v>
      </c>
      <c r="W358" s="3">
        <v>45</v>
      </c>
      <c r="X358" s="3">
        <v>129</v>
      </c>
      <c r="Y358" s="3">
        <v>45</v>
      </c>
      <c r="Z358" s="3">
        <v>12</v>
      </c>
      <c r="AA358" s="3">
        <v>24</v>
      </c>
      <c r="AB358" s="3">
        <v>63</v>
      </c>
      <c r="AC358" s="3">
        <v>24</v>
      </c>
      <c r="AD358" s="3">
        <v>36</v>
      </c>
      <c r="AE358" s="3">
        <v>57</v>
      </c>
      <c r="AF358" s="3">
        <v>42</v>
      </c>
      <c r="AG358" s="3">
        <v>42</v>
      </c>
      <c r="AH358" s="3">
        <v>21</v>
      </c>
      <c r="AI358" s="3">
        <v>15</v>
      </c>
      <c r="AJ358" s="3">
        <v>84</v>
      </c>
      <c r="AK358" s="3">
        <v>27</v>
      </c>
      <c r="AL358" s="3">
        <v>54</v>
      </c>
      <c r="AM358" s="3">
        <v>42</v>
      </c>
      <c r="AN358" s="3">
        <v>42</v>
      </c>
      <c r="AO358" s="3">
        <v>18</v>
      </c>
      <c r="AP358" s="3">
        <v>93</v>
      </c>
      <c r="AQ358" s="3">
        <v>21</v>
      </c>
      <c r="AR358" s="3">
        <v>57</v>
      </c>
      <c r="AS358" s="3">
        <v>42</v>
      </c>
      <c r="AT358" s="3">
        <v>60</v>
      </c>
      <c r="AU358" s="3">
        <v>69</v>
      </c>
      <c r="AV358" s="3">
        <v>108</v>
      </c>
      <c r="AW358" s="3">
        <v>84</v>
      </c>
    </row>
    <row r="359" spans="1:49">
      <c r="A359" s="4" t="s">
        <v>35</v>
      </c>
      <c r="B359" s="4" t="str">
        <f t="shared" si="5"/>
        <v>Hair Color</v>
      </c>
      <c r="C359" s="4" t="s">
        <v>1786</v>
      </c>
      <c r="D359" s="4" t="s">
        <v>150</v>
      </c>
      <c r="E359" s="24" t="s">
        <v>47</v>
      </c>
      <c r="F359" s="12" t="s">
        <v>513</v>
      </c>
      <c r="G359" s="4" t="s">
        <v>1787</v>
      </c>
      <c r="H359" s="3">
        <v>162</v>
      </c>
      <c r="I359" s="3">
        <v>165</v>
      </c>
      <c r="J359" s="3">
        <v>102</v>
      </c>
      <c r="K359" s="3">
        <v>141</v>
      </c>
      <c r="L359" s="3">
        <v>138</v>
      </c>
      <c r="M359" s="3">
        <v>174</v>
      </c>
      <c r="N359" s="3">
        <v>213</v>
      </c>
      <c r="O359" s="3">
        <v>444</v>
      </c>
      <c r="P359" s="3">
        <v>336</v>
      </c>
      <c r="Q359" s="3">
        <v>276</v>
      </c>
      <c r="R359" s="3">
        <v>96</v>
      </c>
      <c r="S359" s="3">
        <v>204</v>
      </c>
      <c r="T359" s="3">
        <v>915</v>
      </c>
      <c r="U359" s="3">
        <v>75</v>
      </c>
      <c r="V359" s="3">
        <v>72</v>
      </c>
      <c r="W359" s="3">
        <v>48</v>
      </c>
      <c r="X359" s="3">
        <v>168</v>
      </c>
      <c r="Y359" s="3">
        <v>102</v>
      </c>
      <c r="Z359" s="3">
        <v>93</v>
      </c>
      <c r="AA359" s="3">
        <v>51</v>
      </c>
      <c r="AB359" s="3">
        <v>120</v>
      </c>
      <c r="AC359" s="3">
        <v>93</v>
      </c>
      <c r="AD359" s="3">
        <v>195</v>
      </c>
      <c r="AE359" s="3">
        <v>45</v>
      </c>
      <c r="AF359" s="3">
        <v>45</v>
      </c>
      <c r="AG359" s="3">
        <v>39</v>
      </c>
      <c r="AH359" s="3">
        <v>51</v>
      </c>
      <c r="AI359" s="3">
        <v>90</v>
      </c>
      <c r="AJ359" s="3">
        <v>72</v>
      </c>
      <c r="AK359" s="3">
        <v>54</v>
      </c>
      <c r="AL359" s="3">
        <v>81</v>
      </c>
      <c r="AM359" s="3">
        <v>48</v>
      </c>
      <c r="AN359" s="3">
        <v>114</v>
      </c>
      <c r="AO359" s="3">
        <v>0</v>
      </c>
      <c r="AP359" s="3">
        <v>156</v>
      </c>
      <c r="AQ359" s="3">
        <v>138</v>
      </c>
      <c r="AR359" s="3">
        <v>99</v>
      </c>
      <c r="AS359" s="3">
        <v>51</v>
      </c>
      <c r="AT359" s="3">
        <v>117</v>
      </c>
      <c r="AU359" s="3">
        <v>150</v>
      </c>
      <c r="AV359" s="3">
        <v>123</v>
      </c>
      <c r="AW359" s="3">
        <v>114</v>
      </c>
    </row>
    <row r="360" spans="1:49">
      <c r="A360" s="4" t="s">
        <v>35</v>
      </c>
      <c r="B360" s="4" t="str">
        <f t="shared" si="5"/>
        <v>Hair Color</v>
      </c>
      <c r="C360" s="4" t="s">
        <v>1786</v>
      </c>
      <c r="D360" s="4" t="s">
        <v>150</v>
      </c>
      <c r="E360" s="24" t="s">
        <v>47</v>
      </c>
      <c r="F360" s="12" t="s">
        <v>514</v>
      </c>
      <c r="G360" s="4" t="s">
        <v>1787</v>
      </c>
      <c r="H360" s="3">
        <v>222</v>
      </c>
      <c r="I360" s="3">
        <v>234</v>
      </c>
      <c r="J360" s="3">
        <v>117</v>
      </c>
      <c r="K360" s="3">
        <v>171</v>
      </c>
      <c r="L360" s="3">
        <v>138</v>
      </c>
      <c r="M360" s="3">
        <v>207</v>
      </c>
      <c r="N360" s="3">
        <v>258</v>
      </c>
      <c r="O360" s="3">
        <v>375</v>
      </c>
      <c r="P360" s="3">
        <v>78</v>
      </c>
      <c r="Q360" s="3">
        <v>159</v>
      </c>
      <c r="R360" s="3">
        <v>99</v>
      </c>
      <c r="S360" s="3">
        <v>192</v>
      </c>
      <c r="T360" s="3">
        <v>858</v>
      </c>
      <c r="U360" s="3">
        <v>114</v>
      </c>
      <c r="V360" s="3">
        <v>51</v>
      </c>
      <c r="W360" s="3">
        <v>51</v>
      </c>
      <c r="X360" s="3">
        <v>147</v>
      </c>
      <c r="Y360" s="3">
        <v>63</v>
      </c>
      <c r="Z360" s="3">
        <v>36</v>
      </c>
      <c r="AA360" s="3">
        <v>84</v>
      </c>
      <c r="AB360" s="3">
        <v>48</v>
      </c>
      <c r="AC360" s="3">
        <v>120</v>
      </c>
      <c r="AD360" s="3">
        <v>39</v>
      </c>
      <c r="AE360" s="3">
        <v>51</v>
      </c>
      <c r="AF360" s="3">
        <v>33</v>
      </c>
      <c r="AG360" s="3">
        <v>9</v>
      </c>
      <c r="AH360" s="3">
        <v>24</v>
      </c>
      <c r="AI360" s="3">
        <v>42</v>
      </c>
      <c r="AJ360" s="3">
        <v>93</v>
      </c>
      <c r="AK360" s="3">
        <v>36</v>
      </c>
      <c r="AL360" s="3">
        <v>51</v>
      </c>
      <c r="AM360" s="3">
        <v>60</v>
      </c>
      <c r="AN360" s="3">
        <v>51</v>
      </c>
      <c r="AO360" s="3">
        <v>117</v>
      </c>
      <c r="AP360" s="3">
        <v>69</v>
      </c>
      <c r="AQ360" s="3">
        <v>33</v>
      </c>
      <c r="AR360" s="3">
        <v>69</v>
      </c>
      <c r="AS360" s="3">
        <v>55</v>
      </c>
      <c r="AT360" s="3">
        <v>42</v>
      </c>
      <c r="AU360" s="3">
        <v>63</v>
      </c>
      <c r="AV360" s="3">
        <v>96</v>
      </c>
      <c r="AW360" s="3">
        <v>87</v>
      </c>
    </row>
    <row r="361" spans="1:49">
      <c r="A361" s="4" t="s">
        <v>35</v>
      </c>
      <c r="B361" s="4" t="str">
        <f t="shared" si="5"/>
        <v>Hair Color</v>
      </c>
      <c r="C361" s="4" t="s">
        <v>1786</v>
      </c>
      <c r="D361" s="4" t="s">
        <v>150</v>
      </c>
      <c r="E361" s="24" t="s">
        <v>47</v>
      </c>
      <c r="F361" s="12" t="s">
        <v>515</v>
      </c>
      <c r="G361" s="4" t="s">
        <v>1787</v>
      </c>
      <c r="H361" s="3">
        <v>210</v>
      </c>
      <c r="I361" s="3">
        <v>228</v>
      </c>
      <c r="J361" s="3">
        <v>144</v>
      </c>
      <c r="K361" s="3">
        <v>210</v>
      </c>
      <c r="L361" s="3">
        <v>171</v>
      </c>
      <c r="M361" s="3">
        <v>201</v>
      </c>
      <c r="N361" s="3">
        <v>285</v>
      </c>
      <c r="O361" s="3">
        <v>474</v>
      </c>
      <c r="P361" s="3">
        <v>318</v>
      </c>
      <c r="Q361" s="3">
        <v>267</v>
      </c>
      <c r="R361" s="3">
        <v>183</v>
      </c>
      <c r="S361" s="3">
        <v>192</v>
      </c>
      <c r="T361" s="3">
        <v>1005</v>
      </c>
      <c r="U361" s="3">
        <v>117</v>
      </c>
      <c r="V361" s="3">
        <v>57</v>
      </c>
      <c r="W361" s="3">
        <v>63</v>
      </c>
      <c r="X361" s="3">
        <v>-258</v>
      </c>
      <c r="Y361" s="3">
        <v>96</v>
      </c>
      <c r="Z361" s="3">
        <v>75</v>
      </c>
      <c r="AA361" s="3">
        <v>33</v>
      </c>
      <c r="AB361" s="3">
        <v>381</v>
      </c>
      <c r="AC361" s="3">
        <v>198</v>
      </c>
      <c r="AD361" s="3">
        <v>57</v>
      </c>
      <c r="AE361" s="3">
        <v>171</v>
      </c>
      <c r="AF361" s="3">
        <v>222</v>
      </c>
      <c r="AG361" s="3">
        <v>0</v>
      </c>
      <c r="AH361" s="3">
        <v>90</v>
      </c>
      <c r="AI361" s="3">
        <v>183</v>
      </c>
      <c r="AJ361" s="3">
        <v>138</v>
      </c>
      <c r="AK361" s="3">
        <v>126</v>
      </c>
      <c r="AL361" s="3">
        <v>114</v>
      </c>
      <c r="AM361" s="3">
        <v>153</v>
      </c>
      <c r="AN361" s="3">
        <v>129</v>
      </c>
      <c r="AO361" s="3">
        <v>141</v>
      </c>
      <c r="AP361" s="3">
        <v>204</v>
      </c>
      <c r="AQ361" s="3">
        <v>93</v>
      </c>
      <c r="AR361" s="3">
        <v>102</v>
      </c>
      <c r="AS361" s="3">
        <v>117</v>
      </c>
      <c r="AT361" s="3">
        <v>150</v>
      </c>
      <c r="AU361" s="3">
        <v>126</v>
      </c>
      <c r="AV361" s="3">
        <v>90</v>
      </c>
      <c r="AW361" s="3">
        <v>108</v>
      </c>
    </row>
    <row r="362" spans="1:49">
      <c r="A362" s="4" t="s">
        <v>35</v>
      </c>
      <c r="B362" s="4" t="str">
        <f t="shared" si="5"/>
        <v>Hair Color</v>
      </c>
      <c r="C362" s="4" t="s">
        <v>1786</v>
      </c>
      <c r="D362" s="4" t="s">
        <v>150</v>
      </c>
      <c r="E362" s="24" t="s">
        <v>47</v>
      </c>
      <c r="F362" s="12" t="s">
        <v>516</v>
      </c>
      <c r="G362" s="4" t="s">
        <v>1787</v>
      </c>
      <c r="H362" s="3">
        <v>420</v>
      </c>
      <c r="I362" s="3">
        <v>168</v>
      </c>
      <c r="J362" s="3">
        <v>204</v>
      </c>
      <c r="K362" s="3">
        <v>243</v>
      </c>
      <c r="L362" s="3">
        <v>156</v>
      </c>
      <c r="M362" s="3">
        <v>297</v>
      </c>
      <c r="N362" s="3">
        <v>369</v>
      </c>
      <c r="O362" s="3">
        <v>873</v>
      </c>
      <c r="P362" s="3">
        <v>411</v>
      </c>
      <c r="Q362" s="3">
        <v>225</v>
      </c>
      <c r="R362" s="3">
        <v>153</v>
      </c>
      <c r="S362" s="3">
        <v>192</v>
      </c>
      <c r="T362" s="3">
        <v>972</v>
      </c>
      <c r="U362" s="3">
        <v>93</v>
      </c>
      <c r="V362" s="3">
        <v>84</v>
      </c>
      <c r="W362" s="3">
        <v>84</v>
      </c>
      <c r="X362" s="3">
        <v>150</v>
      </c>
      <c r="Y362" s="3">
        <v>87</v>
      </c>
      <c r="Z362" s="3">
        <v>117</v>
      </c>
      <c r="AA362" s="3">
        <v>63</v>
      </c>
      <c r="AB362" s="3">
        <v>192</v>
      </c>
      <c r="AC362" s="3">
        <v>57</v>
      </c>
      <c r="AD362" s="3">
        <v>192</v>
      </c>
      <c r="AE362" s="3">
        <v>84</v>
      </c>
      <c r="AF362" s="3">
        <v>24</v>
      </c>
      <c r="AG362" s="3">
        <v>39</v>
      </c>
      <c r="AH362" s="3">
        <v>21</v>
      </c>
      <c r="AI362" s="3">
        <v>102</v>
      </c>
      <c r="AJ362" s="3">
        <v>132</v>
      </c>
      <c r="AK362" s="3">
        <v>66</v>
      </c>
      <c r="AL362" s="3">
        <v>69</v>
      </c>
      <c r="AM362" s="3">
        <v>30</v>
      </c>
      <c r="AN362" s="3">
        <v>138</v>
      </c>
      <c r="AO362" s="3">
        <v>99</v>
      </c>
      <c r="AP362" s="3">
        <v>174</v>
      </c>
      <c r="AQ362" s="3">
        <v>138</v>
      </c>
      <c r="AR362" s="3">
        <v>189</v>
      </c>
      <c r="AS362" s="3">
        <v>75</v>
      </c>
      <c r="AT362" s="3">
        <v>132</v>
      </c>
      <c r="AU362" s="3">
        <v>165</v>
      </c>
      <c r="AV362" s="3">
        <v>144</v>
      </c>
      <c r="AW362" s="3">
        <v>150</v>
      </c>
    </row>
    <row r="363" spans="1:49">
      <c r="A363" s="4" t="s">
        <v>35</v>
      </c>
      <c r="B363" s="4" t="str">
        <f t="shared" si="5"/>
        <v>Hair Color</v>
      </c>
      <c r="C363" s="4" t="s">
        <v>1786</v>
      </c>
      <c r="D363" s="4" t="s">
        <v>150</v>
      </c>
      <c r="E363" s="24" t="s">
        <v>47</v>
      </c>
      <c r="F363" s="12" t="s">
        <v>517</v>
      </c>
      <c r="G363" s="4" t="s">
        <v>1787</v>
      </c>
      <c r="H363" s="3">
        <v>159</v>
      </c>
      <c r="I363" s="3">
        <v>156</v>
      </c>
      <c r="J363" s="3">
        <v>99</v>
      </c>
      <c r="K363" s="3">
        <v>129</v>
      </c>
      <c r="L363" s="3">
        <v>123</v>
      </c>
      <c r="M363" s="3">
        <v>198</v>
      </c>
      <c r="N363" s="3">
        <v>378</v>
      </c>
      <c r="O363" s="3">
        <v>339</v>
      </c>
      <c r="P363" s="3">
        <v>81</v>
      </c>
      <c r="Q363" s="3">
        <v>183</v>
      </c>
      <c r="R363" s="3">
        <v>111</v>
      </c>
      <c r="S363" s="3">
        <v>186</v>
      </c>
      <c r="T363" s="3">
        <v>978</v>
      </c>
      <c r="U363" s="3">
        <v>30</v>
      </c>
      <c r="V363" s="3">
        <v>48</v>
      </c>
      <c r="W363" s="3">
        <v>69</v>
      </c>
      <c r="X363" s="3">
        <v>54</v>
      </c>
      <c r="Y363" s="3">
        <v>63</v>
      </c>
      <c r="Z363" s="3">
        <v>48</v>
      </c>
      <c r="AA363" s="3">
        <v>48</v>
      </c>
      <c r="AB363" s="3">
        <v>201</v>
      </c>
      <c r="AC363" s="3">
        <v>120</v>
      </c>
      <c r="AD363" s="3">
        <v>69</v>
      </c>
      <c r="AE363" s="3">
        <v>144</v>
      </c>
      <c r="AF363" s="3">
        <v>258</v>
      </c>
      <c r="AG363" s="3">
        <v>78</v>
      </c>
      <c r="AH363" s="3">
        <v>39</v>
      </c>
      <c r="AI363" s="3">
        <v>108</v>
      </c>
      <c r="AJ363" s="3">
        <v>99</v>
      </c>
      <c r="AK363" s="3">
        <v>126</v>
      </c>
      <c r="AL363" s="3">
        <v>69</v>
      </c>
      <c r="AM363" s="3">
        <v>156</v>
      </c>
      <c r="AN363" s="3">
        <v>108</v>
      </c>
      <c r="AO363" s="3">
        <v>90</v>
      </c>
      <c r="AP363" s="3">
        <v>213</v>
      </c>
      <c r="AQ363" s="3">
        <v>96</v>
      </c>
      <c r="AR363" s="3">
        <v>162</v>
      </c>
      <c r="AS363" s="3">
        <v>105</v>
      </c>
      <c r="AT363" s="3">
        <v>144</v>
      </c>
      <c r="AU363" s="3">
        <v>111</v>
      </c>
      <c r="AV363" s="3">
        <v>81</v>
      </c>
      <c r="AW363" s="3">
        <v>105</v>
      </c>
    </row>
    <row r="364" spans="1:49">
      <c r="A364" s="4" t="s">
        <v>35</v>
      </c>
      <c r="B364" s="4" t="str">
        <f t="shared" si="5"/>
        <v>Hair Color</v>
      </c>
      <c r="C364" s="4" t="s">
        <v>1786</v>
      </c>
      <c r="D364" s="4" t="s">
        <v>150</v>
      </c>
      <c r="E364" s="24" t="s">
        <v>47</v>
      </c>
      <c r="F364" s="12" t="s">
        <v>518</v>
      </c>
      <c r="G364" s="4" t="s">
        <v>1787</v>
      </c>
      <c r="H364" s="3">
        <v>279</v>
      </c>
      <c r="I364" s="3">
        <v>150</v>
      </c>
      <c r="J364" s="3">
        <v>162</v>
      </c>
      <c r="K364" s="3">
        <v>129</v>
      </c>
      <c r="L364" s="3">
        <v>84</v>
      </c>
      <c r="M364" s="3">
        <v>75</v>
      </c>
      <c r="N364" s="3">
        <v>117</v>
      </c>
      <c r="O364" s="3">
        <v>327</v>
      </c>
      <c r="P364" s="3">
        <v>753</v>
      </c>
      <c r="Q364" s="3">
        <v>456</v>
      </c>
      <c r="R364" s="3">
        <v>45</v>
      </c>
      <c r="S364" s="3">
        <v>102</v>
      </c>
      <c r="T364" s="3">
        <v>75</v>
      </c>
      <c r="U364" s="3">
        <v>78</v>
      </c>
      <c r="V364" s="3">
        <v>66</v>
      </c>
      <c r="W364" s="3">
        <v>33</v>
      </c>
      <c r="X364" s="3">
        <v>150</v>
      </c>
      <c r="Y364" s="3">
        <v>81</v>
      </c>
      <c r="Z364" s="3">
        <v>84</v>
      </c>
      <c r="AA364" s="3">
        <v>114</v>
      </c>
      <c r="AB364" s="3">
        <v>162</v>
      </c>
      <c r="AC364" s="3">
        <v>72</v>
      </c>
      <c r="AD364" s="3">
        <v>96</v>
      </c>
      <c r="AE364" s="3">
        <v>24</v>
      </c>
      <c r="AF364" s="3">
        <v>135</v>
      </c>
      <c r="AG364" s="3">
        <v>30</v>
      </c>
      <c r="AH364" s="3">
        <v>93</v>
      </c>
      <c r="AI364" s="3">
        <v>144</v>
      </c>
      <c r="AJ364" s="3">
        <v>120</v>
      </c>
      <c r="AK364" s="3">
        <v>63</v>
      </c>
      <c r="AL364" s="3">
        <v>102</v>
      </c>
      <c r="AM364" s="3">
        <v>105</v>
      </c>
      <c r="AN364" s="3">
        <v>90</v>
      </c>
      <c r="AO364" s="3">
        <v>135</v>
      </c>
      <c r="AP364" s="3">
        <v>75</v>
      </c>
      <c r="AQ364" s="3">
        <v>225</v>
      </c>
      <c r="AR364" s="3">
        <v>114</v>
      </c>
      <c r="AS364" s="3">
        <v>129</v>
      </c>
      <c r="AT364" s="3">
        <v>129</v>
      </c>
      <c r="AU364" s="3">
        <v>153</v>
      </c>
      <c r="AV364" s="3">
        <v>117</v>
      </c>
      <c r="AW364" s="3">
        <v>126</v>
      </c>
    </row>
    <row r="365" spans="1:49">
      <c r="A365" s="4" t="s">
        <v>35</v>
      </c>
      <c r="B365" s="4" t="str">
        <f t="shared" si="5"/>
        <v>Hair Color</v>
      </c>
      <c r="C365" s="4" t="s">
        <v>1786</v>
      </c>
      <c r="D365" s="4" t="s">
        <v>150</v>
      </c>
      <c r="E365" s="24" t="s">
        <v>47</v>
      </c>
      <c r="F365" s="12" t="s">
        <v>519</v>
      </c>
      <c r="G365" s="4" t="s">
        <v>1787</v>
      </c>
      <c r="H365" s="3">
        <v>105</v>
      </c>
      <c r="I365" s="3">
        <v>81</v>
      </c>
      <c r="J365" s="3">
        <v>69</v>
      </c>
      <c r="K365" s="3">
        <v>87</v>
      </c>
      <c r="L365" s="3">
        <v>63</v>
      </c>
      <c r="M365" s="3">
        <v>132</v>
      </c>
      <c r="N365" s="3">
        <v>84</v>
      </c>
      <c r="O365" s="3">
        <v>279</v>
      </c>
      <c r="P365" s="3">
        <v>81</v>
      </c>
      <c r="Q365" s="3">
        <v>252</v>
      </c>
      <c r="R365" s="3">
        <v>111</v>
      </c>
      <c r="S365" s="3">
        <v>72</v>
      </c>
      <c r="T365" s="3">
        <v>42</v>
      </c>
      <c r="U365" s="3">
        <v>45</v>
      </c>
      <c r="V365" s="3">
        <v>66</v>
      </c>
      <c r="W365" s="3">
        <v>39</v>
      </c>
      <c r="X365" s="3">
        <v>225</v>
      </c>
      <c r="Y365" s="3">
        <v>24</v>
      </c>
      <c r="Z365" s="3">
        <v>48</v>
      </c>
      <c r="AA365" s="3">
        <v>69</v>
      </c>
      <c r="AB365" s="3">
        <v>108</v>
      </c>
      <c r="AC365" s="3">
        <v>48</v>
      </c>
      <c r="AD365" s="3">
        <v>45</v>
      </c>
      <c r="AE365" s="3">
        <v>33</v>
      </c>
      <c r="AF365" s="3">
        <v>75</v>
      </c>
      <c r="AG365" s="3">
        <v>45</v>
      </c>
      <c r="AH365" s="3">
        <v>0</v>
      </c>
      <c r="AI365" s="3">
        <v>30</v>
      </c>
      <c r="AJ365" s="3">
        <v>123</v>
      </c>
      <c r="AK365" s="3">
        <v>39</v>
      </c>
      <c r="AL365" s="3">
        <v>93</v>
      </c>
      <c r="AM365" s="3">
        <v>42</v>
      </c>
      <c r="AN365" s="3">
        <v>132</v>
      </c>
      <c r="AO365" s="3">
        <v>57</v>
      </c>
      <c r="AP365" s="3">
        <v>81</v>
      </c>
      <c r="AQ365" s="3">
        <v>0</v>
      </c>
      <c r="AR365" s="3">
        <v>129</v>
      </c>
      <c r="AS365" s="3">
        <v>57</v>
      </c>
      <c r="AT365" s="3">
        <v>0</v>
      </c>
      <c r="AU365" s="3">
        <v>126</v>
      </c>
      <c r="AV365" s="3">
        <v>141</v>
      </c>
      <c r="AW365" s="3">
        <v>129</v>
      </c>
    </row>
    <row r="366" spans="1:49">
      <c r="A366" s="4" t="s">
        <v>35</v>
      </c>
      <c r="B366" s="4" t="str">
        <f t="shared" si="5"/>
        <v>Hair Color</v>
      </c>
      <c r="C366" s="4" t="s">
        <v>1786</v>
      </c>
      <c r="D366" s="4" t="s">
        <v>150</v>
      </c>
      <c r="E366" s="24" t="s">
        <v>47</v>
      </c>
      <c r="F366" s="12" t="s">
        <v>520</v>
      </c>
      <c r="G366" s="4" t="s">
        <v>1787</v>
      </c>
      <c r="H366" s="3">
        <v>330</v>
      </c>
      <c r="I366" s="3">
        <v>204</v>
      </c>
      <c r="J366" s="3">
        <v>252</v>
      </c>
      <c r="K366" s="3">
        <v>210</v>
      </c>
      <c r="L366" s="3">
        <v>123</v>
      </c>
      <c r="M366" s="3">
        <v>273</v>
      </c>
      <c r="N366" s="3">
        <v>276</v>
      </c>
      <c r="O366" s="3">
        <v>828</v>
      </c>
      <c r="P366" s="3">
        <v>579</v>
      </c>
      <c r="Q366" s="3">
        <v>381</v>
      </c>
      <c r="R366" s="3">
        <v>108</v>
      </c>
      <c r="S366" s="3">
        <v>207</v>
      </c>
      <c r="T366" s="3">
        <v>627</v>
      </c>
      <c r="U366" s="3">
        <v>246</v>
      </c>
      <c r="V366" s="3">
        <v>120</v>
      </c>
      <c r="W366" s="3">
        <v>87</v>
      </c>
      <c r="X366" s="3">
        <v>81</v>
      </c>
      <c r="Y366" s="3">
        <v>63</v>
      </c>
      <c r="Z366" s="3">
        <v>63</v>
      </c>
      <c r="AA366" s="3">
        <v>102</v>
      </c>
      <c r="AB366" s="3">
        <v>339</v>
      </c>
      <c r="AC366" s="3">
        <v>198</v>
      </c>
      <c r="AD366" s="3">
        <v>126</v>
      </c>
      <c r="AE366" s="3">
        <v>102</v>
      </c>
      <c r="AF366" s="3">
        <v>432</v>
      </c>
      <c r="AG366" s="3">
        <v>0</v>
      </c>
      <c r="AH366" s="3">
        <v>0</v>
      </c>
      <c r="AI366" s="3">
        <v>282</v>
      </c>
      <c r="AJ366" s="3">
        <v>237</v>
      </c>
      <c r="AK366" s="3">
        <v>219</v>
      </c>
      <c r="AL366" s="3">
        <v>183</v>
      </c>
      <c r="AM366" s="3">
        <v>138</v>
      </c>
      <c r="AN366" s="3">
        <v>222</v>
      </c>
      <c r="AO366" s="3">
        <v>492</v>
      </c>
      <c r="AP366" s="3">
        <v>252</v>
      </c>
      <c r="AQ366" s="3">
        <v>438</v>
      </c>
      <c r="AR366" s="3">
        <v>234</v>
      </c>
      <c r="AS366" s="3">
        <v>231</v>
      </c>
      <c r="AT366" s="3">
        <v>204</v>
      </c>
      <c r="AU366" s="3">
        <v>216</v>
      </c>
      <c r="AV366" s="3">
        <v>87</v>
      </c>
      <c r="AW366" s="3">
        <v>150</v>
      </c>
    </row>
    <row r="367" spans="1:49">
      <c r="A367" s="4" t="s">
        <v>35</v>
      </c>
      <c r="B367" s="4" t="str">
        <f t="shared" si="5"/>
        <v>Hair Color</v>
      </c>
      <c r="C367" s="4" t="s">
        <v>1786</v>
      </c>
      <c r="D367" s="4" t="s">
        <v>150</v>
      </c>
      <c r="E367" s="24" t="s">
        <v>47</v>
      </c>
      <c r="F367" s="12" t="s">
        <v>521</v>
      </c>
      <c r="G367" s="4" t="s">
        <v>1787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6</v>
      </c>
      <c r="U367" s="3">
        <v>9</v>
      </c>
      <c r="V367" s="3">
        <v>9</v>
      </c>
      <c r="W367" s="3">
        <v>15</v>
      </c>
      <c r="X367" s="3">
        <v>90</v>
      </c>
      <c r="Y367" s="3">
        <v>87</v>
      </c>
      <c r="Z367" s="3">
        <v>36</v>
      </c>
      <c r="AA367" s="3">
        <v>66</v>
      </c>
      <c r="AB367" s="3">
        <v>75</v>
      </c>
      <c r="AC367" s="3">
        <v>24</v>
      </c>
      <c r="AD367" s="3">
        <v>39</v>
      </c>
      <c r="AE367" s="3">
        <v>9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</row>
    <row r="368" spans="1:49">
      <c r="A368" s="4" t="s">
        <v>35</v>
      </c>
      <c r="B368" s="4" t="str">
        <f t="shared" si="5"/>
        <v>Hair Color</v>
      </c>
      <c r="C368" s="4" t="s">
        <v>1786</v>
      </c>
      <c r="D368" s="4" t="s">
        <v>150</v>
      </c>
      <c r="E368" s="24" t="s">
        <v>47</v>
      </c>
      <c r="F368" s="12" t="s">
        <v>522</v>
      </c>
      <c r="G368" s="4" t="s">
        <v>1787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6</v>
      </c>
      <c r="U368" s="3">
        <v>15</v>
      </c>
      <c r="V368" s="3">
        <v>3</v>
      </c>
      <c r="W368" s="3">
        <v>27</v>
      </c>
      <c r="X368" s="3">
        <v>111</v>
      </c>
      <c r="Y368" s="3">
        <v>69</v>
      </c>
      <c r="Z368" s="3">
        <v>27</v>
      </c>
      <c r="AA368" s="3">
        <v>57</v>
      </c>
      <c r="AB368" s="3">
        <v>75</v>
      </c>
      <c r="AC368" s="3">
        <v>18</v>
      </c>
      <c r="AD368" s="3">
        <v>9</v>
      </c>
      <c r="AE368" s="3">
        <v>21</v>
      </c>
      <c r="AF368" s="3">
        <v>60</v>
      </c>
      <c r="AG368" s="3">
        <v>21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</row>
    <row r="369" spans="1:49">
      <c r="A369" s="4" t="s">
        <v>35</v>
      </c>
      <c r="B369" s="4" t="str">
        <f t="shared" si="5"/>
        <v>Hair Color</v>
      </c>
      <c r="C369" s="4" t="s">
        <v>1786</v>
      </c>
      <c r="D369" s="4" t="s">
        <v>150</v>
      </c>
      <c r="E369" s="24" t="s">
        <v>47</v>
      </c>
      <c r="F369" s="12" t="s">
        <v>523</v>
      </c>
      <c r="G369" s="4" t="s">
        <v>1787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54</v>
      </c>
      <c r="V369" s="3">
        <v>21</v>
      </c>
      <c r="W369" s="3">
        <v>15</v>
      </c>
      <c r="X369" s="3">
        <v>111</v>
      </c>
      <c r="Y369" s="3">
        <v>171</v>
      </c>
      <c r="Z369" s="3">
        <v>39</v>
      </c>
      <c r="AA369" s="3">
        <v>1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141</v>
      </c>
      <c r="AH369" s="3">
        <v>12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</row>
    <row r="370" spans="1:49">
      <c r="A370" s="4" t="s">
        <v>35</v>
      </c>
      <c r="B370" s="4" t="str">
        <f t="shared" si="5"/>
        <v>Hair Color</v>
      </c>
      <c r="C370" s="4" t="s">
        <v>1786</v>
      </c>
      <c r="D370" s="4" t="s">
        <v>150</v>
      </c>
      <c r="E370" s="24" t="s">
        <v>47</v>
      </c>
      <c r="F370" s="12" t="s">
        <v>524</v>
      </c>
      <c r="G370" s="4" t="s">
        <v>1787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6</v>
      </c>
      <c r="V370" s="3">
        <v>33</v>
      </c>
      <c r="W370" s="3">
        <v>9</v>
      </c>
      <c r="X370" s="3">
        <v>210</v>
      </c>
      <c r="Y370" s="3">
        <v>117</v>
      </c>
      <c r="Z370" s="3">
        <v>78</v>
      </c>
      <c r="AA370" s="3">
        <v>60</v>
      </c>
      <c r="AB370" s="3">
        <v>24</v>
      </c>
      <c r="AC370" s="3">
        <v>0</v>
      </c>
      <c r="AD370" s="3">
        <v>0</v>
      </c>
      <c r="AE370" s="3">
        <v>51</v>
      </c>
      <c r="AF370" s="3">
        <v>75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</row>
    <row r="371" spans="1:49">
      <c r="A371" s="4" t="s">
        <v>35</v>
      </c>
      <c r="B371" s="4" t="str">
        <f t="shared" si="5"/>
        <v>Hair Color</v>
      </c>
      <c r="C371" s="4" t="s">
        <v>1786</v>
      </c>
      <c r="D371" s="4" t="s">
        <v>150</v>
      </c>
      <c r="E371" s="24" t="s">
        <v>47</v>
      </c>
      <c r="F371" s="12" t="s">
        <v>525</v>
      </c>
      <c r="G371" s="4" t="s">
        <v>1787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3</v>
      </c>
      <c r="T371" s="3">
        <v>3</v>
      </c>
      <c r="U371" s="3">
        <v>213</v>
      </c>
      <c r="V371" s="3">
        <v>63</v>
      </c>
      <c r="W371" s="3">
        <v>12</v>
      </c>
      <c r="X371" s="3">
        <v>96</v>
      </c>
      <c r="Y371" s="3">
        <v>129</v>
      </c>
      <c r="Z371" s="3">
        <v>66</v>
      </c>
      <c r="AA371" s="3">
        <v>84</v>
      </c>
      <c r="AB371" s="3">
        <v>282</v>
      </c>
      <c r="AC371" s="3">
        <v>45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</row>
    <row r="372" spans="1:49">
      <c r="A372" s="4" t="s">
        <v>35</v>
      </c>
      <c r="B372" s="4" t="str">
        <f t="shared" si="5"/>
        <v>Hair Color</v>
      </c>
      <c r="C372" s="4" t="s">
        <v>1786</v>
      </c>
      <c r="D372" s="4" t="s">
        <v>150</v>
      </c>
      <c r="E372" s="24" t="s">
        <v>47</v>
      </c>
      <c r="F372" s="12" t="s">
        <v>526</v>
      </c>
      <c r="G372" s="4" t="s">
        <v>1787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42</v>
      </c>
      <c r="Q372" s="3">
        <v>126</v>
      </c>
      <c r="R372" s="3">
        <v>276</v>
      </c>
      <c r="S372" s="3">
        <v>9</v>
      </c>
      <c r="T372" s="3">
        <v>21</v>
      </c>
      <c r="U372" s="3">
        <v>90</v>
      </c>
      <c r="V372" s="3">
        <v>63</v>
      </c>
      <c r="W372" s="3">
        <v>210</v>
      </c>
      <c r="X372" s="3">
        <v>63</v>
      </c>
      <c r="Y372" s="3">
        <v>123</v>
      </c>
      <c r="Z372" s="3">
        <v>63</v>
      </c>
      <c r="AA372" s="3">
        <v>78</v>
      </c>
      <c r="AB372" s="3">
        <v>234</v>
      </c>
      <c r="AC372" s="3">
        <v>0</v>
      </c>
      <c r="AD372" s="3">
        <v>0</v>
      </c>
      <c r="AE372" s="3">
        <v>0</v>
      </c>
      <c r="AF372" s="3">
        <v>0</v>
      </c>
      <c r="AG372" s="3">
        <v>48</v>
      </c>
      <c r="AH372" s="3">
        <v>0</v>
      </c>
      <c r="AI372" s="3">
        <v>0</v>
      </c>
      <c r="AJ372" s="3">
        <v>12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</row>
    <row r="373" spans="1:49">
      <c r="A373" s="4" t="s">
        <v>35</v>
      </c>
      <c r="B373" s="4" t="str">
        <f t="shared" si="5"/>
        <v>Hair Color</v>
      </c>
      <c r="C373" s="4" t="s">
        <v>1786</v>
      </c>
      <c r="D373" s="4" t="s">
        <v>150</v>
      </c>
      <c r="E373" s="24" t="s">
        <v>47</v>
      </c>
      <c r="F373" s="12" t="s">
        <v>527</v>
      </c>
      <c r="G373" s="4" t="s">
        <v>1787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156</v>
      </c>
      <c r="R373" s="3">
        <v>240</v>
      </c>
      <c r="S373" s="3">
        <v>180</v>
      </c>
      <c r="T373" s="3">
        <v>363</v>
      </c>
      <c r="U373" s="3">
        <v>-9</v>
      </c>
      <c r="V373" s="3">
        <v>27</v>
      </c>
      <c r="W373" s="3">
        <v>9</v>
      </c>
      <c r="X373" s="3">
        <v>33</v>
      </c>
      <c r="Y373" s="3">
        <v>27</v>
      </c>
      <c r="Z373" s="3">
        <v>27</v>
      </c>
      <c r="AA373" s="3">
        <v>3</v>
      </c>
      <c r="AB373" s="3">
        <v>12</v>
      </c>
      <c r="AC373" s="3">
        <v>42</v>
      </c>
      <c r="AD373" s="3">
        <v>3</v>
      </c>
      <c r="AE373" s="3">
        <v>18</v>
      </c>
      <c r="AF373" s="3">
        <v>39</v>
      </c>
      <c r="AG373" s="3">
        <v>9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</row>
    <row r="374" spans="1:49">
      <c r="A374" s="4" t="s">
        <v>35</v>
      </c>
      <c r="B374" s="4" t="str">
        <f t="shared" si="5"/>
        <v>Hair Color</v>
      </c>
      <c r="C374" s="4" t="s">
        <v>1786</v>
      </c>
      <c r="D374" s="4" t="s">
        <v>150</v>
      </c>
      <c r="E374" s="24" t="s">
        <v>47</v>
      </c>
      <c r="F374" s="12" t="s">
        <v>528</v>
      </c>
      <c r="G374" s="4" t="s">
        <v>1787</v>
      </c>
      <c r="H374" s="3">
        <v>72</v>
      </c>
      <c r="I374" s="3">
        <v>54</v>
      </c>
      <c r="J374" s="3">
        <v>102</v>
      </c>
      <c r="K374" s="3">
        <v>81</v>
      </c>
      <c r="L374" s="3">
        <v>96</v>
      </c>
      <c r="M374" s="3">
        <v>141</v>
      </c>
      <c r="N374" s="3">
        <v>54</v>
      </c>
      <c r="O374" s="3">
        <v>246</v>
      </c>
      <c r="P374" s="3">
        <v>51</v>
      </c>
      <c r="Q374" s="3">
        <v>264</v>
      </c>
      <c r="R374" s="3">
        <v>144</v>
      </c>
      <c r="S374" s="3">
        <v>57</v>
      </c>
      <c r="T374" s="3">
        <v>57</v>
      </c>
      <c r="U374" s="3">
        <v>57</v>
      </c>
      <c r="V374" s="3">
        <v>48</v>
      </c>
      <c r="W374" s="3">
        <v>48</v>
      </c>
      <c r="X374" s="3">
        <v>51</v>
      </c>
      <c r="Y374" s="3">
        <v>54</v>
      </c>
      <c r="Z374" s="3">
        <v>42</v>
      </c>
      <c r="AA374" s="3">
        <v>69</v>
      </c>
      <c r="AB374" s="3">
        <v>78</v>
      </c>
      <c r="AC374" s="3">
        <v>51</v>
      </c>
      <c r="AD374" s="3">
        <v>54</v>
      </c>
      <c r="AE374" s="3">
        <v>51</v>
      </c>
      <c r="AF374" s="3">
        <v>75</v>
      </c>
      <c r="AG374" s="3">
        <v>39</v>
      </c>
      <c r="AH374" s="3">
        <v>36</v>
      </c>
      <c r="AI374" s="3">
        <v>24</v>
      </c>
      <c r="AJ374" s="3">
        <v>72</v>
      </c>
      <c r="AK374" s="3">
        <v>3</v>
      </c>
      <c r="AL374" s="3">
        <v>120</v>
      </c>
      <c r="AM374" s="3">
        <v>33</v>
      </c>
      <c r="AN374" s="3">
        <v>75</v>
      </c>
      <c r="AO374" s="3">
        <v>84</v>
      </c>
      <c r="AP374" s="3">
        <v>42</v>
      </c>
      <c r="AQ374" s="3">
        <v>0</v>
      </c>
      <c r="AR374" s="3">
        <v>57</v>
      </c>
      <c r="AS374" s="3">
        <v>54</v>
      </c>
      <c r="AT374" s="3">
        <v>63</v>
      </c>
      <c r="AU374" s="3">
        <v>63</v>
      </c>
      <c r="AV374" s="3">
        <v>48</v>
      </c>
      <c r="AW374" s="3">
        <v>63</v>
      </c>
    </row>
    <row r="375" spans="1:49">
      <c r="A375" s="4" t="s">
        <v>35</v>
      </c>
      <c r="B375" s="4" t="str">
        <f t="shared" si="5"/>
        <v>Hair Color</v>
      </c>
      <c r="C375" s="4" t="s">
        <v>1786</v>
      </c>
      <c r="D375" s="4" t="s">
        <v>150</v>
      </c>
      <c r="E375" s="24" t="s">
        <v>47</v>
      </c>
      <c r="F375" s="12" t="s">
        <v>529</v>
      </c>
      <c r="G375" s="4" t="s">
        <v>1787</v>
      </c>
      <c r="H375" s="3">
        <v>39</v>
      </c>
      <c r="I375" s="3">
        <v>42</v>
      </c>
      <c r="J375" s="3">
        <v>42</v>
      </c>
      <c r="K375" s="3">
        <v>45</v>
      </c>
      <c r="L375" s="3">
        <v>48</v>
      </c>
      <c r="M375" s="3">
        <v>105</v>
      </c>
      <c r="N375" s="3">
        <v>42</v>
      </c>
      <c r="O375" s="3">
        <v>195</v>
      </c>
      <c r="P375" s="3">
        <v>54</v>
      </c>
      <c r="Q375" s="3">
        <v>243</v>
      </c>
      <c r="R375" s="3">
        <v>42</v>
      </c>
      <c r="S375" s="3">
        <v>3</v>
      </c>
      <c r="T375" s="3">
        <v>45</v>
      </c>
      <c r="U375" s="3">
        <v>48</v>
      </c>
      <c r="V375" s="3">
        <v>60</v>
      </c>
      <c r="W375" s="3">
        <v>42</v>
      </c>
      <c r="X375" s="3">
        <v>42</v>
      </c>
      <c r="Y375" s="3">
        <v>33</v>
      </c>
      <c r="Z375" s="3">
        <v>27</v>
      </c>
      <c r="AA375" s="3">
        <v>54</v>
      </c>
      <c r="AB375" s="3">
        <v>45</v>
      </c>
      <c r="AC375" s="3">
        <v>24</v>
      </c>
      <c r="AD375" s="3">
        <v>39</v>
      </c>
      <c r="AE375" s="3">
        <v>24</v>
      </c>
      <c r="AF375" s="3">
        <v>36</v>
      </c>
      <c r="AG375" s="3">
        <v>21</v>
      </c>
      <c r="AH375" s="3">
        <v>21</v>
      </c>
      <c r="AI375" s="3">
        <v>33</v>
      </c>
      <c r="AJ375" s="3">
        <v>42</v>
      </c>
      <c r="AK375" s="3">
        <v>30</v>
      </c>
      <c r="AL375" s="3">
        <v>36</v>
      </c>
      <c r="AM375" s="3">
        <v>3</v>
      </c>
      <c r="AN375" s="3">
        <v>72</v>
      </c>
      <c r="AO375" s="3">
        <v>33</v>
      </c>
      <c r="AP375" s="3">
        <v>24</v>
      </c>
      <c r="AQ375" s="3">
        <v>24</v>
      </c>
      <c r="AR375" s="3">
        <v>24</v>
      </c>
      <c r="AS375" s="3">
        <v>45</v>
      </c>
      <c r="AT375" s="3">
        <v>48</v>
      </c>
      <c r="AU375" s="3">
        <v>27</v>
      </c>
      <c r="AV375" s="3">
        <v>3</v>
      </c>
      <c r="AW375" s="3">
        <v>270</v>
      </c>
    </row>
    <row r="376" spans="1:49">
      <c r="A376" s="4" t="s">
        <v>35</v>
      </c>
      <c r="B376" s="4" t="str">
        <f t="shared" si="5"/>
        <v>Hair Color</v>
      </c>
      <c r="C376" s="4" t="s">
        <v>1786</v>
      </c>
      <c r="D376" s="4" t="s">
        <v>150</v>
      </c>
      <c r="E376" s="24" t="s">
        <v>47</v>
      </c>
      <c r="F376" s="12" t="s">
        <v>530</v>
      </c>
      <c r="G376" s="4" t="s">
        <v>1787</v>
      </c>
      <c r="H376" s="3">
        <v>156</v>
      </c>
      <c r="I376" s="3">
        <v>117</v>
      </c>
      <c r="J376" s="3">
        <v>81</v>
      </c>
      <c r="K376" s="3">
        <v>90</v>
      </c>
      <c r="L376" s="3">
        <v>135</v>
      </c>
      <c r="M376" s="3">
        <v>171</v>
      </c>
      <c r="N376" s="3">
        <v>198</v>
      </c>
      <c r="O376" s="3">
        <v>396</v>
      </c>
      <c r="P376" s="3">
        <v>60</v>
      </c>
      <c r="Q376" s="3">
        <v>336</v>
      </c>
      <c r="R376" s="3">
        <v>99</v>
      </c>
      <c r="S376" s="3">
        <v>132</v>
      </c>
      <c r="T376" s="3">
        <v>52</v>
      </c>
      <c r="U376" s="3">
        <v>219</v>
      </c>
      <c r="V376" s="3">
        <v>159</v>
      </c>
      <c r="W376" s="3">
        <v>33</v>
      </c>
      <c r="X376" s="3">
        <v>39</v>
      </c>
      <c r="Y376" s="3">
        <v>30</v>
      </c>
      <c r="Z376" s="3">
        <v>90</v>
      </c>
      <c r="AA376" s="3">
        <v>630</v>
      </c>
      <c r="AB376" s="3">
        <v>210</v>
      </c>
      <c r="AC376" s="3">
        <v>141</v>
      </c>
      <c r="AD376" s="3">
        <v>63</v>
      </c>
      <c r="AE376" s="3">
        <v>132</v>
      </c>
      <c r="AF376" s="3">
        <v>348</v>
      </c>
      <c r="AG376" s="3">
        <v>123</v>
      </c>
      <c r="AH376" s="3">
        <v>27</v>
      </c>
      <c r="AI376" s="3">
        <v>60</v>
      </c>
      <c r="AJ376" s="3">
        <v>78</v>
      </c>
      <c r="AK376" s="3">
        <v>129</v>
      </c>
      <c r="AL376" s="3">
        <v>96</v>
      </c>
      <c r="AM376" s="3">
        <v>51</v>
      </c>
      <c r="AN376" s="3">
        <v>93</v>
      </c>
      <c r="AO376" s="3">
        <v>108</v>
      </c>
      <c r="AP376" s="3">
        <v>78</v>
      </c>
      <c r="AQ376" s="3">
        <v>111</v>
      </c>
      <c r="AR376" s="3">
        <v>210</v>
      </c>
      <c r="AS376" s="3">
        <v>69</v>
      </c>
      <c r="AT376" s="3">
        <v>51</v>
      </c>
      <c r="AU376" s="3">
        <v>114</v>
      </c>
      <c r="AV376" s="3">
        <v>60</v>
      </c>
      <c r="AW376" s="3">
        <v>87</v>
      </c>
    </row>
    <row r="377" spans="1:49">
      <c r="A377" s="4" t="s">
        <v>35</v>
      </c>
      <c r="B377" s="4" t="str">
        <f t="shared" si="5"/>
        <v>Hair Color</v>
      </c>
      <c r="C377" s="4" t="s">
        <v>1786</v>
      </c>
      <c r="D377" s="4" t="s">
        <v>150</v>
      </c>
      <c r="E377" s="24" t="s">
        <v>47</v>
      </c>
      <c r="F377" s="12" t="s">
        <v>531</v>
      </c>
      <c r="G377" s="4" t="s">
        <v>1787</v>
      </c>
      <c r="H377" s="3">
        <v>48</v>
      </c>
      <c r="I377" s="3">
        <v>36</v>
      </c>
      <c r="J377" s="3">
        <v>39</v>
      </c>
      <c r="K377" s="3">
        <v>54</v>
      </c>
      <c r="L377" s="3">
        <v>54</v>
      </c>
      <c r="M377" s="3">
        <v>63</v>
      </c>
      <c r="N377" s="3">
        <v>39</v>
      </c>
      <c r="O377" s="3">
        <v>201</v>
      </c>
      <c r="P377" s="3">
        <v>45</v>
      </c>
      <c r="Q377" s="3">
        <v>216</v>
      </c>
      <c r="R377" s="3">
        <v>75</v>
      </c>
      <c r="S377" s="3">
        <v>30</v>
      </c>
      <c r="T377" s="3">
        <v>39</v>
      </c>
      <c r="U377" s="3">
        <v>30</v>
      </c>
      <c r="V377" s="3">
        <v>48</v>
      </c>
      <c r="W377" s="3">
        <v>39</v>
      </c>
      <c r="X377" s="3">
        <v>99</v>
      </c>
      <c r="Y377" s="3">
        <v>27</v>
      </c>
      <c r="Z377" s="3">
        <v>15</v>
      </c>
      <c r="AA377" s="3">
        <v>27</v>
      </c>
      <c r="AB377" s="3">
        <v>57</v>
      </c>
      <c r="AC377" s="3">
        <v>15</v>
      </c>
      <c r="AD377" s="3">
        <v>15</v>
      </c>
      <c r="AE377" s="3">
        <v>15</v>
      </c>
      <c r="AF377" s="3">
        <v>33</v>
      </c>
      <c r="AG377" s="3">
        <v>33</v>
      </c>
      <c r="AH377" s="3">
        <v>27</v>
      </c>
      <c r="AI377" s="3">
        <v>48</v>
      </c>
      <c r="AJ377" s="3">
        <v>54</v>
      </c>
      <c r="AK377" s="3">
        <v>27</v>
      </c>
      <c r="AL377" s="3">
        <v>27</v>
      </c>
      <c r="AM377" s="3">
        <v>57</v>
      </c>
      <c r="AN377" s="3">
        <v>42</v>
      </c>
      <c r="AO377" s="3">
        <v>36</v>
      </c>
      <c r="AP377" s="3">
        <v>12</v>
      </c>
      <c r="AQ377" s="3">
        <v>582</v>
      </c>
      <c r="AR377" s="3">
        <v>30</v>
      </c>
      <c r="AS377" s="3">
        <v>15</v>
      </c>
      <c r="AT377" s="3">
        <v>3</v>
      </c>
      <c r="AU377" s="3">
        <v>0</v>
      </c>
      <c r="AV377" s="3">
        <v>39</v>
      </c>
      <c r="AW377" s="3">
        <v>42</v>
      </c>
    </row>
    <row r="378" spans="1:49">
      <c r="A378" s="4" t="s">
        <v>35</v>
      </c>
      <c r="B378" s="4" t="str">
        <f t="shared" si="5"/>
        <v>Hair Color</v>
      </c>
      <c r="C378" s="4" t="s">
        <v>1786</v>
      </c>
      <c r="D378" s="4" t="s">
        <v>150</v>
      </c>
      <c r="E378" s="24" t="s">
        <v>47</v>
      </c>
      <c r="F378" s="12" t="s">
        <v>532</v>
      </c>
      <c r="G378" s="4" t="s">
        <v>1787</v>
      </c>
      <c r="H378" s="3">
        <v>12</v>
      </c>
      <c r="I378" s="3">
        <v>21</v>
      </c>
      <c r="J378" s="3">
        <v>6</v>
      </c>
      <c r="K378" s="3">
        <v>36</v>
      </c>
      <c r="L378" s="3">
        <v>15</v>
      </c>
      <c r="M378" s="3">
        <v>24</v>
      </c>
      <c r="N378" s="3">
        <v>6</v>
      </c>
      <c r="O378" s="3">
        <v>96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</row>
    <row r="379" spans="1:49">
      <c r="A379" s="4" t="s">
        <v>35</v>
      </c>
      <c r="B379" s="4" t="str">
        <f t="shared" si="5"/>
        <v>Hair Color</v>
      </c>
      <c r="C379" s="4" t="s">
        <v>1786</v>
      </c>
      <c r="D379" s="4" t="s">
        <v>150</v>
      </c>
      <c r="E379" s="24" t="s">
        <v>47</v>
      </c>
      <c r="F379" s="12" t="s">
        <v>533</v>
      </c>
      <c r="G379" s="4" t="s">
        <v>1787</v>
      </c>
      <c r="H379" s="3">
        <v>39</v>
      </c>
      <c r="I379" s="3">
        <v>39</v>
      </c>
      <c r="J379" s="3">
        <v>-3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</row>
    <row r="380" spans="1:49">
      <c r="A380" s="4" t="s">
        <v>35</v>
      </c>
      <c r="B380" s="4" t="str">
        <f t="shared" si="5"/>
        <v>Hair Color</v>
      </c>
      <c r="C380" s="4" t="s">
        <v>1786</v>
      </c>
      <c r="D380" s="4" t="s">
        <v>150</v>
      </c>
      <c r="E380" s="24" t="s">
        <v>47</v>
      </c>
      <c r="F380" s="12" t="s">
        <v>534</v>
      </c>
      <c r="G380" s="4" t="s">
        <v>1787</v>
      </c>
      <c r="H380" s="3">
        <v>0</v>
      </c>
      <c r="I380" s="3">
        <v>0</v>
      </c>
      <c r="J380" s="3">
        <v>0</v>
      </c>
      <c r="K380" s="3">
        <v>24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</row>
    <row r="381" spans="1:49">
      <c r="A381" s="4" t="s">
        <v>35</v>
      </c>
      <c r="B381" s="4" t="str">
        <f t="shared" si="5"/>
        <v>Hair Color</v>
      </c>
      <c r="C381" s="4" t="s">
        <v>1786</v>
      </c>
      <c r="D381" s="4" t="s">
        <v>150</v>
      </c>
      <c r="E381" s="24" t="s">
        <v>47</v>
      </c>
      <c r="F381" s="12" t="s">
        <v>535</v>
      </c>
      <c r="G381" s="4" t="s">
        <v>1787</v>
      </c>
      <c r="H381" s="3">
        <v>3</v>
      </c>
      <c r="I381" s="3">
        <v>21</v>
      </c>
      <c r="J381" s="3">
        <v>0</v>
      </c>
      <c r="K381" s="3">
        <v>24</v>
      </c>
      <c r="L381" s="3">
        <v>12</v>
      </c>
      <c r="M381" s="3">
        <v>15</v>
      </c>
      <c r="N381" s="3">
        <v>33</v>
      </c>
      <c r="O381" s="3">
        <v>186</v>
      </c>
      <c r="P381" s="3">
        <v>45</v>
      </c>
      <c r="Q381" s="3">
        <v>78</v>
      </c>
      <c r="R381" s="3">
        <v>21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</row>
    <row r="382" spans="1:49">
      <c r="A382" s="4" t="s">
        <v>35</v>
      </c>
      <c r="B382" s="4" t="str">
        <f t="shared" si="5"/>
        <v>Hair Color</v>
      </c>
      <c r="C382" s="4" t="s">
        <v>1786</v>
      </c>
      <c r="D382" s="4" t="s">
        <v>150</v>
      </c>
      <c r="E382" s="24" t="s">
        <v>47</v>
      </c>
      <c r="F382" s="12" t="s">
        <v>536</v>
      </c>
      <c r="G382" s="4" t="s">
        <v>1787</v>
      </c>
      <c r="H382" s="3">
        <v>3</v>
      </c>
      <c r="I382" s="3">
        <v>3</v>
      </c>
      <c r="J382" s="3">
        <v>0</v>
      </c>
      <c r="K382" s="3">
        <v>9</v>
      </c>
      <c r="L382" s="3">
        <v>15</v>
      </c>
      <c r="M382" s="3">
        <v>18</v>
      </c>
      <c r="N382" s="3">
        <v>0</v>
      </c>
      <c r="O382" s="3">
        <v>168</v>
      </c>
      <c r="P382" s="3">
        <v>24</v>
      </c>
      <c r="Q382" s="3">
        <v>12</v>
      </c>
      <c r="R382" s="3">
        <v>12</v>
      </c>
      <c r="S382" s="3">
        <v>3</v>
      </c>
      <c r="T382" s="3">
        <v>3</v>
      </c>
      <c r="U382" s="3">
        <v>0</v>
      </c>
      <c r="V382" s="3">
        <v>12</v>
      </c>
      <c r="W382" s="3">
        <v>0</v>
      </c>
      <c r="X382" s="3">
        <v>3</v>
      </c>
      <c r="Y382" s="3">
        <v>0</v>
      </c>
      <c r="Z382" s="3">
        <v>12</v>
      </c>
      <c r="AA382" s="3">
        <v>3</v>
      </c>
      <c r="AB382" s="3">
        <v>3</v>
      </c>
      <c r="AC382" s="3">
        <v>3</v>
      </c>
      <c r="AD382" s="3">
        <v>3</v>
      </c>
      <c r="AE382" s="3">
        <v>6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6</v>
      </c>
      <c r="AO382" s="3">
        <v>0</v>
      </c>
      <c r="AP382" s="3">
        <v>0</v>
      </c>
      <c r="AQ382" s="3">
        <v>0</v>
      </c>
      <c r="AR382" s="3">
        <v>6</v>
      </c>
      <c r="AS382" s="3">
        <v>12</v>
      </c>
      <c r="AT382" s="3">
        <v>6</v>
      </c>
      <c r="AU382" s="3">
        <v>12</v>
      </c>
      <c r="AV382" s="3">
        <v>6</v>
      </c>
      <c r="AW382" s="3">
        <v>18</v>
      </c>
    </row>
    <row r="383" spans="1:49">
      <c r="A383" s="4" t="s">
        <v>35</v>
      </c>
      <c r="B383" s="4" t="str">
        <f t="shared" si="5"/>
        <v>Hair Color</v>
      </c>
      <c r="C383" s="4" t="s">
        <v>1786</v>
      </c>
      <c r="D383" s="4" t="s">
        <v>150</v>
      </c>
      <c r="E383" s="24" t="s">
        <v>47</v>
      </c>
      <c r="F383" s="12" t="s">
        <v>537</v>
      </c>
      <c r="G383" s="4" t="s">
        <v>1787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378</v>
      </c>
      <c r="AH383" s="3">
        <v>120</v>
      </c>
      <c r="AI383" s="3">
        <v>12</v>
      </c>
      <c r="AJ383" s="3">
        <v>9</v>
      </c>
      <c r="AK383" s="3">
        <v>69</v>
      </c>
      <c r="AL383" s="3">
        <v>33</v>
      </c>
      <c r="AM383" s="3">
        <v>6</v>
      </c>
      <c r="AN383" s="3">
        <v>21</v>
      </c>
      <c r="AO383" s="3">
        <v>21</v>
      </c>
      <c r="AP383" s="3">
        <v>27</v>
      </c>
      <c r="AQ383" s="3">
        <v>0</v>
      </c>
      <c r="AR383" s="3">
        <v>18</v>
      </c>
      <c r="AS383" s="3">
        <v>42</v>
      </c>
      <c r="AT383" s="3">
        <v>27</v>
      </c>
      <c r="AU383" s="3">
        <v>24</v>
      </c>
      <c r="AV383" s="3">
        <v>30</v>
      </c>
      <c r="AW383" s="3">
        <v>24</v>
      </c>
    </row>
    <row r="384" spans="1:49">
      <c r="A384" s="4" t="s">
        <v>35</v>
      </c>
      <c r="B384" s="4" t="str">
        <f t="shared" si="5"/>
        <v>Hair Color</v>
      </c>
      <c r="C384" s="4" t="s">
        <v>1786</v>
      </c>
      <c r="D384" s="4" t="s">
        <v>150</v>
      </c>
      <c r="E384" s="24" t="s">
        <v>47</v>
      </c>
      <c r="F384" s="12" t="s">
        <v>538</v>
      </c>
      <c r="G384" s="4" t="s">
        <v>1787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378</v>
      </c>
      <c r="AH384" s="3">
        <v>135</v>
      </c>
      <c r="AI384" s="3">
        <v>29</v>
      </c>
      <c r="AJ384" s="3">
        <v>150</v>
      </c>
      <c r="AK384" s="3">
        <v>24</v>
      </c>
      <c r="AL384" s="3">
        <v>9</v>
      </c>
      <c r="AM384" s="3">
        <v>12</v>
      </c>
      <c r="AN384" s="3">
        <v>21</v>
      </c>
      <c r="AO384" s="3">
        <v>9</v>
      </c>
      <c r="AP384" s="3">
        <v>15</v>
      </c>
      <c r="AQ384" s="3">
        <v>12</v>
      </c>
      <c r="AR384" s="3">
        <v>60</v>
      </c>
      <c r="AS384" s="3">
        <v>21</v>
      </c>
      <c r="AT384" s="3">
        <v>36</v>
      </c>
      <c r="AU384" s="3">
        <v>54</v>
      </c>
      <c r="AV384" s="3">
        <v>42</v>
      </c>
      <c r="AW384" s="3">
        <v>0</v>
      </c>
    </row>
    <row r="385" spans="1:49">
      <c r="A385" s="4" t="s">
        <v>35</v>
      </c>
      <c r="B385" s="4" t="str">
        <f t="shared" si="5"/>
        <v>Hair Color</v>
      </c>
      <c r="C385" s="4" t="s">
        <v>1786</v>
      </c>
      <c r="D385" s="4" t="s">
        <v>150</v>
      </c>
      <c r="E385" s="24" t="s">
        <v>47</v>
      </c>
      <c r="F385" s="12" t="s">
        <v>539</v>
      </c>
      <c r="G385" s="4" t="s">
        <v>1787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378</v>
      </c>
      <c r="AH385" s="3">
        <v>108</v>
      </c>
      <c r="AI385" s="3">
        <v>69</v>
      </c>
      <c r="AJ385" s="3">
        <v>126</v>
      </c>
      <c r="AK385" s="3">
        <v>21</v>
      </c>
      <c r="AL385" s="3">
        <v>36</v>
      </c>
      <c r="AM385" s="3">
        <v>3</v>
      </c>
      <c r="AN385" s="3">
        <v>15</v>
      </c>
      <c r="AO385" s="3">
        <v>12</v>
      </c>
      <c r="AP385" s="3">
        <v>12</v>
      </c>
      <c r="AQ385" s="3">
        <v>6</v>
      </c>
      <c r="AR385" s="3">
        <v>18</v>
      </c>
      <c r="AS385" s="3">
        <v>9</v>
      </c>
      <c r="AT385" s="3">
        <v>18</v>
      </c>
      <c r="AU385" s="3">
        <v>15</v>
      </c>
      <c r="AV385" s="3">
        <v>18</v>
      </c>
      <c r="AW385" s="3">
        <v>6</v>
      </c>
    </row>
    <row r="386" spans="1:49">
      <c r="A386" s="4" t="s">
        <v>35</v>
      </c>
      <c r="B386" s="4" t="str">
        <f t="shared" si="5"/>
        <v>Hair Color</v>
      </c>
      <c r="C386" s="4" t="s">
        <v>1786</v>
      </c>
      <c r="D386" s="4" t="s">
        <v>150</v>
      </c>
      <c r="E386" s="24" t="s">
        <v>47</v>
      </c>
      <c r="F386" s="12" t="s">
        <v>540</v>
      </c>
      <c r="G386" s="4" t="s">
        <v>1787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306</v>
      </c>
      <c r="AJ386" s="3">
        <v>174</v>
      </c>
      <c r="AK386" s="3">
        <v>525</v>
      </c>
      <c r="AL386" s="3">
        <v>36</v>
      </c>
      <c r="AM386" s="3">
        <v>41</v>
      </c>
      <c r="AN386" s="3">
        <v>36</v>
      </c>
      <c r="AO386" s="3">
        <v>36</v>
      </c>
      <c r="AP386" s="3">
        <v>48</v>
      </c>
      <c r="AQ386" s="3">
        <v>105</v>
      </c>
      <c r="AR386" s="3">
        <v>30</v>
      </c>
      <c r="AS386" s="3">
        <v>39</v>
      </c>
      <c r="AT386" s="3">
        <v>57</v>
      </c>
      <c r="AU386" s="3">
        <v>69</v>
      </c>
      <c r="AV386" s="3">
        <v>54</v>
      </c>
      <c r="AW386" s="3">
        <v>60</v>
      </c>
    </row>
    <row r="387" spans="1:49">
      <c r="A387" s="4" t="s">
        <v>35</v>
      </c>
      <c r="B387" s="4" t="str">
        <f t="shared" ref="B387:B450" si="6">A387</f>
        <v>Hair Color</v>
      </c>
      <c r="C387" s="4" t="s">
        <v>1786</v>
      </c>
      <c r="D387" s="4" t="s">
        <v>150</v>
      </c>
      <c r="E387" s="24" t="s">
        <v>47</v>
      </c>
      <c r="F387" s="12" t="s">
        <v>541</v>
      </c>
      <c r="G387" s="4" t="s">
        <v>1787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375</v>
      </c>
      <c r="AH387" s="3">
        <v>111</v>
      </c>
      <c r="AI387" s="3">
        <v>33</v>
      </c>
      <c r="AJ387" s="3">
        <v>33</v>
      </c>
      <c r="AK387" s="3">
        <v>33</v>
      </c>
      <c r="AL387" s="3">
        <v>18</v>
      </c>
      <c r="AM387" s="3">
        <v>12</v>
      </c>
      <c r="AN387" s="3">
        <v>18</v>
      </c>
      <c r="AO387" s="3">
        <v>6</v>
      </c>
      <c r="AP387" s="3">
        <v>12</v>
      </c>
      <c r="AQ387" s="3">
        <v>6</v>
      </c>
      <c r="AR387" s="3">
        <v>24</v>
      </c>
      <c r="AS387" s="3">
        <v>24</v>
      </c>
      <c r="AT387" s="3">
        <v>39</v>
      </c>
      <c r="AU387" s="3">
        <v>39</v>
      </c>
      <c r="AV387" s="3">
        <v>36</v>
      </c>
      <c r="AW387" s="3">
        <v>15</v>
      </c>
    </row>
    <row r="388" spans="1:49">
      <c r="A388" s="4" t="s">
        <v>35</v>
      </c>
      <c r="B388" s="4" t="str">
        <f t="shared" si="6"/>
        <v>Hair Color</v>
      </c>
      <c r="C388" s="4" t="s">
        <v>1786</v>
      </c>
      <c r="D388" s="4" t="s">
        <v>150</v>
      </c>
      <c r="E388" s="24" t="s">
        <v>47</v>
      </c>
      <c r="F388" s="12" t="s">
        <v>542</v>
      </c>
      <c r="G388" s="4" t="s">
        <v>1787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384</v>
      </c>
      <c r="AH388" s="3">
        <v>132</v>
      </c>
      <c r="AI388" s="3">
        <v>54</v>
      </c>
      <c r="AJ388" s="3">
        <v>207</v>
      </c>
      <c r="AK388" s="3">
        <v>36</v>
      </c>
      <c r="AL388" s="3">
        <v>45</v>
      </c>
      <c r="AM388" s="3">
        <v>6</v>
      </c>
      <c r="AN388" s="3">
        <v>6</v>
      </c>
      <c r="AO388" s="3">
        <v>18</v>
      </c>
      <c r="AP388" s="3">
        <v>24</v>
      </c>
      <c r="AQ388" s="3">
        <v>12</v>
      </c>
      <c r="AR388" s="3">
        <v>39</v>
      </c>
      <c r="AS388" s="3">
        <v>15</v>
      </c>
      <c r="AT388" s="3">
        <v>48</v>
      </c>
      <c r="AU388" s="3">
        <v>27</v>
      </c>
      <c r="AV388" s="3">
        <v>39</v>
      </c>
      <c r="AW388" s="3">
        <v>24</v>
      </c>
    </row>
    <row r="389" spans="1:49">
      <c r="A389" s="4" t="s">
        <v>35</v>
      </c>
      <c r="B389" s="4" t="str">
        <f t="shared" si="6"/>
        <v>Hair Color</v>
      </c>
      <c r="C389" s="4" t="s">
        <v>1786</v>
      </c>
      <c r="D389" s="4" t="s">
        <v>150</v>
      </c>
      <c r="E389" s="24" t="s">
        <v>47</v>
      </c>
      <c r="F389" s="12" t="s">
        <v>543</v>
      </c>
      <c r="G389" s="4" t="s">
        <v>1787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384</v>
      </c>
      <c r="AH389" s="3">
        <v>150</v>
      </c>
      <c r="AI389" s="3">
        <v>48</v>
      </c>
      <c r="AJ389" s="3">
        <v>48</v>
      </c>
      <c r="AK389" s="3">
        <v>57</v>
      </c>
      <c r="AL389" s="3">
        <v>75</v>
      </c>
      <c r="AM389" s="3">
        <v>18</v>
      </c>
      <c r="AN389" s="3">
        <v>39</v>
      </c>
      <c r="AO389" s="3">
        <v>27</v>
      </c>
      <c r="AP389" s="3">
        <v>33</v>
      </c>
      <c r="AQ389" s="3">
        <v>39</v>
      </c>
      <c r="AR389" s="3">
        <v>66</v>
      </c>
      <c r="AS389" s="3">
        <v>39</v>
      </c>
      <c r="AT389" s="3">
        <v>57</v>
      </c>
      <c r="AU389" s="3">
        <v>42</v>
      </c>
      <c r="AV389" s="3">
        <v>48</v>
      </c>
      <c r="AW389" s="3">
        <v>39</v>
      </c>
    </row>
    <row r="390" spans="1:49">
      <c r="A390" s="4" t="s">
        <v>35</v>
      </c>
      <c r="B390" s="4" t="str">
        <f t="shared" si="6"/>
        <v>Hair Color</v>
      </c>
      <c r="C390" s="4" t="s">
        <v>1786</v>
      </c>
      <c r="D390" s="4" t="s">
        <v>150</v>
      </c>
      <c r="E390" s="24" t="s">
        <v>47</v>
      </c>
      <c r="F390" s="12" t="s">
        <v>544</v>
      </c>
      <c r="G390" s="4" t="s">
        <v>1787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384</v>
      </c>
      <c r="AH390" s="3">
        <v>144</v>
      </c>
      <c r="AI390" s="3">
        <v>60</v>
      </c>
      <c r="AJ390" s="3">
        <v>237</v>
      </c>
      <c r="AK390" s="3">
        <v>33</v>
      </c>
      <c r="AL390" s="3">
        <v>57</v>
      </c>
      <c r="AM390" s="3">
        <v>36</v>
      </c>
      <c r="AN390" s="3">
        <v>42</v>
      </c>
      <c r="AO390" s="3">
        <v>63</v>
      </c>
      <c r="AP390" s="3">
        <v>33</v>
      </c>
      <c r="AQ390" s="3">
        <v>54</v>
      </c>
      <c r="AR390" s="3">
        <v>69</v>
      </c>
      <c r="AS390" s="3">
        <v>42</v>
      </c>
      <c r="AT390" s="3">
        <v>105</v>
      </c>
      <c r="AU390" s="3">
        <v>69</v>
      </c>
      <c r="AV390" s="3">
        <v>90</v>
      </c>
      <c r="AW390" s="3">
        <v>69</v>
      </c>
    </row>
    <row r="391" spans="1:49">
      <c r="A391" s="4" t="s">
        <v>35</v>
      </c>
      <c r="B391" s="4" t="str">
        <f t="shared" si="6"/>
        <v>Hair Color</v>
      </c>
      <c r="C391" s="4" t="s">
        <v>1786</v>
      </c>
      <c r="D391" s="4" t="s">
        <v>150</v>
      </c>
      <c r="E391" s="24" t="s">
        <v>47</v>
      </c>
      <c r="F391" s="12" t="s">
        <v>545</v>
      </c>
      <c r="G391" s="4" t="s">
        <v>1787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375</v>
      </c>
      <c r="AH391" s="3">
        <v>135</v>
      </c>
      <c r="AI391" s="3">
        <v>99</v>
      </c>
      <c r="AJ391" s="3">
        <v>222</v>
      </c>
      <c r="AK391" s="3">
        <v>549</v>
      </c>
      <c r="AL391" s="3">
        <v>78</v>
      </c>
      <c r="AM391" s="3">
        <v>18</v>
      </c>
      <c r="AN391" s="3">
        <v>18</v>
      </c>
      <c r="AO391" s="3">
        <v>72</v>
      </c>
      <c r="AP391" s="3">
        <v>54</v>
      </c>
      <c r="AQ391" s="3">
        <v>60</v>
      </c>
      <c r="AR391" s="3">
        <v>135</v>
      </c>
      <c r="AS391" s="3">
        <v>99</v>
      </c>
      <c r="AT391" s="3">
        <v>153</v>
      </c>
      <c r="AU391" s="3">
        <v>93</v>
      </c>
      <c r="AV391" s="3">
        <v>132</v>
      </c>
      <c r="AW391" s="3">
        <v>81</v>
      </c>
    </row>
    <row r="392" spans="1:49">
      <c r="A392" s="4" t="s">
        <v>35</v>
      </c>
      <c r="B392" s="4" t="str">
        <f t="shared" si="6"/>
        <v>Hair Color</v>
      </c>
      <c r="C392" s="4" t="s">
        <v>1786</v>
      </c>
      <c r="D392" s="4" t="s">
        <v>150</v>
      </c>
      <c r="E392" s="24" t="s">
        <v>47</v>
      </c>
      <c r="F392" s="12" t="s">
        <v>546</v>
      </c>
      <c r="G392" s="4" t="s">
        <v>1787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378</v>
      </c>
      <c r="AH392" s="3">
        <v>111</v>
      </c>
      <c r="AI392" s="3">
        <v>30</v>
      </c>
      <c r="AJ392" s="3">
        <v>171</v>
      </c>
      <c r="AK392" s="3">
        <v>564</v>
      </c>
      <c r="AL392" s="3">
        <v>51</v>
      </c>
      <c r="AM392" s="3">
        <v>27</v>
      </c>
      <c r="AN392" s="3">
        <v>42</v>
      </c>
      <c r="AO392" s="3">
        <v>30</v>
      </c>
      <c r="AP392" s="3">
        <v>48</v>
      </c>
      <c r="AQ392" s="3">
        <v>60</v>
      </c>
      <c r="AR392" s="3">
        <v>96</v>
      </c>
      <c r="AS392" s="3">
        <v>69</v>
      </c>
      <c r="AT392" s="3">
        <v>60</v>
      </c>
      <c r="AU392" s="3">
        <v>48</v>
      </c>
      <c r="AV392" s="3">
        <v>54</v>
      </c>
      <c r="AW392" s="3">
        <v>72</v>
      </c>
    </row>
    <row r="393" spans="1:49">
      <c r="A393" s="4" t="s">
        <v>35</v>
      </c>
      <c r="B393" s="4" t="str">
        <f t="shared" si="6"/>
        <v>Hair Color</v>
      </c>
      <c r="C393" s="4" t="s">
        <v>1786</v>
      </c>
      <c r="D393" s="4" t="s">
        <v>150</v>
      </c>
      <c r="E393" s="24" t="s">
        <v>47</v>
      </c>
      <c r="F393" s="12" t="s">
        <v>547</v>
      </c>
      <c r="G393" s="4" t="s">
        <v>1787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378</v>
      </c>
      <c r="AH393" s="3">
        <v>138</v>
      </c>
      <c r="AI393" s="3">
        <v>21</v>
      </c>
      <c r="AJ393" s="3">
        <v>66</v>
      </c>
      <c r="AK393" s="3">
        <v>543</v>
      </c>
      <c r="AL393" s="3">
        <v>45</v>
      </c>
      <c r="AM393" s="3">
        <v>27</v>
      </c>
      <c r="AN393" s="3">
        <v>45</v>
      </c>
      <c r="AO393" s="3">
        <v>27</v>
      </c>
      <c r="AP393" s="3">
        <v>27</v>
      </c>
      <c r="AQ393" s="3">
        <v>45</v>
      </c>
      <c r="AR393" s="3">
        <v>36</v>
      </c>
      <c r="AS393" s="3">
        <v>51</v>
      </c>
      <c r="AT393" s="3">
        <v>51</v>
      </c>
      <c r="AU393" s="3">
        <v>36</v>
      </c>
      <c r="AV393" s="3">
        <v>39</v>
      </c>
      <c r="AW393" s="3">
        <v>45</v>
      </c>
    </row>
    <row r="394" spans="1:49">
      <c r="A394" s="4" t="s">
        <v>35</v>
      </c>
      <c r="B394" s="4" t="str">
        <f t="shared" si="6"/>
        <v>Hair Color</v>
      </c>
      <c r="C394" s="4" t="s">
        <v>1786</v>
      </c>
      <c r="D394" s="4" t="s">
        <v>150</v>
      </c>
      <c r="E394" s="24" t="s">
        <v>47</v>
      </c>
      <c r="F394" s="12" t="s">
        <v>548</v>
      </c>
      <c r="G394" s="4" t="s">
        <v>1787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381</v>
      </c>
      <c r="AH394" s="3">
        <v>126</v>
      </c>
      <c r="AI394" s="3">
        <v>57</v>
      </c>
      <c r="AJ394" s="3">
        <v>183</v>
      </c>
      <c r="AK394" s="3">
        <v>531</v>
      </c>
      <c r="AL394" s="3">
        <v>51</v>
      </c>
      <c r="AM394" s="3">
        <v>60</v>
      </c>
      <c r="AN394" s="3">
        <v>60</v>
      </c>
      <c r="AO394" s="3">
        <v>99</v>
      </c>
      <c r="AP394" s="3">
        <v>75</v>
      </c>
      <c r="AQ394" s="3">
        <v>126</v>
      </c>
      <c r="AR394" s="3">
        <v>84</v>
      </c>
      <c r="AS394" s="3">
        <v>78</v>
      </c>
      <c r="AT394" s="3">
        <v>111</v>
      </c>
      <c r="AU394" s="3">
        <v>54</v>
      </c>
      <c r="AV394" s="3">
        <v>45</v>
      </c>
      <c r="AW394" s="3">
        <v>108</v>
      </c>
    </row>
    <row r="395" spans="1:49">
      <c r="A395" s="4" t="s">
        <v>35</v>
      </c>
      <c r="B395" s="4" t="str">
        <f t="shared" si="6"/>
        <v>Hair Color</v>
      </c>
      <c r="C395" s="4" t="s">
        <v>1786</v>
      </c>
      <c r="D395" s="4" t="s">
        <v>150</v>
      </c>
      <c r="E395" s="24" t="s">
        <v>47</v>
      </c>
      <c r="F395" s="12" t="s">
        <v>549</v>
      </c>
      <c r="G395" s="4" t="s">
        <v>1787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375</v>
      </c>
      <c r="AH395" s="3">
        <v>141</v>
      </c>
      <c r="AI395" s="3">
        <v>36</v>
      </c>
      <c r="AJ395" s="3">
        <v>135</v>
      </c>
      <c r="AK395" s="3">
        <v>9</v>
      </c>
      <c r="AL395" s="3">
        <v>12</v>
      </c>
      <c r="AM395" s="3">
        <v>9</v>
      </c>
      <c r="AN395" s="3">
        <v>15</v>
      </c>
      <c r="AO395" s="3">
        <v>18</v>
      </c>
      <c r="AP395" s="3">
        <v>3</v>
      </c>
      <c r="AQ395" s="3">
        <v>9</v>
      </c>
      <c r="AR395" s="3">
        <v>12</v>
      </c>
      <c r="AS395" s="3">
        <v>18</v>
      </c>
      <c r="AT395" s="3">
        <v>9</v>
      </c>
      <c r="AU395" s="3">
        <v>21</v>
      </c>
      <c r="AV395" s="3">
        <v>9</v>
      </c>
      <c r="AW395" s="3">
        <v>9</v>
      </c>
    </row>
    <row r="396" spans="1:49">
      <c r="A396" s="4" t="s">
        <v>35</v>
      </c>
      <c r="B396" s="4" t="str">
        <f t="shared" si="6"/>
        <v>Hair Color</v>
      </c>
      <c r="C396" s="4" t="s">
        <v>1786</v>
      </c>
      <c r="D396" s="4" t="s">
        <v>150</v>
      </c>
      <c r="E396" s="24" t="s">
        <v>47</v>
      </c>
      <c r="F396" s="12" t="s">
        <v>550</v>
      </c>
      <c r="G396" s="4" t="s">
        <v>1787</v>
      </c>
      <c r="H396" s="3">
        <v>117</v>
      </c>
      <c r="I396" s="3">
        <v>48</v>
      </c>
      <c r="J396" s="3">
        <v>48</v>
      </c>
      <c r="K396" s="3">
        <v>204</v>
      </c>
      <c r="L396" s="3">
        <v>114</v>
      </c>
      <c r="M396" s="3">
        <v>57</v>
      </c>
      <c r="N396" s="3">
        <v>87</v>
      </c>
      <c r="O396" s="3">
        <v>330</v>
      </c>
      <c r="P396" s="3">
        <v>12</v>
      </c>
      <c r="Q396" s="3">
        <v>582</v>
      </c>
      <c r="R396" s="3">
        <v>132</v>
      </c>
      <c r="S396" s="3">
        <v>408</v>
      </c>
      <c r="T396" s="3">
        <v>558</v>
      </c>
      <c r="U396" s="3">
        <v>-15</v>
      </c>
      <c r="V396" s="3">
        <v>54</v>
      </c>
      <c r="W396" s="3">
        <v>12</v>
      </c>
      <c r="X396" s="3">
        <v>90</v>
      </c>
      <c r="Y396" s="3">
        <v>6</v>
      </c>
      <c r="Z396" s="3">
        <v>15</v>
      </c>
      <c r="AA396" s="3">
        <v>3</v>
      </c>
      <c r="AB396" s="3">
        <v>243</v>
      </c>
      <c r="AC396" s="3">
        <v>108</v>
      </c>
      <c r="AD396" s="3">
        <v>0</v>
      </c>
      <c r="AE396" s="3">
        <v>0</v>
      </c>
      <c r="AF396" s="3">
        <v>90</v>
      </c>
      <c r="AG396" s="3">
        <v>12</v>
      </c>
      <c r="AH396" s="3">
        <v>0</v>
      </c>
      <c r="AI396" s="3">
        <v>72</v>
      </c>
      <c r="AJ396" s="3">
        <v>30</v>
      </c>
      <c r="AK396" s="3">
        <v>45</v>
      </c>
      <c r="AL396" s="3">
        <v>30</v>
      </c>
      <c r="AM396" s="3">
        <v>21</v>
      </c>
      <c r="AN396" s="3">
        <v>54</v>
      </c>
      <c r="AO396" s="3">
        <v>45</v>
      </c>
      <c r="AP396" s="3">
        <v>51</v>
      </c>
      <c r="AQ396" s="3">
        <v>147</v>
      </c>
      <c r="AR396" s="3">
        <v>417</v>
      </c>
      <c r="AS396" s="3">
        <v>87</v>
      </c>
      <c r="AT396" s="3">
        <v>48</v>
      </c>
      <c r="AU396" s="3">
        <v>36</v>
      </c>
      <c r="AV396" s="3">
        <v>51</v>
      </c>
      <c r="AW396" s="3">
        <v>45</v>
      </c>
    </row>
    <row r="397" spans="1:49">
      <c r="A397" s="4" t="s">
        <v>35</v>
      </c>
      <c r="B397" s="4" t="str">
        <f t="shared" si="6"/>
        <v>Hair Color</v>
      </c>
      <c r="C397" s="4" t="s">
        <v>1786</v>
      </c>
      <c r="D397" s="4" t="s">
        <v>150</v>
      </c>
      <c r="E397" s="24" t="s">
        <v>47</v>
      </c>
      <c r="F397" s="12" t="s">
        <v>551</v>
      </c>
      <c r="G397" s="4" t="s">
        <v>1787</v>
      </c>
      <c r="H397" s="3">
        <v>147</v>
      </c>
      <c r="I397" s="3">
        <v>81</v>
      </c>
      <c r="J397" s="3">
        <v>78</v>
      </c>
      <c r="K397" s="3">
        <v>84</v>
      </c>
      <c r="L397" s="3">
        <v>120</v>
      </c>
      <c r="M397" s="3">
        <v>132</v>
      </c>
      <c r="N397" s="3">
        <v>126</v>
      </c>
      <c r="O397" s="3">
        <v>354</v>
      </c>
      <c r="P397" s="3">
        <v>63</v>
      </c>
      <c r="Q397" s="3">
        <v>411</v>
      </c>
      <c r="R397" s="3">
        <v>24</v>
      </c>
      <c r="S397" s="3">
        <v>15</v>
      </c>
      <c r="T397" s="3">
        <v>21</v>
      </c>
      <c r="U397" s="3">
        <v>36</v>
      </c>
      <c r="V397" s="3">
        <v>27</v>
      </c>
      <c r="W397" s="3">
        <v>12</v>
      </c>
      <c r="X397" s="3">
        <v>114</v>
      </c>
      <c r="Y397" s="3">
        <v>18</v>
      </c>
      <c r="Z397" s="3">
        <v>24</v>
      </c>
      <c r="AA397" s="3">
        <v>3</v>
      </c>
      <c r="AB397" s="3">
        <v>21</v>
      </c>
      <c r="AC397" s="3">
        <v>18</v>
      </c>
      <c r="AD397" s="3">
        <v>66</v>
      </c>
      <c r="AE397" s="3">
        <v>9</v>
      </c>
      <c r="AF397" s="3">
        <v>24</v>
      </c>
      <c r="AG397" s="3">
        <v>18</v>
      </c>
      <c r="AH397" s="3">
        <v>12</v>
      </c>
      <c r="AI397" s="3">
        <v>51</v>
      </c>
      <c r="AJ397" s="3">
        <v>30</v>
      </c>
      <c r="AK397" s="3">
        <v>0</v>
      </c>
      <c r="AL397" s="3">
        <v>0</v>
      </c>
      <c r="AM397" s="3">
        <v>0</v>
      </c>
      <c r="AN397" s="3">
        <v>0</v>
      </c>
      <c r="AO397" s="3">
        <v>39</v>
      </c>
      <c r="AP397" s="3">
        <v>21</v>
      </c>
      <c r="AQ397" s="3">
        <v>3</v>
      </c>
      <c r="AR397" s="3">
        <v>36</v>
      </c>
      <c r="AS397" s="3">
        <v>6</v>
      </c>
      <c r="AT397" s="3">
        <v>6</v>
      </c>
      <c r="AU397" s="3">
        <v>24</v>
      </c>
      <c r="AV397" s="3">
        <v>63</v>
      </c>
      <c r="AW397" s="3">
        <v>93</v>
      </c>
    </row>
    <row r="398" spans="1:49">
      <c r="A398" s="4" t="s">
        <v>35</v>
      </c>
      <c r="B398" s="4" t="str">
        <f t="shared" si="6"/>
        <v>Hair Color</v>
      </c>
      <c r="C398" s="4" t="s">
        <v>1786</v>
      </c>
      <c r="D398" s="4" t="s">
        <v>150</v>
      </c>
      <c r="E398" s="24" t="s">
        <v>47</v>
      </c>
      <c r="F398" s="12" t="s">
        <v>552</v>
      </c>
      <c r="G398" s="4" t="s">
        <v>1787</v>
      </c>
      <c r="H398" s="3">
        <v>57</v>
      </c>
      <c r="I398" s="3">
        <v>45</v>
      </c>
      <c r="J398" s="3">
        <v>30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</row>
    <row r="399" spans="1:49">
      <c r="A399" s="4" t="s">
        <v>35</v>
      </c>
      <c r="B399" s="4" t="str">
        <f t="shared" si="6"/>
        <v>Hair Color</v>
      </c>
      <c r="C399" s="4" t="s">
        <v>1786</v>
      </c>
      <c r="D399" s="4" t="s">
        <v>150</v>
      </c>
      <c r="E399" s="24" t="s">
        <v>47</v>
      </c>
      <c r="F399" s="12" t="s">
        <v>553</v>
      </c>
      <c r="G399" s="4" t="s">
        <v>1787</v>
      </c>
      <c r="H399" s="3">
        <v>21</v>
      </c>
      <c r="I399" s="3">
        <v>0</v>
      </c>
      <c r="J399" s="3">
        <v>12</v>
      </c>
      <c r="K399" s="3">
        <v>33</v>
      </c>
      <c r="L399" s="3">
        <v>9</v>
      </c>
      <c r="M399" s="3">
        <v>12</v>
      </c>
      <c r="N399" s="3">
        <v>0</v>
      </c>
      <c r="O399" s="3">
        <v>204</v>
      </c>
      <c r="P399" s="3">
        <v>24</v>
      </c>
      <c r="Q399" s="3">
        <v>354</v>
      </c>
      <c r="R399" s="3">
        <v>12</v>
      </c>
      <c r="S399" s="3">
        <v>12</v>
      </c>
      <c r="T399" s="3">
        <v>27</v>
      </c>
      <c r="U399" s="3">
        <v>9</v>
      </c>
      <c r="V399" s="3">
        <v>9</v>
      </c>
      <c r="W399" s="3">
        <v>6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</row>
    <row r="400" spans="1:49">
      <c r="A400" s="4" t="s">
        <v>35</v>
      </c>
      <c r="B400" s="4" t="str">
        <f t="shared" si="6"/>
        <v>Hair Color</v>
      </c>
      <c r="C400" s="4" t="s">
        <v>1786</v>
      </c>
      <c r="D400" s="4" t="s">
        <v>150</v>
      </c>
      <c r="E400" s="24" t="s">
        <v>47</v>
      </c>
      <c r="F400" s="12" t="s">
        <v>521</v>
      </c>
      <c r="G400" s="4" t="s">
        <v>1787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84</v>
      </c>
      <c r="AJ400" s="3">
        <v>42</v>
      </c>
      <c r="AK400" s="3">
        <v>6</v>
      </c>
      <c r="AL400" s="3">
        <v>36</v>
      </c>
      <c r="AM400" s="3">
        <v>114</v>
      </c>
      <c r="AN400" s="3">
        <v>48</v>
      </c>
      <c r="AO400" s="3">
        <v>42</v>
      </c>
      <c r="AP400" s="3">
        <v>54</v>
      </c>
      <c r="AQ400" s="3">
        <v>24</v>
      </c>
      <c r="AR400" s="3">
        <v>48</v>
      </c>
      <c r="AS400" s="3">
        <v>24</v>
      </c>
      <c r="AT400" s="3">
        <v>48</v>
      </c>
      <c r="AU400" s="3">
        <v>54</v>
      </c>
      <c r="AV400" s="3">
        <v>36</v>
      </c>
      <c r="AW400" s="3">
        <v>36</v>
      </c>
    </row>
    <row r="401" spans="1:49">
      <c r="A401" s="4" t="s">
        <v>35</v>
      </c>
      <c r="B401" s="4" t="str">
        <f t="shared" si="6"/>
        <v>Hair Color</v>
      </c>
      <c r="C401" s="4" t="s">
        <v>1786</v>
      </c>
      <c r="D401" s="4" t="s">
        <v>150</v>
      </c>
      <c r="E401" s="24" t="s">
        <v>47</v>
      </c>
      <c r="F401" s="12" t="s">
        <v>554</v>
      </c>
      <c r="G401" s="4" t="s">
        <v>1787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105</v>
      </c>
      <c r="AI401" s="3">
        <v>60</v>
      </c>
      <c r="AJ401" s="3">
        <v>51</v>
      </c>
      <c r="AK401" s="3">
        <v>42</v>
      </c>
      <c r="AL401" s="3">
        <v>36</v>
      </c>
      <c r="AM401" s="3">
        <v>54</v>
      </c>
      <c r="AN401" s="3">
        <v>54</v>
      </c>
      <c r="AO401" s="3">
        <v>42</v>
      </c>
      <c r="AP401" s="3">
        <v>30</v>
      </c>
      <c r="AQ401" s="3">
        <v>36</v>
      </c>
      <c r="AR401" s="3">
        <v>30</v>
      </c>
      <c r="AS401" s="3">
        <v>12</v>
      </c>
      <c r="AT401" s="3">
        <v>66</v>
      </c>
      <c r="AU401" s="3">
        <v>48</v>
      </c>
      <c r="AV401" s="3">
        <v>54</v>
      </c>
      <c r="AW401" s="3">
        <v>24</v>
      </c>
    </row>
    <row r="402" spans="1:49">
      <c r="A402" s="4" t="s">
        <v>35</v>
      </c>
      <c r="B402" s="4" t="str">
        <f t="shared" si="6"/>
        <v>Hair Color</v>
      </c>
      <c r="C402" s="4" t="s">
        <v>1786</v>
      </c>
      <c r="D402" s="4" t="s">
        <v>150</v>
      </c>
      <c r="E402" s="24" t="s">
        <v>47</v>
      </c>
      <c r="F402" s="12" t="s">
        <v>523</v>
      </c>
      <c r="G402" s="4" t="s">
        <v>1787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210</v>
      </c>
      <c r="AJ402" s="3">
        <v>60</v>
      </c>
      <c r="AK402" s="3">
        <v>60</v>
      </c>
      <c r="AL402" s="3">
        <v>78</v>
      </c>
      <c r="AM402" s="3">
        <v>84</v>
      </c>
      <c r="AN402" s="3">
        <v>54</v>
      </c>
      <c r="AO402" s="3">
        <v>27</v>
      </c>
      <c r="AP402" s="3">
        <v>36</v>
      </c>
      <c r="AQ402" s="3">
        <v>90</v>
      </c>
      <c r="AR402" s="3">
        <v>72</v>
      </c>
      <c r="AS402" s="3">
        <v>30</v>
      </c>
      <c r="AT402" s="3">
        <v>54</v>
      </c>
      <c r="AU402" s="3">
        <v>72</v>
      </c>
      <c r="AV402" s="3">
        <v>54</v>
      </c>
      <c r="AW402" s="3">
        <v>42</v>
      </c>
    </row>
    <row r="403" spans="1:49">
      <c r="A403" s="4" t="s">
        <v>35</v>
      </c>
      <c r="B403" s="4" t="str">
        <f t="shared" si="6"/>
        <v>Hair Color</v>
      </c>
      <c r="C403" s="4" t="s">
        <v>1786</v>
      </c>
      <c r="D403" s="4" t="s">
        <v>150</v>
      </c>
      <c r="E403" s="24" t="s">
        <v>47</v>
      </c>
      <c r="F403" s="12" t="s">
        <v>522</v>
      </c>
      <c r="G403" s="4" t="s">
        <v>1787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102</v>
      </c>
      <c r="AJ403" s="3">
        <v>18</v>
      </c>
      <c r="AK403" s="3">
        <v>48</v>
      </c>
      <c r="AL403" s="3">
        <v>60</v>
      </c>
      <c r="AM403" s="3">
        <v>18</v>
      </c>
      <c r="AN403" s="3">
        <v>42</v>
      </c>
      <c r="AO403" s="3">
        <v>48</v>
      </c>
      <c r="AP403" s="3">
        <v>36</v>
      </c>
      <c r="AQ403" s="3">
        <v>24</v>
      </c>
      <c r="AR403" s="3">
        <v>42</v>
      </c>
      <c r="AS403" s="3">
        <v>18</v>
      </c>
      <c r="AT403" s="3">
        <v>12</v>
      </c>
      <c r="AU403" s="3">
        <v>48</v>
      </c>
      <c r="AV403" s="3">
        <v>18</v>
      </c>
      <c r="AW403" s="3">
        <v>42</v>
      </c>
    </row>
    <row r="404" spans="1:49">
      <c r="A404" s="4" t="s">
        <v>35</v>
      </c>
      <c r="B404" s="4" t="str">
        <f t="shared" si="6"/>
        <v>Hair Color</v>
      </c>
      <c r="C404" s="4" t="s">
        <v>1786</v>
      </c>
      <c r="D404" s="4" t="s">
        <v>150</v>
      </c>
      <c r="E404" s="24" t="s">
        <v>47</v>
      </c>
      <c r="F404" s="12" t="s">
        <v>527</v>
      </c>
      <c r="G404" s="4" t="s">
        <v>1787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42</v>
      </c>
      <c r="AJ404" s="3">
        <v>18</v>
      </c>
      <c r="AK404" s="3">
        <v>6</v>
      </c>
      <c r="AL404" s="3">
        <v>18</v>
      </c>
      <c r="AM404" s="3">
        <v>0</v>
      </c>
      <c r="AN404" s="3">
        <v>24</v>
      </c>
      <c r="AO404" s="3">
        <v>48</v>
      </c>
      <c r="AP404" s="3">
        <v>0</v>
      </c>
      <c r="AQ404" s="3">
        <v>24</v>
      </c>
      <c r="AR404" s="3">
        <v>12</v>
      </c>
      <c r="AS404" s="3">
        <v>30</v>
      </c>
      <c r="AT404" s="3">
        <v>18</v>
      </c>
      <c r="AU404" s="3">
        <v>30</v>
      </c>
      <c r="AV404" s="3">
        <v>24</v>
      </c>
      <c r="AW404" s="3">
        <v>42</v>
      </c>
    </row>
    <row r="405" spans="1:49">
      <c r="A405" s="4" t="s">
        <v>35</v>
      </c>
      <c r="B405" s="4" t="str">
        <f t="shared" si="6"/>
        <v>Hair Color</v>
      </c>
      <c r="C405" s="4" t="s">
        <v>1786</v>
      </c>
      <c r="D405" s="4" t="s">
        <v>150</v>
      </c>
      <c r="E405" s="24" t="s">
        <v>47</v>
      </c>
      <c r="F405" s="12" t="s">
        <v>555</v>
      </c>
      <c r="G405" s="4" t="s">
        <v>1787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99</v>
      </c>
      <c r="AJ405" s="3">
        <v>36</v>
      </c>
      <c r="AK405" s="3">
        <v>48</v>
      </c>
      <c r="AL405" s="3">
        <v>72</v>
      </c>
      <c r="AM405" s="3">
        <v>18</v>
      </c>
      <c r="AN405" s="3">
        <v>66</v>
      </c>
      <c r="AO405" s="3">
        <v>78</v>
      </c>
      <c r="AP405" s="3">
        <v>48</v>
      </c>
      <c r="AQ405" s="3">
        <v>42</v>
      </c>
      <c r="AR405" s="3">
        <v>42</v>
      </c>
      <c r="AS405" s="3">
        <v>48</v>
      </c>
      <c r="AT405" s="3">
        <v>18</v>
      </c>
      <c r="AU405" s="3">
        <v>102</v>
      </c>
      <c r="AV405" s="3">
        <v>24</v>
      </c>
      <c r="AW405" s="3">
        <v>36</v>
      </c>
    </row>
    <row r="406" spans="1:49">
      <c r="A406" s="4" t="s">
        <v>35</v>
      </c>
      <c r="B406" s="4" t="str">
        <f t="shared" si="6"/>
        <v>Hair Color</v>
      </c>
      <c r="C406" s="4" t="s">
        <v>1786</v>
      </c>
      <c r="D406" s="4" t="s">
        <v>150</v>
      </c>
      <c r="E406" s="24" t="s">
        <v>47</v>
      </c>
      <c r="F406" s="12" t="s">
        <v>524</v>
      </c>
      <c r="G406" s="4" t="s">
        <v>1787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21</v>
      </c>
      <c r="AJ406" s="3">
        <v>18</v>
      </c>
      <c r="AK406" s="3">
        <v>30</v>
      </c>
      <c r="AL406" s="3">
        <v>18</v>
      </c>
      <c r="AM406" s="3">
        <v>78</v>
      </c>
      <c r="AN406" s="3">
        <v>90</v>
      </c>
      <c r="AO406" s="3">
        <v>90</v>
      </c>
      <c r="AP406" s="3">
        <v>36</v>
      </c>
      <c r="AQ406" s="3">
        <v>36</v>
      </c>
      <c r="AR406" s="3">
        <v>12</v>
      </c>
      <c r="AS406" s="3">
        <v>6</v>
      </c>
      <c r="AT406" s="3">
        <v>12</v>
      </c>
      <c r="AU406" s="3">
        <v>6</v>
      </c>
      <c r="AV406" s="3">
        <v>6</v>
      </c>
      <c r="AW406" s="3">
        <v>6</v>
      </c>
    </row>
    <row r="407" spans="1:49">
      <c r="A407" s="4" t="s">
        <v>35</v>
      </c>
      <c r="B407" s="4" t="str">
        <f t="shared" si="6"/>
        <v>Hair Color</v>
      </c>
      <c r="C407" s="4" t="s">
        <v>1786</v>
      </c>
      <c r="D407" s="4" t="s">
        <v>150</v>
      </c>
      <c r="E407" s="24" t="s">
        <v>47</v>
      </c>
      <c r="F407" s="12" t="s">
        <v>556</v>
      </c>
      <c r="G407" s="4" t="s">
        <v>1787</v>
      </c>
      <c r="H407" s="3">
        <v>180</v>
      </c>
      <c r="I407" s="3">
        <v>114</v>
      </c>
      <c r="J407" s="3">
        <v>135</v>
      </c>
      <c r="K407" s="3">
        <v>108</v>
      </c>
      <c r="L407" s="3">
        <v>117</v>
      </c>
      <c r="M407" s="3">
        <v>159</v>
      </c>
      <c r="N407" s="3">
        <v>267</v>
      </c>
      <c r="O407" s="3">
        <v>303</v>
      </c>
      <c r="P407" s="3">
        <v>69</v>
      </c>
      <c r="Q407" s="3">
        <v>201</v>
      </c>
      <c r="R407" s="3">
        <v>126</v>
      </c>
      <c r="S407" s="3">
        <v>213</v>
      </c>
      <c r="T407" s="3">
        <v>939</v>
      </c>
      <c r="U407" s="3">
        <v>63</v>
      </c>
      <c r="V407" s="3">
        <v>54</v>
      </c>
      <c r="W407" s="3">
        <v>63</v>
      </c>
      <c r="X407" s="3">
        <v>-393</v>
      </c>
      <c r="Y407" s="3">
        <v>108</v>
      </c>
      <c r="Z407" s="3">
        <v>72</v>
      </c>
      <c r="AA407" s="3">
        <v>69</v>
      </c>
      <c r="AB407" s="3">
        <v>147</v>
      </c>
      <c r="AC407" s="3">
        <v>138</v>
      </c>
      <c r="AD407" s="3">
        <v>225</v>
      </c>
      <c r="AE407" s="3">
        <v>0</v>
      </c>
      <c r="AF407" s="3">
        <v>87</v>
      </c>
      <c r="AG407" s="3">
        <v>60</v>
      </c>
      <c r="AH407" s="3">
        <v>66</v>
      </c>
      <c r="AI407" s="3">
        <v>99</v>
      </c>
      <c r="AJ407" s="3">
        <v>96</v>
      </c>
      <c r="AK407" s="3">
        <v>81</v>
      </c>
      <c r="AL407" s="3">
        <v>78</v>
      </c>
      <c r="AM407" s="3">
        <v>83</v>
      </c>
      <c r="AN407" s="3">
        <v>93</v>
      </c>
      <c r="AO407" s="3">
        <v>66</v>
      </c>
      <c r="AP407" s="3">
        <v>144</v>
      </c>
      <c r="AQ407" s="3">
        <v>159</v>
      </c>
      <c r="AR407" s="3">
        <v>111</v>
      </c>
      <c r="AS407" s="3">
        <v>42</v>
      </c>
      <c r="AT407" s="3">
        <v>96</v>
      </c>
      <c r="AU407" s="3">
        <v>0</v>
      </c>
      <c r="AV407" s="3">
        <v>48</v>
      </c>
      <c r="AW407" s="3">
        <v>279</v>
      </c>
    </row>
    <row r="408" spans="1:49">
      <c r="A408" s="4" t="s">
        <v>35</v>
      </c>
      <c r="B408" s="4" t="str">
        <f t="shared" si="6"/>
        <v>Hair Color</v>
      </c>
      <c r="C408" s="4" t="s">
        <v>1786</v>
      </c>
      <c r="D408" s="4" t="s">
        <v>150</v>
      </c>
      <c r="E408" s="24" t="s">
        <v>47</v>
      </c>
      <c r="F408" s="12" t="s">
        <v>557</v>
      </c>
      <c r="G408" s="4" t="s">
        <v>1787</v>
      </c>
      <c r="H408" s="3">
        <v>48</v>
      </c>
      <c r="I408" s="3">
        <v>54</v>
      </c>
      <c r="J408" s="3">
        <v>63</v>
      </c>
      <c r="K408" s="3">
        <v>60</v>
      </c>
      <c r="L408" s="3">
        <v>39</v>
      </c>
      <c r="M408" s="3">
        <v>99</v>
      </c>
      <c r="N408" s="3">
        <v>33</v>
      </c>
      <c r="O408" s="3">
        <v>249</v>
      </c>
      <c r="P408" s="3">
        <v>48</v>
      </c>
      <c r="Q408" s="3">
        <v>348</v>
      </c>
      <c r="R408" s="3">
        <v>27</v>
      </c>
      <c r="S408" s="3">
        <v>6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</row>
    <row r="409" spans="1:49">
      <c r="A409" s="4" t="s">
        <v>35</v>
      </c>
      <c r="B409" s="4" t="str">
        <f t="shared" si="6"/>
        <v>Hair Color</v>
      </c>
      <c r="C409" s="4" t="s">
        <v>1786</v>
      </c>
      <c r="D409" s="4" t="s">
        <v>150</v>
      </c>
      <c r="E409" s="24" t="s">
        <v>47</v>
      </c>
      <c r="F409" s="12" t="s">
        <v>558</v>
      </c>
      <c r="G409" s="4" t="s">
        <v>1787</v>
      </c>
      <c r="H409" s="3">
        <v>210</v>
      </c>
      <c r="I409" s="3">
        <v>231</v>
      </c>
      <c r="J409" s="3">
        <v>93</v>
      </c>
      <c r="K409" s="3">
        <v>105</v>
      </c>
      <c r="L409" s="3">
        <v>126</v>
      </c>
      <c r="M409" s="3">
        <v>195</v>
      </c>
      <c r="N409" s="3">
        <v>477</v>
      </c>
      <c r="O409" s="3">
        <v>270</v>
      </c>
      <c r="P409" s="3">
        <v>78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</row>
    <row r="410" spans="1:49">
      <c r="A410" s="4" t="s">
        <v>35</v>
      </c>
      <c r="B410" s="4" t="str">
        <f t="shared" si="6"/>
        <v>Hair Color</v>
      </c>
      <c r="C410" s="4" t="s">
        <v>1786</v>
      </c>
      <c r="D410" s="4" t="s">
        <v>150</v>
      </c>
      <c r="E410" s="24" t="s">
        <v>47</v>
      </c>
      <c r="F410" s="12" t="s">
        <v>559</v>
      </c>
      <c r="G410" s="4" t="s">
        <v>1787</v>
      </c>
      <c r="H410" s="3">
        <v>153</v>
      </c>
      <c r="I410" s="3">
        <v>69</v>
      </c>
      <c r="J410" s="3">
        <v>54</v>
      </c>
      <c r="K410" s="3">
        <v>105</v>
      </c>
      <c r="L410" s="3">
        <v>66</v>
      </c>
      <c r="M410" s="3">
        <v>129</v>
      </c>
      <c r="N410" s="3">
        <v>222</v>
      </c>
      <c r="O410" s="3">
        <v>282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</row>
    <row r="411" spans="1:49">
      <c r="A411" s="4" t="s">
        <v>35</v>
      </c>
      <c r="B411" s="4" t="str">
        <f t="shared" si="6"/>
        <v>Hair Color</v>
      </c>
      <c r="C411" s="4" t="s">
        <v>1786</v>
      </c>
      <c r="D411" s="4" t="s">
        <v>150</v>
      </c>
      <c r="E411" s="24" t="s">
        <v>47</v>
      </c>
      <c r="F411" s="12" t="s">
        <v>560</v>
      </c>
      <c r="G411" s="4" t="s">
        <v>1787</v>
      </c>
      <c r="H411" s="3">
        <v>93</v>
      </c>
      <c r="I411" s="3">
        <v>42</v>
      </c>
      <c r="J411" s="3">
        <v>48</v>
      </c>
      <c r="K411" s="3">
        <v>36</v>
      </c>
      <c r="L411" s="3">
        <v>66</v>
      </c>
      <c r="M411" s="3">
        <v>93</v>
      </c>
      <c r="N411" s="3">
        <v>78</v>
      </c>
      <c r="O411" s="3">
        <v>273</v>
      </c>
      <c r="P411" s="3">
        <v>18</v>
      </c>
      <c r="Q411" s="3">
        <v>345</v>
      </c>
      <c r="R411" s="3">
        <v>33</v>
      </c>
      <c r="S411" s="3">
        <v>24</v>
      </c>
      <c r="T411" s="3">
        <v>15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</row>
    <row r="412" spans="1:49">
      <c r="A412" s="4" t="s">
        <v>35</v>
      </c>
      <c r="B412" s="4" t="str">
        <f t="shared" si="6"/>
        <v>Hair Color</v>
      </c>
      <c r="C412" s="4" t="s">
        <v>1786</v>
      </c>
      <c r="D412" s="4" t="s">
        <v>150</v>
      </c>
      <c r="E412" s="24" t="s">
        <v>47</v>
      </c>
      <c r="F412" s="12" t="s">
        <v>561</v>
      </c>
      <c r="G412" s="4" t="s">
        <v>1787</v>
      </c>
      <c r="H412" s="3">
        <v>183</v>
      </c>
      <c r="I412" s="3">
        <v>162</v>
      </c>
      <c r="J412" s="3">
        <v>114</v>
      </c>
      <c r="K412" s="3">
        <v>174</v>
      </c>
      <c r="L412" s="3">
        <v>108</v>
      </c>
      <c r="M412" s="3">
        <v>162</v>
      </c>
      <c r="N412" s="3">
        <v>195</v>
      </c>
      <c r="O412" s="3">
        <v>351</v>
      </c>
      <c r="P412" s="3">
        <v>285</v>
      </c>
      <c r="Q412" s="3">
        <v>156</v>
      </c>
      <c r="R412" s="3">
        <v>114</v>
      </c>
      <c r="S412" s="3">
        <v>195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</row>
    <row r="413" spans="1:49">
      <c r="A413" s="4" t="s">
        <v>35</v>
      </c>
      <c r="B413" s="4" t="str">
        <f t="shared" si="6"/>
        <v>Hair Color</v>
      </c>
      <c r="C413" s="4" t="s">
        <v>1786</v>
      </c>
      <c r="D413" s="4" t="s">
        <v>150</v>
      </c>
      <c r="E413" s="24" t="s">
        <v>47</v>
      </c>
      <c r="F413" s="12" t="s">
        <v>562</v>
      </c>
      <c r="G413" s="4" t="s">
        <v>1787</v>
      </c>
      <c r="H413" s="3">
        <v>147</v>
      </c>
      <c r="I413" s="3">
        <v>198</v>
      </c>
      <c r="J413" s="3">
        <v>96</v>
      </c>
      <c r="K413" s="3">
        <v>141</v>
      </c>
      <c r="L413" s="3">
        <v>102</v>
      </c>
      <c r="M413" s="3">
        <v>159</v>
      </c>
      <c r="N413" s="3">
        <v>162</v>
      </c>
      <c r="O413" s="3">
        <v>297</v>
      </c>
      <c r="P413" s="3">
        <v>72</v>
      </c>
      <c r="Q413" s="3">
        <v>249</v>
      </c>
      <c r="R413" s="3">
        <v>48</v>
      </c>
      <c r="S413" s="3">
        <v>54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</row>
    <row r="414" spans="1:49">
      <c r="A414" s="4" t="s">
        <v>35</v>
      </c>
      <c r="B414" s="4" t="str">
        <f t="shared" si="6"/>
        <v>Hair Color</v>
      </c>
      <c r="C414" s="4" t="s">
        <v>1786</v>
      </c>
      <c r="D414" s="4" t="s">
        <v>150</v>
      </c>
      <c r="E414" s="24" t="s">
        <v>47</v>
      </c>
      <c r="F414" s="12" t="s">
        <v>563</v>
      </c>
      <c r="G414" s="4" t="s">
        <v>1787</v>
      </c>
      <c r="H414" s="3">
        <v>63</v>
      </c>
      <c r="I414" s="3">
        <v>60</v>
      </c>
      <c r="J414" s="3">
        <v>45</v>
      </c>
      <c r="K414" s="3">
        <v>87</v>
      </c>
      <c r="L414" s="3">
        <v>75</v>
      </c>
      <c r="M414" s="3">
        <v>78</v>
      </c>
      <c r="N414" s="3">
        <v>36</v>
      </c>
      <c r="O414" s="3">
        <v>324</v>
      </c>
      <c r="P414" s="3">
        <v>57</v>
      </c>
      <c r="Q414" s="3">
        <v>429</v>
      </c>
      <c r="R414" s="3">
        <v>72</v>
      </c>
      <c r="S414" s="3">
        <v>75</v>
      </c>
      <c r="T414" s="3">
        <v>12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</row>
    <row r="415" spans="1:49">
      <c r="A415" s="4" t="s">
        <v>35</v>
      </c>
      <c r="B415" s="4" t="str">
        <f t="shared" si="6"/>
        <v>Hair Color</v>
      </c>
      <c r="C415" s="4" t="s">
        <v>1786</v>
      </c>
      <c r="D415" s="4" t="s">
        <v>150</v>
      </c>
      <c r="E415" s="24" t="s">
        <v>47</v>
      </c>
      <c r="F415" s="12" t="s">
        <v>564</v>
      </c>
      <c r="G415" s="4" t="s">
        <v>1787</v>
      </c>
      <c r="H415" s="3">
        <v>207</v>
      </c>
      <c r="I415" s="3">
        <v>153</v>
      </c>
      <c r="J415" s="3">
        <v>42</v>
      </c>
      <c r="K415" s="3">
        <v>84</v>
      </c>
      <c r="L415" s="3">
        <v>87</v>
      </c>
      <c r="M415" s="3">
        <v>108</v>
      </c>
      <c r="N415" s="3">
        <v>0</v>
      </c>
      <c r="O415" s="3">
        <v>168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</row>
    <row r="416" spans="1:49">
      <c r="A416" s="4" t="s">
        <v>35</v>
      </c>
      <c r="B416" s="4" t="str">
        <f t="shared" si="6"/>
        <v>Hair Color</v>
      </c>
      <c r="C416" s="4" t="s">
        <v>1786</v>
      </c>
      <c r="D416" s="4" t="s">
        <v>150</v>
      </c>
      <c r="E416" s="24" t="s">
        <v>47</v>
      </c>
      <c r="F416" s="12" t="s">
        <v>565</v>
      </c>
      <c r="G416" s="4" t="s">
        <v>1787</v>
      </c>
      <c r="H416" s="3">
        <v>588</v>
      </c>
      <c r="I416" s="3">
        <v>168</v>
      </c>
      <c r="J416" s="3">
        <v>486</v>
      </c>
      <c r="K416" s="3">
        <v>822</v>
      </c>
      <c r="L416" s="3">
        <v>678</v>
      </c>
      <c r="M416" s="3">
        <v>564</v>
      </c>
      <c r="N416" s="3">
        <v>726</v>
      </c>
      <c r="O416" s="3">
        <v>720</v>
      </c>
      <c r="P416" s="3">
        <v>576</v>
      </c>
      <c r="Q416" s="3">
        <v>528</v>
      </c>
      <c r="R416" s="3">
        <v>360</v>
      </c>
      <c r="S416" s="3">
        <v>636</v>
      </c>
      <c r="T416" s="3">
        <v>534</v>
      </c>
      <c r="U416" s="3">
        <v>696</v>
      </c>
      <c r="V416" s="3">
        <v>294</v>
      </c>
      <c r="W416" s="3">
        <v>342</v>
      </c>
      <c r="X416" s="3">
        <v>714</v>
      </c>
      <c r="Y416" s="3">
        <v>312</v>
      </c>
      <c r="Z416" s="3">
        <v>1686</v>
      </c>
      <c r="AA416" s="3">
        <v>300</v>
      </c>
      <c r="AB416" s="3">
        <v>564</v>
      </c>
      <c r="AC416" s="3">
        <v>390</v>
      </c>
      <c r="AD416" s="3">
        <v>432</v>
      </c>
      <c r="AE416" s="3">
        <v>594</v>
      </c>
      <c r="AF416" s="3">
        <v>540</v>
      </c>
      <c r="AG416" s="3">
        <v>12</v>
      </c>
      <c r="AH416" s="3">
        <v>0</v>
      </c>
      <c r="AI416" s="3">
        <v>546</v>
      </c>
      <c r="AJ416" s="3">
        <v>816</v>
      </c>
      <c r="AK416" s="3">
        <v>1026</v>
      </c>
      <c r="AL416" s="3">
        <v>78</v>
      </c>
      <c r="AM416" s="3">
        <v>132</v>
      </c>
      <c r="AN416" s="3">
        <v>204</v>
      </c>
      <c r="AO416" s="3">
        <v>1248</v>
      </c>
      <c r="AP416" s="3">
        <v>660</v>
      </c>
      <c r="AQ416" s="3">
        <v>0</v>
      </c>
      <c r="AR416" s="3">
        <v>1170</v>
      </c>
      <c r="AS416" s="3">
        <v>744</v>
      </c>
      <c r="AT416" s="3">
        <v>0</v>
      </c>
      <c r="AU416" s="3">
        <v>654</v>
      </c>
      <c r="AV416" s="3">
        <v>114</v>
      </c>
      <c r="AW416" s="3">
        <v>1296</v>
      </c>
    </row>
    <row r="417" spans="1:49">
      <c r="A417" s="4" t="s">
        <v>35</v>
      </c>
      <c r="B417" s="4" t="str">
        <f t="shared" si="6"/>
        <v>Hair Color</v>
      </c>
      <c r="C417" s="4" t="s">
        <v>1786</v>
      </c>
      <c r="D417" s="4" t="s">
        <v>150</v>
      </c>
      <c r="E417" s="24" t="s">
        <v>47</v>
      </c>
      <c r="F417" s="12" t="s">
        <v>566</v>
      </c>
      <c r="G417" s="4" t="s">
        <v>1787</v>
      </c>
      <c r="H417" s="3">
        <v>438</v>
      </c>
      <c r="I417" s="3">
        <v>210</v>
      </c>
      <c r="J417" s="3">
        <v>450</v>
      </c>
      <c r="K417" s="3">
        <v>378</v>
      </c>
      <c r="L417" s="3">
        <v>570</v>
      </c>
      <c r="M417" s="3">
        <v>1302</v>
      </c>
      <c r="N417" s="3">
        <v>792</v>
      </c>
      <c r="O417" s="3">
        <v>744</v>
      </c>
      <c r="P417" s="3">
        <v>486</v>
      </c>
      <c r="Q417" s="3">
        <v>558</v>
      </c>
      <c r="R417" s="3">
        <v>396</v>
      </c>
      <c r="S417" s="3">
        <v>390</v>
      </c>
      <c r="T417" s="3">
        <v>588</v>
      </c>
      <c r="U417" s="3">
        <v>750</v>
      </c>
      <c r="V417" s="3">
        <v>420</v>
      </c>
      <c r="W417" s="3">
        <v>360</v>
      </c>
      <c r="X417" s="3">
        <v>678</v>
      </c>
      <c r="Y417" s="3">
        <v>384</v>
      </c>
      <c r="Z417" s="3">
        <v>606</v>
      </c>
      <c r="AA417" s="3">
        <v>468</v>
      </c>
      <c r="AB417" s="3">
        <v>552</v>
      </c>
      <c r="AC417" s="3">
        <v>366</v>
      </c>
      <c r="AD417" s="3">
        <v>330</v>
      </c>
      <c r="AE417" s="3">
        <v>540</v>
      </c>
      <c r="AF417" s="3">
        <v>126</v>
      </c>
      <c r="AG417" s="3">
        <v>0</v>
      </c>
      <c r="AH417" s="3">
        <v>612</v>
      </c>
      <c r="AI417" s="3">
        <v>330</v>
      </c>
      <c r="AJ417" s="3">
        <v>0</v>
      </c>
      <c r="AK417" s="3">
        <v>0</v>
      </c>
      <c r="AL417" s="3">
        <v>714</v>
      </c>
      <c r="AM417" s="3">
        <v>18</v>
      </c>
      <c r="AN417" s="3">
        <v>30</v>
      </c>
      <c r="AO417" s="3">
        <v>498</v>
      </c>
      <c r="AP417" s="3">
        <v>492</v>
      </c>
      <c r="AQ417" s="3">
        <v>216</v>
      </c>
      <c r="AR417" s="3">
        <v>384</v>
      </c>
      <c r="AS417" s="3">
        <v>0</v>
      </c>
      <c r="AT417" s="3">
        <v>492</v>
      </c>
      <c r="AU417" s="3">
        <v>240</v>
      </c>
      <c r="AV417" s="3">
        <v>426</v>
      </c>
      <c r="AW417" s="3">
        <v>192</v>
      </c>
    </row>
    <row r="418" spans="1:49">
      <c r="A418" s="4" t="s">
        <v>35</v>
      </c>
      <c r="B418" s="4" t="str">
        <f t="shared" si="6"/>
        <v>Hair Color</v>
      </c>
      <c r="C418" s="4" t="s">
        <v>1786</v>
      </c>
      <c r="D418" s="4" t="s">
        <v>150</v>
      </c>
      <c r="E418" s="24" t="s">
        <v>47</v>
      </c>
      <c r="F418" s="12" t="s">
        <v>567</v>
      </c>
      <c r="G418" s="4" t="s">
        <v>1787</v>
      </c>
      <c r="H418" s="3">
        <v>792</v>
      </c>
      <c r="I418" s="3">
        <v>390</v>
      </c>
      <c r="J418" s="3">
        <v>594</v>
      </c>
      <c r="K418" s="3">
        <v>552</v>
      </c>
      <c r="L418" s="3">
        <v>726</v>
      </c>
      <c r="M418" s="3">
        <v>1530</v>
      </c>
      <c r="N418" s="3">
        <v>774</v>
      </c>
      <c r="O418" s="3">
        <v>846</v>
      </c>
      <c r="P418" s="3">
        <v>810</v>
      </c>
      <c r="Q418" s="3">
        <v>654</v>
      </c>
      <c r="R418" s="3">
        <v>510</v>
      </c>
      <c r="S418" s="3">
        <v>738</v>
      </c>
      <c r="T418" s="3">
        <v>702</v>
      </c>
      <c r="U418" s="3">
        <v>936</v>
      </c>
      <c r="V418" s="3">
        <v>552</v>
      </c>
      <c r="W418" s="3">
        <v>336</v>
      </c>
      <c r="X418" s="3">
        <v>780</v>
      </c>
      <c r="Y418" s="3">
        <v>312</v>
      </c>
      <c r="Z418" s="3">
        <v>1776</v>
      </c>
      <c r="AA418" s="3">
        <v>582</v>
      </c>
      <c r="AB418" s="3">
        <v>756</v>
      </c>
      <c r="AC418" s="3">
        <v>486</v>
      </c>
      <c r="AD418" s="3">
        <v>546</v>
      </c>
      <c r="AE418" s="3">
        <v>468</v>
      </c>
      <c r="AF418" s="3">
        <v>684</v>
      </c>
      <c r="AG418" s="3">
        <v>396</v>
      </c>
      <c r="AH418" s="3">
        <v>180</v>
      </c>
      <c r="AI418" s="3">
        <v>582</v>
      </c>
      <c r="AJ418" s="3">
        <v>252</v>
      </c>
      <c r="AK418" s="3">
        <v>0</v>
      </c>
      <c r="AL418" s="3">
        <v>696</v>
      </c>
      <c r="AM418" s="3">
        <v>636</v>
      </c>
      <c r="AN418" s="3">
        <v>612</v>
      </c>
      <c r="AO418" s="3">
        <v>30</v>
      </c>
      <c r="AP418" s="3">
        <v>138</v>
      </c>
      <c r="AQ418" s="3">
        <v>120</v>
      </c>
      <c r="AR418" s="3">
        <v>720</v>
      </c>
      <c r="AS418" s="3">
        <v>606</v>
      </c>
      <c r="AT418" s="3">
        <v>150</v>
      </c>
      <c r="AU418" s="3">
        <v>774</v>
      </c>
      <c r="AV418" s="3">
        <v>498</v>
      </c>
      <c r="AW418" s="3">
        <v>312</v>
      </c>
    </row>
    <row r="419" spans="1:49">
      <c r="A419" s="4" t="s">
        <v>35</v>
      </c>
      <c r="B419" s="4" t="str">
        <f t="shared" si="6"/>
        <v>Hair Color</v>
      </c>
      <c r="C419" s="4" t="s">
        <v>1786</v>
      </c>
      <c r="D419" s="4" t="s">
        <v>150</v>
      </c>
      <c r="E419" s="24" t="s">
        <v>47</v>
      </c>
      <c r="F419" s="12" t="s">
        <v>568</v>
      </c>
      <c r="G419" s="4" t="s">
        <v>1787</v>
      </c>
      <c r="H419" s="3">
        <v>558</v>
      </c>
      <c r="I419" s="3">
        <v>372</v>
      </c>
      <c r="J419" s="3">
        <v>456</v>
      </c>
      <c r="K419" s="3">
        <v>192</v>
      </c>
      <c r="L419" s="3">
        <v>948</v>
      </c>
      <c r="M419" s="3">
        <v>114</v>
      </c>
      <c r="N419" s="3">
        <v>2010</v>
      </c>
      <c r="O419" s="3">
        <v>678</v>
      </c>
      <c r="P419" s="3">
        <v>810</v>
      </c>
      <c r="Q419" s="3">
        <v>564</v>
      </c>
      <c r="R419" s="3">
        <v>480</v>
      </c>
      <c r="S419" s="3">
        <v>594</v>
      </c>
      <c r="T419" s="3">
        <v>774</v>
      </c>
      <c r="U419" s="3">
        <v>756</v>
      </c>
      <c r="V419" s="3">
        <v>480</v>
      </c>
      <c r="W419" s="3">
        <v>414</v>
      </c>
      <c r="X419" s="3">
        <v>882</v>
      </c>
      <c r="Y419" s="3">
        <v>372</v>
      </c>
      <c r="Z419" s="3">
        <v>1680</v>
      </c>
      <c r="AA419" s="3">
        <v>294</v>
      </c>
      <c r="AB419" s="3">
        <v>690</v>
      </c>
      <c r="AC419" s="3">
        <v>612</v>
      </c>
      <c r="AD419" s="3">
        <v>402</v>
      </c>
      <c r="AE419" s="3">
        <v>546</v>
      </c>
      <c r="AF419" s="3">
        <v>588</v>
      </c>
      <c r="AG419" s="3">
        <v>336</v>
      </c>
      <c r="AH419" s="3">
        <v>0</v>
      </c>
      <c r="AI419" s="3">
        <v>612</v>
      </c>
      <c r="AJ419" s="3">
        <v>-18</v>
      </c>
      <c r="AK419" s="3">
        <v>0</v>
      </c>
      <c r="AL419" s="3">
        <v>1560</v>
      </c>
      <c r="AM419" s="3">
        <v>498</v>
      </c>
      <c r="AN419" s="3">
        <v>258</v>
      </c>
      <c r="AO419" s="3">
        <v>0</v>
      </c>
      <c r="AP419" s="3">
        <v>408</v>
      </c>
      <c r="AQ419" s="3">
        <v>0</v>
      </c>
      <c r="AR419" s="3">
        <v>384</v>
      </c>
      <c r="AS419" s="3">
        <v>0</v>
      </c>
      <c r="AT419" s="3">
        <v>672</v>
      </c>
      <c r="AU419" s="3">
        <v>348</v>
      </c>
      <c r="AV419" s="3">
        <v>312</v>
      </c>
      <c r="AW419" s="3">
        <v>750</v>
      </c>
    </row>
    <row r="420" spans="1:49">
      <c r="A420" s="4" t="s">
        <v>35</v>
      </c>
      <c r="B420" s="4" t="str">
        <f t="shared" si="6"/>
        <v>Hair Color</v>
      </c>
      <c r="C420" s="4" t="s">
        <v>1786</v>
      </c>
      <c r="D420" s="4" t="s">
        <v>150</v>
      </c>
      <c r="E420" s="24" t="s">
        <v>47</v>
      </c>
      <c r="F420" s="12" t="s">
        <v>569</v>
      </c>
      <c r="G420" s="4" t="s">
        <v>1787</v>
      </c>
      <c r="H420" s="3">
        <v>552</v>
      </c>
      <c r="I420" s="3">
        <v>438</v>
      </c>
      <c r="J420" s="3">
        <v>324</v>
      </c>
      <c r="K420" s="3">
        <v>0</v>
      </c>
      <c r="L420" s="3">
        <v>0</v>
      </c>
      <c r="M420" s="3">
        <v>1752</v>
      </c>
      <c r="N420" s="3">
        <v>804</v>
      </c>
      <c r="O420" s="3">
        <v>528</v>
      </c>
      <c r="P420" s="3">
        <v>678</v>
      </c>
      <c r="Q420" s="3">
        <v>486</v>
      </c>
      <c r="R420" s="3">
        <v>528</v>
      </c>
      <c r="S420" s="3">
        <v>570</v>
      </c>
      <c r="T420" s="3">
        <v>786</v>
      </c>
      <c r="U420" s="3">
        <v>672</v>
      </c>
      <c r="V420" s="3">
        <v>570</v>
      </c>
      <c r="W420" s="3">
        <v>324</v>
      </c>
      <c r="X420" s="3">
        <v>588</v>
      </c>
      <c r="Y420" s="3">
        <v>282</v>
      </c>
      <c r="Z420" s="3">
        <v>1716</v>
      </c>
      <c r="AA420" s="3">
        <v>846</v>
      </c>
      <c r="AB420" s="3">
        <v>666</v>
      </c>
      <c r="AC420" s="3">
        <v>378</v>
      </c>
      <c r="AD420" s="3">
        <v>438</v>
      </c>
      <c r="AE420" s="3">
        <v>492</v>
      </c>
      <c r="AF420" s="3">
        <v>780</v>
      </c>
      <c r="AG420" s="3">
        <v>480</v>
      </c>
      <c r="AH420" s="3">
        <v>0</v>
      </c>
      <c r="AI420" s="3">
        <v>0</v>
      </c>
      <c r="AJ420" s="3">
        <v>0</v>
      </c>
      <c r="AK420" s="3">
        <v>0</v>
      </c>
      <c r="AL420" s="3">
        <v>1266</v>
      </c>
      <c r="AM420" s="3">
        <v>522</v>
      </c>
      <c r="AN420" s="3">
        <v>36</v>
      </c>
      <c r="AO420" s="3">
        <v>198</v>
      </c>
      <c r="AP420" s="3">
        <v>282</v>
      </c>
      <c r="AQ420" s="3">
        <v>0</v>
      </c>
      <c r="AR420" s="3">
        <v>1278</v>
      </c>
      <c r="AS420" s="3">
        <v>474</v>
      </c>
      <c r="AT420" s="3">
        <v>396</v>
      </c>
      <c r="AU420" s="3">
        <v>624</v>
      </c>
      <c r="AV420" s="3">
        <v>84</v>
      </c>
      <c r="AW420" s="3">
        <v>1404</v>
      </c>
    </row>
    <row r="421" spans="1:49">
      <c r="A421" s="4" t="s">
        <v>35</v>
      </c>
      <c r="B421" s="4" t="str">
        <f t="shared" si="6"/>
        <v>Hair Color</v>
      </c>
      <c r="C421" s="4" t="s">
        <v>1786</v>
      </c>
      <c r="D421" s="4" t="s">
        <v>150</v>
      </c>
      <c r="E421" s="24" t="s">
        <v>47</v>
      </c>
      <c r="F421" s="12" t="s">
        <v>570</v>
      </c>
      <c r="G421" s="4" t="s">
        <v>1787</v>
      </c>
      <c r="H421" s="3">
        <v>438</v>
      </c>
      <c r="I421" s="3">
        <v>156</v>
      </c>
      <c r="J421" s="3">
        <v>372</v>
      </c>
      <c r="K421" s="3">
        <v>678</v>
      </c>
      <c r="L421" s="3">
        <v>714</v>
      </c>
      <c r="M421" s="3">
        <v>390</v>
      </c>
      <c r="N421" s="3">
        <v>600</v>
      </c>
      <c r="O421" s="3">
        <v>738</v>
      </c>
      <c r="P421" s="3">
        <v>666</v>
      </c>
      <c r="Q421" s="3">
        <v>360</v>
      </c>
      <c r="R421" s="3">
        <v>318</v>
      </c>
      <c r="S421" s="3">
        <v>486</v>
      </c>
      <c r="T421" s="3">
        <v>264</v>
      </c>
      <c r="U421" s="3">
        <v>594</v>
      </c>
      <c r="V421" s="3">
        <v>222</v>
      </c>
      <c r="W421" s="3">
        <v>264</v>
      </c>
      <c r="X421" s="3">
        <v>510</v>
      </c>
      <c r="Y421" s="3">
        <v>204</v>
      </c>
      <c r="Z421" s="3">
        <v>1104</v>
      </c>
      <c r="AA421" s="3">
        <v>186</v>
      </c>
      <c r="AB421" s="3">
        <v>570</v>
      </c>
      <c r="AC421" s="3">
        <v>402</v>
      </c>
      <c r="AD421" s="3">
        <v>192</v>
      </c>
      <c r="AE421" s="3">
        <v>342</v>
      </c>
      <c r="AF421" s="3">
        <v>588</v>
      </c>
      <c r="AG421" s="3">
        <v>366</v>
      </c>
      <c r="AH421" s="3">
        <v>696</v>
      </c>
      <c r="AI421" s="3">
        <v>894</v>
      </c>
      <c r="AJ421" s="3">
        <v>744</v>
      </c>
      <c r="AK421" s="3">
        <v>750</v>
      </c>
      <c r="AL421" s="3">
        <v>696</v>
      </c>
      <c r="AM421" s="3">
        <v>816</v>
      </c>
      <c r="AN421" s="3">
        <v>690</v>
      </c>
      <c r="AO421" s="3">
        <v>246</v>
      </c>
      <c r="AP421" s="3">
        <v>936</v>
      </c>
      <c r="AQ421" s="3">
        <v>90</v>
      </c>
      <c r="AR421" s="3">
        <v>1152</v>
      </c>
      <c r="AS421" s="3">
        <v>714</v>
      </c>
      <c r="AT421" s="3">
        <v>918</v>
      </c>
      <c r="AU421" s="3">
        <v>948</v>
      </c>
      <c r="AV421" s="3">
        <v>912</v>
      </c>
      <c r="AW421" s="3">
        <v>822</v>
      </c>
    </row>
    <row r="422" spans="1:49">
      <c r="A422" s="4" t="s">
        <v>35</v>
      </c>
      <c r="B422" s="4" t="str">
        <f t="shared" si="6"/>
        <v>Hair Color</v>
      </c>
      <c r="C422" s="4" t="s">
        <v>1786</v>
      </c>
      <c r="D422" s="4" t="s">
        <v>150</v>
      </c>
      <c r="E422" s="24" t="s">
        <v>47</v>
      </c>
      <c r="F422" s="12" t="s">
        <v>571</v>
      </c>
      <c r="G422" s="4" t="s">
        <v>1787</v>
      </c>
      <c r="H422" s="3">
        <v>708</v>
      </c>
      <c r="I422" s="3">
        <v>378</v>
      </c>
      <c r="J422" s="3">
        <v>486</v>
      </c>
      <c r="K422" s="3">
        <v>630</v>
      </c>
      <c r="L422" s="3">
        <v>1410</v>
      </c>
      <c r="M422" s="3">
        <v>576</v>
      </c>
      <c r="N422" s="3">
        <v>870</v>
      </c>
      <c r="O422" s="3">
        <v>690</v>
      </c>
      <c r="P422" s="3">
        <v>828</v>
      </c>
      <c r="Q422" s="3">
        <v>504</v>
      </c>
      <c r="R422" s="3">
        <v>516</v>
      </c>
      <c r="S422" s="3">
        <v>648</v>
      </c>
      <c r="T422" s="3">
        <v>894</v>
      </c>
      <c r="U422" s="3">
        <v>840</v>
      </c>
      <c r="V422" s="3">
        <v>450</v>
      </c>
      <c r="W422" s="3">
        <v>348</v>
      </c>
      <c r="X422" s="3">
        <v>978</v>
      </c>
      <c r="Y422" s="3">
        <v>498</v>
      </c>
      <c r="Z422" s="3">
        <v>648</v>
      </c>
      <c r="AA422" s="3">
        <v>636</v>
      </c>
      <c r="AB422" s="3">
        <v>756</v>
      </c>
      <c r="AC422" s="3">
        <v>432</v>
      </c>
      <c r="AD422" s="3">
        <v>396</v>
      </c>
      <c r="AE422" s="3">
        <v>440</v>
      </c>
      <c r="AF422" s="3">
        <v>60</v>
      </c>
      <c r="AG422" s="3">
        <v>6</v>
      </c>
      <c r="AH422" s="3">
        <v>-12</v>
      </c>
      <c r="AI422" s="3">
        <v>540</v>
      </c>
      <c r="AJ422" s="3">
        <v>-18</v>
      </c>
      <c r="AK422" s="3">
        <v>0</v>
      </c>
      <c r="AL422" s="3">
        <v>924</v>
      </c>
      <c r="AM422" s="3">
        <v>204</v>
      </c>
      <c r="AN422" s="3">
        <v>0</v>
      </c>
      <c r="AO422" s="3">
        <v>12</v>
      </c>
      <c r="AP422" s="3">
        <v>606</v>
      </c>
      <c r="AQ422" s="3">
        <v>738</v>
      </c>
      <c r="AR422" s="3">
        <v>690</v>
      </c>
      <c r="AS422" s="3">
        <v>504</v>
      </c>
      <c r="AT422" s="3">
        <v>180</v>
      </c>
      <c r="AU422" s="3">
        <v>360</v>
      </c>
      <c r="AV422" s="3">
        <v>822</v>
      </c>
      <c r="AW422" s="3">
        <v>690</v>
      </c>
    </row>
    <row r="423" spans="1:49">
      <c r="A423" s="4" t="s">
        <v>35</v>
      </c>
      <c r="B423" s="4" t="str">
        <f t="shared" si="6"/>
        <v>Hair Color</v>
      </c>
      <c r="C423" s="4" t="s">
        <v>1786</v>
      </c>
      <c r="D423" s="4" t="s">
        <v>150</v>
      </c>
      <c r="E423" s="24" t="s">
        <v>47</v>
      </c>
      <c r="F423" s="12" t="s">
        <v>572</v>
      </c>
      <c r="G423" s="4" t="s">
        <v>1787</v>
      </c>
      <c r="H423" s="3">
        <v>744</v>
      </c>
      <c r="I423" s="3">
        <v>174</v>
      </c>
      <c r="J423" s="3">
        <v>744</v>
      </c>
      <c r="K423" s="3">
        <v>408</v>
      </c>
      <c r="L423" s="3">
        <v>0</v>
      </c>
      <c r="M423" s="3">
        <v>1800</v>
      </c>
      <c r="N423" s="3">
        <v>936</v>
      </c>
      <c r="O423" s="3">
        <v>528</v>
      </c>
      <c r="P423" s="3">
        <v>912</v>
      </c>
      <c r="Q423" s="3">
        <v>528</v>
      </c>
      <c r="R423" s="3">
        <v>672</v>
      </c>
      <c r="S423" s="3">
        <v>624</v>
      </c>
      <c r="T423" s="3">
        <v>762</v>
      </c>
      <c r="U423" s="3">
        <v>990</v>
      </c>
      <c r="V423" s="3">
        <v>534</v>
      </c>
      <c r="W423" s="3">
        <v>444</v>
      </c>
      <c r="X423" s="3">
        <v>738</v>
      </c>
      <c r="Y423" s="3">
        <v>426</v>
      </c>
      <c r="Z423" s="3">
        <v>2160</v>
      </c>
      <c r="AA423" s="3">
        <v>540</v>
      </c>
      <c r="AB423" s="3">
        <v>726</v>
      </c>
      <c r="AC423" s="3">
        <v>384</v>
      </c>
      <c r="AD423" s="3">
        <v>408</v>
      </c>
      <c r="AE423" s="3">
        <v>552</v>
      </c>
      <c r="AF423" s="3">
        <v>714</v>
      </c>
      <c r="AG423" s="3">
        <v>0</v>
      </c>
      <c r="AH423" s="3">
        <v>516</v>
      </c>
      <c r="AI423" s="3">
        <v>882</v>
      </c>
      <c r="AJ423" s="3">
        <v>414</v>
      </c>
      <c r="AK423" s="3">
        <v>744</v>
      </c>
      <c r="AL423" s="3">
        <v>654</v>
      </c>
      <c r="AM423" s="3">
        <v>720</v>
      </c>
      <c r="AN423" s="3">
        <v>420</v>
      </c>
      <c r="AO423" s="3">
        <v>354</v>
      </c>
      <c r="AP423" s="3">
        <v>810</v>
      </c>
      <c r="AQ423" s="3">
        <v>534</v>
      </c>
      <c r="AR423" s="3">
        <v>576</v>
      </c>
      <c r="AS423" s="3">
        <v>612</v>
      </c>
      <c r="AT423" s="3">
        <v>744</v>
      </c>
      <c r="AU423" s="3">
        <v>360</v>
      </c>
      <c r="AV423" s="3">
        <v>498</v>
      </c>
      <c r="AW423" s="3">
        <v>402</v>
      </c>
    </row>
    <row r="424" spans="1:49">
      <c r="A424" s="4" t="s">
        <v>35</v>
      </c>
      <c r="B424" s="4" t="str">
        <f t="shared" si="6"/>
        <v>Hair Color</v>
      </c>
      <c r="C424" s="4" t="s">
        <v>1786</v>
      </c>
      <c r="D424" s="4" t="s">
        <v>150</v>
      </c>
      <c r="E424" s="24" t="s">
        <v>47</v>
      </c>
      <c r="F424" s="12" t="s">
        <v>573</v>
      </c>
      <c r="G424" s="4" t="s">
        <v>1787</v>
      </c>
      <c r="H424" s="3">
        <v>696</v>
      </c>
      <c r="I424" s="3">
        <v>300</v>
      </c>
      <c r="J424" s="3">
        <v>570</v>
      </c>
      <c r="K424" s="3">
        <v>492</v>
      </c>
      <c r="L424" s="3">
        <v>750</v>
      </c>
      <c r="M424" s="3">
        <v>120</v>
      </c>
      <c r="N424" s="3">
        <v>3</v>
      </c>
      <c r="O424" s="3">
        <v>0</v>
      </c>
      <c r="P424" s="3">
        <v>858</v>
      </c>
      <c r="Q424" s="3">
        <v>252</v>
      </c>
      <c r="R424" s="3">
        <v>396</v>
      </c>
      <c r="S424" s="3">
        <v>582</v>
      </c>
      <c r="T424" s="3">
        <v>756</v>
      </c>
      <c r="U424" s="3">
        <v>762</v>
      </c>
      <c r="V424" s="3">
        <v>258</v>
      </c>
      <c r="W424" s="3">
        <v>246</v>
      </c>
      <c r="X424" s="3">
        <v>696</v>
      </c>
      <c r="Y424" s="3">
        <v>288</v>
      </c>
      <c r="Z424" s="3">
        <v>1560</v>
      </c>
      <c r="AA424" s="3">
        <v>144</v>
      </c>
      <c r="AB424" s="3">
        <v>522</v>
      </c>
      <c r="AC424" s="3">
        <v>186</v>
      </c>
      <c r="AD424" s="3">
        <v>252</v>
      </c>
      <c r="AE424" s="3">
        <v>360</v>
      </c>
      <c r="AF424" s="3">
        <v>588</v>
      </c>
      <c r="AG424" s="3">
        <v>612</v>
      </c>
      <c r="AH424" s="3">
        <v>252</v>
      </c>
      <c r="AI424" s="3">
        <v>102</v>
      </c>
      <c r="AJ424" s="3">
        <v>-6</v>
      </c>
      <c r="AK424" s="3">
        <v>0</v>
      </c>
      <c r="AL424" s="3">
        <v>1080</v>
      </c>
      <c r="AM424" s="3">
        <v>750</v>
      </c>
      <c r="AN424" s="3">
        <v>606</v>
      </c>
      <c r="AO424" s="3">
        <v>750</v>
      </c>
      <c r="AP424" s="3">
        <v>864</v>
      </c>
      <c r="AQ424" s="3">
        <v>342</v>
      </c>
      <c r="AR424" s="3">
        <v>714</v>
      </c>
      <c r="AS424" s="3">
        <v>732</v>
      </c>
      <c r="AT424" s="3">
        <v>342</v>
      </c>
      <c r="AU424" s="3">
        <v>252</v>
      </c>
      <c r="AV424" s="3">
        <v>0</v>
      </c>
      <c r="AW424" s="3">
        <v>90</v>
      </c>
    </row>
    <row r="425" spans="1:49">
      <c r="A425" s="4" t="s">
        <v>35</v>
      </c>
      <c r="B425" s="4" t="str">
        <f t="shared" si="6"/>
        <v>Hair Color</v>
      </c>
      <c r="C425" s="4" t="s">
        <v>1786</v>
      </c>
      <c r="D425" s="4" t="s">
        <v>150</v>
      </c>
      <c r="E425" s="24" t="s">
        <v>47</v>
      </c>
      <c r="F425" s="12" t="s">
        <v>574</v>
      </c>
      <c r="G425" s="4" t="s">
        <v>1787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60</v>
      </c>
      <c r="Z425" s="3">
        <v>150</v>
      </c>
      <c r="AA425" s="3">
        <v>144</v>
      </c>
      <c r="AB425" s="3">
        <v>126</v>
      </c>
      <c r="AC425" s="3">
        <v>90</v>
      </c>
      <c r="AD425" s="3">
        <v>22</v>
      </c>
      <c r="AE425" s="3">
        <v>74</v>
      </c>
      <c r="AF425" s="3">
        <v>46</v>
      </c>
      <c r="AG425" s="3">
        <v>44</v>
      </c>
      <c r="AH425" s="3">
        <v>136</v>
      </c>
      <c r="AI425" s="3">
        <v>228</v>
      </c>
      <c r="AJ425" s="3">
        <v>150</v>
      </c>
      <c r="AK425" s="3">
        <v>72</v>
      </c>
      <c r="AL425" s="3">
        <v>132</v>
      </c>
      <c r="AM425" s="3">
        <v>240</v>
      </c>
      <c r="AN425" s="3">
        <v>72</v>
      </c>
      <c r="AO425" s="3">
        <v>60</v>
      </c>
      <c r="AP425" s="3">
        <v>78</v>
      </c>
      <c r="AQ425" s="3">
        <v>210</v>
      </c>
      <c r="AR425" s="3">
        <v>102</v>
      </c>
      <c r="AS425" s="3">
        <v>108</v>
      </c>
      <c r="AT425" s="3">
        <v>132</v>
      </c>
      <c r="AU425" s="3">
        <v>138</v>
      </c>
      <c r="AV425" s="3">
        <v>150</v>
      </c>
      <c r="AW425" s="3">
        <v>150</v>
      </c>
    </row>
    <row r="426" spans="1:49">
      <c r="A426" s="4" t="s">
        <v>40</v>
      </c>
      <c r="B426" s="4" t="str">
        <f t="shared" si="6"/>
        <v>Hair Care</v>
      </c>
      <c r="C426" s="4" t="s">
        <v>1786</v>
      </c>
      <c r="D426" s="4" t="s">
        <v>575</v>
      </c>
      <c r="E426" s="24" t="s">
        <v>151</v>
      </c>
      <c r="F426" s="12" t="s">
        <v>152</v>
      </c>
      <c r="G426" s="4" t="s">
        <v>1787</v>
      </c>
      <c r="H426" s="3">
        <v>1128</v>
      </c>
      <c r="I426" s="3">
        <v>342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</row>
    <row r="427" spans="1:49">
      <c r="A427" s="4" t="s">
        <v>40</v>
      </c>
      <c r="B427" s="4" t="str">
        <f t="shared" si="6"/>
        <v>Hair Care</v>
      </c>
      <c r="C427" s="4" t="s">
        <v>1786</v>
      </c>
      <c r="D427" s="4" t="s">
        <v>575</v>
      </c>
      <c r="E427" s="24" t="s">
        <v>151</v>
      </c>
      <c r="F427" s="12" t="s">
        <v>152</v>
      </c>
      <c r="G427" s="4" t="s">
        <v>1787</v>
      </c>
      <c r="H427" s="3">
        <v>1074</v>
      </c>
      <c r="I427" s="3">
        <v>258</v>
      </c>
      <c r="J427" s="3">
        <v>0</v>
      </c>
      <c r="K427" s="3">
        <v>0</v>
      </c>
      <c r="L427" s="3">
        <v>1638</v>
      </c>
      <c r="M427" s="3">
        <v>0</v>
      </c>
      <c r="N427" s="3">
        <v>1980</v>
      </c>
      <c r="O427" s="3">
        <v>252</v>
      </c>
      <c r="P427" s="3">
        <v>0</v>
      </c>
      <c r="Q427" s="3">
        <v>6</v>
      </c>
      <c r="R427" s="3">
        <v>1848</v>
      </c>
      <c r="S427" s="3">
        <v>48</v>
      </c>
      <c r="T427" s="3">
        <v>0</v>
      </c>
      <c r="U427" s="3">
        <v>546</v>
      </c>
      <c r="V427" s="3">
        <v>1578</v>
      </c>
      <c r="W427" s="3">
        <v>2196</v>
      </c>
      <c r="X427" s="3">
        <v>876</v>
      </c>
      <c r="Y427" s="3">
        <v>966</v>
      </c>
      <c r="Z427" s="3">
        <v>600</v>
      </c>
      <c r="AA427" s="3">
        <v>894</v>
      </c>
      <c r="AB427" s="3">
        <v>2292</v>
      </c>
      <c r="AC427" s="3">
        <v>384</v>
      </c>
      <c r="AD427" s="3">
        <v>528</v>
      </c>
      <c r="AE427" s="3">
        <v>720</v>
      </c>
      <c r="AF427" s="3">
        <v>1128</v>
      </c>
      <c r="AG427" s="3">
        <v>702</v>
      </c>
      <c r="AH427" s="3">
        <v>720</v>
      </c>
      <c r="AI427" s="3">
        <v>654</v>
      </c>
      <c r="AJ427" s="3">
        <v>852</v>
      </c>
      <c r="AK427" s="3">
        <v>810</v>
      </c>
      <c r="AL427" s="3">
        <v>732</v>
      </c>
      <c r="AM427" s="3">
        <v>558</v>
      </c>
      <c r="AN427" s="3">
        <v>858</v>
      </c>
      <c r="AO427" s="3">
        <v>1380</v>
      </c>
      <c r="AP427" s="3">
        <v>792</v>
      </c>
      <c r="AQ427" s="3">
        <v>1116</v>
      </c>
      <c r="AR427" s="3">
        <v>1218</v>
      </c>
      <c r="AS427" s="3">
        <v>810</v>
      </c>
      <c r="AT427" s="3">
        <v>1236</v>
      </c>
      <c r="AU427" s="3">
        <v>786</v>
      </c>
      <c r="AV427" s="3">
        <v>642</v>
      </c>
      <c r="AW427" s="3">
        <v>348</v>
      </c>
    </row>
    <row r="428" spans="1:49">
      <c r="A428" s="4" t="s">
        <v>40</v>
      </c>
      <c r="B428" s="4" t="str">
        <f t="shared" si="6"/>
        <v>Hair Care</v>
      </c>
      <c r="C428" s="4" t="s">
        <v>1786</v>
      </c>
      <c r="D428" s="4" t="s">
        <v>575</v>
      </c>
      <c r="E428" s="24" t="s">
        <v>125</v>
      </c>
      <c r="F428" s="12" t="s">
        <v>153</v>
      </c>
      <c r="G428" s="4" t="s">
        <v>1787</v>
      </c>
      <c r="H428" s="3">
        <v>4098</v>
      </c>
      <c r="I428" s="3">
        <v>1680</v>
      </c>
      <c r="J428" s="3">
        <v>3654</v>
      </c>
      <c r="K428" s="3">
        <v>1104</v>
      </c>
      <c r="L428" s="3">
        <v>870</v>
      </c>
      <c r="M428" s="3">
        <v>1566</v>
      </c>
      <c r="N428" s="3">
        <v>5116</v>
      </c>
      <c r="O428" s="3">
        <v>1742</v>
      </c>
      <c r="P428" s="3">
        <v>3456</v>
      </c>
      <c r="Q428" s="3">
        <v>1410</v>
      </c>
      <c r="R428" s="3">
        <v>2210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</row>
    <row r="429" spans="1:49">
      <c r="A429" s="4" t="s">
        <v>40</v>
      </c>
      <c r="B429" s="4" t="str">
        <f t="shared" si="6"/>
        <v>Hair Care</v>
      </c>
      <c r="C429" s="4" t="s">
        <v>1786</v>
      </c>
      <c r="D429" s="4" t="s">
        <v>575</v>
      </c>
      <c r="E429" s="24" t="s">
        <v>125</v>
      </c>
      <c r="F429" s="12" t="s">
        <v>154</v>
      </c>
      <c r="G429" s="4" t="s">
        <v>1787</v>
      </c>
      <c r="H429" s="3">
        <v>1662</v>
      </c>
      <c r="I429" s="3">
        <v>1356</v>
      </c>
      <c r="J429" s="3">
        <v>2322</v>
      </c>
      <c r="K429" s="3">
        <v>864</v>
      </c>
      <c r="L429" s="3">
        <v>336</v>
      </c>
      <c r="M429" s="3">
        <v>414</v>
      </c>
      <c r="N429" s="3">
        <v>4024</v>
      </c>
      <c r="O429" s="3">
        <v>544</v>
      </c>
      <c r="P429" s="3">
        <v>2064</v>
      </c>
      <c r="Q429" s="3">
        <v>792</v>
      </c>
      <c r="R429" s="3">
        <v>944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</row>
    <row r="430" spans="1:49">
      <c r="A430" s="4" t="s">
        <v>40</v>
      </c>
      <c r="B430" s="4" t="str">
        <f t="shared" si="6"/>
        <v>Hair Care</v>
      </c>
      <c r="C430" s="4" t="s">
        <v>1786</v>
      </c>
      <c r="D430" s="4" t="s">
        <v>575</v>
      </c>
      <c r="E430" s="24" t="s">
        <v>125</v>
      </c>
      <c r="F430" s="12" t="s">
        <v>155</v>
      </c>
      <c r="G430" s="4" t="s">
        <v>1787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1577</v>
      </c>
      <c r="AE430" s="3">
        <v>9</v>
      </c>
      <c r="AF430" s="3">
        <v>858</v>
      </c>
      <c r="AG430" s="3">
        <v>85</v>
      </c>
      <c r="AH430" s="3">
        <v>231</v>
      </c>
      <c r="AI430" s="3">
        <v>146</v>
      </c>
      <c r="AJ430" s="3">
        <v>552</v>
      </c>
      <c r="AK430" s="3">
        <v>1305</v>
      </c>
      <c r="AL430" s="3">
        <v>48</v>
      </c>
      <c r="AM430" s="3">
        <v>48</v>
      </c>
      <c r="AN430" s="3">
        <v>60</v>
      </c>
      <c r="AO430" s="3">
        <v>6</v>
      </c>
      <c r="AP430" s="3">
        <v>42</v>
      </c>
      <c r="AQ430" s="3">
        <v>36</v>
      </c>
      <c r="AR430" s="3">
        <v>37</v>
      </c>
      <c r="AS430" s="3">
        <v>156</v>
      </c>
      <c r="AT430" s="3">
        <v>117</v>
      </c>
      <c r="AU430" s="3">
        <v>114</v>
      </c>
      <c r="AV430" s="3">
        <v>303</v>
      </c>
      <c r="AW430" s="3">
        <v>42</v>
      </c>
    </row>
    <row r="431" spans="1:49">
      <c r="A431" s="4" t="s">
        <v>40</v>
      </c>
      <c r="B431" s="4" t="str">
        <f t="shared" si="6"/>
        <v>Hair Care</v>
      </c>
      <c r="C431" s="4" t="s">
        <v>1786</v>
      </c>
      <c r="D431" s="4" t="s">
        <v>575</v>
      </c>
      <c r="E431" s="24" t="s">
        <v>125</v>
      </c>
      <c r="F431" s="12" t="s">
        <v>156</v>
      </c>
      <c r="G431" s="4" t="s">
        <v>1787</v>
      </c>
      <c r="H431" s="3">
        <v>3618</v>
      </c>
      <c r="I431" s="3">
        <v>120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</row>
    <row r="432" spans="1:49">
      <c r="A432" s="4" t="s">
        <v>40</v>
      </c>
      <c r="B432" s="4" t="str">
        <f t="shared" si="6"/>
        <v>Hair Care</v>
      </c>
      <c r="C432" s="4" t="s">
        <v>1786</v>
      </c>
      <c r="D432" s="4" t="s">
        <v>575</v>
      </c>
      <c r="E432" s="24" t="s">
        <v>125</v>
      </c>
      <c r="F432" s="12" t="s">
        <v>157</v>
      </c>
      <c r="G432" s="4" t="s">
        <v>1787</v>
      </c>
      <c r="H432" s="3">
        <v>2496</v>
      </c>
      <c r="I432" s="3">
        <v>954</v>
      </c>
      <c r="J432" s="3">
        <v>414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</row>
    <row r="433" spans="1:49">
      <c r="A433" s="4" t="s">
        <v>40</v>
      </c>
      <c r="B433" s="4" t="str">
        <f t="shared" si="6"/>
        <v>Hair Care</v>
      </c>
      <c r="C433" s="4" t="s">
        <v>1786</v>
      </c>
      <c r="D433" s="4" t="s">
        <v>575</v>
      </c>
      <c r="E433" s="24" t="s">
        <v>125</v>
      </c>
      <c r="F433" s="12" t="s">
        <v>158</v>
      </c>
      <c r="G433" s="4" t="s">
        <v>1787</v>
      </c>
      <c r="H433" s="3">
        <v>1248</v>
      </c>
      <c r="I433" s="3">
        <v>102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</row>
    <row r="434" spans="1:49">
      <c r="A434" s="4" t="s">
        <v>40</v>
      </c>
      <c r="B434" s="4" t="str">
        <f t="shared" si="6"/>
        <v>Hair Care</v>
      </c>
      <c r="C434" s="4" t="s">
        <v>1786</v>
      </c>
      <c r="D434" s="4" t="s">
        <v>575</v>
      </c>
      <c r="E434" s="24" t="s">
        <v>125</v>
      </c>
      <c r="F434" s="12" t="s">
        <v>159</v>
      </c>
      <c r="G434" s="4" t="s">
        <v>1787</v>
      </c>
      <c r="H434" s="3">
        <v>360</v>
      </c>
      <c r="I434" s="3">
        <v>774</v>
      </c>
      <c r="J434" s="3">
        <v>330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</row>
    <row r="435" spans="1:49">
      <c r="A435" s="4" t="s">
        <v>40</v>
      </c>
      <c r="B435" s="4" t="str">
        <f t="shared" si="6"/>
        <v>Hair Care</v>
      </c>
      <c r="C435" s="4" t="s">
        <v>1786</v>
      </c>
      <c r="D435" s="4" t="s">
        <v>575</v>
      </c>
      <c r="E435" s="24" t="s">
        <v>125</v>
      </c>
      <c r="F435" s="12" t="s">
        <v>160</v>
      </c>
      <c r="G435" s="4" t="s">
        <v>1787</v>
      </c>
      <c r="H435" s="3">
        <v>249</v>
      </c>
      <c r="I435" s="3">
        <v>561</v>
      </c>
      <c r="J435" s="3">
        <v>279</v>
      </c>
      <c r="K435" s="3">
        <v>289</v>
      </c>
      <c r="L435" s="3">
        <v>207</v>
      </c>
      <c r="M435" s="3">
        <v>192</v>
      </c>
      <c r="N435" s="3">
        <v>132</v>
      </c>
      <c r="O435" s="3">
        <v>162</v>
      </c>
      <c r="P435" s="3">
        <v>237</v>
      </c>
      <c r="Q435" s="3">
        <v>318</v>
      </c>
      <c r="R435" s="3">
        <v>378</v>
      </c>
      <c r="S435" s="3">
        <v>369</v>
      </c>
      <c r="T435" s="3">
        <v>285</v>
      </c>
      <c r="U435" s="3">
        <v>102</v>
      </c>
      <c r="V435" s="3">
        <v>234</v>
      </c>
      <c r="W435" s="3">
        <v>435</v>
      </c>
      <c r="X435" s="3">
        <v>162</v>
      </c>
      <c r="Y435" s="3">
        <v>273</v>
      </c>
      <c r="Z435" s="3">
        <v>192</v>
      </c>
      <c r="AA435" s="3">
        <v>108</v>
      </c>
      <c r="AB435" s="3">
        <v>399</v>
      </c>
      <c r="AC435" s="3">
        <v>12</v>
      </c>
      <c r="AD435" s="3">
        <v>138</v>
      </c>
      <c r="AE435" s="3">
        <v>126</v>
      </c>
      <c r="AF435" s="3">
        <v>282</v>
      </c>
      <c r="AG435" s="3">
        <v>75</v>
      </c>
      <c r="AH435" s="3">
        <v>9</v>
      </c>
      <c r="AI435" s="3">
        <v>390</v>
      </c>
      <c r="AJ435" s="3">
        <v>72</v>
      </c>
      <c r="AK435" s="3">
        <v>135</v>
      </c>
      <c r="AL435" s="3">
        <v>45</v>
      </c>
      <c r="AM435" s="3">
        <v>279</v>
      </c>
      <c r="AN435" s="3">
        <v>78</v>
      </c>
      <c r="AO435" s="3">
        <v>123</v>
      </c>
      <c r="AP435" s="3">
        <v>90</v>
      </c>
      <c r="AQ435" s="3">
        <v>255</v>
      </c>
      <c r="AR435" s="3">
        <v>315</v>
      </c>
      <c r="AS435" s="3">
        <v>162</v>
      </c>
      <c r="AT435" s="3">
        <v>171</v>
      </c>
      <c r="AU435" s="3">
        <v>264</v>
      </c>
      <c r="AV435" s="3">
        <v>189</v>
      </c>
      <c r="AW435" s="3">
        <v>102</v>
      </c>
    </row>
    <row r="436" spans="1:49">
      <c r="A436" s="4" t="s">
        <v>40</v>
      </c>
      <c r="B436" s="4" t="str">
        <f t="shared" si="6"/>
        <v>Hair Care</v>
      </c>
      <c r="C436" s="4" t="s">
        <v>1786</v>
      </c>
      <c r="D436" s="4" t="s">
        <v>575</v>
      </c>
      <c r="E436" s="24" t="s">
        <v>125</v>
      </c>
      <c r="F436" s="12" t="s">
        <v>161</v>
      </c>
      <c r="G436" s="4" t="s">
        <v>1787</v>
      </c>
      <c r="H436" s="3">
        <v>1176</v>
      </c>
      <c r="I436" s="3">
        <v>852</v>
      </c>
      <c r="J436" s="3">
        <v>876</v>
      </c>
      <c r="K436" s="3">
        <v>480</v>
      </c>
      <c r="L436" s="3">
        <v>672</v>
      </c>
      <c r="M436" s="3">
        <v>408</v>
      </c>
      <c r="N436" s="3">
        <v>468</v>
      </c>
      <c r="O436" s="3">
        <v>600</v>
      </c>
      <c r="P436" s="3">
        <v>852</v>
      </c>
      <c r="Q436" s="3">
        <v>288</v>
      </c>
      <c r="R436" s="3">
        <v>672</v>
      </c>
      <c r="S436" s="3">
        <v>792</v>
      </c>
      <c r="T436" s="3">
        <v>828</v>
      </c>
      <c r="U436" s="3">
        <v>588</v>
      </c>
      <c r="V436" s="3">
        <v>2184</v>
      </c>
      <c r="W436" s="3">
        <v>2088</v>
      </c>
      <c r="X436" s="3">
        <v>840</v>
      </c>
      <c r="Y436" s="3">
        <v>516</v>
      </c>
      <c r="Z436" s="3">
        <v>564</v>
      </c>
      <c r="AA436" s="3">
        <v>360</v>
      </c>
      <c r="AB436" s="3">
        <v>1284</v>
      </c>
      <c r="AC436" s="3">
        <v>132</v>
      </c>
      <c r="AD436" s="3">
        <v>408</v>
      </c>
      <c r="AE436" s="3">
        <v>0</v>
      </c>
      <c r="AF436" s="3">
        <v>768</v>
      </c>
      <c r="AG436" s="3">
        <v>0</v>
      </c>
      <c r="AH436" s="3">
        <v>12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</row>
    <row r="437" spans="1:49">
      <c r="A437" s="4" t="s">
        <v>40</v>
      </c>
      <c r="B437" s="4" t="str">
        <f t="shared" si="6"/>
        <v>Hair Care</v>
      </c>
      <c r="C437" s="4" t="s">
        <v>1786</v>
      </c>
      <c r="D437" s="4" t="s">
        <v>575</v>
      </c>
      <c r="E437" s="24" t="s">
        <v>125</v>
      </c>
      <c r="F437" s="12" t="s">
        <v>162</v>
      </c>
      <c r="G437" s="4" t="s">
        <v>1787</v>
      </c>
      <c r="H437" s="3">
        <v>492</v>
      </c>
      <c r="I437" s="3">
        <v>348</v>
      </c>
      <c r="J437" s="3">
        <v>456</v>
      </c>
      <c r="K437" s="3">
        <v>300</v>
      </c>
      <c r="L437" s="3">
        <v>252</v>
      </c>
      <c r="M437" s="3">
        <v>324</v>
      </c>
      <c r="N437" s="3">
        <v>204</v>
      </c>
      <c r="O437" s="3">
        <v>456</v>
      </c>
      <c r="P437" s="3">
        <v>444</v>
      </c>
      <c r="Q437" s="3">
        <v>407</v>
      </c>
      <c r="R437" s="3">
        <v>348</v>
      </c>
      <c r="S437" s="3">
        <v>336</v>
      </c>
      <c r="T437" s="3">
        <v>348</v>
      </c>
      <c r="U437" s="3">
        <v>408</v>
      </c>
      <c r="V437" s="3">
        <v>492</v>
      </c>
      <c r="W437" s="3">
        <v>1320</v>
      </c>
      <c r="X437" s="3">
        <v>636</v>
      </c>
      <c r="Y437" s="3">
        <v>156</v>
      </c>
      <c r="Z437" s="3">
        <v>480</v>
      </c>
      <c r="AA437" s="3">
        <v>192</v>
      </c>
      <c r="AB437" s="3">
        <v>924</v>
      </c>
      <c r="AC437" s="3">
        <v>24</v>
      </c>
      <c r="AD437" s="3">
        <v>252</v>
      </c>
      <c r="AE437" s="3">
        <v>312</v>
      </c>
      <c r="AF437" s="3">
        <v>408</v>
      </c>
      <c r="AG437" s="3">
        <v>0</v>
      </c>
      <c r="AH437" s="3">
        <v>12</v>
      </c>
      <c r="AI437" s="3">
        <v>504</v>
      </c>
      <c r="AJ437" s="3">
        <v>264</v>
      </c>
      <c r="AK437" s="3">
        <v>252</v>
      </c>
      <c r="AL437" s="3">
        <v>84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</row>
    <row r="438" spans="1:49">
      <c r="A438" s="4" t="s">
        <v>40</v>
      </c>
      <c r="B438" s="4" t="str">
        <f t="shared" si="6"/>
        <v>Hair Care</v>
      </c>
      <c r="C438" s="4" t="s">
        <v>1786</v>
      </c>
      <c r="D438" s="4" t="s">
        <v>575</v>
      </c>
      <c r="E438" s="24" t="s">
        <v>125</v>
      </c>
      <c r="F438" s="12" t="s">
        <v>163</v>
      </c>
      <c r="G438" s="4" t="s">
        <v>1787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84</v>
      </c>
      <c r="X438" s="3">
        <v>36</v>
      </c>
      <c r="Y438" s="3">
        <v>96</v>
      </c>
      <c r="Z438" s="3">
        <v>12</v>
      </c>
      <c r="AA438" s="3">
        <v>60</v>
      </c>
      <c r="AB438" s="3">
        <v>120</v>
      </c>
      <c r="AC438" s="3">
        <v>36</v>
      </c>
      <c r="AD438" s="3">
        <v>36</v>
      </c>
      <c r="AE438" s="3">
        <v>12</v>
      </c>
      <c r="AF438" s="3">
        <v>48</v>
      </c>
      <c r="AG438" s="3">
        <v>48</v>
      </c>
      <c r="AH438" s="3">
        <v>0</v>
      </c>
      <c r="AI438" s="3">
        <v>12</v>
      </c>
      <c r="AJ438" s="3">
        <v>36</v>
      </c>
      <c r="AK438" s="3">
        <v>48</v>
      </c>
      <c r="AL438" s="3">
        <v>24</v>
      </c>
      <c r="AM438" s="3">
        <v>12</v>
      </c>
      <c r="AN438" s="3">
        <v>48</v>
      </c>
      <c r="AO438" s="3">
        <v>12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</row>
    <row r="439" spans="1:49">
      <c r="A439" s="4" t="s">
        <v>40</v>
      </c>
      <c r="B439" s="4" t="str">
        <f t="shared" si="6"/>
        <v>Hair Care</v>
      </c>
      <c r="C439" s="4" t="s">
        <v>1786</v>
      </c>
      <c r="D439" s="4" t="s">
        <v>575</v>
      </c>
      <c r="E439" s="24" t="s">
        <v>125</v>
      </c>
      <c r="F439" s="12" t="s">
        <v>164</v>
      </c>
      <c r="G439" s="4" t="s">
        <v>1787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36</v>
      </c>
      <c r="P439" s="3">
        <v>108</v>
      </c>
      <c r="Q439" s="3">
        <v>48</v>
      </c>
      <c r="R439" s="3">
        <v>54</v>
      </c>
      <c r="S439" s="3">
        <v>192</v>
      </c>
      <c r="T439" s="3">
        <v>576</v>
      </c>
      <c r="U439" s="3">
        <v>414</v>
      </c>
      <c r="V439" s="3">
        <v>516</v>
      </c>
      <c r="W439" s="3">
        <v>372</v>
      </c>
      <c r="X439" s="3">
        <v>156</v>
      </c>
      <c r="Y439" s="3">
        <v>312</v>
      </c>
      <c r="Z439" s="3">
        <v>810</v>
      </c>
      <c r="AA439" s="3">
        <v>228</v>
      </c>
      <c r="AB439" s="3">
        <v>330</v>
      </c>
      <c r="AC439" s="3">
        <v>174</v>
      </c>
      <c r="AD439" s="3">
        <v>114</v>
      </c>
      <c r="AE439" s="3">
        <v>36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</row>
    <row r="440" spans="1:49">
      <c r="A440" s="4" t="s">
        <v>40</v>
      </c>
      <c r="B440" s="4" t="str">
        <f t="shared" si="6"/>
        <v>Hair Care</v>
      </c>
      <c r="C440" s="4" t="s">
        <v>1786</v>
      </c>
      <c r="D440" s="4" t="s">
        <v>575</v>
      </c>
      <c r="E440" s="24" t="s">
        <v>125</v>
      </c>
      <c r="F440" s="12" t="s">
        <v>165</v>
      </c>
      <c r="G440" s="4" t="s">
        <v>1787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12</v>
      </c>
      <c r="AM440" s="3">
        <v>12</v>
      </c>
      <c r="AN440" s="3">
        <v>0</v>
      </c>
      <c r="AO440" s="3">
        <v>48</v>
      </c>
      <c r="AP440" s="3">
        <v>24</v>
      </c>
      <c r="AQ440" s="3">
        <v>0</v>
      </c>
      <c r="AR440" s="3">
        <v>48</v>
      </c>
      <c r="AS440" s="3">
        <v>60</v>
      </c>
      <c r="AT440" s="3">
        <v>12</v>
      </c>
      <c r="AU440" s="3">
        <v>0</v>
      </c>
      <c r="AV440" s="3">
        <v>48</v>
      </c>
      <c r="AW440" s="3">
        <v>24</v>
      </c>
    </row>
    <row r="441" spans="1:49">
      <c r="A441" s="4" t="s">
        <v>40</v>
      </c>
      <c r="B441" s="4" t="str">
        <f t="shared" si="6"/>
        <v>Hair Care</v>
      </c>
      <c r="C441" s="4" t="s">
        <v>1786</v>
      </c>
      <c r="D441" s="4" t="s">
        <v>575</v>
      </c>
      <c r="E441" s="24" t="s">
        <v>125</v>
      </c>
      <c r="F441" s="12" t="s">
        <v>166</v>
      </c>
      <c r="G441" s="4" t="s">
        <v>1787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288</v>
      </c>
      <c r="AJ441" s="3">
        <v>96</v>
      </c>
      <c r="AK441" s="3">
        <v>120</v>
      </c>
      <c r="AL441" s="3">
        <v>60</v>
      </c>
      <c r="AM441" s="3">
        <v>96</v>
      </c>
      <c r="AN441" s="3">
        <v>48</v>
      </c>
      <c r="AO441" s="3">
        <v>108</v>
      </c>
      <c r="AP441" s="3">
        <v>84</v>
      </c>
      <c r="AQ441" s="3">
        <v>120</v>
      </c>
      <c r="AR441" s="3">
        <v>84</v>
      </c>
      <c r="AS441" s="3">
        <v>48</v>
      </c>
      <c r="AT441" s="3">
        <v>48</v>
      </c>
      <c r="AU441" s="3">
        <v>12</v>
      </c>
      <c r="AV441" s="3">
        <v>48</v>
      </c>
      <c r="AW441" s="3">
        <v>0</v>
      </c>
    </row>
    <row r="442" spans="1:49">
      <c r="A442" s="4" t="s">
        <v>40</v>
      </c>
      <c r="B442" s="4" t="str">
        <f t="shared" si="6"/>
        <v>Hair Care</v>
      </c>
      <c r="C442" s="4" t="s">
        <v>1786</v>
      </c>
      <c r="D442" s="4" t="s">
        <v>575</v>
      </c>
      <c r="E442" s="24" t="s">
        <v>125</v>
      </c>
      <c r="F442" s="12" t="s">
        <v>167</v>
      </c>
      <c r="G442" s="4" t="s">
        <v>1787</v>
      </c>
      <c r="H442" s="3">
        <v>204</v>
      </c>
      <c r="I442" s="3">
        <v>120</v>
      </c>
      <c r="J442" s="3">
        <v>84</v>
      </c>
      <c r="K442" s="3">
        <v>72</v>
      </c>
      <c r="L442" s="3">
        <v>36</v>
      </c>
      <c r="M442" s="3">
        <v>96</v>
      </c>
      <c r="N442" s="3">
        <v>12</v>
      </c>
      <c r="O442" s="3">
        <v>72</v>
      </c>
      <c r="P442" s="3">
        <v>48</v>
      </c>
      <c r="Q442" s="3">
        <v>48</v>
      </c>
      <c r="R442" s="3">
        <v>72</v>
      </c>
      <c r="S442" s="3">
        <v>60</v>
      </c>
      <c r="T442" s="3">
        <v>144</v>
      </c>
      <c r="U442" s="3">
        <v>24</v>
      </c>
      <c r="V442" s="3">
        <v>84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</row>
    <row r="443" spans="1:49">
      <c r="A443" s="4" t="s">
        <v>40</v>
      </c>
      <c r="B443" s="4" t="str">
        <f t="shared" si="6"/>
        <v>Hair Care</v>
      </c>
      <c r="C443" s="4" t="s">
        <v>1786</v>
      </c>
      <c r="D443" s="4" t="s">
        <v>575</v>
      </c>
      <c r="E443" s="24" t="s">
        <v>125</v>
      </c>
      <c r="F443" s="12" t="s">
        <v>168</v>
      </c>
      <c r="G443" s="4" t="s">
        <v>1787</v>
      </c>
      <c r="H443" s="3">
        <v>36</v>
      </c>
      <c r="I443" s="3">
        <v>72</v>
      </c>
      <c r="J443" s="3">
        <v>72</v>
      </c>
      <c r="K443" s="3">
        <v>24</v>
      </c>
      <c r="L443" s="3">
        <v>48</v>
      </c>
      <c r="M443" s="3">
        <v>36</v>
      </c>
      <c r="N443" s="3">
        <v>72</v>
      </c>
      <c r="O443" s="3">
        <v>96</v>
      </c>
      <c r="P443" s="3">
        <v>132</v>
      </c>
      <c r="Q443" s="3">
        <v>60</v>
      </c>
      <c r="R443" s="3">
        <v>24</v>
      </c>
      <c r="S443" s="3">
        <v>72</v>
      </c>
      <c r="T443" s="3">
        <v>60</v>
      </c>
      <c r="U443" s="3">
        <v>24</v>
      </c>
      <c r="V443" s="3">
        <v>60</v>
      </c>
      <c r="W443" s="3">
        <v>36</v>
      </c>
      <c r="X443" s="3">
        <v>84</v>
      </c>
      <c r="Y443" s="3">
        <v>24</v>
      </c>
      <c r="Z443" s="3">
        <v>12</v>
      </c>
      <c r="AA443" s="3">
        <v>72</v>
      </c>
      <c r="AB443" s="3">
        <v>36</v>
      </c>
      <c r="AC443" s="3">
        <v>12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</row>
    <row r="444" spans="1:49">
      <c r="A444" s="4" t="s">
        <v>40</v>
      </c>
      <c r="B444" s="4" t="str">
        <f t="shared" si="6"/>
        <v>Hair Care</v>
      </c>
      <c r="C444" s="4" t="s">
        <v>1786</v>
      </c>
      <c r="D444" s="4" t="s">
        <v>575</v>
      </c>
      <c r="E444" s="24" t="s">
        <v>125</v>
      </c>
      <c r="F444" s="12" t="s">
        <v>169</v>
      </c>
      <c r="G444" s="4" t="s">
        <v>1787</v>
      </c>
      <c r="H444" s="3">
        <v>84</v>
      </c>
      <c r="I444" s="3">
        <v>1146</v>
      </c>
      <c r="J444" s="3">
        <v>924</v>
      </c>
      <c r="K444" s="3">
        <v>720</v>
      </c>
      <c r="L444" s="3">
        <v>696</v>
      </c>
      <c r="M444" s="3">
        <v>840</v>
      </c>
      <c r="N444" s="3">
        <v>468</v>
      </c>
      <c r="O444" s="3">
        <v>240</v>
      </c>
      <c r="P444" s="3">
        <v>972</v>
      </c>
      <c r="Q444" s="3">
        <v>96</v>
      </c>
      <c r="R444" s="3">
        <v>48</v>
      </c>
      <c r="S444" s="3">
        <v>12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</row>
    <row r="445" spans="1:49">
      <c r="A445" s="4" t="s">
        <v>40</v>
      </c>
      <c r="B445" s="4" t="str">
        <f t="shared" si="6"/>
        <v>Hair Care</v>
      </c>
      <c r="C445" s="4" t="s">
        <v>1786</v>
      </c>
      <c r="D445" s="4" t="s">
        <v>575</v>
      </c>
      <c r="E445" s="24" t="s">
        <v>125</v>
      </c>
      <c r="F445" s="12" t="s">
        <v>170</v>
      </c>
      <c r="G445" s="4" t="s">
        <v>1787</v>
      </c>
      <c r="H445" s="3">
        <v>354</v>
      </c>
      <c r="I445" s="3">
        <v>181</v>
      </c>
      <c r="J445" s="3">
        <v>123</v>
      </c>
      <c r="K445" s="3">
        <v>429</v>
      </c>
      <c r="L445" s="3">
        <v>93</v>
      </c>
      <c r="M445" s="3">
        <v>96</v>
      </c>
      <c r="N445" s="3">
        <v>90</v>
      </c>
      <c r="O445" s="3">
        <v>48</v>
      </c>
      <c r="P445" s="3">
        <v>132</v>
      </c>
      <c r="Q445" s="3">
        <v>48</v>
      </c>
      <c r="R445" s="3">
        <v>300</v>
      </c>
      <c r="S445" s="3">
        <v>339</v>
      </c>
      <c r="T445" s="3">
        <v>240</v>
      </c>
      <c r="U445" s="3">
        <v>9</v>
      </c>
      <c r="V445" s="3">
        <v>138</v>
      </c>
      <c r="W445" s="3">
        <v>210</v>
      </c>
      <c r="X445" s="3">
        <v>138</v>
      </c>
      <c r="Y445" s="3">
        <v>123</v>
      </c>
      <c r="Z445" s="3">
        <v>180</v>
      </c>
      <c r="AA445" s="3">
        <v>132</v>
      </c>
      <c r="AB445" s="3">
        <v>303</v>
      </c>
      <c r="AC445" s="3">
        <v>30</v>
      </c>
      <c r="AD445" s="3">
        <v>54</v>
      </c>
      <c r="AE445" s="3">
        <v>126</v>
      </c>
      <c r="AF445" s="3">
        <v>0</v>
      </c>
      <c r="AG445" s="3">
        <v>0</v>
      </c>
      <c r="AH445" s="3">
        <v>0</v>
      </c>
      <c r="AI445" s="3">
        <v>351</v>
      </c>
      <c r="AJ445" s="3">
        <v>57</v>
      </c>
      <c r="AK445" s="3">
        <v>90</v>
      </c>
      <c r="AL445" s="3">
        <v>60</v>
      </c>
      <c r="AM445" s="3">
        <v>96</v>
      </c>
      <c r="AN445" s="3">
        <v>54</v>
      </c>
      <c r="AO445" s="3">
        <v>84</v>
      </c>
      <c r="AP445" s="3">
        <v>156</v>
      </c>
      <c r="AQ445" s="3">
        <v>153</v>
      </c>
      <c r="AR445" s="3">
        <v>99</v>
      </c>
      <c r="AS445" s="3">
        <v>132</v>
      </c>
      <c r="AT445" s="3">
        <v>0</v>
      </c>
      <c r="AU445" s="3">
        <v>144</v>
      </c>
      <c r="AV445" s="3">
        <v>150</v>
      </c>
      <c r="AW445" s="3">
        <v>78</v>
      </c>
    </row>
    <row r="446" spans="1:49">
      <c r="A446" s="4" t="s">
        <v>40</v>
      </c>
      <c r="B446" s="4" t="str">
        <f t="shared" si="6"/>
        <v>Hair Care</v>
      </c>
      <c r="C446" s="4" t="s">
        <v>1786</v>
      </c>
      <c r="D446" s="4" t="s">
        <v>575</v>
      </c>
      <c r="E446" s="24" t="s">
        <v>125</v>
      </c>
      <c r="F446" s="12" t="s">
        <v>171</v>
      </c>
      <c r="G446" s="4" t="s">
        <v>1787</v>
      </c>
      <c r="H446" s="3">
        <v>36</v>
      </c>
      <c r="I446" s="3">
        <v>834</v>
      </c>
      <c r="J446" s="3">
        <v>414</v>
      </c>
      <c r="K446" s="3">
        <v>1842</v>
      </c>
      <c r="L446" s="3">
        <v>678</v>
      </c>
      <c r="M446" s="3">
        <v>1452</v>
      </c>
      <c r="N446" s="3">
        <v>954</v>
      </c>
      <c r="O446" s="3">
        <v>504</v>
      </c>
      <c r="P446" s="3">
        <v>1644</v>
      </c>
      <c r="Q446" s="3">
        <v>378</v>
      </c>
      <c r="R446" s="3">
        <v>1074</v>
      </c>
      <c r="S446" s="3">
        <v>822</v>
      </c>
      <c r="T446" s="3">
        <v>1392</v>
      </c>
      <c r="U446" s="3">
        <v>966</v>
      </c>
      <c r="V446" s="3">
        <v>846</v>
      </c>
      <c r="W446" s="3">
        <v>1248</v>
      </c>
      <c r="X446" s="3">
        <v>1104</v>
      </c>
      <c r="Y446" s="3">
        <v>756</v>
      </c>
      <c r="Z446" s="3">
        <v>1674</v>
      </c>
      <c r="AA446" s="3">
        <v>234</v>
      </c>
      <c r="AB446" s="3">
        <v>786</v>
      </c>
      <c r="AC446" s="3">
        <v>294</v>
      </c>
      <c r="AD446" s="3">
        <v>498</v>
      </c>
      <c r="AE446" s="3">
        <v>912</v>
      </c>
      <c r="AF446" s="3">
        <v>1014</v>
      </c>
      <c r="AG446" s="3">
        <v>732</v>
      </c>
      <c r="AH446" s="3">
        <v>606</v>
      </c>
      <c r="AI446" s="3">
        <v>606</v>
      </c>
      <c r="AJ446" s="3">
        <v>588</v>
      </c>
      <c r="AK446" s="3">
        <v>24</v>
      </c>
      <c r="AL446" s="3">
        <v>228</v>
      </c>
      <c r="AM446" s="3">
        <v>1182</v>
      </c>
      <c r="AN446" s="3">
        <v>906</v>
      </c>
      <c r="AO446" s="3">
        <v>120</v>
      </c>
      <c r="AP446" s="3">
        <v>1374</v>
      </c>
      <c r="AQ446" s="3">
        <v>264</v>
      </c>
      <c r="AR446" s="3">
        <v>624</v>
      </c>
      <c r="AS446" s="3">
        <v>1086</v>
      </c>
      <c r="AT446" s="3">
        <v>546</v>
      </c>
      <c r="AU446" s="3">
        <v>516</v>
      </c>
      <c r="AV446" s="3">
        <v>528</v>
      </c>
      <c r="AW446" s="3">
        <v>714</v>
      </c>
    </row>
    <row r="447" spans="1:49">
      <c r="A447" s="4" t="s">
        <v>40</v>
      </c>
      <c r="B447" s="4" t="str">
        <f t="shared" si="6"/>
        <v>Hair Care</v>
      </c>
      <c r="C447" s="4" t="s">
        <v>1786</v>
      </c>
      <c r="D447" s="4" t="s">
        <v>575</v>
      </c>
      <c r="E447" s="24" t="s">
        <v>125</v>
      </c>
      <c r="F447" s="12" t="s">
        <v>172</v>
      </c>
      <c r="G447" s="4" t="s">
        <v>1787</v>
      </c>
      <c r="H447" s="3">
        <v>2028</v>
      </c>
      <c r="I447" s="3">
        <v>714</v>
      </c>
      <c r="J447" s="3">
        <v>426</v>
      </c>
      <c r="K447" s="3">
        <v>0</v>
      </c>
      <c r="L447" s="3">
        <v>2472</v>
      </c>
      <c r="M447" s="3">
        <v>1146</v>
      </c>
      <c r="N447" s="3">
        <v>1044</v>
      </c>
      <c r="O447" s="3">
        <v>876</v>
      </c>
      <c r="P447" s="3">
        <v>1812</v>
      </c>
      <c r="Q447" s="3">
        <v>396</v>
      </c>
      <c r="R447" s="3">
        <v>828</v>
      </c>
      <c r="S447" s="3">
        <v>822</v>
      </c>
      <c r="T447" s="3">
        <v>1506</v>
      </c>
      <c r="U447" s="3">
        <v>1002</v>
      </c>
      <c r="V447" s="3">
        <v>858</v>
      </c>
      <c r="W447" s="3">
        <v>6858</v>
      </c>
      <c r="X447" s="3">
        <v>1194</v>
      </c>
      <c r="Y447" s="3">
        <v>678</v>
      </c>
      <c r="Z447" s="3">
        <v>1524</v>
      </c>
      <c r="AA447" s="3">
        <v>222</v>
      </c>
      <c r="AB447" s="3">
        <v>960</v>
      </c>
      <c r="AC447" s="3">
        <v>48</v>
      </c>
      <c r="AD447" s="3">
        <v>444</v>
      </c>
      <c r="AE447" s="3">
        <v>648</v>
      </c>
      <c r="AF447" s="3">
        <v>918</v>
      </c>
      <c r="AG447" s="3">
        <v>1020</v>
      </c>
      <c r="AH447" s="3">
        <v>1206</v>
      </c>
      <c r="AI447" s="3">
        <v>174</v>
      </c>
      <c r="AJ447" s="3">
        <v>564</v>
      </c>
      <c r="AK447" s="3">
        <v>12</v>
      </c>
      <c r="AL447" s="3">
        <v>336</v>
      </c>
      <c r="AM447" s="3">
        <v>1158</v>
      </c>
      <c r="AN447" s="3">
        <v>702</v>
      </c>
      <c r="AO447" s="3">
        <v>1704</v>
      </c>
      <c r="AP447" s="3">
        <v>144</v>
      </c>
      <c r="AQ447" s="3">
        <v>1122</v>
      </c>
      <c r="AR447" s="3">
        <v>534</v>
      </c>
      <c r="AS447" s="3">
        <v>1620</v>
      </c>
      <c r="AT447" s="3">
        <v>54</v>
      </c>
      <c r="AU447" s="3">
        <v>1224</v>
      </c>
      <c r="AV447" s="3">
        <v>42</v>
      </c>
      <c r="AW447" s="3">
        <v>534</v>
      </c>
    </row>
    <row r="448" spans="1:49">
      <c r="A448" s="4" t="s">
        <v>40</v>
      </c>
      <c r="B448" s="4" t="str">
        <f t="shared" si="6"/>
        <v>Hair Care</v>
      </c>
      <c r="C448" s="4" t="s">
        <v>1786</v>
      </c>
      <c r="D448" s="4" t="s">
        <v>575</v>
      </c>
      <c r="E448" s="24" t="s">
        <v>125</v>
      </c>
      <c r="F448" s="12" t="s">
        <v>173</v>
      </c>
      <c r="G448" s="4" t="s">
        <v>1787</v>
      </c>
      <c r="H448" s="3">
        <v>1170</v>
      </c>
      <c r="I448" s="3">
        <v>78</v>
      </c>
      <c r="J448" s="3">
        <v>414</v>
      </c>
      <c r="K448" s="3">
        <v>1140</v>
      </c>
      <c r="L448" s="3">
        <v>594</v>
      </c>
      <c r="M448" s="3">
        <v>12</v>
      </c>
      <c r="N448" s="3">
        <v>582</v>
      </c>
      <c r="O448" s="3">
        <v>276</v>
      </c>
      <c r="P448" s="3">
        <v>948</v>
      </c>
      <c r="Q448" s="3">
        <v>342</v>
      </c>
      <c r="R448" s="3">
        <v>666</v>
      </c>
      <c r="S448" s="3">
        <v>594</v>
      </c>
      <c r="T448" s="3">
        <v>690</v>
      </c>
      <c r="U448" s="3">
        <v>546</v>
      </c>
      <c r="V448" s="3">
        <v>432</v>
      </c>
      <c r="W448" s="3">
        <v>360</v>
      </c>
      <c r="X448" s="3">
        <v>438</v>
      </c>
      <c r="Y448" s="3">
        <v>432</v>
      </c>
      <c r="Z448" s="3">
        <v>942</v>
      </c>
      <c r="AA448" s="3">
        <v>90</v>
      </c>
      <c r="AB448" s="3">
        <v>258</v>
      </c>
      <c r="AC448" s="3">
        <v>6</v>
      </c>
      <c r="AD448" s="3">
        <v>210</v>
      </c>
      <c r="AE448" s="3">
        <v>258</v>
      </c>
      <c r="AF448" s="3">
        <v>384</v>
      </c>
      <c r="AG448" s="3">
        <v>384</v>
      </c>
      <c r="AH448" s="3">
        <v>156</v>
      </c>
      <c r="AI448" s="3">
        <v>174</v>
      </c>
      <c r="AJ448" s="3">
        <v>18</v>
      </c>
      <c r="AK448" s="3">
        <v>300</v>
      </c>
      <c r="AL448" s="3">
        <v>0</v>
      </c>
      <c r="AM448" s="3">
        <v>12</v>
      </c>
      <c r="AN448" s="3">
        <v>0</v>
      </c>
      <c r="AO448" s="3">
        <v>12</v>
      </c>
      <c r="AP448" s="3">
        <v>144</v>
      </c>
      <c r="AQ448" s="3">
        <v>0</v>
      </c>
      <c r="AR448" s="3">
        <v>0</v>
      </c>
      <c r="AS448" s="3">
        <v>24</v>
      </c>
      <c r="AT448" s="3">
        <v>24</v>
      </c>
      <c r="AU448" s="3">
        <v>0</v>
      </c>
      <c r="AV448" s="3">
        <v>36</v>
      </c>
      <c r="AW448" s="3">
        <v>0</v>
      </c>
    </row>
    <row r="449" spans="1:49">
      <c r="A449" s="4" t="s">
        <v>40</v>
      </c>
      <c r="B449" s="4" t="str">
        <f t="shared" si="6"/>
        <v>Hair Care</v>
      </c>
      <c r="C449" s="4" t="s">
        <v>1786</v>
      </c>
      <c r="D449" s="4" t="s">
        <v>575</v>
      </c>
      <c r="E449" s="24" t="s">
        <v>125</v>
      </c>
      <c r="F449" s="12" t="s">
        <v>174</v>
      </c>
      <c r="G449" s="4" t="s">
        <v>1787</v>
      </c>
      <c r="H449" s="3">
        <v>444</v>
      </c>
      <c r="I449" s="3">
        <v>150</v>
      </c>
      <c r="J449" s="3">
        <v>48</v>
      </c>
      <c r="K449" s="3">
        <v>12</v>
      </c>
      <c r="L449" s="3">
        <v>12</v>
      </c>
      <c r="M449" s="3">
        <v>0</v>
      </c>
      <c r="N449" s="3">
        <v>0</v>
      </c>
      <c r="O449" s="3">
        <v>12</v>
      </c>
      <c r="P449" s="3">
        <v>72</v>
      </c>
      <c r="Q449" s="3">
        <v>12</v>
      </c>
      <c r="R449" s="3">
        <v>12</v>
      </c>
      <c r="S449" s="3">
        <v>12</v>
      </c>
      <c r="T449" s="3">
        <v>48</v>
      </c>
      <c r="U449" s="3">
        <v>0</v>
      </c>
      <c r="V449" s="3">
        <v>24</v>
      </c>
      <c r="W449" s="3">
        <v>60</v>
      </c>
      <c r="X449" s="3">
        <v>24</v>
      </c>
      <c r="Y449" s="3">
        <v>24</v>
      </c>
      <c r="Z449" s="3">
        <v>0</v>
      </c>
      <c r="AA449" s="3">
        <v>84</v>
      </c>
      <c r="AB449" s="3">
        <v>24</v>
      </c>
      <c r="AC449" s="3">
        <v>0</v>
      </c>
      <c r="AD449" s="3">
        <v>12</v>
      </c>
      <c r="AE449" s="3">
        <v>12</v>
      </c>
      <c r="AF449" s="3">
        <v>12</v>
      </c>
      <c r="AG449" s="3">
        <v>0</v>
      </c>
      <c r="AH449" s="3">
        <v>0</v>
      </c>
      <c r="AI449" s="3">
        <v>0</v>
      </c>
      <c r="AJ449" s="3">
        <v>300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</row>
    <row r="450" spans="1:49">
      <c r="A450" s="4" t="s">
        <v>40</v>
      </c>
      <c r="B450" s="4" t="str">
        <f t="shared" si="6"/>
        <v>Hair Care</v>
      </c>
      <c r="C450" s="4" t="s">
        <v>1786</v>
      </c>
      <c r="D450" s="4" t="s">
        <v>575</v>
      </c>
      <c r="E450" s="24" t="s">
        <v>125</v>
      </c>
      <c r="F450" s="12" t="s">
        <v>175</v>
      </c>
      <c r="G450" s="4" t="s">
        <v>1787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1716</v>
      </c>
      <c r="S450" s="3">
        <v>936</v>
      </c>
      <c r="T450" s="3">
        <v>1776</v>
      </c>
      <c r="U450" s="3">
        <v>2124</v>
      </c>
      <c r="V450" s="3">
        <v>1296</v>
      </c>
      <c r="W450" s="3">
        <v>1452</v>
      </c>
      <c r="X450" s="3">
        <v>516</v>
      </c>
      <c r="Y450" s="3">
        <v>276</v>
      </c>
      <c r="Z450" s="3">
        <v>276</v>
      </c>
      <c r="AA450" s="3">
        <v>792</v>
      </c>
      <c r="AB450" s="3">
        <v>1116</v>
      </c>
      <c r="AC450" s="3">
        <v>60</v>
      </c>
      <c r="AD450" s="3">
        <v>84</v>
      </c>
      <c r="AE450" s="3">
        <v>84</v>
      </c>
      <c r="AF450" s="3">
        <v>912</v>
      </c>
      <c r="AG450" s="3">
        <v>924</v>
      </c>
      <c r="AH450" s="3">
        <v>120</v>
      </c>
      <c r="AI450" s="3">
        <v>48</v>
      </c>
      <c r="AJ450" s="3">
        <v>24</v>
      </c>
      <c r="AK450" s="3">
        <v>48</v>
      </c>
      <c r="AL450" s="3">
        <v>60</v>
      </c>
      <c r="AM450" s="3">
        <v>324</v>
      </c>
      <c r="AN450" s="3">
        <v>144</v>
      </c>
      <c r="AO450" s="3">
        <v>108</v>
      </c>
      <c r="AP450" s="3">
        <v>444</v>
      </c>
      <c r="AQ450" s="3">
        <v>192</v>
      </c>
      <c r="AR450" s="3">
        <v>336</v>
      </c>
      <c r="AS450" s="3">
        <v>720</v>
      </c>
      <c r="AT450" s="3">
        <v>528</v>
      </c>
      <c r="AU450" s="3">
        <v>384</v>
      </c>
      <c r="AV450" s="3">
        <v>264</v>
      </c>
      <c r="AW450" s="3">
        <v>168</v>
      </c>
    </row>
    <row r="451" spans="1:49">
      <c r="A451" s="4" t="s">
        <v>40</v>
      </c>
      <c r="B451" s="4" t="str">
        <f t="shared" ref="B451:B514" si="7">A451</f>
        <v>Hair Care</v>
      </c>
      <c r="C451" s="4" t="s">
        <v>1786</v>
      </c>
      <c r="D451" s="4" t="s">
        <v>575</v>
      </c>
      <c r="E451" s="24" t="s">
        <v>125</v>
      </c>
      <c r="F451" s="12" t="s">
        <v>176</v>
      </c>
      <c r="G451" s="4" t="s">
        <v>1787</v>
      </c>
      <c r="H451" s="3">
        <v>1056</v>
      </c>
      <c r="I451" s="3">
        <v>1344</v>
      </c>
      <c r="J451" s="3">
        <v>534</v>
      </c>
      <c r="K451" s="3">
        <v>12</v>
      </c>
      <c r="L451" s="3">
        <v>0</v>
      </c>
      <c r="M451" s="3">
        <v>12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</row>
    <row r="452" spans="1:49">
      <c r="A452" s="4" t="s">
        <v>40</v>
      </c>
      <c r="B452" s="4" t="str">
        <f t="shared" si="7"/>
        <v>Hair Care</v>
      </c>
      <c r="C452" s="4" t="s">
        <v>1786</v>
      </c>
      <c r="D452" s="4" t="s">
        <v>575</v>
      </c>
      <c r="E452" s="24" t="s">
        <v>125</v>
      </c>
      <c r="F452" s="12" t="s">
        <v>177</v>
      </c>
      <c r="G452" s="4" t="s">
        <v>1787</v>
      </c>
      <c r="H452" s="3">
        <v>1020</v>
      </c>
      <c r="I452" s="3">
        <v>1392</v>
      </c>
      <c r="J452" s="3">
        <v>918</v>
      </c>
      <c r="K452" s="3">
        <v>396</v>
      </c>
      <c r="L452" s="3">
        <v>360</v>
      </c>
      <c r="M452" s="3">
        <v>390</v>
      </c>
      <c r="N452" s="3">
        <v>432</v>
      </c>
      <c r="O452" s="3">
        <v>246</v>
      </c>
      <c r="P452" s="3">
        <v>882</v>
      </c>
      <c r="Q452" s="3">
        <v>42</v>
      </c>
      <c r="R452" s="3">
        <v>324</v>
      </c>
      <c r="S452" s="3">
        <v>276</v>
      </c>
      <c r="T452" s="3">
        <v>510</v>
      </c>
      <c r="U452" s="3">
        <v>234</v>
      </c>
      <c r="V452" s="3">
        <v>276</v>
      </c>
      <c r="W452" s="3">
        <v>486</v>
      </c>
      <c r="X452" s="3">
        <v>132</v>
      </c>
      <c r="Y452" s="3">
        <v>444</v>
      </c>
      <c r="Z452" s="3">
        <v>630</v>
      </c>
      <c r="AA452" s="3">
        <v>54</v>
      </c>
      <c r="AB452" s="3">
        <v>180</v>
      </c>
      <c r="AC452" s="3">
        <v>12</v>
      </c>
      <c r="AD452" s="3">
        <v>78</v>
      </c>
      <c r="AE452" s="3">
        <v>96</v>
      </c>
      <c r="AF452" s="3">
        <v>156</v>
      </c>
      <c r="AG452" s="3">
        <v>108</v>
      </c>
      <c r="AH452" s="3">
        <v>84</v>
      </c>
      <c r="AI452" s="3">
        <v>12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</row>
    <row r="453" spans="1:49">
      <c r="A453" s="4" t="s">
        <v>40</v>
      </c>
      <c r="B453" s="4" t="str">
        <f t="shared" si="7"/>
        <v>Hair Care</v>
      </c>
      <c r="C453" s="4" t="s">
        <v>1786</v>
      </c>
      <c r="D453" s="4" t="s">
        <v>575</v>
      </c>
      <c r="E453" s="24" t="s">
        <v>125</v>
      </c>
      <c r="F453" s="12" t="s">
        <v>178</v>
      </c>
      <c r="G453" s="4" t="s">
        <v>1787</v>
      </c>
      <c r="H453" s="3">
        <v>156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</row>
    <row r="454" spans="1:49">
      <c r="A454" s="4" t="s">
        <v>40</v>
      </c>
      <c r="B454" s="4" t="str">
        <f t="shared" si="7"/>
        <v>Hair Care</v>
      </c>
      <c r="C454" s="4" t="s">
        <v>1786</v>
      </c>
      <c r="D454" s="4" t="s">
        <v>575</v>
      </c>
      <c r="E454" s="24" t="s">
        <v>125</v>
      </c>
      <c r="F454" s="12" t="s">
        <v>179</v>
      </c>
      <c r="G454" s="4" t="s">
        <v>1787</v>
      </c>
      <c r="H454" s="3">
        <v>144</v>
      </c>
      <c r="I454" s="3">
        <v>60</v>
      </c>
      <c r="J454" s="3">
        <v>180</v>
      </c>
      <c r="K454" s="3">
        <v>72</v>
      </c>
      <c r="L454" s="3">
        <v>24</v>
      </c>
      <c r="M454" s="3">
        <v>36</v>
      </c>
      <c r="N454" s="3">
        <v>0</v>
      </c>
      <c r="O454" s="3">
        <v>24</v>
      </c>
      <c r="P454" s="3">
        <v>48</v>
      </c>
      <c r="Q454" s="3">
        <v>12</v>
      </c>
      <c r="R454" s="3">
        <v>48</v>
      </c>
      <c r="S454" s="3">
        <v>12</v>
      </c>
      <c r="T454" s="3">
        <v>36</v>
      </c>
      <c r="U454" s="3">
        <v>12</v>
      </c>
      <c r="V454" s="3">
        <v>48</v>
      </c>
      <c r="W454" s="3">
        <v>60</v>
      </c>
      <c r="X454" s="3">
        <v>24</v>
      </c>
      <c r="Y454" s="3">
        <v>24</v>
      </c>
      <c r="Z454" s="3">
        <v>12</v>
      </c>
      <c r="AA454" s="3">
        <v>48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</row>
    <row r="455" spans="1:49">
      <c r="A455" s="4" t="s">
        <v>40</v>
      </c>
      <c r="B455" s="4" t="str">
        <f t="shared" si="7"/>
        <v>Hair Care</v>
      </c>
      <c r="C455" s="4" t="s">
        <v>1786</v>
      </c>
      <c r="D455" s="4" t="s">
        <v>575</v>
      </c>
      <c r="E455" s="24" t="s">
        <v>125</v>
      </c>
      <c r="F455" s="12" t="s">
        <v>180</v>
      </c>
      <c r="G455" s="4" t="s">
        <v>1787</v>
      </c>
      <c r="H455" s="3">
        <v>357</v>
      </c>
      <c r="I455" s="3">
        <v>384</v>
      </c>
      <c r="J455" s="3">
        <v>312</v>
      </c>
      <c r="K455" s="3">
        <v>273</v>
      </c>
      <c r="L455" s="3">
        <v>54</v>
      </c>
      <c r="M455" s="3">
        <v>36</v>
      </c>
      <c r="N455" s="3">
        <v>9</v>
      </c>
      <c r="O455" s="3">
        <v>24</v>
      </c>
      <c r="P455" s="3">
        <v>42</v>
      </c>
      <c r="Q455" s="3">
        <v>0</v>
      </c>
      <c r="R455" s="3">
        <v>36</v>
      </c>
      <c r="S455" s="3">
        <v>24</v>
      </c>
      <c r="T455" s="3">
        <v>321</v>
      </c>
      <c r="U455" s="3">
        <v>87</v>
      </c>
      <c r="V455" s="3">
        <v>234</v>
      </c>
      <c r="W455" s="3">
        <v>192</v>
      </c>
      <c r="X455" s="3">
        <v>60</v>
      </c>
      <c r="Y455" s="3">
        <v>102</v>
      </c>
      <c r="Z455" s="3">
        <v>150</v>
      </c>
      <c r="AA455" s="3">
        <v>6</v>
      </c>
      <c r="AB455" s="3">
        <v>18</v>
      </c>
      <c r="AC455" s="3">
        <v>18</v>
      </c>
      <c r="AD455" s="3">
        <v>72</v>
      </c>
      <c r="AE455" s="3">
        <v>96</v>
      </c>
      <c r="AF455" s="3">
        <v>111</v>
      </c>
      <c r="AG455" s="3">
        <v>51</v>
      </c>
      <c r="AH455" s="3">
        <v>39</v>
      </c>
      <c r="AI455" s="3">
        <v>0</v>
      </c>
      <c r="AJ455" s="3">
        <v>6</v>
      </c>
      <c r="AK455" s="3">
        <v>24</v>
      </c>
      <c r="AL455" s="3">
        <v>42</v>
      </c>
      <c r="AM455" s="3">
        <v>48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</row>
    <row r="456" spans="1:49">
      <c r="A456" s="4" t="s">
        <v>40</v>
      </c>
      <c r="B456" s="4" t="str">
        <f t="shared" si="7"/>
        <v>Hair Care</v>
      </c>
      <c r="C456" s="4" t="s">
        <v>1786</v>
      </c>
      <c r="D456" s="4" t="s">
        <v>575</v>
      </c>
      <c r="E456" s="24" t="s">
        <v>125</v>
      </c>
      <c r="F456" s="12" t="s">
        <v>181</v>
      </c>
      <c r="G456" s="4" t="s">
        <v>1787</v>
      </c>
      <c r="H456" s="3">
        <v>1962</v>
      </c>
      <c r="I456" s="3">
        <v>1188</v>
      </c>
      <c r="J456" s="3">
        <v>1056</v>
      </c>
      <c r="K456" s="3">
        <v>738</v>
      </c>
      <c r="L456" s="3">
        <v>798</v>
      </c>
      <c r="M456" s="3">
        <v>744</v>
      </c>
      <c r="N456" s="3">
        <v>282</v>
      </c>
      <c r="O456" s="3">
        <v>342</v>
      </c>
      <c r="P456" s="3">
        <v>858</v>
      </c>
      <c r="Q456" s="3">
        <v>126</v>
      </c>
      <c r="R456" s="3">
        <v>300</v>
      </c>
      <c r="S456" s="3">
        <v>384</v>
      </c>
      <c r="T456" s="3">
        <v>726</v>
      </c>
      <c r="U456" s="3">
        <v>294</v>
      </c>
      <c r="V456" s="3">
        <v>708</v>
      </c>
      <c r="W456" s="3">
        <v>864</v>
      </c>
      <c r="X456" s="3">
        <v>582</v>
      </c>
      <c r="Y456" s="3">
        <v>240</v>
      </c>
      <c r="Z456" s="3">
        <v>852</v>
      </c>
      <c r="AA456" s="3">
        <v>234</v>
      </c>
      <c r="AB456" s="3">
        <v>402</v>
      </c>
      <c r="AC456" s="3">
        <v>210</v>
      </c>
      <c r="AD456" s="3">
        <v>540</v>
      </c>
      <c r="AE456" s="3">
        <v>288</v>
      </c>
      <c r="AF456" s="3">
        <v>558</v>
      </c>
      <c r="AG456" s="3">
        <v>816</v>
      </c>
      <c r="AH456" s="3">
        <v>234</v>
      </c>
      <c r="AI456" s="3">
        <v>756</v>
      </c>
      <c r="AJ456" s="3">
        <v>108</v>
      </c>
      <c r="AK456" s="3">
        <v>1032</v>
      </c>
      <c r="AL456" s="3">
        <v>66</v>
      </c>
      <c r="AM456" s="3">
        <v>156</v>
      </c>
      <c r="AN456" s="3">
        <v>84</v>
      </c>
      <c r="AO456" s="3">
        <v>72</v>
      </c>
      <c r="AP456" s="3">
        <v>36</v>
      </c>
      <c r="AQ456" s="3">
        <v>72</v>
      </c>
      <c r="AR456" s="3">
        <v>60</v>
      </c>
      <c r="AS456" s="3">
        <v>120</v>
      </c>
      <c r="AT456" s="3">
        <v>48</v>
      </c>
      <c r="AU456" s="3">
        <v>0</v>
      </c>
      <c r="AV456" s="3">
        <v>0</v>
      </c>
      <c r="AW456" s="3">
        <v>0</v>
      </c>
    </row>
    <row r="457" spans="1:49">
      <c r="A457" s="4" t="s">
        <v>40</v>
      </c>
      <c r="B457" s="4" t="str">
        <f t="shared" si="7"/>
        <v>Hair Care</v>
      </c>
      <c r="C457" s="4" t="s">
        <v>1786</v>
      </c>
      <c r="D457" s="4" t="s">
        <v>575</v>
      </c>
      <c r="E457" s="24" t="s">
        <v>125</v>
      </c>
      <c r="F457" s="12" t="s">
        <v>182</v>
      </c>
      <c r="G457" s="4" t="s">
        <v>1787</v>
      </c>
      <c r="H457" s="3">
        <v>84</v>
      </c>
      <c r="I457" s="3">
        <v>96</v>
      </c>
      <c r="J457" s="3">
        <v>72</v>
      </c>
      <c r="K457" s="3">
        <v>60</v>
      </c>
      <c r="L457" s="3">
        <v>12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</row>
    <row r="458" spans="1:49">
      <c r="A458" s="4" t="s">
        <v>40</v>
      </c>
      <c r="B458" s="4" t="str">
        <f t="shared" si="7"/>
        <v>Hair Care</v>
      </c>
      <c r="C458" s="4" t="s">
        <v>1786</v>
      </c>
      <c r="D458" s="4" t="s">
        <v>575</v>
      </c>
      <c r="E458" s="24" t="s">
        <v>125</v>
      </c>
      <c r="F458" s="12" t="s">
        <v>183</v>
      </c>
      <c r="G458" s="4" t="s">
        <v>1787</v>
      </c>
      <c r="H458" s="3">
        <v>636</v>
      </c>
      <c r="I458" s="3">
        <v>252</v>
      </c>
      <c r="J458" s="3">
        <v>84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</row>
    <row r="459" spans="1:49">
      <c r="A459" s="4" t="s">
        <v>40</v>
      </c>
      <c r="B459" s="4" t="str">
        <f t="shared" si="7"/>
        <v>Hair Care</v>
      </c>
      <c r="C459" s="4" t="s">
        <v>1786</v>
      </c>
      <c r="D459" s="4" t="s">
        <v>575</v>
      </c>
      <c r="E459" s="24" t="s">
        <v>125</v>
      </c>
      <c r="F459" s="12" t="s">
        <v>184</v>
      </c>
      <c r="G459" s="4" t="s">
        <v>1787</v>
      </c>
      <c r="H459" s="3">
        <v>96</v>
      </c>
      <c r="I459" s="3">
        <v>264</v>
      </c>
      <c r="J459" s="3">
        <v>72</v>
      </c>
      <c r="K459" s="3">
        <v>24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12</v>
      </c>
      <c r="S459" s="3">
        <v>24</v>
      </c>
      <c r="T459" s="3">
        <v>0</v>
      </c>
      <c r="U459" s="3">
        <v>24</v>
      </c>
      <c r="V459" s="3">
        <v>0</v>
      </c>
      <c r="W459" s="3">
        <v>0</v>
      </c>
      <c r="X459" s="3">
        <v>0</v>
      </c>
      <c r="Y459" s="3">
        <v>12</v>
      </c>
      <c r="Z459" s="3">
        <v>0</v>
      </c>
      <c r="AA459" s="3">
        <v>12</v>
      </c>
      <c r="AB459" s="3">
        <v>12</v>
      </c>
      <c r="AC459" s="3">
        <v>12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</row>
    <row r="460" spans="1:49">
      <c r="A460" s="4" t="s">
        <v>40</v>
      </c>
      <c r="B460" s="4" t="str">
        <f t="shared" si="7"/>
        <v>Hair Care</v>
      </c>
      <c r="C460" s="4" t="s">
        <v>1786</v>
      </c>
      <c r="D460" s="4" t="s">
        <v>575</v>
      </c>
      <c r="E460" s="24" t="s">
        <v>125</v>
      </c>
      <c r="F460" s="12" t="s">
        <v>185</v>
      </c>
      <c r="G460" s="4" t="s">
        <v>1787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12</v>
      </c>
      <c r="P460" s="3">
        <v>36</v>
      </c>
      <c r="Q460" s="3">
        <v>24</v>
      </c>
      <c r="R460" s="3">
        <v>24</v>
      </c>
      <c r="S460" s="3">
        <v>72</v>
      </c>
      <c r="T460" s="3">
        <v>144</v>
      </c>
      <c r="U460" s="3">
        <v>48</v>
      </c>
      <c r="V460" s="3">
        <v>84</v>
      </c>
      <c r="W460" s="3">
        <v>108</v>
      </c>
      <c r="X460" s="3">
        <v>60</v>
      </c>
      <c r="Y460" s="3">
        <v>24</v>
      </c>
      <c r="Z460" s="3">
        <v>12</v>
      </c>
      <c r="AA460" s="3">
        <v>48</v>
      </c>
      <c r="AB460" s="3">
        <v>48</v>
      </c>
      <c r="AC460" s="3">
        <v>24</v>
      </c>
      <c r="AD460" s="3">
        <v>12</v>
      </c>
      <c r="AE460" s="3">
        <v>12</v>
      </c>
      <c r="AF460" s="3">
        <v>12</v>
      </c>
      <c r="AG460" s="3">
        <v>0</v>
      </c>
      <c r="AH460" s="3">
        <v>12</v>
      </c>
      <c r="AI460" s="3">
        <v>0</v>
      </c>
      <c r="AJ460" s="3">
        <v>0</v>
      </c>
      <c r="AK460" s="3">
        <v>24</v>
      </c>
      <c r="AL460" s="3">
        <v>12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</row>
    <row r="461" spans="1:49">
      <c r="A461" s="4" t="s">
        <v>40</v>
      </c>
      <c r="B461" s="4" t="str">
        <f t="shared" si="7"/>
        <v>Hair Care</v>
      </c>
      <c r="C461" s="4" t="s">
        <v>1786</v>
      </c>
      <c r="D461" s="4" t="s">
        <v>575</v>
      </c>
      <c r="E461" s="24" t="s">
        <v>125</v>
      </c>
      <c r="F461" s="12" t="s">
        <v>186</v>
      </c>
      <c r="G461" s="4" t="s">
        <v>1787</v>
      </c>
      <c r="H461" s="3">
        <v>588</v>
      </c>
      <c r="I461" s="3">
        <v>750</v>
      </c>
      <c r="J461" s="3">
        <v>1188</v>
      </c>
      <c r="K461" s="3">
        <v>924</v>
      </c>
      <c r="L461" s="3">
        <v>822</v>
      </c>
      <c r="M461" s="3">
        <v>1182</v>
      </c>
      <c r="N461" s="3">
        <v>384</v>
      </c>
      <c r="O461" s="3">
        <v>294</v>
      </c>
      <c r="P461" s="3">
        <v>912</v>
      </c>
      <c r="Q461" s="3">
        <v>264</v>
      </c>
      <c r="R461" s="3">
        <v>600</v>
      </c>
      <c r="S461" s="3">
        <v>618</v>
      </c>
      <c r="T461" s="3">
        <v>762</v>
      </c>
      <c r="U461" s="3">
        <v>480</v>
      </c>
      <c r="V461" s="3">
        <v>564</v>
      </c>
      <c r="W461" s="3">
        <v>756</v>
      </c>
      <c r="X461" s="3">
        <v>144</v>
      </c>
      <c r="Y461" s="3">
        <v>486</v>
      </c>
      <c r="Z461" s="3">
        <v>774</v>
      </c>
      <c r="AA461" s="3">
        <v>336</v>
      </c>
      <c r="AB461" s="3">
        <v>150</v>
      </c>
      <c r="AC461" s="3">
        <v>0</v>
      </c>
      <c r="AD461" s="3">
        <v>36</v>
      </c>
      <c r="AE461" s="3">
        <v>108</v>
      </c>
      <c r="AF461" s="3">
        <v>60</v>
      </c>
      <c r="AG461" s="3">
        <v>36</v>
      </c>
      <c r="AH461" s="3">
        <v>48</v>
      </c>
      <c r="AI461" s="3">
        <v>72</v>
      </c>
      <c r="AJ461" s="3">
        <v>72</v>
      </c>
      <c r="AK461" s="3">
        <v>72</v>
      </c>
      <c r="AL461" s="3">
        <v>84</v>
      </c>
      <c r="AM461" s="3">
        <v>60</v>
      </c>
      <c r="AN461" s="3">
        <v>60</v>
      </c>
      <c r="AO461" s="3">
        <v>60</v>
      </c>
      <c r="AP461" s="3">
        <v>108</v>
      </c>
      <c r="AQ461" s="3">
        <v>144</v>
      </c>
      <c r="AR461" s="3">
        <v>156</v>
      </c>
      <c r="AS461" s="3">
        <v>120</v>
      </c>
      <c r="AT461" s="3">
        <v>60</v>
      </c>
      <c r="AU461" s="3">
        <v>0</v>
      </c>
      <c r="AV461" s="3">
        <v>0</v>
      </c>
      <c r="AW461" s="3">
        <v>0</v>
      </c>
    </row>
    <row r="462" spans="1:49">
      <c r="A462" s="4" t="s">
        <v>40</v>
      </c>
      <c r="B462" s="4" t="str">
        <f t="shared" si="7"/>
        <v>Hair Care</v>
      </c>
      <c r="C462" s="4" t="s">
        <v>1786</v>
      </c>
      <c r="D462" s="4" t="s">
        <v>575</v>
      </c>
      <c r="E462" s="24" t="s">
        <v>125</v>
      </c>
      <c r="F462" s="12" t="s">
        <v>187</v>
      </c>
      <c r="G462" s="4" t="s">
        <v>1787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252</v>
      </c>
      <c r="T462" s="3">
        <v>648</v>
      </c>
      <c r="U462" s="3">
        <v>2052</v>
      </c>
      <c r="V462" s="3">
        <v>4404</v>
      </c>
      <c r="W462" s="3">
        <v>2304</v>
      </c>
      <c r="X462" s="3">
        <v>4164</v>
      </c>
      <c r="Y462" s="3">
        <v>3180</v>
      </c>
      <c r="Z462" s="3">
        <v>732</v>
      </c>
      <c r="AA462" s="3">
        <v>504</v>
      </c>
      <c r="AB462" s="3">
        <v>2364</v>
      </c>
      <c r="AC462" s="3">
        <v>516</v>
      </c>
      <c r="AD462" s="3">
        <v>900</v>
      </c>
      <c r="AE462" s="3">
        <v>756</v>
      </c>
      <c r="AF462" s="3">
        <v>1872</v>
      </c>
      <c r="AG462" s="3">
        <v>840</v>
      </c>
      <c r="AH462" s="3">
        <v>1104</v>
      </c>
      <c r="AI462" s="3">
        <v>444</v>
      </c>
      <c r="AJ462" s="3">
        <v>396</v>
      </c>
      <c r="AK462" s="3">
        <v>1824</v>
      </c>
      <c r="AL462" s="3">
        <v>1008</v>
      </c>
      <c r="AM462" s="3">
        <v>1572</v>
      </c>
      <c r="AN462" s="3">
        <v>684</v>
      </c>
      <c r="AO462" s="3">
        <v>1116</v>
      </c>
      <c r="AP462" s="3">
        <v>1236</v>
      </c>
      <c r="AQ462" s="3">
        <v>252</v>
      </c>
      <c r="AR462" s="3">
        <v>3096</v>
      </c>
      <c r="AS462" s="3">
        <v>984</v>
      </c>
      <c r="AT462" s="3">
        <v>1584</v>
      </c>
      <c r="AU462" s="3">
        <v>612</v>
      </c>
      <c r="AV462" s="3">
        <v>0</v>
      </c>
      <c r="AW462" s="3">
        <v>0</v>
      </c>
    </row>
    <row r="463" spans="1:49">
      <c r="A463" s="4" t="s">
        <v>40</v>
      </c>
      <c r="B463" s="4" t="str">
        <f t="shared" si="7"/>
        <v>Hair Care</v>
      </c>
      <c r="C463" s="4" t="s">
        <v>1786</v>
      </c>
      <c r="D463" s="4" t="s">
        <v>575</v>
      </c>
      <c r="E463" s="24" t="s">
        <v>125</v>
      </c>
      <c r="F463" s="12" t="s">
        <v>188</v>
      </c>
      <c r="G463" s="4" t="s">
        <v>1787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24</v>
      </c>
      <c r="P463" s="3">
        <v>1014</v>
      </c>
      <c r="Q463" s="3">
        <v>240</v>
      </c>
      <c r="R463" s="3">
        <v>582</v>
      </c>
      <c r="S463" s="3">
        <v>540</v>
      </c>
      <c r="T463" s="3">
        <v>612</v>
      </c>
      <c r="U463" s="3">
        <v>702</v>
      </c>
      <c r="V463" s="3">
        <v>1140</v>
      </c>
      <c r="W463" s="3">
        <v>678</v>
      </c>
      <c r="X463" s="3">
        <v>594</v>
      </c>
      <c r="Y463" s="3">
        <v>504</v>
      </c>
      <c r="Z463" s="3">
        <v>426</v>
      </c>
      <c r="AA463" s="3">
        <v>300</v>
      </c>
      <c r="AB463" s="3">
        <v>1500</v>
      </c>
      <c r="AC463" s="3">
        <v>171</v>
      </c>
      <c r="AD463" s="3">
        <v>348</v>
      </c>
      <c r="AE463" s="3">
        <v>576</v>
      </c>
      <c r="AF463" s="3">
        <v>786</v>
      </c>
      <c r="AG463" s="3">
        <v>534</v>
      </c>
      <c r="AH463" s="3">
        <v>894</v>
      </c>
      <c r="AI463" s="3">
        <v>48</v>
      </c>
      <c r="AJ463" s="3">
        <v>450</v>
      </c>
      <c r="AK463" s="3">
        <v>582</v>
      </c>
      <c r="AL463" s="3">
        <v>570</v>
      </c>
      <c r="AM463" s="3">
        <v>624</v>
      </c>
      <c r="AN463" s="3">
        <v>391</v>
      </c>
      <c r="AO463" s="3">
        <v>626</v>
      </c>
      <c r="AP463" s="3">
        <v>592</v>
      </c>
      <c r="AQ463" s="3">
        <v>1080</v>
      </c>
      <c r="AR463" s="3">
        <v>619</v>
      </c>
      <c r="AS463" s="3">
        <v>1242</v>
      </c>
      <c r="AT463" s="3">
        <v>972</v>
      </c>
      <c r="AU463" s="3">
        <v>567</v>
      </c>
      <c r="AV463" s="3">
        <v>480</v>
      </c>
      <c r="AW463" s="3">
        <v>281</v>
      </c>
    </row>
    <row r="464" spans="1:49">
      <c r="A464" s="4" t="s">
        <v>40</v>
      </c>
      <c r="B464" s="4" t="str">
        <f t="shared" si="7"/>
        <v>Hair Care</v>
      </c>
      <c r="C464" s="4" t="s">
        <v>1786</v>
      </c>
      <c r="D464" s="4" t="s">
        <v>575</v>
      </c>
      <c r="E464" s="24" t="s">
        <v>125</v>
      </c>
      <c r="F464" s="12" t="s">
        <v>189</v>
      </c>
      <c r="G464" s="4" t="s">
        <v>1787</v>
      </c>
      <c r="H464" s="3">
        <v>144</v>
      </c>
      <c r="I464" s="3">
        <v>0</v>
      </c>
      <c r="J464" s="3">
        <v>0</v>
      </c>
      <c r="K464" s="3">
        <v>0</v>
      </c>
      <c r="L464" s="3">
        <v>0</v>
      </c>
      <c r="M464" s="3">
        <v>228</v>
      </c>
      <c r="N464" s="3">
        <v>60</v>
      </c>
      <c r="O464" s="3">
        <v>132</v>
      </c>
      <c r="P464" s="3">
        <v>84</v>
      </c>
      <c r="Q464" s="3">
        <v>30</v>
      </c>
      <c r="R464" s="3">
        <v>282</v>
      </c>
      <c r="S464" s="3">
        <v>264</v>
      </c>
      <c r="T464" s="3">
        <v>72</v>
      </c>
      <c r="U464" s="3">
        <v>90</v>
      </c>
      <c r="V464" s="3">
        <v>30</v>
      </c>
      <c r="W464" s="3">
        <v>0</v>
      </c>
      <c r="X464" s="3">
        <v>0</v>
      </c>
      <c r="Y464" s="3">
        <v>72</v>
      </c>
      <c r="Z464" s="3">
        <v>150</v>
      </c>
      <c r="AA464" s="3">
        <v>36</v>
      </c>
      <c r="AB464" s="3">
        <v>48</v>
      </c>
      <c r="AC464" s="3">
        <v>12</v>
      </c>
      <c r="AD464" s="3">
        <v>78</v>
      </c>
      <c r="AE464" s="3">
        <v>84</v>
      </c>
      <c r="AF464" s="3">
        <v>90</v>
      </c>
      <c r="AG464" s="3">
        <v>18</v>
      </c>
      <c r="AH464" s="3">
        <v>0</v>
      </c>
      <c r="AI464" s="3">
        <v>90</v>
      </c>
      <c r="AJ464" s="3">
        <v>6</v>
      </c>
      <c r="AK464" s="3">
        <v>18</v>
      </c>
      <c r="AL464" s="3">
        <v>24</v>
      </c>
      <c r="AM464" s="3">
        <v>84</v>
      </c>
      <c r="AN464" s="3">
        <v>18</v>
      </c>
      <c r="AO464" s="3">
        <v>24</v>
      </c>
      <c r="AP464" s="3">
        <v>42</v>
      </c>
      <c r="AQ464" s="3">
        <v>30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</row>
    <row r="465" spans="1:49">
      <c r="A465" s="4" t="s">
        <v>40</v>
      </c>
      <c r="B465" s="4" t="str">
        <f t="shared" si="7"/>
        <v>Hair Care</v>
      </c>
      <c r="C465" s="4" t="s">
        <v>1786</v>
      </c>
      <c r="D465" s="4" t="s">
        <v>575</v>
      </c>
      <c r="E465" s="24" t="s">
        <v>125</v>
      </c>
      <c r="F465" s="12" t="s">
        <v>190</v>
      </c>
      <c r="G465" s="4" t="s">
        <v>1787</v>
      </c>
      <c r="H465" s="3">
        <v>3408</v>
      </c>
      <c r="I465" s="3">
        <v>1260</v>
      </c>
      <c r="J465" s="3">
        <v>2940</v>
      </c>
      <c r="K465" s="3">
        <v>480</v>
      </c>
      <c r="L465" s="3">
        <v>240</v>
      </c>
      <c r="M465" s="3">
        <v>552</v>
      </c>
      <c r="N465" s="3">
        <v>972</v>
      </c>
      <c r="O465" s="3">
        <v>1344</v>
      </c>
      <c r="P465" s="3">
        <v>972</v>
      </c>
      <c r="Q465" s="3">
        <v>276</v>
      </c>
      <c r="R465" s="3">
        <v>1032</v>
      </c>
      <c r="S465" s="3">
        <v>564</v>
      </c>
      <c r="T465" s="3">
        <v>888</v>
      </c>
      <c r="U465" s="3">
        <v>1116</v>
      </c>
      <c r="V465" s="3">
        <v>1548</v>
      </c>
      <c r="W465" s="3">
        <v>1020</v>
      </c>
      <c r="X465" s="3">
        <v>1212</v>
      </c>
      <c r="Y465" s="3">
        <v>252</v>
      </c>
      <c r="Z465" s="3">
        <v>876</v>
      </c>
      <c r="AA465" s="3">
        <v>444</v>
      </c>
      <c r="AB465" s="3">
        <v>3156</v>
      </c>
      <c r="AC465" s="3">
        <v>72</v>
      </c>
      <c r="AD465" s="3">
        <v>72</v>
      </c>
      <c r="AE465" s="3">
        <v>48</v>
      </c>
      <c r="AF465" s="3">
        <v>0</v>
      </c>
      <c r="AG465" s="3">
        <v>0</v>
      </c>
      <c r="AH465" s="3">
        <v>12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</row>
    <row r="466" spans="1:49">
      <c r="A466" s="4" t="s">
        <v>40</v>
      </c>
      <c r="B466" s="4" t="str">
        <f t="shared" si="7"/>
        <v>Hair Care</v>
      </c>
      <c r="C466" s="4" t="s">
        <v>1786</v>
      </c>
      <c r="D466" s="4" t="s">
        <v>575</v>
      </c>
      <c r="E466" s="24" t="s">
        <v>125</v>
      </c>
      <c r="F466" s="12" t="s">
        <v>191</v>
      </c>
      <c r="G466" s="4" t="s">
        <v>1787</v>
      </c>
      <c r="H466" s="3">
        <v>2184</v>
      </c>
      <c r="I466" s="3">
        <v>2292</v>
      </c>
      <c r="J466" s="3">
        <v>6058</v>
      </c>
      <c r="K466" s="3">
        <v>3150</v>
      </c>
      <c r="L466" s="3">
        <v>2292</v>
      </c>
      <c r="M466" s="3">
        <v>3090</v>
      </c>
      <c r="N466" s="3">
        <v>1818</v>
      </c>
      <c r="O466" s="3">
        <v>2238</v>
      </c>
      <c r="P466" s="3">
        <v>3612</v>
      </c>
      <c r="Q466" s="3">
        <v>1854</v>
      </c>
      <c r="R466" s="3">
        <v>4398</v>
      </c>
      <c r="S466" s="3">
        <v>5988</v>
      </c>
      <c r="T466" s="3">
        <v>2286</v>
      </c>
      <c r="U466" s="3">
        <v>4536</v>
      </c>
      <c r="V466" s="3">
        <v>1914</v>
      </c>
      <c r="W466" s="3">
        <v>492</v>
      </c>
      <c r="X466" s="3">
        <v>3300</v>
      </c>
      <c r="Y466" s="3">
        <v>2232</v>
      </c>
      <c r="Z466" s="3">
        <v>4998</v>
      </c>
      <c r="AA466" s="3">
        <v>1194</v>
      </c>
      <c r="AB466" s="3">
        <v>2862</v>
      </c>
      <c r="AC466" s="3">
        <v>1170</v>
      </c>
      <c r="AD466" s="3">
        <v>1206</v>
      </c>
      <c r="AE466" s="3">
        <v>1446</v>
      </c>
      <c r="AF466" s="3">
        <v>768</v>
      </c>
      <c r="AG466" s="3">
        <v>708</v>
      </c>
      <c r="AH466" s="3">
        <v>1374</v>
      </c>
      <c r="AI466" s="3">
        <v>936</v>
      </c>
      <c r="AJ466" s="3">
        <v>4464</v>
      </c>
      <c r="AK466" s="3">
        <v>2322</v>
      </c>
      <c r="AL466" s="3">
        <v>1788</v>
      </c>
      <c r="AM466" s="3">
        <v>468</v>
      </c>
      <c r="AN466" s="3">
        <v>2334</v>
      </c>
      <c r="AO466" s="3">
        <v>1710</v>
      </c>
      <c r="AP466" s="3">
        <v>840</v>
      </c>
      <c r="AQ466" s="3">
        <v>2370</v>
      </c>
      <c r="AR466" s="3">
        <v>1692</v>
      </c>
      <c r="AS466" s="3">
        <v>2436</v>
      </c>
      <c r="AT466" s="3">
        <v>2220</v>
      </c>
      <c r="AU466" s="3">
        <v>1296</v>
      </c>
      <c r="AV466" s="3">
        <v>936</v>
      </c>
      <c r="AW466" s="3">
        <v>1668</v>
      </c>
    </row>
    <row r="467" spans="1:49">
      <c r="A467" s="4" t="s">
        <v>40</v>
      </c>
      <c r="B467" s="4" t="str">
        <f t="shared" si="7"/>
        <v>Hair Care</v>
      </c>
      <c r="C467" s="4" t="s">
        <v>1786</v>
      </c>
      <c r="D467" s="4" t="s">
        <v>575</v>
      </c>
      <c r="E467" s="24" t="s">
        <v>125</v>
      </c>
      <c r="F467" s="12" t="s">
        <v>192</v>
      </c>
      <c r="G467" s="4" t="s">
        <v>1787</v>
      </c>
      <c r="H467" s="3">
        <v>648</v>
      </c>
      <c r="I467" s="3">
        <v>672</v>
      </c>
      <c r="J467" s="3">
        <v>3430</v>
      </c>
      <c r="K467" s="3">
        <v>2938</v>
      </c>
      <c r="L467" s="3">
        <v>2730</v>
      </c>
      <c r="M467" s="3">
        <v>1740</v>
      </c>
      <c r="N467" s="3">
        <v>1446</v>
      </c>
      <c r="O467" s="3">
        <v>1350</v>
      </c>
      <c r="P467" s="3">
        <v>2934</v>
      </c>
      <c r="Q467" s="3">
        <v>1140</v>
      </c>
      <c r="R467" s="3">
        <v>2034</v>
      </c>
      <c r="S467" s="3">
        <v>1308</v>
      </c>
      <c r="T467" s="3">
        <v>2406</v>
      </c>
      <c r="U467" s="3">
        <v>1986</v>
      </c>
      <c r="V467" s="3">
        <v>1716</v>
      </c>
      <c r="W467" s="3">
        <v>1656</v>
      </c>
      <c r="X467" s="3">
        <v>2352</v>
      </c>
      <c r="Y467" s="3">
        <v>1446</v>
      </c>
      <c r="Z467" s="3">
        <v>2514</v>
      </c>
      <c r="AA467" s="3">
        <v>744</v>
      </c>
      <c r="AB467" s="3">
        <v>2238</v>
      </c>
      <c r="AC467" s="3">
        <v>216</v>
      </c>
      <c r="AD467" s="3">
        <v>912</v>
      </c>
      <c r="AE467" s="3">
        <v>1662</v>
      </c>
      <c r="AF467" s="3">
        <v>1374</v>
      </c>
      <c r="AG467" s="3">
        <v>2172</v>
      </c>
      <c r="AH467" s="3">
        <v>2544</v>
      </c>
      <c r="AI467" s="3">
        <v>1476</v>
      </c>
      <c r="AJ467" s="3">
        <v>1224</v>
      </c>
      <c r="AK467" s="3">
        <v>2736</v>
      </c>
      <c r="AL467" s="3">
        <v>216</v>
      </c>
      <c r="AM467" s="3">
        <v>1392</v>
      </c>
      <c r="AN467" s="3">
        <v>1824</v>
      </c>
      <c r="AO467" s="3">
        <v>1554</v>
      </c>
      <c r="AP467" s="3">
        <v>420</v>
      </c>
      <c r="AQ467" s="3">
        <v>1668</v>
      </c>
      <c r="AR467" s="3">
        <v>1320</v>
      </c>
      <c r="AS467" s="3">
        <v>1896</v>
      </c>
      <c r="AT467" s="3">
        <v>281</v>
      </c>
      <c r="AU467" s="3">
        <v>1338</v>
      </c>
      <c r="AV467" s="3">
        <v>1308</v>
      </c>
      <c r="AW467" s="3">
        <v>1620</v>
      </c>
    </row>
    <row r="468" spans="1:49">
      <c r="A468" s="4" t="s">
        <v>40</v>
      </c>
      <c r="B468" s="4" t="str">
        <f t="shared" si="7"/>
        <v>Hair Care</v>
      </c>
      <c r="C468" s="4" t="s">
        <v>1786</v>
      </c>
      <c r="D468" s="4" t="s">
        <v>575</v>
      </c>
      <c r="E468" s="24" t="s">
        <v>125</v>
      </c>
      <c r="F468" s="12" t="s">
        <v>193</v>
      </c>
      <c r="G468" s="4" t="s">
        <v>1787</v>
      </c>
      <c r="H468" s="3">
        <v>2376</v>
      </c>
      <c r="I468" s="3">
        <v>1308</v>
      </c>
      <c r="J468" s="3">
        <v>5268</v>
      </c>
      <c r="K468" s="3">
        <v>3354</v>
      </c>
      <c r="L468" s="3">
        <v>1944</v>
      </c>
      <c r="M468" s="3">
        <v>2634</v>
      </c>
      <c r="N468" s="3">
        <v>1710</v>
      </c>
      <c r="O468" s="3">
        <v>1860</v>
      </c>
      <c r="P468" s="3">
        <v>3720</v>
      </c>
      <c r="Q468" s="3">
        <v>1734</v>
      </c>
      <c r="R468" s="3">
        <v>2238</v>
      </c>
      <c r="S468" s="3">
        <v>3126</v>
      </c>
      <c r="T468" s="3">
        <v>2610</v>
      </c>
      <c r="U468" s="3">
        <v>3444</v>
      </c>
      <c r="V468" s="3">
        <v>3168</v>
      </c>
      <c r="W468" s="3">
        <v>984</v>
      </c>
      <c r="X468" s="3">
        <v>3834</v>
      </c>
      <c r="Y468" s="3">
        <v>2328</v>
      </c>
      <c r="Z468" s="3">
        <v>5682</v>
      </c>
      <c r="AA468" s="3">
        <v>1830</v>
      </c>
      <c r="AB468" s="3">
        <v>3714</v>
      </c>
      <c r="AC468" s="3">
        <v>1158</v>
      </c>
      <c r="AD468" s="3">
        <v>966</v>
      </c>
      <c r="AE468" s="3">
        <v>1518</v>
      </c>
      <c r="AF468" s="3">
        <v>408</v>
      </c>
      <c r="AG468" s="3">
        <v>0</v>
      </c>
      <c r="AH468" s="3">
        <v>12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</row>
    <row r="469" spans="1:49">
      <c r="A469" s="4" t="s">
        <v>40</v>
      </c>
      <c r="B469" s="4" t="str">
        <f t="shared" si="7"/>
        <v>Hair Care</v>
      </c>
      <c r="C469" s="4" t="s">
        <v>1786</v>
      </c>
      <c r="D469" s="4" t="s">
        <v>575</v>
      </c>
      <c r="E469" s="24" t="s">
        <v>125</v>
      </c>
      <c r="F469" s="12" t="s">
        <v>194</v>
      </c>
      <c r="G469" s="4" t="s">
        <v>1787</v>
      </c>
      <c r="H469" s="3">
        <v>1764</v>
      </c>
      <c r="I469" s="3">
        <v>2220</v>
      </c>
      <c r="J469" s="3">
        <v>6968</v>
      </c>
      <c r="K469" s="3">
        <v>3202</v>
      </c>
      <c r="L469" s="3">
        <v>2970</v>
      </c>
      <c r="M469" s="3">
        <v>2244</v>
      </c>
      <c r="N469" s="3">
        <v>2154</v>
      </c>
      <c r="O469" s="3">
        <v>1578</v>
      </c>
      <c r="P469" s="3">
        <v>3342</v>
      </c>
      <c r="Q469" s="3">
        <v>1752</v>
      </c>
      <c r="R469" s="3">
        <v>4230</v>
      </c>
      <c r="S469" s="3">
        <v>3858</v>
      </c>
      <c r="T469" s="3">
        <v>2466</v>
      </c>
      <c r="U469" s="3">
        <v>3918</v>
      </c>
      <c r="V469" s="3">
        <v>1470</v>
      </c>
      <c r="W469" s="3">
        <v>1440</v>
      </c>
      <c r="X469" s="3">
        <v>3594</v>
      </c>
      <c r="Y469" s="3">
        <v>2226</v>
      </c>
      <c r="Z469" s="3">
        <v>2694</v>
      </c>
      <c r="AA469" s="3">
        <v>876</v>
      </c>
      <c r="AB469" s="3">
        <v>2658</v>
      </c>
      <c r="AC469" s="3">
        <v>348</v>
      </c>
      <c r="AD469" s="3">
        <v>1884</v>
      </c>
      <c r="AE469" s="3">
        <v>2142</v>
      </c>
      <c r="AF469" s="3">
        <v>1722</v>
      </c>
      <c r="AG469" s="3">
        <v>1968</v>
      </c>
      <c r="AH469" s="3">
        <v>2586</v>
      </c>
      <c r="AI469" s="3">
        <v>2340</v>
      </c>
      <c r="AJ469" s="3">
        <v>1764</v>
      </c>
      <c r="AK469" s="3">
        <v>3060</v>
      </c>
      <c r="AL469" s="3">
        <v>564</v>
      </c>
      <c r="AM469" s="3">
        <v>1872</v>
      </c>
      <c r="AN469" s="3">
        <v>2052</v>
      </c>
      <c r="AO469" s="3">
        <v>2190</v>
      </c>
      <c r="AP469" s="3">
        <v>732</v>
      </c>
      <c r="AQ469" s="3">
        <v>2664</v>
      </c>
      <c r="AR469" s="3">
        <v>1632</v>
      </c>
      <c r="AS469" s="3">
        <v>2700</v>
      </c>
      <c r="AT469" s="3">
        <v>821</v>
      </c>
      <c r="AU469" s="3">
        <v>2094</v>
      </c>
      <c r="AV469" s="3">
        <v>1896</v>
      </c>
      <c r="AW469" s="3">
        <v>1968</v>
      </c>
    </row>
    <row r="470" spans="1:49">
      <c r="A470" s="4" t="s">
        <v>40</v>
      </c>
      <c r="B470" s="4" t="str">
        <f t="shared" si="7"/>
        <v>Hair Care</v>
      </c>
      <c r="C470" s="4" t="s">
        <v>1786</v>
      </c>
      <c r="D470" s="4" t="s">
        <v>575</v>
      </c>
      <c r="E470" s="24" t="s">
        <v>125</v>
      </c>
      <c r="F470" s="12" t="s">
        <v>195</v>
      </c>
      <c r="G470" s="4" t="s">
        <v>1787</v>
      </c>
      <c r="H470" s="3">
        <v>1644</v>
      </c>
      <c r="I470" s="3">
        <v>1068</v>
      </c>
      <c r="J470" s="3">
        <v>1548</v>
      </c>
      <c r="K470" s="3">
        <v>222</v>
      </c>
      <c r="L470" s="3">
        <v>252</v>
      </c>
      <c r="M470" s="3">
        <v>468</v>
      </c>
      <c r="N470" s="3">
        <v>492</v>
      </c>
      <c r="O470" s="3">
        <v>690</v>
      </c>
      <c r="P470" s="3">
        <v>930</v>
      </c>
      <c r="Q470" s="3">
        <v>288</v>
      </c>
      <c r="R470" s="3">
        <v>1308</v>
      </c>
      <c r="S470" s="3">
        <v>1932</v>
      </c>
      <c r="T470" s="3">
        <v>888</v>
      </c>
      <c r="U470" s="3">
        <v>606</v>
      </c>
      <c r="V470" s="3">
        <v>498</v>
      </c>
      <c r="W470" s="3">
        <v>330</v>
      </c>
      <c r="X470" s="3">
        <v>492</v>
      </c>
      <c r="Y470" s="3">
        <v>432</v>
      </c>
      <c r="Z470" s="3">
        <v>186</v>
      </c>
      <c r="AA470" s="3">
        <v>648</v>
      </c>
      <c r="AB470" s="3">
        <v>1482</v>
      </c>
      <c r="AC470" s="3">
        <v>66</v>
      </c>
      <c r="AD470" s="3">
        <v>174</v>
      </c>
      <c r="AE470" s="3">
        <v>492</v>
      </c>
      <c r="AF470" s="3">
        <v>480</v>
      </c>
      <c r="AG470" s="3">
        <v>0</v>
      </c>
      <c r="AH470" s="3">
        <v>354</v>
      </c>
      <c r="AI470" s="3">
        <v>750</v>
      </c>
      <c r="AJ470" s="3">
        <v>156</v>
      </c>
      <c r="AK470" s="3">
        <v>294</v>
      </c>
      <c r="AL470" s="3">
        <v>318</v>
      </c>
      <c r="AM470" s="3">
        <v>366</v>
      </c>
      <c r="AN470" s="3">
        <v>132</v>
      </c>
      <c r="AO470" s="3">
        <v>432</v>
      </c>
      <c r="AP470" s="3">
        <v>378</v>
      </c>
      <c r="AQ470" s="3">
        <v>498</v>
      </c>
      <c r="AR470" s="3">
        <v>588</v>
      </c>
      <c r="AS470" s="3">
        <v>492</v>
      </c>
      <c r="AT470" s="3">
        <v>516</v>
      </c>
      <c r="AU470" s="3">
        <v>288</v>
      </c>
      <c r="AV470" s="3">
        <v>288</v>
      </c>
      <c r="AW470" s="3">
        <v>126</v>
      </c>
    </row>
    <row r="471" spans="1:49">
      <c r="A471" s="4" t="s">
        <v>40</v>
      </c>
      <c r="B471" s="4" t="str">
        <f t="shared" si="7"/>
        <v>Hair Care</v>
      </c>
      <c r="C471" s="4" t="s">
        <v>1786</v>
      </c>
      <c r="D471" s="4" t="s">
        <v>575</v>
      </c>
      <c r="E471" s="24" t="s">
        <v>125</v>
      </c>
      <c r="F471" s="12" t="s">
        <v>196</v>
      </c>
      <c r="G471" s="4" t="s">
        <v>1787</v>
      </c>
      <c r="H471" s="3">
        <v>24</v>
      </c>
      <c r="I471" s="3">
        <v>2154</v>
      </c>
      <c r="J471" s="3">
        <v>4304</v>
      </c>
      <c r="K471" s="3">
        <v>2202</v>
      </c>
      <c r="L471" s="3">
        <v>1710</v>
      </c>
      <c r="M471" s="3">
        <v>1806</v>
      </c>
      <c r="N471" s="3">
        <v>2016</v>
      </c>
      <c r="O471" s="3">
        <v>1644</v>
      </c>
      <c r="P471" s="3">
        <v>2892</v>
      </c>
      <c r="Q471" s="3">
        <v>948</v>
      </c>
      <c r="R471" s="3">
        <v>2010</v>
      </c>
      <c r="S471" s="3">
        <v>2334</v>
      </c>
      <c r="T471" s="3">
        <v>1836</v>
      </c>
      <c r="U471" s="3">
        <v>1812</v>
      </c>
      <c r="V471" s="3">
        <v>1962</v>
      </c>
      <c r="W471" s="3">
        <v>2454</v>
      </c>
      <c r="X471" s="3">
        <v>792</v>
      </c>
      <c r="Y471" s="3">
        <v>1578</v>
      </c>
      <c r="Z471" s="3">
        <v>3042</v>
      </c>
      <c r="AA471" s="3">
        <v>738</v>
      </c>
      <c r="AB471" s="3">
        <v>2418</v>
      </c>
      <c r="AC471" s="3">
        <v>414</v>
      </c>
      <c r="AD471" s="3">
        <v>990</v>
      </c>
      <c r="AE471" s="3">
        <v>744</v>
      </c>
      <c r="AF471" s="3">
        <v>1614</v>
      </c>
      <c r="AG471" s="3">
        <v>774</v>
      </c>
      <c r="AH471" s="3">
        <v>1290</v>
      </c>
      <c r="AI471" s="3">
        <v>1488</v>
      </c>
      <c r="AJ471" s="3">
        <v>918</v>
      </c>
      <c r="AK471" s="3">
        <v>1284</v>
      </c>
      <c r="AL471" s="3">
        <v>852</v>
      </c>
      <c r="AM471" s="3">
        <v>1686</v>
      </c>
      <c r="AN471" s="3">
        <v>468</v>
      </c>
      <c r="AO471" s="3">
        <v>936</v>
      </c>
      <c r="AP471" s="3">
        <v>864</v>
      </c>
      <c r="AQ471" s="3">
        <v>792</v>
      </c>
      <c r="AR471" s="3">
        <v>1686</v>
      </c>
      <c r="AS471" s="3">
        <v>990</v>
      </c>
      <c r="AT471" s="3">
        <v>2934</v>
      </c>
      <c r="AU471" s="3">
        <v>978</v>
      </c>
      <c r="AV471" s="3">
        <v>1182</v>
      </c>
      <c r="AW471" s="3">
        <v>1662</v>
      </c>
    </row>
    <row r="472" spans="1:49">
      <c r="A472" s="4" t="s">
        <v>40</v>
      </c>
      <c r="B472" s="4" t="str">
        <f t="shared" si="7"/>
        <v>Hair Care</v>
      </c>
      <c r="C472" s="4" t="s">
        <v>1786</v>
      </c>
      <c r="D472" s="4" t="s">
        <v>575</v>
      </c>
      <c r="E472" s="24" t="s">
        <v>125</v>
      </c>
      <c r="F472" s="12" t="s">
        <v>197</v>
      </c>
      <c r="G472" s="4" t="s">
        <v>1787</v>
      </c>
      <c r="H472" s="3">
        <v>0</v>
      </c>
      <c r="I472" s="3">
        <v>12</v>
      </c>
      <c r="J472" s="3">
        <v>192</v>
      </c>
      <c r="K472" s="3">
        <v>264</v>
      </c>
      <c r="L472" s="3">
        <v>60</v>
      </c>
      <c r="M472" s="3">
        <v>168</v>
      </c>
      <c r="N472" s="3">
        <v>180</v>
      </c>
      <c r="O472" s="3">
        <v>192</v>
      </c>
      <c r="P472" s="3">
        <v>156</v>
      </c>
      <c r="Q472" s="3">
        <v>264</v>
      </c>
      <c r="R472" s="3">
        <v>408</v>
      </c>
      <c r="S472" s="3">
        <v>240</v>
      </c>
      <c r="T472" s="3">
        <v>84</v>
      </c>
      <c r="U472" s="3">
        <v>24</v>
      </c>
      <c r="V472" s="3">
        <v>108</v>
      </c>
      <c r="W472" s="3">
        <v>252</v>
      </c>
      <c r="X472" s="3">
        <v>144</v>
      </c>
      <c r="Y472" s="3">
        <v>132</v>
      </c>
      <c r="Z472" s="3">
        <v>168</v>
      </c>
      <c r="AA472" s="3">
        <v>48</v>
      </c>
      <c r="AB472" s="3">
        <v>120</v>
      </c>
      <c r="AC472" s="3">
        <v>12</v>
      </c>
      <c r="AD472" s="3">
        <v>312</v>
      </c>
      <c r="AE472" s="3">
        <v>96</v>
      </c>
      <c r="AF472" s="3">
        <v>12</v>
      </c>
      <c r="AG472" s="3">
        <v>0</v>
      </c>
      <c r="AH472" s="3">
        <v>0</v>
      </c>
      <c r="AI472" s="3">
        <v>276</v>
      </c>
      <c r="AJ472" s="3">
        <v>36</v>
      </c>
      <c r="AK472" s="3">
        <v>60</v>
      </c>
      <c r="AL472" s="3">
        <v>0</v>
      </c>
      <c r="AM472" s="3">
        <v>0</v>
      </c>
      <c r="AN472" s="3">
        <v>0</v>
      </c>
      <c r="AO472" s="3">
        <v>408</v>
      </c>
      <c r="AP472" s="3">
        <v>432</v>
      </c>
      <c r="AQ472" s="3">
        <v>96</v>
      </c>
      <c r="AR472" s="3">
        <v>276</v>
      </c>
      <c r="AS472" s="3">
        <v>192</v>
      </c>
      <c r="AT472" s="3">
        <v>288</v>
      </c>
      <c r="AU472" s="3">
        <v>252</v>
      </c>
      <c r="AV472" s="3">
        <v>108</v>
      </c>
      <c r="AW472" s="3">
        <v>360</v>
      </c>
    </row>
    <row r="473" spans="1:49">
      <c r="A473" s="4" t="s">
        <v>40</v>
      </c>
      <c r="B473" s="4" t="str">
        <f t="shared" si="7"/>
        <v>Hair Care</v>
      </c>
      <c r="C473" s="4" t="s">
        <v>1786</v>
      </c>
      <c r="D473" s="4" t="s">
        <v>575</v>
      </c>
      <c r="E473" s="24" t="s">
        <v>125</v>
      </c>
      <c r="F473" s="12" t="s">
        <v>198</v>
      </c>
      <c r="G473" s="4" t="s">
        <v>1787</v>
      </c>
      <c r="H473" s="3">
        <v>0</v>
      </c>
      <c r="I473" s="3">
        <v>0</v>
      </c>
      <c r="J473" s="3">
        <v>642</v>
      </c>
      <c r="K473" s="3">
        <v>1236</v>
      </c>
      <c r="L473" s="3">
        <v>798</v>
      </c>
      <c r="M473" s="3">
        <v>108</v>
      </c>
      <c r="N473" s="3">
        <v>714</v>
      </c>
      <c r="O473" s="3">
        <v>480</v>
      </c>
      <c r="P473" s="3">
        <v>1104</v>
      </c>
      <c r="Q473" s="3">
        <v>522</v>
      </c>
      <c r="R473" s="3">
        <v>906</v>
      </c>
      <c r="S473" s="3">
        <v>726</v>
      </c>
      <c r="T473" s="3">
        <v>786</v>
      </c>
      <c r="U473" s="3">
        <v>594</v>
      </c>
      <c r="V473" s="3">
        <v>588</v>
      </c>
      <c r="W473" s="3">
        <v>456</v>
      </c>
      <c r="X473" s="3">
        <v>498</v>
      </c>
      <c r="Y473" s="3">
        <v>600</v>
      </c>
      <c r="Z473" s="3">
        <v>1086</v>
      </c>
      <c r="AA473" s="3">
        <v>54</v>
      </c>
      <c r="AB473" s="3">
        <v>390</v>
      </c>
      <c r="AC473" s="3">
        <v>42</v>
      </c>
      <c r="AD473" s="3">
        <v>306</v>
      </c>
      <c r="AE473" s="3">
        <v>282</v>
      </c>
      <c r="AF473" s="3">
        <v>444</v>
      </c>
      <c r="AG473" s="3">
        <v>456</v>
      </c>
      <c r="AH473" s="3">
        <v>216</v>
      </c>
      <c r="AI473" s="3">
        <v>270</v>
      </c>
      <c r="AJ473" s="3">
        <v>90</v>
      </c>
      <c r="AK473" s="3">
        <v>408</v>
      </c>
      <c r="AL473" s="3">
        <v>72</v>
      </c>
      <c r="AM473" s="3">
        <v>132</v>
      </c>
      <c r="AN473" s="3">
        <v>48</v>
      </c>
      <c r="AO473" s="3">
        <v>348</v>
      </c>
      <c r="AP473" s="3">
        <v>432</v>
      </c>
      <c r="AQ473" s="3">
        <v>-156</v>
      </c>
      <c r="AR473" s="3">
        <v>252</v>
      </c>
      <c r="AS473" s="3">
        <v>216</v>
      </c>
      <c r="AT473" s="3">
        <v>216</v>
      </c>
      <c r="AU473" s="3">
        <v>252</v>
      </c>
      <c r="AV473" s="3">
        <v>276</v>
      </c>
      <c r="AW473" s="3">
        <v>204</v>
      </c>
    </row>
    <row r="474" spans="1:49">
      <c r="A474" s="4" t="s">
        <v>40</v>
      </c>
      <c r="B474" s="4" t="str">
        <f t="shared" si="7"/>
        <v>Hair Care</v>
      </c>
      <c r="C474" s="4" t="s">
        <v>1786</v>
      </c>
      <c r="D474" s="4" t="s">
        <v>575</v>
      </c>
      <c r="E474" s="24" t="s">
        <v>125</v>
      </c>
      <c r="F474" s="12" t="s">
        <v>199</v>
      </c>
      <c r="G474" s="4" t="s">
        <v>1787</v>
      </c>
      <c r="H474" s="3">
        <v>0</v>
      </c>
      <c r="I474" s="3">
        <v>48</v>
      </c>
      <c r="J474" s="3">
        <v>1264</v>
      </c>
      <c r="K474" s="3">
        <v>534</v>
      </c>
      <c r="L474" s="3">
        <v>594</v>
      </c>
      <c r="M474" s="3">
        <v>720</v>
      </c>
      <c r="N474" s="3">
        <v>258</v>
      </c>
      <c r="O474" s="3">
        <v>366</v>
      </c>
      <c r="P474" s="3">
        <v>810</v>
      </c>
      <c r="Q474" s="3">
        <v>114</v>
      </c>
      <c r="R474" s="3">
        <v>408</v>
      </c>
      <c r="S474" s="3">
        <v>444</v>
      </c>
      <c r="T474" s="3">
        <v>594</v>
      </c>
      <c r="U474" s="3">
        <v>1290</v>
      </c>
      <c r="V474" s="3">
        <v>888</v>
      </c>
      <c r="W474" s="3">
        <v>504</v>
      </c>
      <c r="X474" s="3">
        <v>156</v>
      </c>
      <c r="Y474" s="3">
        <v>276</v>
      </c>
      <c r="Z474" s="3">
        <v>900</v>
      </c>
      <c r="AA474" s="3">
        <v>102</v>
      </c>
      <c r="AB474" s="3">
        <v>318</v>
      </c>
      <c r="AC474" s="3">
        <v>162</v>
      </c>
      <c r="AD474" s="3">
        <v>636</v>
      </c>
      <c r="AE474" s="3">
        <v>228</v>
      </c>
      <c r="AF474" s="3">
        <v>510</v>
      </c>
      <c r="AG474" s="3">
        <v>840</v>
      </c>
      <c r="AH474" s="3">
        <v>162</v>
      </c>
      <c r="AI474" s="3">
        <v>828</v>
      </c>
      <c r="AJ474" s="3">
        <v>72</v>
      </c>
      <c r="AK474" s="3">
        <v>1008</v>
      </c>
      <c r="AL474" s="3">
        <v>78</v>
      </c>
      <c r="AM474" s="3">
        <v>156</v>
      </c>
      <c r="AN474" s="3">
        <v>60</v>
      </c>
      <c r="AO474" s="3">
        <v>348</v>
      </c>
      <c r="AP474" s="3">
        <v>288</v>
      </c>
      <c r="AQ474" s="3">
        <v>-228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</row>
    <row r="475" spans="1:49">
      <c r="A475" s="4" t="s">
        <v>40</v>
      </c>
      <c r="B475" s="4" t="str">
        <f t="shared" si="7"/>
        <v>Hair Care</v>
      </c>
      <c r="C475" s="4" t="s">
        <v>1786</v>
      </c>
      <c r="D475" s="4" t="s">
        <v>575</v>
      </c>
      <c r="E475" s="24" t="s">
        <v>125</v>
      </c>
      <c r="F475" s="12" t="s">
        <v>200</v>
      </c>
      <c r="G475" s="4" t="s">
        <v>1787</v>
      </c>
      <c r="H475" s="3">
        <v>0</v>
      </c>
      <c r="I475" s="3">
        <v>0</v>
      </c>
      <c r="J475" s="3">
        <v>694</v>
      </c>
      <c r="K475" s="3">
        <v>192</v>
      </c>
      <c r="L475" s="3">
        <v>180</v>
      </c>
      <c r="M475" s="3">
        <v>48</v>
      </c>
      <c r="N475" s="3">
        <v>156</v>
      </c>
      <c r="O475" s="3">
        <v>-48</v>
      </c>
      <c r="P475" s="3">
        <v>24</v>
      </c>
      <c r="Q475" s="3">
        <v>24</v>
      </c>
      <c r="R475" s="3">
        <v>84</v>
      </c>
      <c r="S475" s="3">
        <v>60</v>
      </c>
      <c r="T475" s="3">
        <v>84</v>
      </c>
      <c r="U475" s="3">
        <v>1116</v>
      </c>
      <c r="V475" s="3">
        <v>336</v>
      </c>
      <c r="W475" s="3">
        <v>108</v>
      </c>
      <c r="X475" s="3">
        <v>42</v>
      </c>
      <c r="Y475" s="3">
        <v>312</v>
      </c>
      <c r="Z475" s="3">
        <v>36</v>
      </c>
      <c r="AA475" s="3">
        <v>228</v>
      </c>
      <c r="AB475" s="3">
        <v>312</v>
      </c>
      <c r="AC475" s="3">
        <v>12</v>
      </c>
      <c r="AD475" s="3">
        <v>372</v>
      </c>
      <c r="AE475" s="3">
        <v>84</v>
      </c>
      <c r="AF475" s="3">
        <v>120</v>
      </c>
      <c r="AG475" s="3">
        <v>144</v>
      </c>
      <c r="AH475" s="3">
        <v>84</v>
      </c>
      <c r="AI475" s="3">
        <v>144</v>
      </c>
      <c r="AJ475" s="3">
        <v>60</v>
      </c>
      <c r="AK475" s="3">
        <v>96</v>
      </c>
      <c r="AL475" s="3">
        <v>84</v>
      </c>
      <c r="AM475" s="3">
        <v>144</v>
      </c>
      <c r="AN475" s="3">
        <v>72</v>
      </c>
      <c r="AO475" s="3">
        <v>336</v>
      </c>
      <c r="AP475" s="3">
        <v>396</v>
      </c>
      <c r="AQ475" s="3">
        <v>-156</v>
      </c>
      <c r="AR475" s="3">
        <v>24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</row>
    <row r="476" spans="1:49">
      <c r="A476" s="4" t="s">
        <v>40</v>
      </c>
      <c r="B476" s="4" t="str">
        <f t="shared" si="7"/>
        <v>Hair Care</v>
      </c>
      <c r="C476" s="4" t="s">
        <v>1786</v>
      </c>
      <c r="D476" s="4" t="s">
        <v>575</v>
      </c>
      <c r="E476" s="24" t="s">
        <v>125</v>
      </c>
      <c r="F476" s="12" t="s">
        <v>201</v>
      </c>
      <c r="G476" s="4" t="s">
        <v>1787</v>
      </c>
      <c r="H476" s="3">
        <v>0</v>
      </c>
      <c r="I476" s="3">
        <v>0</v>
      </c>
      <c r="J476" s="3">
        <v>156</v>
      </c>
      <c r="K476" s="3">
        <v>24</v>
      </c>
      <c r="L476" s="3">
        <v>96</v>
      </c>
      <c r="M476" s="3">
        <v>132</v>
      </c>
      <c r="N476" s="3">
        <v>96</v>
      </c>
      <c r="O476" s="3">
        <v>132</v>
      </c>
      <c r="P476" s="3">
        <v>240</v>
      </c>
      <c r="Q476" s="3">
        <v>12</v>
      </c>
      <c r="R476" s="3">
        <v>36</v>
      </c>
      <c r="S476" s="3">
        <v>48</v>
      </c>
      <c r="T476" s="3">
        <v>108</v>
      </c>
      <c r="U476" s="3">
        <v>72</v>
      </c>
      <c r="V476" s="3">
        <v>48</v>
      </c>
      <c r="W476" s="3">
        <v>132</v>
      </c>
      <c r="X476" s="3">
        <v>132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</row>
    <row r="477" spans="1:49">
      <c r="A477" s="4" t="s">
        <v>40</v>
      </c>
      <c r="B477" s="4" t="str">
        <f t="shared" si="7"/>
        <v>Hair Care</v>
      </c>
      <c r="C477" s="4" t="s">
        <v>1786</v>
      </c>
      <c r="D477" s="4" t="s">
        <v>575</v>
      </c>
      <c r="E477" s="24" t="s">
        <v>125</v>
      </c>
      <c r="F477" s="12" t="s">
        <v>202</v>
      </c>
      <c r="G477" s="4" t="s">
        <v>1787</v>
      </c>
      <c r="H477" s="3">
        <v>36</v>
      </c>
      <c r="I477" s="3">
        <v>1062</v>
      </c>
      <c r="J477" s="3">
        <v>1140</v>
      </c>
      <c r="K477" s="3">
        <v>696</v>
      </c>
      <c r="L477" s="3">
        <v>696</v>
      </c>
      <c r="M477" s="3">
        <v>864</v>
      </c>
      <c r="N477" s="3">
        <v>540</v>
      </c>
      <c r="O477" s="3">
        <v>276</v>
      </c>
      <c r="P477" s="3">
        <v>1104</v>
      </c>
      <c r="Q477" s="3">
        <v>120</v>
      </c>
      <c r="R477" s="3">
        <v>174</v>
      </c>
      <c r="S477" s="3">
        <v>192</v>
      </c>
      <c r="T477" s="3">
        <v>540</v>
      </c>
      <c r="U477" s="3">
        <v>450</v>
      </c>
      <c r="V477" s="3">
        <v>660</v>
      </c>
      <c r="W477" s="3">
        <v>420</v>
      </c>
      <c r="X477" s="3">
        <v>144</v>
      </c>
      <c r="Y477" s="3">
        <v>264</v>
      </c>
      <c r="Z477" s="3">
        <v>822</v>
      </c>
      <c r="AA477" s="3">
        <v>228</v>
      </c>
      <c r="AB477" s="3">
        <v>330</v>
      </c>
      <c r="AC477" s="3">
        <v>198</v>
      </c>
      <c r="AD477" s="3">
        <v>102</v>
      </c>
      <c r="AE477" s="3">
        <v>48</v>
      </c>
      <c r="AF477" s="3">
        <v>36</v>
      </c>
      <c r="AG477" s="3">
        <v>24</v>
      </c>
      <c r="AH477" s="3">
        <v>12</v>
      </c>
      <c r="AI477" s="3">
        <v>48</v>
      </c>
      <c r="AJ477" s="3">
        <v>60</v>
      </c>
      <c r="AK477" s="3">
        <v>48</v>
      </c>
      <c r="AL477" s="3">
        <v>48</v>
      </c>
      <c r="AM477" s="3">
        <v>60</v>
      </c>
      <c r="AN477" s="3">
        <v>0</v>
      </c>
      <c r="AO477" s="3">
        <v>24</v>
      </c>
      <c r="AP477" s="3">
        <v>24</v>
      </c>
      <c r="AQ477" s="3">
        <v>36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</row>
    <row r="478" spans="1:49">
      <c r="A478" s="4" t="s">
        <v>40</v>
      </c>
      <c r="B478" s="4" t="str">
        <f t="shared" si="7"/>
        <v>Hair Care</v>
      </c>
      <c r="C478" s="4" t="s">
        <v>1786</v>
      </c>
      <c r="D478" s="4" t="s">
        <v>575</v>
      </c>
      <c r="E478" s="24" t="s">
        <v>125</v>
      </c>
      <c r="F478" s="12" t="s">
        <v>203</v>
      </c>
      <c r="G478" s="4" t="s">
        <v>1787</v>
      </c>
      <c r="H478" s="3">
        <v>0</v>
      </c>
      <c r="I478" s="3">
        <v>12</v>
      </c>
      <c r="J478" s="3">
        <v>144</v>
      </c>
      <c r="K478" s="3">
        <v>144</v>
      </c>
      <c r="L478" s="3">
        <v>24</v>
      </c>
      <c r="M478" s="3">
        <v>84</v>
      </c>
      <c r="N478" s="3">
        <v>12</v>
      </c>
      <c r="O478" s="3">
        <v>36</v>
      </c>
      <c r="P478" s="3">
        <v>168</v>
      </c>
      <c r="Q478" s="3">
        <v>12</v>
      </c>
      <c r="R478" s="3">
        <v>72</v>
      </c>
      <c r="S478" s="3">
        <v>48</v>
      </c>
      <c r="T478" s="3">
        <v>168</v>
      </c>
      <c r="U478" s="3">
        <v>48</v>
      </c>
      <c r="V478" s="3">
        <v>48</v>
      </c>
      <c r="W478" s="3">
        <v>108</v>
      </c>
      <c r="X478" s="3">
        <v>12</v>
      </c>
      <c r="Y478" s="3">
        <v>72</v>
      </c>
      <c r="Z478" s="3">
        <v>12</v>
      </c>
      <c r="AA478" s="3">
        <v>84</v>
      </c>
      <c r="AB478" s="3">
        <v>84</v>
      </c>
      <c r="AC478" s="3">
        <v>0</v>
      </c>
      <c r="AD478" s="3">
        <v>36</v>
      </c>
      <c r="AE478" s="3">
        <v>36</v>
      </c>
      <c r="AF478" s="3">
        <v>36</v>
      </c>
      <c r="AG478" s="3">
        <v>48</v>
      </c>
      <c r="AH478" s="3">
        <v>24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</row>
    <row r="479" spans="1:49">
      <c r="A479" s="4" t="s">
        <v>40</v>
      </c>
      <c r="B479" s="4" t="str">
        <f t="shared" si="7"/>
        <v>Hair Care</v>
      </c>
      <c r="C479" s="4" t="s">
        <v>1786</v>
      </c>
      <c r="D479" s="4" t="s">
        <v>575</v>
      </c>
      <c r="E479" s="24" t="s">
        <v>125</v>
      </c>
      <c r="F479" s="12" t="s">
        <v>204</v>
      </c>
      <c r="G479" s="4" t="s">
        <v>1787</v>
      </c>
      <c r="H479" s="3">
        <v>0</v>
      </c>
      <c r="I479" s="3">
        <v>12</v>
      </c>
      <c r="J479" s="3">
        <v>420</v>
      </c>
      <c r="K479" s="3">
        <v>444</v>
      </c>
      <c r="L479" s="3">
        <v>456</v>
      </c>
      <c r="M479" s="3">
        <v>510</v>
      </c>
      <c r="N479" s="3">
        <v>456</v>
      </c>
      <c r="O479" s="3">
        <v>174</v>
      </c>
      <c r="P479" s="3">
        <v>762</v>
      </c>
      <c r="Q479" s="3">
        <v>54</v>
      </c>
      <c r="R479" s="3">
        <v>528</v>
      </c>
      <c r="S479" s="3">
        <v>372</v>
      </c>
      <c r="T479" s="3">
        <v>378</v>
      </c>
      <c r="U479" s="3">
        <v>198</v>
      </c>
      <c r="V479" s="3">
        <v>336</v>
      </c>
      <c r="W479" s="3">
        <v>462</v>
      </c>
      <c r="X479" s="3">
        <v>96</v>
      </c>
      <c r="Y479" s="3">
        <v>444</v>
      </c>
      <c r="Z479" s="3">
        <v>618</v>
      </c>
      <c r="AA479" s="3">
        <v>42</v>
      </c>
      <c r="AB479" s="3">
        <v>216</v>
      </c>
      <c r="AC479" s="3">
        <v>0</v>
      </c>
      <c r="AD479" s="3">
        <v>138</v>
      </c>
      <c r="AE479" s="3">
        <v>132</v>
      </c>
      <c r="AF479" s="3">
        <v>204</v>
      </c>
      <c r="AG479" s="3">
        <v>156</v>
      </c>
      <c r="AH479" s="3">
        <v>120</v>
      </c>
      <c r="AI479" s="3">
        <v>168</v>
      </c>
      <c r="AJ479" s="3">
        <v>24</v>
      </c>
      <c r="AK479" s="3">
        <v>12</v>
      </c>
      <c r="AL479" s="3">
        <v>48</v>
      </c>
      <c r="AM479" s="3">
        <v>84</v>
      </c>
      <c r="AN479" s="3">
        <v>24</v>
      </c>
      <c r="AO479" s="3">
        <v>60</v>
      </c>
      <c r="AP479" s="3">
        <v>36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</row>
    <row r="480" spans="1:49">
      <c r="A480" s="4" t="s">
        <v>40</v>
      </c>
      <c r="B480" s="4" t="str">
        <f t="shared" si="7"/>
        <v>Hair Care</v>
      </c>
      <c r="C480" s="4" t="s">
        <v>1786</v>
      </c>
      <c r="D480" s="4" t="s">
        <v>575</v>
      </c>
      <c r="E480" s="24" t="s">
        <v>125</v>
      </c>
      <c r="F480" s="12" t="s">
        <v>205</v>
      </c>
      <c r="G480" s="4" t="s">
        <v>1787</v>
      </c>
      <c r="H480" s="3">
        <v>0</v>
      </c>
      <c r="I480" s="3">
        <v>618</v>
      </c>
      <c r="J480" s="3">
        <v>1870</v>
      </c>
      <c r="K480" s="3">
        <v>1104</v>
      </c>
      <c r="L480" s="3">
        <v>750</v>
      </c>
      <c r="M480" s="3">
        <v>1338</v>
      </c>
      <c r="N480" s="3">
        <v>432</v>
      </c>
      <c r="O480" s="3">
        <v>294</v>
      </c>
      <c r="P480" s="3">
        <v>972</v>
      </c>
      <c r="Q480" s="3">
        <v>240</v>
      </c>
      <c r="R480" s="3">
        <v>768</v>
      </c>
      <c r="S480" s="3">
        <v>678</v>
      </c>
      <c r="T480" s="3">
        <v>606</v>
      </c>
      <c r="U480" s="3">
        <v>444</v>
      </c>
      <c r="V480" s="3">
        <v>672</v>
      </c>
      <c r="W480" s="3">
        <v>900</v>
      </c>
      <c r="X480" s="3">
        <v>180</v>
      </c>
      <c r="Y480" s="3">
        <v>438</v>
      </c>
      <c r="Z480" s="3">
        <v>774</v>
      </c>
      <c r="AA480" s="3">
        <v>288</v>
      </c>
      <c r="AB480" s="3">
        <v>258</v>
      </c>
      <c r="AC480" s="3">
        <v>12</v>
      </c>
      <c r="AD480" s="3">
        <v>276</v>
      </c>
      <c r="AE480" s="3">
        <v>108</v>
      </c>
      <c r="AF480" s="3">
        <v>84</v>
      </c>
      <c r="AG480" s="3">
        <v>108</v>
      </c>
      <c r="AH480" s="3">
        <v>72</v>
      </c>
      <c r="AI480" s="3">
        <v>132</v>
      </c>
      <c r="AJ480" s="3">
        <v>12</v>
      </c>
      <c r="AK480" s="3">
        <v>72</v>
      </c>
      <c r="AL480" s="3">
        <v>96</v>
      </c>
      <c r="AM480" s="3">
        <v>156</v>
      </c>
      <c r="AN480" s="3">
        <v>60</v>
      </c>
      <c r="AO480" s="3">
        <v>96</v>
      </c>
      <c r="AP480" s="3">
        <v>132</v>
      </c>
      <c r="AQ480" s="3">
        <v>108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</row>
    <row r="481" spans="1:49">
      <c r="A481" s="4" t="s">
        <v>40</v>
      </c>
      <c r="B481" s="4" t="str">
        <f t="shared" si="7"/>
        <v>Hair Care</v>
      </c>
      <c r="C481" s="4" t="s">
        <v>1786</v>
      </c>
      <c r="D481" s="4" t="s">
        <v>575</v>
      </c>
      <c r="E481" s="24" t="s">
        <v>125</v>
      </c>
      <c r="F481" s="12" t="s">
        <v>206</v>
      </c>
      <c r="G481" s="4" t="s">
        <v>1787</v>
      </c>
      <c r="H481" s="3">
        <v>2502</v>
      </c>
      <c r="I481" s="3">
        <v>2016</v>
      </c>
      <c r="J481" s="3">
        <v>2172</v>
      </c>
      <c r="K481" s="3">
        <v>516</v>
      </c>
      <c r="L481" s="3">
        <v>498</v>
      </c>
      <c r="M481" s="3">
        <v>1350</v>
      </c>
      <c r="N481" s="3">
        <v>888</v>
      </c>
      <c r="O481" s="3">
        <v>1554</v>
      </c>
      <c r="P481" s="3">
        <v>1296</v>
      </c>
      <c r="Q481" s="3">
        <v>798</v>
      </c>
      <c r="R481" s="3">
        <v>1818</v>
      </c>
      <c r="S481" s="3">
        <v>1902</v>
      </c>
      <c r="T481" s="3">
        <v>738</v>
      </c>
      <c r="U481" s="3">
        <v>768</v>
      </c>
      <c r="V481" s="3">
        <v>1716</v>
      </c>
      <c r="W481" s="3">
        <v>708</v>
      </c>
      <c r="X481" s="3">
        <v>1188</v>
      </c>
      <c r="Y481" s="3">
        <v>690</v>
      </c>
      <c r="Z481" s="3">
        <v>468</v>
      </c>
      <c r="AA481" s="3">
        <v>864</v>
      </c>
      <c r="AB481" s="3">
        <v>1566</v>
      </c>
      <c r="AC481" s="3">
        <v>78</v>
      </c>
      <c r="AD481" s="3">
        <v>228</v>
      </c>
      <c r="AE481" s="3">
        <v>798</v>
      </c>
      <c r="AF481" s="3">
        <v>930</v>
      </c>
      <c r="AG481" s="3">
        <v>580</v>
      </c>
      <c r="AH481" s="3">
        <v>54</v>
      </c>
      <c r="AI481" s="3">
        <v>1590</v>
      </c>
      <c r="AJ481" s="3">
        <v>234</v>
      </c>
      <c r="AK481" s="3">
        <v>1104</v>
      </c>
      <c r="AL481" s="3">
        <v>936</v>
      </c>
      <c r="AM481" s="3">
        <v>1008</v>
      </c>
      <c r="AN481" s="3">
        <v>516</v>
      </c>
      <c r="AO481" s="3">
        <v>714</v>
      </c>
      <c r="AP481" s="3">
        <v>1218</v>
      </c>
      <c r="AQ481" s="3">
        <v>1050</v>
      </c>
      <c r="AR481" s="3">
        <v>288</v>
      </c>
      <c r="AS481" s="3">
        <v>-6</v>
      </c>
      <c r="AT481" s="3">
        <v>1284</v>
      </c>
      <c r="AU481" s="3">
        <v>846</v>
      </c>
      <c r="AV481" s="3">
        <v>708</v>
      </c>
      <c r="AW481" s="3">
        <v>522</v>
      </c>
    </row>
    <row r="482" spans="1:49">
      <c r="A482" s="4" t="s">
        <v>40</v>
      </c>
      <c r="B482" s="4" t="str">
        <f t="shared" si="7"/>
        <v>Hair Care</v>
      </c>
      <c r="C482" s="4" t="s">
        <v>1786</v>
      </c>
      <c r="D482" s="4" t="s">
        <v>575</v>
      </c>
      <c r="E482" s="24" t="s">
        <v>125</v>
      </c>
      <c r="F482" s="12" t="s">
        <v>207</v>
      </c>
      <c r="G482" s="4" t="s">
        <v>1787</v>
      </c>
      <c r="H482" s="3">
        <v>0</v>
      </c>
      <c r="I482" s="3">
        <v>1352</v>
      </c>
      <c r="J482" s="3">
        <v>3610</v>
      </c>
      <c r="K482" s="3">
        <v>2004</v>
      </c>
      <c r="L482" s="3">
        <v>2304</v>
      </c>
      <c r="M482" s="3">
        <v>2358</v>
      </c>
      <c r="N482" s="3">
        <v>1476</v>
      </c>
      <c r="O482" s="3">
        <v>1152</v>
      </c>
      <c r="P482" s="3">
        <v>2370</v>
      </c>
      <c r="Q482" s="3">
        <v>996</v>
      </c>
      <c r="R482" s="3">
        <v>2724</v>
      </c>
      <c r="S482" s="3">
        <v>3918</v>
      </c>
      <c r="T482" s="3">
        <v>1116</v>
      </c>
      <c r="U482" s="3">
        <v>2712</v>
      </c>
      <c r="V482" s="3">
        <v>1266</v>
      </c>
      <c r="W482" s="3">
        <v>1764</v>
      </c>
      <c r="X482" s="3">
        <v>816</v>
      </c>
      <c r="Y482" s="3">
        <v>1680</v>
      </c>
      <c r="Z482" s="3">
        <v>2586</v>
      </c>
      <c r="AA482" s="3">
        <v>822</v>
      </c>
      <c r="AB482" s="3">
        <v>2094</v>
      </c>
      <c r="AC482" s="3">
        <v>384</v>
      </c>
      <c r="AD482" s="3">
        <v>804</v>
      </c>
      <c r="AE482" s="3">
        <v>912</v>
      </c>
      <c r="AF482" s="3">
        <v>1368</v>
      </c>
      <c r="AG482" s="3">
        <v>1506</v>
      </c>
      <c r="AH482" s="3">
        <v>2898</v>
      </c>
      <c r="AI482" s="3">
        <v>306</v>
      </c>
      <c r="AJ482" s="3">
        <v>282</v>
      </c>
      <c r="AK482" s="3">
        <v>960</v>
      </c>
      <c r="AL482" s="3">
        <v>1290</v>
      </c>
      <c r="AM482" s="3">
        <v>1332</v>
      </c>
      <c r="AN482" s="3">
        <v>900</v>
      </c>
      <c r="AO482" s="3">
        <v>1080</v>
      </c>
      <c r="AP482" s="3">
        <v>1224</v>
      </c>
      <c r="AQ482" s="3">
        <v>306</v>
      </c>
      <c r="AR482" s="3">
        <v>1398</v>
      </c>
      <c r="AS482" s="3">
        <v>1620</v>
      </c>
      <c r="AT482" s="3">
        <v>2742</v>
      </c>
      <c r="AU482" s="3">
        <v>852</v>
      </c>
      <c r="AV482" s="3">
        <v>732</v>
      </c>
      <c r="AW482" s="3">
        <v>1476</v>
      </c>
    </row>
    <row r="483" spans="1:49">
      <c r="A483" s="4" t="s">
        <v>40</v>
      </c>
      <c r="B483" s="4" t="str">
        <f t="shared" si="7"/>
        <v>Hair Care</v>
      </c>
      <c r="C483" s="4" t="s">
        <v>1786</v>
      </c>
      <c r="D483" s="4" t="s">
        <v>575</v>
      </c>
      <c r="E483" s="24" t="s">
        <v>125</v>
      </c>
      <c r="F483" s="12" t="s">
        <v>208</v>
      </c>
      <c r="G483" s="4" t="s">
        <v>1787</v>
      </c>
      <c r="H483" s="3">
        <v>0</v>
      </c>
      <c r="I483" s="3">
        <v>60</v>
      </c>
      <c r="J483" s="3">
        <v>1044</v>
      </c>
      <c r="K483" s="3">
        <v>2346</v>
      </c>
      <c r="L483" s="3">
        <v>936</v>
      </c>
      <c r="M483" s="3">
        <v>1680</v>
      </c>
      <c r="N483" s="3">
        <v>1170</v>
      </c>
      <c r="O483" s="3">
        <v>792</v>
      </c>
      <c r="P483" s="3">
        <v>2040</v>
      </c>
      <c r="Q483" s="3">
        <v>690</v>
      </c>
      <c r="R483" s="3">
        <v>1530</v>
      </c>
      <c r="S483" s="3">
        <v>1266</v>
      </c>
      <c r="T483" s="3">
        <v>1656</v>
      </c>
      <c r="U483" s="3">
        <v>2994</v>
      </c>
      <c r="V483" s="3">
        <v>1182</v>
      </c>
      <c r="W483" s="3">
        <v>1068</v>
      </c>
      <c r="X483" s="3">
        <v>1662</v>
      </c>
      <c r="Y483" s="3">
        <v>924</v>
      </c>
      <c r="Z483" s="3">
        <v>2034</v>
      </c>
      <c r="AA483" s="3">
        <v>186</v>
      </c>
      <c r="AB483" s="3">
        <v>1278</v>
      </c>
      <c r="AC483" s="3">
        <v>366</v>
      </c>
      <c r="AD483" s="3">
        <v>894</v>
      </c>
      <c r="AE483" s="3">
        <v>1008</v>
      </c>
      <c r="AF483" s="3">
        <v>1218</v>
      </c>
      <c r="AG483" s="3">
        <v>996</v>
      </c>
      <c r="AH483" s="3">
        <v>690</v>
      </c>
      <c r="AI483" s="3">
        <v>1074</v>
      </c>
      <c r="AJ483" s="3">
        <v>756</v>
      </c>
      <c r="AK483" s="3">
        <v>252</v>
      </c>
      <c r="AL483" s="3">
        <v>756</v>
      </c>
      <c r="AM483" s="3">
        <v>1470</v>
      </c>
      <c r="AN483" s="3">
        <v>1110</v>
      </c>
      <c r="AO483" s="3">
        <v>360</v>
      </c>
      <c r="AP483" s="3">
        <v>1914</v>
      </c>
      <c r="AQ483" s="3">
        <v>192</v>
      </c>
      <c r="AR483" s="3">
        <v>1152</v>
      </c>
      <c r="AS483" s="3">
        <v>1542</v>
      </c>
      <c r="AT483" s="3">
        <v>930</v>
      </c>
      <c r="AU483" s="3">
        <v>1104</v>
      </c>
      <c r="AV483" s="3">
        <v>900</v>
      </c>
      <c r="AW483" s="3">
        <v>906</v>
      </c>
    </row>
    <row r="484" spans="1:49">
      <c r="A484" s="4" t="s">
        <v>40</v>
      </c>
      <c r="B484" s="4" t="str">
        <f t="shared" si="7"/>
        <v>Hair Care</v>
      </c>
      <c r="C484" s="4" t="s">
        <v>1786</v>
      </c>
      <c r="D484" s="4" t="s">
        <v>575</v>
      </c>
      <c r="E484" s="24" t="s">
        <v>125</v>
      </c>
      <c r="F484" s="12" t="s">
        <v>209</v>
      </c>
      <c r="G484" s="4" t="s">
        <v>1787</v>
      </c>
      <c r="H484" s="3">
        <v>0</v>
      </c>
      <c r="I484" s="3">
        <v>0</v>
      </c>
      <c r="J484" s="3">
        <v>228</v>
      </c>
      <c r="K484" s="3">
        <v>384</v>
      </c>
      <c r="L484" s="3">
        <v>156</v>
      </c>
      <c r="M484" s="3">
        <v>144</v>
      </c>
      <c r="N484" s="3">
        <v>96</v>
      </c>
      <c r="O484" s="3">
        <v>60</v>
      </c>
      <c r="P484" s="3">
        <v>108</v>
      </c>
      <c r="Q484" s="3">
        <v>48</v>
      </c>
      <c r="R484" s="3">
        <v>60</v>
      </c>
      <c r="S484" s="3">
        <v>48</v>
      </c>
      <c r="T484" s="3">
        <v>156</v>
      </c>
      <c r="U484" s="3">
        <v>84</v>
      </c>
      <c r="V484" s="3">
        <v>192</v>
      </c>
      <c r="W484" s="3">
        <v>144</v>
      </c>
      <c r="X484" s="3">
        <v>156</v>
      </c>
      <c r="Y484" s="3">
        <v>144</v>
      </c>
      <c r="Z484" s="3">
        <v>48</v>
      </c>
      <c r="AA484" s="3">
        <v>24</v>
      </c>
      <c r="AB484" s="3">
        <v>60</v>
      </c>
      <c r="AC484" s="3">
        <v>0</v>
      </c>
      <c r="AD484" s="3">
        <v>156</v>
      </c>
      <c r="AE484" s="3">
        <v>60</v>
      </c>
      <c r="AF484" s="3">
        <v>60</v>
      </c>
      <c r="AG484" s="3">
        <v>60</v>
      </c>
      <c r="AH484" s="3">
        <v>0</v>
      </c>
      <c r="AI484" s="3">
        <v>96</v>
      </c>
      <c r="AJ484" s="3">
        <v>60</v>
      </c>
      <c r="AK484" s="3">
        <v>480</v>
      </c>
      <c r="AL484" s="3">
        <v>228</v>
      </c>
      <c r="AM484" s="3">
        <v>168</v>
      </c>
      <c r="AN484" s="3">
        <v>240</v>
      </c>
      <c r="AO484" s="3">
        <v>252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</row>
    <row r="485" spans="1:49">
      <c r="A485" s="4" t="s">
        <v>40</v>
      </c>
      <c r="B485" s="4" t="str">
        <f t="shared" si="7"/>
        <v>Hair Care</v>
      </c>
      <c r="C485" s="4" t="s">
        <v>1786</v>
      </c>
      <c r="D485" s="4" t="s">
        <v>575</v>
      </c>
      <c r="E485" s="24" t="s">
        <v>125</v>
      </c>
      <c r="F485" s="12" t="s">
        <v>210</v>
      </c>
      <c r="G485" s="4" t="s">
        <v>1787</v>
      </c>
      <c r="H485" s="3">
        <v>0</v>
      </c>
      <c r="I485" s="3">
        <v>36</v>
      </c>
      <c r="J485" s="3">
        <v>156</v>
      </c>
      <c r="K485" s="3">
        <v>96</v>
      </c>
      <c r="L485" s="3">
        <v>228</v>
      </c>
      <c r="M485" s="3">
        <v>168</v>
      </c>
      <c r="N485" s="3">
        <v>240</v>
      </c>
      <c r="O485" s="3">
        <v>204</v>
      </c>
      <c r="P485" s="3">
        <v>324</v>
      </c>
      <c r="Q485" s="3">
        <v>96</v>
      </c>
      <c r="R485" s="3">
        <v>324</v>
      </c>
      <c r="S485" s="3">
        <v>192</v>
      </c>
      <c r="T485" s="3">
        <v>180</v>
      </c>
      <c r="U485" s="3">
        <v>204</v>
      </c>
      <c r="V485" s="3">
        <v>324</v>
      </c>
      <c r="W485" s="3">
        <v>288</v>
      </c>
      <c r="X485" s="3">
        <v>228</v>
      </c>
      <c r="Y485" s="3">
        <v>168</v>
      </c>
      <c r="Z485" s="3">
        <v>96</v>
      </c>
      <c r="AA485" s="3">
        <v>192</v>
      </c>
      <c r="AB485" s="3">
        <v>264</v>
      </c>
      <c r="AC485" s="3">
        <v>0</v>
      </c>
      <c r="AD485" s="3">
        <v>348</v>
      </c>
      <c r="AE485" s="3">
        <v>36</v>
      </c>
      <c r="AF485" s="3">
        <v>96</v>
      </c>
      <c r="AG485" s="3">
        <v>156</v>
      </c>
      <c r="AH485" s="3">
        <v>144</v>
      </c>
      <c r="AI485" s="3">
        <v>204</v>
      </c>
      <c r="AJ485" s="3">
        <v>60</v>
      </c>
      <c r="AK485" s="3">
        <v>144</v>
      </c>
      <c r="AL485" s="3">
        <v>108</v>
      </c>
      <c r="AM485" s="3">
        <v>228</v>
      </c>
      <c r="AN485" s="3">
        <v>72</v>
      </c>
      <c r="AO485" s="3">
        <v>0</v>
      </c>
      <c r="AP485" s="3">
        <v>216</v>
      </c>
      <c r="AQ485" s="3">
        <v>12</v>
      </c>
      <c r="AR485" s="3">
        <v>36</v>
      </c>
      <c r="AS485" s="3">
        <v>12</v>
      </c>
      <c r="AT485" s="3">
        <v>156</v>
      </c>
      <c r="AU485" s="3">
        <v>48</v>
      </c>
      <c r="AV485" s="3">
        <v>72</v>
      </c>
      <c r="AW485" s="3">
        <v>0</v>
      </c>
    </row>
    <row r="486" spans="1:49">
      <c r="A486" s="4" t="s">
        <v>40</v>
      </c>
      <c r="B486" s="4" t="str">
        <f t="shared" si="7"/>
        <v>Hair Care</v>
      </c>
      <c r="C486" s="4" t="s">
        <v>1786</v>
      </c>
      <c r="D486" s="4" t="s">
        <v>575</v>
      </c>
      <c r="E486" s="24" t="s">
        <v>125</v>
      </c>
      <c r="F486" s="12" t="s">
        <v>211</v>
      </c>
      <c r="G486" s="4" t="s">
        <v>1787</v>
      </c>
      <c r="H486" s="3">
        <v>0</v>
      </c>
      <c r="I486" s="3">
        <v>72</v>
      </c>
      <c r="J486" s="3">
        <v>132</v>
      </c>
      <c r="K486" s="3">
        <v>264</v>
      </c>
      <c r="L486" s="3">
        <v>12</v>
      </c>
      <c r="M486" s="3">
        <v>0</v>
      </c>
      <c r="N486" s="3">
        <v>36</v>
      </c>
      <c r="O486" s="3">
        <v>84</v>
      </c>
      <c r="P486" s="3">
        <v>120</v>
      </c>
      <c r="Q486" s="3">
        <v>48</v>
      </c>
      <c r="R486" s="3">
        <v>156</v>
      </c>
      <c r="S486" s="3">
        <v>84</v>
      </c>
      <c r="T486" s="3">
        <v>108</v>
      </c>
      <c r="U486" s="3">
        <v>60</v>
      </c>
      <c r="V486" s="3">
        <v>72</v>
      </c>
      <c r="W486" s="3">
        <v>168</v>
      </c>
      <c r="X486" s="3">
        <v>72</v>
      </c>
      <c r="Y486" s="3">
        <v>132</v>
      </c>
      <c r="Z486" s="3">
        <v>192</v>
      </c>
      <c r="AA486" s="3">
        <v>12</v>
      </c>
      <c r="AB486" s="3">
        <v>0</v>
      </c>
      <c r="AC486" s="3">
        <v>0</v>
      </c>
      <c r="AD486" s="3">
        <v>0</v>
      </c>
      <c r="AE486" s="3">
        <v>0</v>
      </c>
      <c r="AF486" s="3">
        <v>12</v>
      </c>
      <c r="AG486" s="3">
        <v>144</v>
      </c>
      <c r="AH486" s="3">
        <v>84</v>
      </c>
      <c r="AI486" s="3">
        <v>156</v>
      </c>
      <c r="AJ486" s="3">
        <v>36</v>
      </c>
      <c r="AK486" s="3">
        <v>192</v>
      </c>
      <c r="AL486" s="3">
        <v>48</v>
      </c>
      <c r="AM486" s="3">
        <v>96</v>
      </c>
      <c r="AN486" s="3">
        <v>0</v>
      </c>
      <c r="AO486" s="3">
        <v>108</v>
      </c>
      <c r="AP486" s="3">
        <v>48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</row>
    <row r="487" spans="1:49">
      <c r="A487" s="4" t="s">
        <v>40</v>
      </c>
      <c r="B487" s="4" t="str">
        <f t="shared" si="7"/>
        <v>Hair Care</v>
      </c>
      <c r="C487" s="4" t="s">
        <v>1786</v>
      </c>
      <c r="D487" s="4" t="s">
        <v>575</v>
      </c>
      <c r="E487" s="24" t="s">
        <v>125</v>
      </c>
      <c r="F487" s="12" t="s">
        <v>212</v>
      </c>
      <c r="G487" s="4" t="s">
        <v>1787</v>
      </c>
      <c r="H487" s="3">
        <v>0</v>
      </c>
      <c r="I487" s="3">
        <v>132</v>
      </c>
      <c r="J487" s="3">
        <v>264</v>
      </c>
      <c r="K487" s="3">
        <v>168</v>
      </c>
      <c r="L487" s="3">
        <v>156</v>
      </c>
      <c r="M487" s="3">
        <v>180</v>
      </c>
      <c r="N487" s="3">
        <v>96</v>
      </c>
      <c r="O487" s="3">
        <v>108</v>
      </c>
      <c r="P487" s="3">
        <v>156</v>
      </c>
      <c r="Q487" s="3">
        <v>36</v>
      </c>
      <c r="R487" s="3">
        <v>192</v>
      </c>
      <c r="S487" s="3">
        <v>132</v>
      </c>
      <c r="T487" s="3">
        <v>132</v>
      </c>
      <c r="U487" s="3">
        <v>108</v>
      </c>
      <c r="V487" s="3">
        <v>180</v>
      </c>
      <c r="W487" s="3">
        <v>204</v>
      </c>
      <c r="X487" s="3">
        <v>108</v>
      </c>
      <c r="Y487" s="3">
        <v>144</v>
      </c>
      <c r="Z487" s="3">
        <v>168</v>
      </c>
      <c r="AA487" s="3">
        <v>48</v>
      </c>
      <c r="AB487" s="3">
        <v>96</v>
      </c>
      <c r="AC487" s="3">
        <v>24</v>
      </c>
      <c r="AD487" s="3">
        <v>84</v>
      </c>
      <c r="AE487" s="3">
        <v>96</v>
      </c>
      <c r="AF487" s="3">
        <v>108</v>
      </c>
      <c r="AG487" s="3">
        <v>72</v>
      </c>
      <c r="AH487" s="3">
        <v>84</v>
      </c>
      <c r="AI487" s="3">
        <v>132</v>
      </c>
      <c r="AJ487" s="3">
        <v>36</v>
      </c>
      <c r="AK487" s="3">
        <v>60</v>
      </c>
      <c r="AL487" s="3">
        <v>108</v>
      </c>
      <c r="AM487" s="3">
        <v>108</v>
      </c>
      <c r="AN487" s="3">
        <v>84</v>
      </c>
      <c r="AO487" s="3">
        <v>0</v>
      </c>
      <c r="AP487" s="3">
        <v>276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</row>
    <row r="488" spans="1:49">
      <c r="A488" s="4" t="s">
        <v>40</v>
      </c>
      <c r="B488" s="4" t="str">
        <f t="shared" si="7"/>
        <v>Hair Care</v>
      </c>
      <c r="C488" s="4" t="s">
        <v>1786</v>
      </c>
      <c r="D488" s="4" t="s">
        <v>575</v>
      </c>
      <c r="E488" s="24" t="s">
        <v>125</v>
      </c>
      <c r="F488" s="12" t="s">
        <v>213</v>
      </c>
      <c r="G488" s="4" t="s">
        <v>1787</v>
      </c>
      <c r="H488" s="3">
        <v>12</v>
      </c>
      <c r="I488" s="3">
        <v>12</v>
      </c>
      <c r="J488" s="3">
        <v>60</v>
      </c>
      <c r="K488" s="3">
        <v>12</v>
      </c>
      <c r="L488" s="3">
        <v>24</v>
      </c>
      <c r="M488" s="3">
        <v>60</v>
      </c>
      <c r="N488" s="3">
        <v>36</v>
      </c>
      <c r="O488" s="3">
        <v>60</v>
      </c>
      <c r="P488" s="3">
        <v>132</v>
      </c>
      <c r="Q488" s="3">
        <v>12</v>
      </c>
      <c r="R488" s="3">
        <v>60</v>
      </c>
      <c r="S488" s="3">
        <v>12</v>
      </c>
      <c r="T488" s="3">
        <v>60</v>
      </c>
      <c r="U488" s="3">
        <v>60</v>
      </c>
      <c r="V488" s="3">
        <v>72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</row>
    <row r="489" spans="1:49">
      <c r="A489" s="4" t="s">
        <v>40</v>
      </c>
      <c r="B489" s="4" t="str">
        <f t="shared" si="7"/>
        <v>Hair Care</v>
      </c>
      <c r="C489" s="4" t="s">
        <v>1786</v>
      </c>
      <c r="D489" s="4" t="s">
        <v>575</v>
      </c>
      <c r="E489" s="24" t="s">
        <v>125</v>
      </c>
      <c r="F489" s="12" t="s">
        <v>214</v>
      </c>
      <c r="G489" s="4" t="s">
        <v>1787</v>
      </c>
      <c r="H489" s="3">
        <v>0</v>
      </c>
      <c r="I489" s="3">
        <v>0</v>
      </c>
      <c r="J489" s="3">
        <v>778</v>
      </c>
      <c r="K489" s="3">
        <v>144</v>
      </c>
      <c r="L489" s="3">
        <v>108</v>
      </c>
      <c r="M489" s="3">
        <v>144</v>
      </c>
      <c r="N489" s="3">
        <v>72</v>
      </c>
      <c r="O489" s="3">
        <v>60</v>
      </c>
      <c r="P489" s="3">
        <v>120</v>
      </c>
      <c r="Q489" s="3">
        <v>72</v>
      </c>
      <c r="R489" s="3">
        <v>300</v>
      </c>
      <c r="S489" s="3">
        <v>144</v>
      </c>
      <c r="T489" s="3">
        <v>12</v>
      </c>
      <c r="U489" s="3">
        <v>48</v>
      </c>
      <c r="V489" s="3">
        <v>144</v>
      </c>
      <c r="W489" s="3">
        <v>264</v>
      </c>
      <c r="X489" s="3">
        <v>96</v>
      </c>
      <c r="Y489" s="3">
        <v>48</v>
      </c>
      <c r="Z489" s="3">
        <v>168</v>
      </c>
      <c r="AA489" s="3">
        <v>36</v>
      </c>
      <c r="AB489" s="3">
        <v>132</v>
      </c>
      <c r="AC489" s="3">
        <v>12</v>
      </c>
      <c r="AD489" s="3">
        <v>0</v>
      </c>
      <c r="AE489" s="3">
        <v>24</v>
      </c>
      <c r="AF489" s="3">
        <v>48</v>
      </c>
      <c r="AG489" s="3">
        <v>24</v>
      </c>
      <c r="AH489" s="3">
        <v>12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</row>
    <row r="490" spans="1:49">
      <c r="A490" s="4" t="s">
        <v>40</v>
      </c>
      <c r="B490" s="4" t="str">
        <f t="shared" si="7"/>
        <v>Hair Care</v>
      </c>
      <c r="C490" s="4" t="s">
        <v>1786</v>
      </c>
      <c r="D490" s="4" t="s">
        <v>575</v>
      </c>
      <c r="E490" s="24" t="s">
        <v>125</v>
      </c>
      <c r="F490" s="12" t="s">
        <v>215</v>
      </c>
      <c r="G490" s="4" t="s">
        <v>1787</v>
      </c>
      <c r="H490" s="3">
        <v>0</v>
      </c>
      <c r="I490" s="3">
        <v>0</v>
      </c>
      <c r="J490" s="3">
        <v>252</v>
      </c>
      <c r="K490" s="3">
        <v>180</v>
      </c>
      <c r="L490" s="3">
        <v>192</v>
      </c>
      <c r="M490" s="3">
        <v>48</v>
      </c>
      <c r="N490" s="3">
        <v>24</v>
      </c>
      <c r="O490" s="3">
        <v>12</v>
      </c>
      <c r="P490" s="3">
        <v>72</v>
      </c>
      <c r="Q490" s="3">
        <v>48</v>
      </c>
      <c r="R490" s="3">
        <v>72</v>
      </c>
      <c r="S490" s="3">
        <v>24</v>
      </c>
      <c r="T490" s="3">
        <v>36</v>
      </c>
      <c r="U490" s="3">
        <v>72</v>
      </c>
      <c r="V490" s="3">
        <v>96</v>
      </c>
      <c r="W490" s="3">
        <v>72</v>
      </c>
      <c r="X490" s="3">
        <v>36</v>
      </c>
      <c r="Y490" s="3">
        <v>36</v>
      </c>
      <c r="Z490" s="3">
        <v>36</v>
      </c>
      <c r="AA490" s="3">
        <v>24</v>
      </c>
      <c r="AB490" s="3">
        <v>12</v>
      </c>
      <c r="AC490" s="3">
        <v>0</v>
      </c>
      <c r="AD490" s="3">
        <v>132</v>
      </c>
      <c r="AE490" s="3">
        <v>12</v>
      </c>
      <c r="AF490" s="3">
        <v>48</v>
      </c>
      <c r="AG490" s="3">
        <v>36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</row>
    <row r="491" spans="1:49">
      <c r="A491" s="4" t="s">
        <v>40</v>
      </c>
      <c r="B491" s="4" t="str">
        <f t="shared" si="7"/>
        <v>Hair Care</v>
      </c>
      <c r="C491" s="4" t="s">
        <v>1786</v>
      </c>
      <c r="D491" s="4" t="s">
        <v>575</v>
      </c>
      <c r="E491" s="24" t="s">
        <v>125</v>
      </c>
      <c r="F491" s="12" t="s">
        <v>216</v>
      </c>
      <c r="G491" s="4" t="s">
        <v>1787</v>
      </c>
      <c r="H491" s="3">
        <v>0</v>
      </c>
      <c r="I491" s="3">
        <v>0</v>
      </c>
      <c r="J491" s="3">
        <v>1822</v>
      </c>
      <c r="K491" s="3">
        <v>444</v>
      </c>
      <c r="L491" s="3">
        <v>2832</v>
      </c>
      <c r="M491" s="3">
        <v>1338</v>
      </c>
      <c r="N491" s="3">
        <v>1260</v>
      </c>
      <c r="O491" s="3">
        <v>1224</v>
      </c>
      <c r="P491" s="3">
        <v>2268</v>
      </c>
      <c r="Q491" s="3">
        <v>528</v>
      </c>
      <c r="R491" s="3">
        <v>1224</v>
      </c>
      <c r="S491" s="3">
        <v>1014</v>
      </c>
      <c r="T491" s="3">
        <v>1986</v>
      </c>
      <c r="U491" s="3">
        <v>2466</v>
      </c>
      <c r="V491" s="3">
        <v>1368</v>
      </c>
      <c r="W491" s="3">
        <v>1338</v>
      </c>
      <c r="X491" s="3">
        <v>1848</v>
      </c>
      <c r="Y491" s="3">
        <v>1014</v>
      </c>
      <c r="Z491" s="3">
        <v>1800</v>
      </c>
      <c r="AA491" s="3">
        <v>222</v>
      </c>
      <c r="AB491" s="3">
        <v>1416</v>
      </c>
      <c r="AC491" s="3">
        <v>96</v>
      </c>
      <c r="AD491" s="3">
        <v>1008</v>
      </c>
      <c r="AE491" s="3">
        <v>744</v>
      </c>
      <c r="AF491" s="3">
        <v>1230</v>
      </c>
      <c r="AG491" s="3">
        <v>1320</v>
      </c>
      <c r="AH491" s="3">
        <v>1266</v>
      </c>
      <c r="AI491" s="3">
        <v>546</v>
      </c>
      <c r="AJ491" s="3">
        <v>708</v>
      </c>
      <c r="AK491" s="3">
        <v>180</v>
      </c>
      <c r="AL491" s="3">
        <v>612</v>
      </c>
      <c r="AM491" s="3">
        <v>1446</v>
      </c>
      <c r="AN491" s="3">
        <v>774</v>
      </c>
      <c r="AO491" s="3">
        <v>1848</v>
      </c>
      <c r="AP491" s="3">
        <v>660</v>
      </c>
      <c r="AQ491" s="3">
        <v>1302</v>
      </c>
      <c r="AR491" s="3">
        <v>714</v>
      </c>
      <c r="AS491" s="3">
        <v>2184</v>
      </c>
      <c r="AT491" s="3">
        <v>498</v>
      </c>
      <c r="AU491" s="3">
        <v>1596</v>
      </c>
      <c r="AV491" s="3">
        <v>546</v>
      </c>
      <c r="AW491" s="3">
        <v>870</v>
      </c>
    </row>
    <row r="492" spans="1:49">
      <c r="A492" s="4" t="s">
        <v>40</v>
      </c>
      <c r="B492" s="4" t="str">
        <f t="shared" si="7"/>
        <v>Hair Care</v>
      </c>
      <c r="C492" s="4" t="s">
        <v>1786</v>
      </c>
      <c r="D492" s="4" t="s">
        <v>575</v>
      </c>
      <c r="E492" s="24" t="s">
        <v>125</v>
      </c>
      <c r="F492" s="12" t="s">
        <v>217</v>
      </c>
      <c r="G492" s="4" t="s">
        <v>1787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537</v>
      </c>
      <c r="U492" s="3">
        <v>180</v>
      </c>
      <c r="V492" s="3">
        <v>349</v>
      </c>
      <c r="W492" s="3">
        <v>216</v>
      </c>
      <c r="X492" s="3">
        <v>132</v>
      </c>
      <c r="Y492" s="3">
        <v>90</v>
      </c>
      <c r="Z492" s="3">
        <v>180</v>
      </c>
      <c r="AA492" s="3">
        <v>228</v>
      </c>
      <c r="AB492" s="3">
        <v>294</v>
      </c>
      <c r="AC492" s="3">
        <v>24</v>
      </c>
      <c r="AD492" s="3">
        <v>42</v>
      </c>
      <c r="AE492" s="3">
        <v>138</v>
      </c>
      <c r="AF492" s="3">
        <v>177</v>
      </c>
      <c r="AG492" s="3">
        <v>177</v>
      </c>
      <c r="AH492" s="3">
        <v>144</v>
      </c>
      <c r="AI492" s="3">
        <v>138</v>
      </c>
      <c r="AJ492" s="3">
        <v>93</v>
      </c>
      <c r="AK492" s="3">
        <v>183</v>
      </c>
      <c r="AL492" s="3">
        <v>234</v>
      </c>
      <c r="AM492" s="3">
        <v>195</v>
      </c>
      <c r="AN492" s="3">
        <v>135</v>
      </c>
      <c r="AO492" s="3">
        <v>334</v>
      </c>
      <c r="AP492" s="3">
        <v>66</v>
      </c>
      <c r="AQ492" s="3">
        <v>0</v>
      </c>
      <c r="AR492" s="3">
        <v>0</v>
      </c>
      <c r="AS492" s="3">
        <v>54</v>
      </c>
      <c r="AT492" s="3">
        <v>105</v>
      </c>
      <c r="AU492" s="3">
        <v>198</v>
      </c>
      <c r="AV492" s="3">
        <v>126</v>
      </c>
      <c r="AW492" s="3">
        <v>120</v>
      </c>
    </row>
    <row r="493" spans="1:49">
      <c r="A493" s="4" t="s">
        <v>40</v>
      </c>
      <c r="B493" s="4" t="str">
        <f t="shared" si="7"/>
        <v>Hair Care</v>
      </c>
      <c r="C493" s="4" t="s">
        <v>1786</v>
      </c>
      <c r="D493" s="4" t="s">
        <v>575</v>
      </c>
      <c r="E493" s="24" t="s">
        <v>125</v>
      </c>
      <c r="F493" s="12" t="s">
        <v>218</v>
      </c>
      <c r="G493" s="4" t="s">
        <v>1787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3600</v>
      </c>
      <c r="X493" s="3">
        <v>2856</v>
      </c>
      <c r="Y493" s="3">
        <v>3688</v>
      </c>
      <c r="Z493" s="3">
        <v>948</v>
      </c>
      <c r="AA493" s="3">
        <v>3894</v>
      </c>
      <c r="AB493" s="3">
        <v>2313</v>
      </c>
      <c r="AC493" s="3">
        <v>732</v>
      </c>
      <c r="AD493" s="3">
        <v>1452</v>
      </c>
      <c r="AE493" s="3">
        <v>468</v>
      </c>
      <c r="AF493" s="3">
        <v>720</v>
      </c>
      <c r="AG493" s="3">
        <v>1608</v>
      </c>
      <c r="AH493" s="3">
        <v>4260</v>
      </c>
      <c r="AI493" s="3">
        <v>228</v>
      </c>
      <c r="AJ493" s="3">
        <v>654</v>
      </c>
      <c r="AK493" s="3">
        <v>828</v>
      </c>
      <c r="AL493" s="3">
        <v>516</v>
      </c>
      <c r="AM493" s="3">
        <v>2208</v>
      </c>
      <c r="AN493" s="3">
        <v>744</v>
      </c>
      <c r="AO493" s="3">
        <v>1326</v>
      </c>
      <c r="AP493" s="3">
        <v>1548</v>
      </c>
      <c r="AQ493" s="3">
        <v>1740</v>
      </c>
      <c r="AR493" s="3">
        <v>816</v>
      </c>
      <c r="AS493" s="3">
        <v>1374</v>
      </c>
      <c r="AT493" s="3">
        <v>1596</v>
      </c>
      <c r="AU493" s="3">
        <v>1134</v>
      </c>
      <c r="AV493" s="3">
        <v>1158</v>
      </c>
      <c r="AW493" s="3">
        <v>1260</v>
      </c>
    </row>
    <row r="494" spans="1:49">
      <c r="A494" s="4" t="s">
        <v>40</v>
      </c>
      <c r="B494" s="4" t="str">
        <f t="shared" si="7"/>
        <v>Hair Care</v>
      </c>
      <c r="C494" s="4" t="s">
        <v>1786</v>
      </c>
      <c r="D494" s="4" t="s">
        <v>575</v>
      </c>
      <c r="E494" s="24" t="s">
        <v>125</v>
      </c>
      <c r="F494" s="12" t="s">
        <v>219</v>
      </c>
      <c r="G494" s="4" t="s">
        <v>1787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1968</v>
      </c>
      <c r="X494" s="3">
        <v>1284</v>
      </c>
      <c r="Y494" s="3">
        <v>1284</v>
      </c>
      <c r="Z494" s="3">
        <v>2506</v>
      </c>
      <c r="AA494" s="3">
        <v>2172</v>
      </c>
      <c r="AB494" s="3">
        <v>3875</v>
      </c>
      <c r="AC494" s="3">
        <v>594</v>
      </c>
      <c r="AD494" s="3">
        <v>576</v>
      </c>
      <c r="AE494" s="3">
        <v>1296</v>
      </c>
      <c r="AF494" s="3">
        <v>636</v>
      </c>
      <c r="AG494" s="3">
        <v>516</v>
      </c>
      <c r="AH494" s="3">
        <v>1332</v>
      </c>
      <c r="AI494" s="3">
        <v>312</v>
      </c>
      <c r="AJ494" s="3">
        <v>84</v>
      </c>
      <c r="AK494" s="3">
        <v>1062</v>
      </c>
      <c r="AL494" s="3">
        <v>486</v>
      </c>
      <c r="AM494" s="3">
        <v>750</v>
      </c>
      <c r="AN494" s="3">
        <v>372</v>
      </c>
      <c r="AO494" s="3">
        <v>432</v>
      </c>
      <c r="AP494" s="3">
        <v>2010</v>
      </c>
      <c r="AQ494" s="3">
        <v>1122</v>
      </c>
      <c r="AR494" s="3">
        <v>1110</v>
      </c>
      <c r="AS494" s="3">
        <v>1572</v>
      </c>
      <c r="AT494" s="3">
        <v>1074</v>
      </c>
      <c r="AU494" s="3">
        <v>990</v>
      </c>
      <c r="AV494" s="3">
        <v>1344</v>
      </c>
      <c r="AW494" s="3">
        <v>510</v>
      </c>
    </row>
    <row r="495" spans="1:49">
      <c r="A495" s="4" t="s">
        <v>40</v>
      </c>
      <c r="B495" s="4" t="str">
        <f t="shared" si="7"/>
        <v>Hair Care</v>
      </c>
      <c r="C495" s="4" t="s">
        <v>1786</v>
      </c>
      <c r="D495" s="4" t="s">
        <v>575</v>
      </c>
      <c r="E495" s="24" t="s">
        <v>125</v>
      </c>
      <c r="F495" s="12" t="s">
        <v>220</v>
      </c>
      <c r="G495" s="4" t="s">
        <v>1787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3108</v>
      </c>
      <c r="X495" s="3">
        <v>2316</v>
      </c>
      <c r="Y495" s="3">
        <v>2980</v>
      </c>
      <c r="Z495" s="3">
        <v>2878</v>
      </c>
      <c r="AA495" s="3">
        <v>3426</v>
      </c>
      <c r="AB495" s="3">
        <v>4856</v>
      </c>
      <c r="AC495" s="3">
        <v>762</v>
      </c>
      <c r="AD495" s="3">
        <v>1584</v>
      </c>
      <c r="AE495" s="3">
        <v>1800</v>
      </c>
      <c r="AF495" s="3">
        <v>768</v>
      </c>
      <c r="AG495" s="3">
        <v>900</v>
      </c>
      <c r="AH495" s="3">
        <v>1956</v>
      </c>
      <c r="AI495" s="3">
        <v>192</v>
      </c>
      <c r="AJ495" s="3">
        <v>300</v>
      </c>
      <c r="AK495" s="3">
        <v>1326</v>
      </c>
      <c r="AL495" s="3">
        <v>1050</v>
      </c>
      <c r="AM495" s="3">
        <v>1122</v>
      </c>
      <c r="AN495" s="3">
        <v>372</v>
      </c>
      <c r="AO495" s="3">
        <v>804</v>
      </c>
      <c r="AP495" s="3">
        <v>2562</v>
      </c>
      <c r="AQ495" s="3">
        <v>1638</v>
      </c>
      <c r="AR495" s="3">
        <v>1110</v>
      </c>
      <c r="AS495" s="3">
        <v>1860</v>
      </c>
      <c r="AT495" s="3">
        <v>1566</v>
      </c>
      <c r="AU495" s="3">
        <v>1182</v>
      </c>
      <c r="AV495" s="3">
        <v>1620</v>
      </c>
      <c r="AW495" s="3">
        <v>822</v>
      </c>
    </row>
    <row r="496" spans="1:49">
      <c r="A496" s="4" t="s">
        <v>40</v>
      </c>
      <c r="B496" s="4" t="str">
        <f t="shared" si="7"/>
        <v>Hair Care</v>
      </c>
      <c r="C496" s="4" t="s">
        <v>1786</v>
      </c>
      <c r="D496" s="4" t="s">
        <v>575</v>
      </c>
      <c r="E496" s="24" t="s">
        <v>125</v>
      </c>
      <c r="F496" s="12" t="s">
        <v>221</v>
      </c>
      <c r="G496" s="4" t="s">
        <v>1787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1992</v>
      </c>
      <c r="X496" s="3">
        <v>1302</v>
      </c>
      <c r="Y496" s="3">
        <v>1188</v>
      </c>
      <c r="Z496" s="3">
        <v>486</v>
      </c>
      <c r="AA496" s="3">
        <v>1032</v>
      </c>
      <c r="AB496" s="3">
        <v>1164</v>
      </c>
      <c r="AC496" s="3">
        <v>174</v>
      </c>
      <c r="AD496" s="3">
        <v>78</v>
      </c>
      <c r="AE496" s="3">
        <v>294</v>
      </c>
      <c r="AF496" s="3">
        <v>540</v>
      </c>
      <c r="AG496" s="3">
        <v>756</v>
      </c>
      <c r="AH496" s="3">
        <v>678</v>
      </c>
      <c r="AI496" s="3">
        <v>474</v>
      </c>
      <c r="AJ496" s="3">
        <v>318</v>
      </c>
      <c r="AK496" s="3">
        <v>972</v>
      </c>
      <c r="AL496" s="3">
        <v>834</v>
      </c>
      <c r="AM496" s="3">
        <v>648</v>
      </c>
      <c r="AN496" s="3">
        <v>246</v>
      </c>
      <c r="AO496" s="3">
        <v>318</v>
      </c>
      <c r="AP496" s="3">
        <v>564</v>
      </c>
      <c r="AQ496" s="3">
        <v>1164</v>
      </c>
      <c r="AR496" s="3">
        <v>438</v>
      </c>
      <c r="AS496" s="3">
        <v>312</v>
      </c>
      <c r="AT496" s="3">
        <v>858</v>
      </c>
      <c r="AU496" s="3">
        <v>504</v>
      </c>
      <c r="AV496" s="3">
        <v>732</v>
      </c>
      <c r="AW496" s="3">
        <v>462</v>
      </c>
    </row>
    <row r="497" spans="1:49">
      <c r="A497" s="4" t="s">
        <v>40</v>
      </c>
      <c r="B497" s="4" t="str">
        <f t="shared" si="7"/>
        <v>Hair Care</v>
      </c>
      <c r="C497" s="4" t="s">
        <v>1786</v>
      </c>
      <c r="D497" s="4" t="s">
        <v>575</v>
      </c>
      <c r="E497" s="24" t="s">
        <v>125</v>
      </c>
      <c r="F497" s="12" t="s">
        <v>222</v>
      </c>
      <c r="G497" s="4" t="s">
        <v>1787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588</v>
      </c>
      <c r="AF497" s="3">
        <v>2628</v>
      </c>
      <c r="AG497" s="3">
        <v>744</v>
      </c>
      <c r="AH497" s="3">
        <v>804</v>
      </c>
      <c r="AI497" s="3">
        <v>864</v>
      </c>
      <c r="AJ497" s="3">
        <v>588</v>
      </c>
      <c r="AK497" s="3">
        <v>636</v>
      </c>
      <c r="AL497" s="3">
        <v>732</v>
      </c>
      <c r="AM497" s="3">
        <v>732</v>
      </c>
      <c r="AN497" s="3">
        <v>324</v>
      </c>
      <c r="AO497" s="3">
        <v>600</v>
      </c>
      <c r="AP497" s="3">
        <v>540</v>
      </c>
      <c r="AQ497" s="3">
        <v>684</v>
      </c>
      <c r="AR497" s="3">
        <v>888</v>
      </c>
      <c r="AS497" s="3">
        <v>492</v>
      </c>
      <c r="AT497" s="3">
        <v>492</v>
      </c>
      <c r="AU497" s="3">
        <v>468</v>
      </c>
      <c r="AV497" s="3">
        <v>768</v>
      </c>
      <c r="AW497" s="3">
        <v>576</v>
      </c>
    </row>
    <row r="498" spans="1:49">
      <c r="A498" s="4" t="s">
        <v>40</v>
      </c>
      <c r="B498" s="4" t="str">
        <f t="shared" si="7"/>
        <v>Hair Care</v>
      </c>
      <c r="C498" s="4" t="s">
        <v>1786</v>
      </c>
      <c r="D498" s="4" t="s">
        <v>575</v>
      </c>
      <c r="E498" s="24" t="s">
        <v>125</v>
      </c>
      <c r="F498" s="12" t="s">
        <v>223</v>
      </c>
      <c r="G498" s="4" t="s">
        <v>1787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492</v>
      </c>
      <c r="AF498" s="3">
        <v>2616</v>
      </c>
      <c r="AG498" s="3">
        <v>540</v>
      </c>
      <c r="AH498" s="3">
        <v>2004</v>
      </c>
      <c r="AI498" s="3">
        <v>768</v>
      </c>
      <c r="AJ498" s="3">
        <v>750</v>
      </c>
      <c r="AK498" s="3">
        <v>972</v>
      </c>
      <c r="AL498" s="3">
        <v>588</v>
      </c>
      <c r="AM498" s="3">
        <v>1512</v>
      </c>
      <c r="AN498" s="3">
        <v>552</v>
      </c>
      <c r="AO498" s="3">
        <v>846</v>
      </c>
      <c r="AP498" s="3">
        <v>468</v>
      </c>
      <c r="AQ498" s="3">
        <v>1080</v>
      </c>
      <c r="AR498" s="3">
        <v>1104</v>
      </c>
      <c r="AS498" s="3">
        <v>1134</v>
      </c>
      <c r="AT498" s="3">
        <v>1212</v>
      </c>
      <c r="AU498" s="3">
        <v>498</v>
      </c>
      <c r="AV498" s="3">
        <v>810</v>
      </c>
      <c r="AW498" s="3">
        <v>840</v>
      </c>
    </row>
    <row r="499" spans="1:49">
      <c r="A499" s="4" t="s">
        <v>40</v>
      </c>
      <c r="B499" s="4" t="str">
        <f t="shared" si="7"/>
        <v>Hair Care</v>
      </c>
      <c r="C499" s="4" t="s">
        <v>1786</v>
      </c>
      <c r="D499" s="4" t="s">
        <v>575</v>
      </c>
      <c r="E499" s="24" t="s">
        <v>125</v>
      </c>
      <c r="F499" s="12" t="s">
        <v>224</v>
      </c>
      <c r="G499" s="4" t="s">
        <v>1787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2598</v>
      </c>
      <c r="AB499" s="3">
        <v>1260</v>
      </c>
      <c r="AC499" s="3">
        <v>24</v>
      </c>
      <c r="AD499" s="3">
        <v>36</v>
      </c>
      <c r="AE499" s="3">
        <v>24</v>
      </c>
      <c r="AF499" s="3">
        <v>24</v>
      </c>
      <c r="AG499" s="3">
        <v>24</v>
      </c>
      <c r="AH499" s="3">
        <v>30</v>
      </c>
      <c r="AI499" s="3">
        <v>0</v>
      </c>
      <c r="AJ499" s="3">
        <v>0</v>
      </c>
      <c r="AK499" s="3">
        <v>12</v>
      </c>
      <c r="AL499" s="3">
        <v>30</v>
      </c>
      <c r="AM499" s="3">
        <v>0</v>
      </c>
      <c r="AN499" s="3">
        <v>12</v>
      </c>
      <c r="AO499" s="3">
        <v>12</v>
      </c>
      <c r="AP499" s="3">
        <v>6</v>
      </c>
      <c r="AQ499" s="3">
        <v>30</v>
      </c>
      <c r="AR499" s="3">
        <v>36</v>
      </c>
      <c r="AS499" s="3">
        <v>24</v>
      </c>
      <c r="AT499" s="3">
        <v>6</v>
      </c>
      <c r="AU499" s="3">
        <v>150</v>
      </c>
      <c r="AV499" s="3">
        <v>0</v>
      </c>
      <c r="AW499" s="3">
        <v>0</v>
      </c>
    </row>
    <row r="500" spans="1:49">
      <c r="A500" s="4" t="s">
        <v>40</v>
      </c>
      <c r="B500" s="4" t="str">
        <f t="shared" si="7"/>
        <v>Hair Care</v>
      </c>
      <c r="C500" s="4" t="s">
        <v>1786</v>
      </c>
      <c r="D500" s="4" t="s">
        <v>575</v>
      </c>
      <c r="E500" s="24" t="s">
        <v>125</v>
      </c>
      <c r="F500" s="12" t="s">
        <v>225</v>
      </c>
      <c r="G500" s="4" t="s">
        <v>1787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2640</v>
      </c>
      <c r="AE500" s="3">
        <v>732</v>
      </c>
      <c r="AF500" s="3">
        <v>2364</v>
      </c>
      <c r="AG500" s="3">
        <v>600</v>
      </c>
      <c r="AH500" s="3">
        <v>300</v>
      </c>
      <c r="AI500" s="3">
        <v>1392</v>
      </c>
      <c r="AJ500" s="3">
        <v>12</v>
      </c>
      <c r="AK500" s="3">
        <v>3204</v>
      </c>
      <c r="AL500" s="3">
        <v>348</v>
      </c>
      <c r="AM500" s="3">
        <v>132</v>
      </c>
      <c r="AN500" s="3">
        <v>120</v>
      </c>
      <c r="AO500" s="3">
        <v>396</v>
      </c>
      <c r="AP500" s="3">
        <v>480</v>
      </c>
      <c r="AQ500" s="3">
        <v>444</v>
      </c>
      <c r="AR500" s="3">
        <v>120</v>
      </c>
      <c r="AS500" s="3">
        <v>492</v>
      </c>
      <c r="AT500" s="3">
        <v>540</v>
      </c>
      <c r="AU500" s="3">
        <v>600</v>
      </c>
      <c r="AV500" s="3">
        <v>672</v>
      </c>
      <c r="AW500" s="3">
        <v>516</v>
      </c>
    </row>
    <row r="501" spans="1:49">
      <c r="A501" s="4" t="s">
        <v>40</v>
      </c>
      <c r="B501" s="4" t="str">
        <f t="shared" si="7"/>
        <v>Hair Care</v>
      </c>
      <c r="C501" s="4" t="s">
        <v>1786</v>
      </c>
      <c r="D501" s="4" t="s">
        <v>575</v>
      </c>
      <c r="E501" s="24" t="s">
        <v>125</v>
      </c>
      <c r="F501" s="12" t="s">
        <v>226</v>
      </c>
      <c r="G501" s="4" t="s">
        <v>1787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2292</v>
      </c>
      <c r="AE501" s="3">
        <v>780</v>
      </c>
      <c r="AF501" s="3">
        <v>696</v>
      </c>
      <c r="AG501" s="3">
        <v>756</v>
      </c>
      <c r="AH501" s="3">
        <v>948</v>
      </c>
      <c r="AI501" s="3">
        <v>804</v>
      </c>
      <c r="AJ501" s="3">
        <v>729</v>
      </c>
      <c r="AK501" s="3">
        <v>1812</v>
      </c>
      <c r="AL501" s="3">
        <v>96</v>
      </c>
      <c r="AM501" s="3">
        <v>84</v>
      </c>
      <c r="AN501" s="3">
        <v>72</v>
      </c>
      <c r="AO501" s="3">
        <v>372</v>
      </c>
      <c r="AP501" s="3">
        <v>384</v>
      </c>
      <c r="AQ501" s="3">
        <v>312</v>
      </c>
      <c r="AR501" s="3">
        <v>72</v>
      </c>
      <c r="AS501" s="3">
        <v>408</v>
      </c>
      <c r="AT501" s="3">
        <v>312</v>
      </c>
      <c r="AU501" s="3">
        <v>372</v>
      </c>
      <c r="AV501" s="3">
        <v>252</v>
      </c>
      <c r="AW501" s="3">
        <v>228</v>
      </c>
    </row>
    <row r="502" spans="1:49">
      <c r="A502" s="4" t="s">
        <v>40</v>
      </c>
      <c r="B502" s="4" t="str">
        <f t="shared" si="7"/>
        <v>Hair Care</v>
      </c>
      <c r="C502" s="4" t="s">
        <v>1786</v>
      </c>
      <c r="D502" s="4" t="s">
        <v>575</v>
      </c>
      <c r="E502" s="24" t="s">
        <v>125</v>
      </c>
      <c r="F502" s="12" t="s">
        <v>227</v>
      </c>
      <c r="G502" s="4" t="s">
        <v>1787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1878</v>
      </c>
      <c r="AE502" s="3">
        <v>294</v>
      </c>
      <c r="AF502" s="3">
        <v>0</v>
      </c>
      <c r="AG502" s="3">
        <v>0</v>
      </c>
      <c r="AH502" s="3">
        <v>0</v>
      </c>
      <c r="AI502" s="3">
        <v>978</v>
      </c>
      <c r="AJ502" s="3">
        <v>96</v>
      </c>
      <c r="AK502" s="3">
        <v>930</v>
      </c>
      <c r="AL502" s="3">
        <v>48</v>
      </c>
      <c r="AM502" s="3">
        <v>78</v>
      </c>
      <c r="AN502" s="3">
        <v>72</v>
      </c>
      <c r="AO502" s="3">
        <v>144</v>
      </c>
      <c r="AP502" s="3">
        <v>330</v>
      </c>
      <c r="AQ502" s="3">
        <v>288</v>
      </c>
      <c r="AR502" s="3">
        <v>60</v>
      </c>
      <c r="AS502" s="3">
        <v>162</v>
      </c>
      <c r="AT502" s="3">
        <v>198</v>
      </c>
      <c r="AU502" s="3">
        <v>192</v>
      </c>
      <c r="AV502" s="3">
        <v>318</v>
      </c>
      <c r="AW502" s="3">
        <v>102</v>
      </c>
    </row>
    <row r="503" spans="1:49">
      <c r="A503" s="4" t="s">
        <v>40</v>
      </c>
      <c r="B503" s="4" t="str">
        <f t="shared" si="7"/>
        <v>Hair Care</v>
      </c>
      <c r="C503" s="4" t="s">
        <v>1786</v>
      </c>
      <c r="D503" s="4" t="s">
        <v>575</v>
      </c>
      <c r="E503" s="24" t="s">
        <v>125</v>
      </c>
      <c r="F503" s="12" t="s">
        <v>228</v>
      </c>
      <c r="G503" s="4" t="s">
        <v>1787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1938</v>
      </c>
      <c r="AE503" s="3">
        <v>552</v>
      </c>
      <c r="AF503" s="3">
        <v>414</v>
      </c>
      <c r="AG503" s="3">
        <v>186</v>
      </c>
      <c r="AH503" s="3">
        <v>222</v>
      </c>
      <c r="AI503" s="3">
        <v>132</v>
      </c>
      <c r="AJ503" s="3">
        <v>78</v>
      </c>
      <c r="AK503" s="3">
        <v>408</v>
      </c>
      <c r="AL503" s="3">
        <v>60</v>
      </c>
      <c r="AM503" s="3">
        <v>24</v>
      </c>
      <c r="AN503" s="3">
        <v>0</v>
      </c>
      <c r="AO503" s="3">
        <v>198</v>
      </c>
      <c r="AP503" s="3">
        <v>144</v>
      </c>
      <c r="AQ503" s="3">
        <v>132</v>
      </c>
      <c r="AR503" s="3">
        <v>18</v>
      </c>
      <c r="AS503" s="3">
        <v>18</v>
      </c>
      <c r="AT503" s="3">
        <v>48</v>
      </c>
      <c r="AU503" s="3">
        <v>48</v>
      </c>
      <c r="AV503" s="3">
        <v>126</v>
      </c>
      <c r="AW503" s="3">
        <v>30</v>
      </c>
    </row>
    <row r="504" spans="1:49">
      <c r="A504" s="4" t="s">
        <v>40</v>
      </c>
      <c r="B504" s="4" t="str">
        <f t="shared" si="7"/>
        <v>Hair Care</v>
      </c>
      <c r="C504" s="4" t="s">
        <v>1786</v>
      </c>
      <c r="D504" s="4" t="s">
        <v>575</v>
      </c>
      <c r="E504" s="24" t="s">
        <v>125</v>
      </c>
      <c r="F504" s="12" t="s">
        <v>229</v>
      </c>
      <c r="G504" s="4" t="s">
        <v>1787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1440</v>
      </c>
      <c r="AK504" s="3">
        <v>624</v>
      </c>
      <c r="AL504" s="3">
        <v>336</v>
      </c>
      <c r="AM504" s="3">
        <v>696</v>
      </c>
      <c r="AN504" s="3">
        <v>286</v>
      </c>
      <c r="AO504" s="3">
        <v>228</v>
      </c>
      <c r="AP504" s="3">
        <v>336</v>
      </c>
      <c r="AQ504" s="3">
        <v>516</v>
      </c>
      <c r="AR504" s="3">
        <v>612</v>
      </c>
      <c r="AS504" s="3">
        <v>420</v>
      </c>
      <c r="AT504" s="3">
        <v>408</v>
      </c>
      <c r="AU504" s="3">
        <v>372</v>
      </c>
      <c r="AV504" s="3">
        <v>672</v>
      </c>
      <c r="AW504" s="3">
        <v>432</v>
      </c>
    </row>
    <row r="505" spans="1:49">
      <c r="A505" s="4" t="s">
        <v>40</v>
      </c>
      <c r="B505" s="4" t="str">
        <f t="shared" si="7"/>
        <v>Hair Care</v>
      </c>
      <c r="C505" s="4" t="s">
        <v>1786</v>
      </c>
      <c r="D505" s="4" t="s">
        <v>575</v>
      </c>
      <c r="E505" s="24" t="s">
        <v>125</v>
      </c>
      <c r="F505" s="12" t="s">
        <v>230</v>
      </c>
      <c r="G505" s="4" t="s">
        <v>1787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1284</v>
      </c>
      <c r="AJ505" s="3">
        <v>540</v>
      </c>
      <c r="AK505" s="3">
        <v>1518</v>
      </c>
      <c r="AL505" s="3">
        <v>1812</v>
      </c>
      <c r="AM505" s="3">
        <v>612</v>
      </c>
      <c r="AN505" s="3">
        <v>2392</v>
      </c>
      <c r="AO505" s="3">
        <v>1530</v>
      </c>
      <c r="AP505" s="3">
        <v>840</v>
      </c>
      <c r="AQ505" s="3">
        <v>1926</v>
      </c>
      <c r="AR505" s="3">
        <v>1920</v>
      </c>
      <c r="AS505" s="3">
        <v>2232</v>
      </c>
      <c r="AT505" s="3">
        <v>2028</v>
      </c>
      <c r="AU505" s="3">
        <v>1164</v>
      </c>
      <c r="AV505" s="3">
        <v>1080</v>
      </c>
      <c r="AW505" s="3">
        <v>1860</v>
      </c>
    </row>
    <row r="506" spans="1:49">
      <c r="A506" s="4" t="s">
        <v>40</v>
      </c>
      <c r="B506" s="4" t="str">
        <f t="shared" si="7"/>
        <v>Hair Care</v>
      </c>
      <c r="C506" s="4" t="s">
        <v>1786</v>
      </c>
      <c r="D506" s="4" t="s">
        <v>575</v>
      </c>
      <c r="E506" s="24" t="s">
        <v>125</v>
      </c>
      <c r="F506" s="12" t="s">
        <v>231</v>
      </c>
      <c r="G506" s="4" t="s">
        <v>1787</v>
      </c>
      <c r="H506" s="3">
        <v>3990</v>
      </c>
      <c r="I506" s="3">
        <v>2334</v>
      </c>
      <c r="J506" s="3">
        <v>2578</v>
      </c>
      <c r="K506" s="3">
        <v>2214</v>
      </c>
      <c r="L506" s="3">
        <v>1698</v>
      </c>
      <c r="M506" s="3">
        <v>1626</v>
      </c>
      <c r="N506" s="3">
        <v>1968</v>
      </c>
      <c r="O506" s="3">
        <v>1440</v>
      </c>
      <c r="P506" s="3">
        <v>2736</v>
      </c>
      <c r="Q506" s="3">
        <v>948</v>
      </c>
      <c r="R506" s="3">
        <v>1662</v>
      </c>
      <c r="S506" s="3">
        <v>2322</v>
      </c>
      <c r="T506" s="3">
        <v>2088</v>
      </c>
      <c r="U506" s="3">
        <v>600</v>
      </c>
      <c r="V506" s="3">
        <v>1764</v>
      </c>
      <c r="W506" s="3">
        <v>2334</v>
      </c>
      <c r="X506" s="3">
        <v>690</v>
      </c>
      <c r="Y506" s="3">
        <v>1602</v>
      </c>
      <c r="Z506" s="3">
        <v>3102</v>
      </c>
      <c r="AA506" s="3">
        <v>810</v>
      </c>
      <c r="AB506" s="3">
        <v>2346</v>
      </c>
      <c r="AC506" s="3">
        <v>414</v>
      </c>
      <c r="AD506" s="3">
        <v>570</v>
      </c>
      <c r="AE506" s="3">
        <v>888</v>
      </c>
      <c r="AF506" s="3">
        <v>1638</v>
      </c>
      <c r="AG506" s="3">
        <v>630</v>
      </c>
      <c r="AH506" s="3">
        <v>1890</v>
      </c>
      <c r="AI506" s="3">
        <v>780</v>
      </c>
      <c r="AJ506" s="3">
        <v>738</v>
      </c>
      <c r="AK506" s="3">
        <v>1164</v>
      </c>
      <c r="AL506" s="3">
        <v>732</v>
      </c>
      <c r="AM506" s="3">
        <v>1434</v>
      </c>
      <c r="AN506" s="3">
        <v>300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</row>
    <row r="507" spans="1:49">
      <c r="A507" s="4" t="s">
        <v>40</v>
      </c>
      <c r="B507" s="4" t="str">
        <f t="shared" si="7"/>
        <v>Hair Care</v>
      </c>
      <c r="C507" s="4" t="s">
        <v>1786</v>
      </c>
      <c r="D507" s="4" t="s">
        <v>575</v>
      </c>
      <c r="E507" s="24" t="s">
        <v>125</v>
      </c>
      <c r="F507" s="12" t="s">
        <v>232</v>
      </c>
      <c r="G507" s="4" t="s">
        <v>1787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240</v>
      </c>
      <c r="AJ507" s="3">
        <v>48</v>
      </c>
      <c r="AK507" s="3">
        <v>108</v>
      </c>
      <c r="AL507" s="3">
        <v>108</v>
      </c>
      <c r="AM507" s="3">
        <v>144</v>
      </c>
      <c r="AN507" s="3">
        <v>108</v>
      </c>
      <c r="AO507" s="3">
        <v>84</v>
      </c>
      <c r="AP507" s="3">
        <v>120</v>
      </c>
      <c r="AQ507" s="3">
        <v>120</v>
      </c>
      <c r="AR507" s="3">
        <v>168</v>
      </c>
      <c r="AS507" s="3">
        <v>156</v>
      </c>
      <c r="AT507" s="3">
        <v>96</v>
      </c>
      <c r="AU507" s="3">
        <v>108</v>
      </c>
      <c r="AV507" s="3">
        <v>84</v>
      </c>
      <c r="AW507" s="3">
        <v>72</v>
      </c>
    </row>
    <row r="508" spans="1:49">
      <c r="A508" s="4" t="s">
        <v>40</v>
      </c>
      <c r="B508" s="4" t="str">
        <f t="shared" si="7"/>
        <v>Hair Care</v>
      </c>
      <c r="C508" s="4" t="s">
        <v>1786</v>
      </c>
      <c r="D508" s="4" t="s">
        <v>575</v>
      </c>
      <c r="E508" s="24" t="s">
        <v>125</v>
      </c>
      <c r="F508" s="12" t="s">
        <v>233</v>
      </c>
      <c r="G508" s="4" t="s">
        <v>1787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24</v>
      </c>
      <c r="AL508" s="3">
        <v>0</v>
      </c>
      <c r="AM508" s="3">
        <v>36</v>
      </c>
      <c r="AN508" s="3">
        <v>106</v>
      </c>
      <c r="AO508" s="3">
        <v>84</v>
      </c>
      <c r="AP508" s="3">
        <v>528</v>
      </c>
      <c r="AQ508" s="3">
        <v>288</v>
      </c>
      <c r="AR508" s="3">
        <v>636</v>
      </c>
      <c r="AS508" s="3">
        <v>264</v>
      </c>
      <c r="AT508" s="3">
        <v>336</v>
      </c>
      <c r="AU508" s="3">
        <v>348</v>
      </c>
      <c r="AV508" s="3">
        <v>468</v>
      </c>
      <c r="AW508" s="3">
        <v>252</v>
      </c>
    </row>
    <row r="509" spans="1:49">
      <c r="A509" s="4" t="s">
        <v>40</v>
      </c>
      <c r="B509" s="4" t="str">
        <f t="shared" si="7"/>
        <v>Hair Care</v>
      </c>
      <c r="C509" s="4" t="s">
        <v>1786</v>
      </c>
      <c r="D509" s="4" t="s">
        <v>575</v>
      </c>
      <c r="E509" s="24" t="s">
        <v>125</v>
      </c>
      <c r="F509" s="12" t="s">
        <v>234</v>
      </c>
      <c r="G509" s="4" t="s">
        <v>1787</v>
      </c>
      <c r="H509" s="3">
        <v>1740</v>
      </c>
      <c r="I509" s="3">
        <v>1586</v>
      </c>
      <c r="J509" s="3">
        <v>2974</v>
      </c>
      <c r="K509" s="3">
        <v>1872</v>
      </c>
      <c r="L509" s="3">
        <v>2418</v>
      </c>
      <c r="M509" s="3">
        <v>2334</v>
      </c>
      <c r="N509" s="3">
        <v>1476</v>
      </c>
      <c r="O509" s="3">
        <v>1104</v>
      </c>
      <c r="P509" s="3">
        <v>2370</v>
      </c>
      <c r="Q509" s="3">
        <v>984</v>
      </c>
      <c r="R509" s="3">
        <v>2520</v>
      </c>
      <c r="S509" s="3">
        <v>3714</v>
      </c>
      <c r="T509" s="3">
        <v>1380</v>
      </c>
      <c r="U509" s="3">
        <v>1020</v>
      </c>
      <c r="V509" s="3">
        <v>1110</v>
      </c>
      <c r="W509" s="3">
        <v>2424</v>
      </c>
      <c r="X509" s="3">
        <v>690</v>
      </c>
      <c r="Y509" s="3">
        <v>3792</v>
      </c>
      <c r="Z509" s="3">
        <v>2850</v>
      </c>
      <c r="AA509" s="3">
        <v>954</v>
      </c>
      <c r="AB509" s="3">
        <v>2142</v>
      </c>
      <c r="AC509" s="3">
        <v>360</v>
      </c>
      <c r="AD509" s="3">
        <v>360</v>
      </c>
      <c r="AE509" s="3">
        <v>984</v>
      </c>
      <c r="AF509" s="3">
        <v>1548</v>
      </c>
      <c r="AG509" s="3">
        <v>1290</v>
      </c>
      <c r="AH509" s="3">
        <v>2838</v>
      </c>
      <c r="AI509" s="3">
        <v>162</v>
      </c>
      <c r="AJ509" s="3">
        <v>306</v>
      </c>
      <c r="AK509" s="3">
        <v>1020</v>
      </c>
      <c r="AL509" s="3">
        <v>1338</v>
      </c>
      <c r="AM509" s="3">
        <v>1236</v>
      </c>
      <c r="AN509" s="3">
        <v>934</v>
      </c>
      <c r="AO509" s="3">
        <v>1032</v>
      </c>
      <c r="AP509" s="3">
        <v>684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</row>
    <row r="510" spans="1:49">
      <c r="A510" s="4" t="s">
        <v>40</v>
      </c>
      <c r="B510" s="4" t="str">
        <f t="shared" si="7"/>
        <v>Hair Care</v>
      </c>
      <c r="C510" s="4" t="s">
        <v>1786</v>
      </c>
      <c r="D510" s="4" t="s">
        <v>575</v>
      </c>
      <c r="E510" s="24" t="s">
        <v>125</v>
      </c>
      <c r="F510" s="12" t="s">
        <v>235</v>
      </c>
      <c r="G510" s="4" t="s">
        <v>1787</v>
      </c>
      <c r="H510" s="3">
        <v>228</v>
      </c>
      <c r="I510" s="3">
        <v>177</v>
      </c>
      <c r="J510" s="3">
        <v>150</v>
      </c>
      <c r="K510" s="3">
        <v>282</v>
      </c>
      <c r="L510" s="3">
        <v>42</v>
      </c>
      <c r="M510" s="3">
        <v>96</v>
      </c>
      <c r="N510" s="3">
        <v>69</v>
      </c>
      <c r="O510" s="3">
        <v>105</v>
      </c>
      <c r="P510" s="3">
        <v>159</v>
      </c>
      <c r="Q510" s="3">
        <v>48</v>
      </c>
      <c r="R510" s="3">
        <v>273</v>
      </c>
      <c r="S510" s="3">
        <v>264</v>
      </c>
      <c r="T510" s="3">
        <v>90</v>
      </c>
      <c r="U510" s="3">
        <v>81</v>
      </c>
      <c r="V510" s="3">
        <v>117</v>
      </c>
      <c r="W510" s="3">
        <v>195</v>
      </c>
      <c r="X510" s="3">
        <v>147</v>
      </c>
      <c r="Y510" s="3">
        <v>120</v>
      </c>
      <c r="Z510" s="3">
        <v>126</v>
      </c>
      <c r="AA510" s="3">
        <v>93</v>
      </c>
      <c r="AB510" s="3">
        <v>333</v>
      </c>
      <c r="AC510" s="3">
        <v>12</v>
      </c>
      <c r="AD510" s="3">
        <v>12</v>
      </c>
      <c r="AE510" s="3">
        <v>93</v>
      </c>
      <c r="AF510" s="3">
        <v>189</v>
      </c>
      <c r="AG510" s="3">
        <v>54</v>
      </c>
      <c r="AH510" s="3">
        <v>90</v>
      </c>
      <c r="AI510" s="3">
        <v>144</v>
      </c>
      <c r="AJ510" s="3">
        <v>24</v>
      </c>
      <c r="AK510" s="3">
        <v>135</v>
      </c>
      <c r="AL510" s="3">
        <v>198</v>
      </c>
      <c r="AM510" s="3">
        <v>135</v>
      </c>
      <c r="AN510" s="3">
        <v>12</v>
      </c>
      <c r="AO510" s="3">
        <v>138</v>
      </c>
      <c r="AP510" s="3">
        <v>117</v>
      </c>
      <c r="AQ510" s="3">
        <v>159</v>
      </c>
      <c r="AR510" s="3">
        <v>384</v>
      </c>
      <c r="AS510" s="3">
        <v>201</v>
      </c>
      <c r="AT510" s="3">
        <v>0</v>
      </c>
      <c r="AU510" s="3">
        <v>0</v>
      </c>
      <c r="AV510" s="3">
        <v>162</v>
      </c>
      <c r="AW510" s="3">
        <v>228</v>
      </c>
    </row>
    <row r="511" spans="1:49">
      <c r="A511" s="4" t="s">
        <v>40</v>
      </c>
      <c r="B511" s="4" t="str">
        <f t="shared" si="7"/>
        <v>Hair Care</v>
      </c>
      <c r="C511" s="4" t="s">
        <v>1786</v>
      </c>
      <c r="D511" s="4" t="s">
        <v>575</v>
      </c>
      <c r="E511" s="24" t="s">
        <v>125</v>
      </c>
      <c r="F511" s="12" t="s">
        <v>236</v>
      </c>
      <c r="G511" s="4" t="s">
        <v>1787</v>
      </c>
      <c r="H511" s="3">
        <v>306</v>
      </c>
      <c r="I511" s="3">
        <v>84</v>
      </c>
      <c r="J511" s="3">
        <v>326</v>
      </c>
      <c r="K511" s="3">
        <v>534</v>
      </c>
      <c r="L511" s="3">
        <v>195</v>
      </c>
      <c r="M511" s="3">
        <v>138</v>
      </c>
      <c r="N511" s="3">
        <v>245</v>
      </c>
      <c r="O511" s="3">
        <v>180</v>
      </c>
      <c r="P511" s="3">
        <v>285</v>
      </c>
      <c r="Q511" s="3">
        <v>366</v>
      </c>
      <c r="R511" s="3">
        <v>510</v>
      </c>
      <c r="S511" s="3">
        <v>390</v>
      </c>
      <c r="T511" s="3">
        <v>253</v>
      </c>
      <c r="U511" s="3">
        <v>358</v>
      </c>
      <c r="V511" s="3">
        <v>131</v>
      </c>
      <c r="W511" s="3">
        <v>426</v>
      </c>
      <c r="X511" s="3">
        <v>250</v>
      </c>
      <c r="Y511" s="3">
        <v>279</v>
      </c>
      <c r="Z511" s="3">
        <v>186</v>
      </c>
      <c r="AA511" s="3">
        <v>288</v>
      </c>
      <c r="AB511" s="3">
        <v>418</v>
      </c>
      <c r="AC511" s="3">
        <v>42</v>
      </c>
      <c r="AD511" s="3">
        <v>120</v>
      </c>
      <c r="AE511" s="3">
        <v>213</v>
      </c>
      <c r="AF511" s="3">
        <v>351</v>
      </c>
      <c r="AG511" s="3">
        <v>66</v>
      </c>
      <c r="AH511" s="3">
        <v>210</v>
      </c>
      <c r="AI511" s="3">
        <v>312</v>
      </c>
      <c r="AJ511" s="3">
        <v>111</v>
      </c>
      <c r="AK511" s="3">
        <v>600</v>
      </c>
      <c r="AL511" s="3">
        <v>92</v>
      </c>
      <c r="AM511" s="3">
        <v>391</v>
      </c>
      <c r="AN511" s="3">
        <v>264</v>
      </c>
      <c r="AO511" s="3">
        <v>538</v>
      </c>
      <c r="AP511" s="3">
        <v>478</v>
      </c>
      <c r="AQ511" s="3">
        <v>438</v>
      </c>
      <c r="AR511" s="3">
        <v>348</v>
      </c>
      <c r="AS511" s="3">
        <v>420</v>
      </c>
      <c r="AT511" s="3">
        <v>312</v>
      </c>
      <c r="AU511" s="3">
        <v>366</v>
      </c>
      <c r="AV511" s="3">
        <v>375</v>
      </c>
      <c r="AW511" s="3">
        <v>234</v>
      </c>
    </row>
    <row r="512" spans="1:49">
      <c r="A512" s="4" t="s">
        <v>40</v>
      </c>
      <c r="B512" s="4" t="str">
        <f t="shared" si="7"/>
        <v>Hair Care</v>
      </c>
      <c r="C512" s="4" t="s">
        <v>1786</v>
      </c>
      <c r="D512" s="4" t="s">
        <v>575</v>
      </c>
      <c r="E512" s="24" t="s">
        <v>125</v>
      </c>
      <c r="F512" s="12" t="s">
        <v>237</v>
      </c>
      <c r="G512" s="4" t="s">
        <v>1787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2334</v>
      </c>
      <c r="AS512" s="3">
        <v>1260</v>
      </c>
      <c r="AT512" s="3">
        <v>2442</v>
      </c>
      <c r="AU512" s="3">
        <v>876</v>
      </c>
      <c r="AV512" s="3">
        <v>864</v>
      </c>
      <c r="AW512" s="3">
        <v>1512</v>
      </c>
    </row>
    <row r="513" spans="1:49">
      <c r="A513" s="4" t="s">
        <v>40</v>
      </c>
      <c r="B513" s="4" t="str">
        <f t="shared" si="7"/>
        <v>Hair Care</v>
      </c>
      <c r="C513" s="4" t="s">
        <v>1786</v>
      </c>
      <c r="D513" s="4" t="s">
        <v>575</v>
      </c>
      <c r="E513" s="24" t="s">
        <v>125</v>
      </c>
      <c r="F513" s="12" t="s">
        <v>238</v>
      </c>
      <c r="G513" s="4" t="s">
        <v>1787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12</v>
      </c>
      <c r="AL513" s="3">
        <v>24</v>
      </c>
      <c r="AM513" s="3">
        <v>12</v>
      </c>
      <c r="AN513" s="3">
        <v>12</v>
      </c>
      <c r="AO513" s="3">
        <v>636</v>
      </c>
      <c r="AP513" s="3">
        <v>576</v>
      </c>
      <c r="AQ513" s="3">
        <v>588</v>
      </c>
      <c r="AR513" s="3">
        <v>1566</v>
      </c>
      <c r="AS513" s="3">
        <v>810</v>
      </c>
      <c r="AT513" s="3">
        <v>2802</v>
      </c>
      <c r="AU513" s="3">
        <v>666</v>
      </c>
      <c r="AV513" s="3">
        <v>1086</v>
      </c>
      <c r="AW513" s="3">
        <v>1698</v>
      </c>
    </row>
    <row r="514" spans="1:49">
      <c r="A514" s="4" t="s">
        <v>40</v>
      </c>
      <c r="B514" s="4" t="str">
        <f t="shared" si="7"/>
        <v>Hair Care</v>
      </c>
      <c r="C514" s="4" t="s">
        <v>1786</v>
      </c>
      <c r="D514" s="4" t="s">
        <v>575</v>
      </c>
      <c r="E514" s="24" t="s">
        <v>125</v>
      </c>
      <c r="F514" s="12" t="s">
        <v>239</v>
      </c>
      <c r="G514" s="4" t="s">
        <v>1787</v>
      </c>
      <c r="H514" s="3">
        <v>1449</v>
      </c>
      <c r="I514" s="3">
        <v>1518</v>
      </c>
      <c r="J514" s="3">
        <v>1023</v>
      </c>
      <c r="K514" s="3">
        <v>942</v>
      </c>
      <c r="L514" s="3">
        <v>681</v>
      </c>
      <c r="M514" s="3">
        <v>789</v>
      </c>
      <c r="N514" s="3">
        <v>567</v>
      </c>
      <c r="O514" s="3">
        <v>1044</v>
      </c>
      <c r="P514" s="3">
        <v>933</v>
      </c>
      <c r="Q514" s="3">
        <v>831</v>
      </c>
      <c r="R514" s="3">
        <v>1554</v>
      </c>
      <c r="S514" s="3">
        <v>1350</v>
      </c>
      <c r="T514" s="3">
        <v>1341</v>
      </c>
      <c r="U514" s="3">
        <v>1587</v>
      </c>
      <c r="V514" s="3">
        <v>1101</v>
      </c>
      <c r="W514" s="3">
        <v>726</v>
      </c>
      <c r="X514" s="3">
        <v>2166</v>
      </c>
      <c r="Y514" s="3">
        <v>1101</v>
      </c>
      <c r="Z514" s="3">
        <v>588</v>
      </c>
      <c r="AA514" s="3">
        <v>588</v>
      </c>
      <c r="AB514" s="3">
        <v>0</v>
      </c>
      <c r="AC514" s="3">
        <v>2508</v>
      </c>
      <c r="AD514" s="3">
        <v>3786</v>
      </c>
      <c r="AE514" s="3">
        <v>1209</v>
      </c>
      <c r="AF514" s="3">
        <v>2094</v>
      </c>
      <c r="AG514" s="3">
        <v>313</v>
      </c>
      <c r="AH514" s="3">
        <v>0</v>
      </c>
      <c r="AI514" s="3">
        <v>3033</v>
      </c>
      <c r="AJ514" s="3">
        <v>1500</v>
      </c>
      <c r="AK514" s="3">
        <v>2322</v>
      </c>
      <c r="AL514" s="3">
        <v>2490</v>
      </c>
      <c r="AM514" s="3">
        <v>2097</v>
      </c>
      <c r="AN514" s="3">
        <v>1764</v>
      </c>
      <c r="AO514" s="3">
        <v>1605</v>
      </c>
      <c r="AP514" s="3">
        <v>2442</v>
      </c>
      <c r="AQ514" s="3">
        <v>858</v>
      </c>
      <c r="AR514" s="3">
        <v>5142</v>
      </c>
      <c r="AS514" s="3">
        <v>322</v>
      </c>
      <c r="AT514" s="3">
        <v>6234</v>
      </c>
      <c r="AU514" s="3">
        <v>1914</v>
      </c>
      <c r="AV514" s="3">
        <v>2439</v>
      </c>
      <c r="AW514" s="3">
        <v>2712</v>
      </c>
    </row>
    <row r="515" spans="1:49">
      <c r="A515" s="4" t="s">
        <v>40</v>
      </c>
      <c r="B515" s="4" t="str">
        <f t="shared" ref="B515:B578" si="8">A515</f>
        <v>Hair Care</v>
      </c>
      <c r="C515" s="4" t="s">
        <v>1786</v>
      </c>
      <c r="D515" s="4" t="s">
        <v>575</v>
      </c>
      <c r="E515" s="24" t="s">
        <v>125</v>
      </c>
      <c r="F515" s="12" t="s">
        <v>240</v>
      </c>
      <c r="G515" s="4" t="s">
        <v>1787</v>
      </c>
      <c r="H515" s="3">
        <v>240</v>
      </c>
      <c r="I515" s="3">
        <v>144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</row>
    <row r="516" spans="1:49">
      <c r="A516" s="4" t="s">
        <v>40</v>
      </c>
      <c r="B516" s="4" t="str">
        <f t="shared" si="8"/>
        <v>Hair Care</v>
      </c>
      <c r="C516" s="4" t="s">
        <v>1786</v>
      </c>
      <c r="D516" s="4" t="s">
        <v>575</v>
      </c>
      <c r="E516" s="24" t="s">
        <v>125</v>
      </c>
      <c r="F516" s="12" t="s">
        <v>241</v>
      </c>
      <c r="G516" s="4" t="s">
        <v>1787</v>
      </c>
      <c r="H516" s="3">
        <v>348</v>
      </c>
      <c r="I516" s="3">
        <v>192</v>
      </c>
      <c r="J516" s="3">
        <v>204</v>
      </c>
      <c r="K516" s="3">
        <v>120</v>
      </c>
      <c r="L516" s="3">
        <v>12</v>
      </c>
      <c r="M516" s="3">
        <v>12</v>
      </c>
      <c r="N516" s="3">
        <v>12</v>
      </c>
      <c r="O516" s="3">
        <v>0</v>
      </c>
      <c r="P516" s="3">
        <v>0</v>
      </c>
      <c r="Q516" s="3">
        <v>0</v>
      </c>
      <c r="R516" s="3">
        <v>0</v>
      </c>
      <c r="S516" s="3">
        <v>12</v>
      </c>
      <c r="T516" s="3">
        <v>36</v>
      </c>
      <c r="U516" s="3">
        <v>0</v>
      </c>
      <c r="V516" s="3">
        <v>12</v>
      </c>
      <c r="W516" s="3">
        <v>0</v>
      </c>
      <c r="X516" s="3">
        <v>0</v>
      </c>
      <c r="Y516" s="3">
        <v>0</v>
      </c>
      <c r="Z516" s="3">
        <v>24</v>
      </c>
      <c r="AA516" s="3">
        <v>12</v>
      </c>
      <c r="AB516" s="3">
        <v>0</v>
      </c>
      <c r="AC516" s="3">
        <v>12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</row>
    <row r="517" spans="1:49">
      <c r="A517" s="4" t="s">
        <v>40</v>
      </c>
      <c r="B517" s="4" t="str">
        <f t="shared" si="8"/>
        <v>Hair Care</v>
      </c>
      <c r="C517" s="4" t="s">
        <v>1786</v>
      </c>
      <c r="D517" s="4" t="s">
        <v>575</v>
      </c>
      <c r="E517" s="24" t="s">
        <v>125</v>
      </c>
      <c r="F517" s="12" t="s">
        <v>242</v>
      </c>
      <c r="G517" s="4" t="s">
        <v>1787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669</v>
      </c>
      <c r="O517" s="3">
        <v>321</v>
      </c>
      <c r="P517" s="3">
        <v>375</v>
      </c>
      <c r="Q517" s="3">
        <v>249</v>
      </c>
      <c r="R517" s="3">
        <v>405</v>
      </c>
      <c r="S517" s="3">
        <v>429</v>
      </c>
      <c r="T517" s="3">
        <v>279</v>
      </c>
      <c r="U517" s="3">
        <v>102</v>
      </c>
      <c r="V517" s="3">
        <v>528</v>
      </c>
      <c r="W517" s="3">
        <v>255</v>
      </c>
      <c r="X517" s="3">
        <v>54</v>
      </c>
      <c r="Y517" s="3">
        <v>375</v>
      </c>
      <c r="Z517" s="3">
        <v>318</v>
      </c>
      <c r="AA517" s="3">
        <v>234</v>
      </c>
      <c r="AB517" s="3">
        <v>186</v>
      </c>
      <c r="AC517" s="3">
        <v>57</v>
      </c>
      <c r="AD517" s="3">
        <v>192</v>
      </c>
      <c r="AE517" s="3">
        <v>216</v>
      </c>
      <c r="AF517" s="3">
        <v>288</v>
      </c>
      <c r="AG517" s="3">
        <v>267</v>
      </c>
      <c r="AH517" s="3">
        <v>57</v>
      </c>
      <c r="AI517" s="3">
        <v>663</v>
      </c>
      <c r="AJ517" s="3">
        <v>78</v>
      </c>
      <c r="AK517" s="3">
        <v>126</v>
      </c>
      <c r="AL517" s="3">
        <v>0</v>
      </c>
      <c r="AM517" s="3">
        <v>279</v>
      </c>
      <c r="AN517" s="3">
        <v>24</v>
      </c>
      <c r="AO517" s="3">
        <v>237</v>
      </c>
      <c r="AP517" s="3">
        <v>144</v>
      </c>
      <c r="AQ517" s="3">
        <v>435</v>
      </c>
      <c r="AR517" s="3">
        <v>543</v>
      </c>
      <c r="AS517" s="3">
        <v>273</v>
      </c>
      <c r="AT517" s="3">
        <v>0</v>
      </c>
      <c r="AU517" s="3">
        <v>0</v>
      </c>
      <c r="AV517" s="3">
        <v>0</v>
      </c>
      <c r="AW517" s="3">
        <v>93</v>
      </c>
    </row>
    <row r="518" spans="1:49">
      <c r="A518" s="4" t="s">
        <v>40</v>
      </c>
      <c r="B518" s="4" t="str">
        <f t="shared" si="8"/>
        <v>Hair Care</v>
      </c>
      <c r="C518" s="4" t="s">
        <v>1786</v>
      </c>
      <c r="D518" s="4" t="s">
        <v>575</v>
      </c>
      <c r="E518" s="24" t="s">
        <v>125</v>
      </c>
      <c r="F518" s="12" t="s">
        <v>243</v>
      </c>
      <c r="G518" s="4" t="s">
        <v>1787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1032</v>
      </c>
      <c r="AK518" s="3">
        <v>492</v>
      </c>
      <c r="AL518" s="3">
        <v>288</v>
      </c>
      <c r="AM518" s="3">
        <v>444</v>
      </c>
      <c r="AN518" s="3">
        <v>372</v>
      </c>
      <c r="AO518" s="3">
        <v>600</v>
      </c>
      <c r="AP518" s="3">
        <v>456</v>
      </c>
      <c r="AQ518" s="3">
        <v>600</v>
      </c>
      <c r="AR518" s="3">
        <v>684</v>
      </c>
      <c r="AS518" s="3">
        <v>588</v>
      </c>
      <c r="AT518" s="3">
        <v>696</v>
      </c>
      <c r="AU518" s="3">
        <v>408</v>
      </c>
      <c r="AV518" s="3">
        <v>612</v>
      </c>
      <c r="AW518" s="3">
        <v>660</v>
      </c>
    </row>
    <row r="519" spans="1:49">
      <c r="A519" s="4" t="s">
        <v>40</v>
      </c>
      <c r="B519" s="4" t="str">
        <f t="shared" si="8"/>
        <v>Hair Care</v>
      </c>
      <c r="C519" s="4" t="s">
        <v>1786</v>
      </c>
      <c r="D519" s="4" t="s">
        <v>575</v>
      </c>
      <c r="E519" s="24" t="s">
        <v>125</v>
      </c>
      <c r="F519" s="12" t="s">
        <v>244</v>
      </c>
      <c r="G519" s="4" t="s">
        <v>1787</v>
      </c>
      <c r="H519" s="3">
        <v>300</v>
      </c>
      <c r="I519" s="3">
        <v>228</v>
      </c>
      <c r="J519" s="3">
        <v>168</v>
      </c>
      <c r="K519" s="3">
        <v>12</v>
      </c>
      <c r="L519" s="3">
        <v>0</v>
      </c>
      <c r="M519" s="3">
        <v>12</v>
      </c>
      <c r="N519" s="3">
        <v>24</v>
      </c>
      <c r="O519" s="3">
        <v>12</v>
      </c>
      <c r="P519" s="3">
        <v>48</v>
      </c>
      <c r="Q519" s="3">
        <v>0</v>
      </c>
      <c r="R519" s="3">
        <v>0</v>
      </c>
      <c r="S519" s="3">
        <v>0</v>
      </c>
      <c r="T519" s="3">
        <v>36</v>
      </c>
      <c r="U519" s="3">
        <v>0</v>
      </c>
      <c r="V519" s="3">
        <v>0</v>
      </c>
      <c r="W519" s="3">
        <v>12</v>
      </c>
      <c r="X519" s="3">
        <v>24</v>
      </c>
      <c r="Y519" s="3">
        <v>0</v>
      </c>
      <c r="Z519" s="3">
        <v>0</v>
      </c>
      <c r="AA519" s="3">
        <v>0</v>
      </c>
      <c r="AB519" s="3">
        <v>12</v>
      </c>
      <c r="AC519" s="3">
        <v>24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</row>
    <row r="520" spans="1:49">
      <c r="A520" s="4" t="s">
        <v>40</v>
      </c>
      <c r="B520" s="4" t="str">
        <f t="shared" si="8"/>
        <v>Hair Care</v>
      </c>
      <c r="C520" s="4" t="s">
        <v>1786</v>
      </c>
      <c r="D520" s="4" t="s">
        <v>575</v>
      </c>
      <c r="E520" s="24" t="s">
        <v>125</v>
      </c>
      <c r="F520" s="12" t="s">
        <v>245</v>
      </c>
      <c r="G520" s="4" t="s">
        <v>1787</v>
      </c>
      <c r="H520" s="3">
        <v>1314</v>
      </c>
      <c r="I520" s="3">
        <v>210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</row>
    <row r="521" spans="1:49">
      <c r="A521" s="4" t="s">
        <v>40</v>
      </c>
      <c r="B521" s="4" t="str">
        <f t="shared" si="8"/>
        <v>Hair Care</v>
      </c>
      <c r="C521" s="4" t="s">
        <v>1786</v>
      </c>
      <c r="D521" s="4" t="s">
        <v>575</v>
      </c>
      <c r="E521" s="24" t="s">
        <v>125</v>
      </c>
      <c r="F521" s="12" t="s">
        <v>246</v>
      </c>
      <c r="G521" s="4" t="s">
        <v>1787</v>
      </c>
      <c r="H521" s="3">
        <v>2657</v>
      </c>
      <c r="I521" s="3">
        <v>1248</v>
      </c>
      <c r="J521" s="3">
        <v>522</v>
      </c>
      <c r="K521" s="3">
        <v>240</v>
      </c>
      <c r="L521" s="3">
        <v>156</v>
      </c>
      <c r="M521" s="3">
        <v>0</v>
      </c>
      <c r="N521" s="3">
        <v>0</v>
      </c>
      <c r="O521" s="3">
        <v>12</v>
      </c>
      <c r="P521" s="3">
        <v>0</v>
      </c>
      <c r="Q521" s="3">
        <v>0</v>
      </c>
      <c r="R521" s="3">
        <v>0</v>
      </c>
      <c r="S521" s="3">
        <v>36</v>
      </c>
      <c r="T521" s="3">
        <v>0</v>
      </c>
      <c r="U521" s="3">
        <v>0</v>
      </c>
      <c r="V521" s="3">
        <v>12</v>
      </c>
      <c r="W521" s="3">
        <v>12</v>
      </c>
      <c r="X521" s="3">
        <v>12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</row>
    <row r="522" spans="1:49">
      <c r="A522" s="4" t="s">
        <v>40</v>
      </c>
      <c r="B522" s="4" t="str">
        <f t="shared" si="8"/>
        <v>Hair Care</v>
      </c>
      <c r="C522" s="4" t="s">
        <v>1786</v>
      </c>
      <c r="D522" s="4" t="s">
        <v>575</v>
      </c>
      <c r="E522" s="24" t="s">
        <v>125</v>
      </c>
      <c r="F522" s="12" t="s">
        <v>247</v>
      </c>
      <c r="G522" s="4" t="s">
        <v>1787</v>
      </c>
      <c r="H522" s="3">
        <v>275</v>
      </c>
      <c r="I522" s="3">
        <v>192</v>
      </c>
      <c r="J522" s="3">
        <v>156</v>
      </c>
      <c r="K522" s="3">
        <v>36</v>
      </c>
      <c r="L522" s="3">
        <v>24</v>
      </c>
      <c r="M522" s="3">
        <v>12</v>
      </c>
      <c r="N522" s="3">
        <v>0</v>
      </c>
      <c r="O522" s="3">
        <v>192</v>
      </c>
      <c r="P522" s="3">
        <v>96</v>
      </c>
      <c r="Q522" s="3">
        <v>36</v>
      </c>
      <c r="R522" s="3">
        <v>228</v>
      </c>
      <c r="S522" s="3">
        <v>84</v>
      </c>
      <c r="T522" s="3">
        <v>0</v>
      </c>
      <c r="U522" s="3">
        <v>36</v>
      </c>
      <c r="V522" s="3">
        <v>120</v>
      </c>
      <c r="W522" s="3">
        <v>120</v>
      </c>
      <c r="X522" s="3">
        <v>24</v>
      </c>
      <c r="Y522" s="3">
        <v>36</v>
      </c>
      <c r="Z522" s="3">
        <v>0</v>
      </c>
      <c r="AA522" s="3">
        <v>24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</row>
    <row r="523" spans="1:49">
      <c r="A523" s="4" t="s">
        <v>40</v>
      </c>
      <c r="B523" s="4" t="str">
        <f t="shared" si="8"/>
        <v>Hair Care</v>
      </c>
      <c r="C523" s="4" t="s">
        <v>1786</v>
      </c>
      <c r="D523" s="4" t="s">
        <v>575</v>
      </c>
      <c r="E523" s="24" t="s">
        <v>125</v>
      </c>
      <c r="F523" s="12" t="s">
        <v>248</v>
      </c>
      <c r="G523" s="4" t="s">
        <v>1787</v>
      </c>
      <c r="H523" s="3">
        <v>387</v>
      </c>
      <c r="I523" s="3">
        <v>399</v>
      </c>
      <c r="J523" s="3">
        <v>264</v>
      </c>
      <c r="K523" s="3">
        <v>594</v>
      </c>
      <c r="L523" s="3">
        <v>99</v>
      </c>
      <c r="M523" s="3">
        <v>141</v>
      </c>
      <c r="N523" s="3">
        <v>156</v>
      </c>
      <c r="O523" s="3">
        <v>237</v>
      </c>
      <c r="P523" s="3">
        <v>363</v>
      </c>
      <c r="Q523" s="3">
        <v>138</v>
      </c>
      <c r="R523" s="3">
        <v>462</v>
      </c>
      <c r="S523" s="3">
        <v>429</v>
      </c>
      <c r="T523" s="3">
        <v>63</v>
      </c>
      <c r="U523" s="3">
        <v>174</v>
      </c>
      <c r="V523" s="3">
        <v>111</v>
      </c>
      <c r="W523" s="3">
        <v>0</v>
      </c>
      <c r="X523" s="3">
        <v>0</v>
      </c>
      <c r="Y523" s="3">
        <v>387</v>
      </c>
      <c r="Z523" s="3">
        <v>258</v>
      </c>
      <c r="AA523" s="3">
        <v>249</v>
      </c>
      <c r="AB523" s="3">
        <v>468</v>
      </c>
      <c r="AC523" s="3">
        <v>24</v>
      </c>
      <c r="AD523" s="3">
        <v>93</v>
      </c>
      <c r="AE523" s="3">
        <v>216</v>
      </c>
      <c r="AF523" s="3">
        <v>279</v>
      </c>
      <c r="AG523" s="3">
        <v>228</v>
      </c>
      <c r="AH523" s="3">
        <v>207</v>
      </c>
      <c r="AI523" s="3">
        <v>228</v>
      </c>
      <c r="AJ523" s="3">
        <v>168</v>
      </c>
      <c r="AK523" s="3">
        <v>282</v>
      </c>
      <c r="AL523" s="3">
        <v>300</v>
      </c>
      <c r="AM523" s="3">
        <v>273</v>
      </c>
      <c r="AN523" s="3">
        <v>48</v>
      </c>
      <c r="AO523" s="3">
        <v>417</v>
      </c>
      <c r="AP523" s="3">
        <v>360</v>
      </c>
      <c r="AQ523" s="3">
        <v>534</v>
      </c>
      <c r="AR523" s="3">
        <v>378</v>
      </c>
      <c r="AS523" s="3">
        <v>450</v>
      </c>
      <c r="AT523" s="3">
        <v>261</v>
      </c>
      <c r="AU523" s="3">
        <v>456</v>
      </c>
      <c r="AV523" s="3">
        <v>300</v>
      </c>
      <c r="AW523" s="3">
        <v>309</v>
      </c>
    </row>
    <row r="524" spans="1:49">
      <c r="A524" s="4" t="s">
        <v>40</v>
      </c>
      <c r="B524" s="4" t="str">
        <f t="shared" si="8"/>
        <v>Hair Care</v>
      </c>
      <c r="C524" s="4" t="s">
        <v>1786</v>
      </c>
      <c r="D524" s="4" t="s">
        <v>575</v>
      </c>
      <c r="E524" s="24" t="s">
        <v>125</v>
      </c>
      <c r="F524" s="12" t="s">
        <v>249</v>
      </c>
      <c r="G524" s="4" t="s">
        <v>1787</v>
      </c>
      <c r="H524" s="3">
        <v>384</v>
      </c>
      <c r="I524" s="3">
        <v>0</v>
      </c>
      <c r="J524" s="3">
        <v>36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792</v>
      </c>
      <c r="S524" s="3">
        <v>168</v>
      </c>
      <c r="T524" s="3">
        <v>432</v>
      </c>
      <c r="U524" s="3">
        <v>84</v>
      </c>
      <c r="V524" s="3">
        <v>168</v>
      </c>
      <c r="W524" s="3">
        <v>264</v>
      </c>
      <c r="X524" s="3">
        <v>12</v>
      </c>
      <c r="Y524" s="3">
        <v>1</v>
      </c>
      <c r="Z524" s="3">
        <v>288</v>
      </c>
      <c r="AA524" s="3">
        <v>180</v>
      </c>
      <c r="AB524" s="3">
        <v>408</v>
      </c>
      <c r="AC524" s="3">
        <v>60</v>
      </c>
      <c r="AD524" s="3">
        <v>168</v>
      </c>
      <c r="AE524" s="3">
        <v>180</v>
      </c>
      <c r="AF524" s="3">
        <v>168</v>
      </c>
      <c r="AG524" s="3">
        <v>60</v>
      </c>
      <c r="AH524" s="3">
        <v>216</v>
      </c>
      <c r="AI524" s="3">
        <v>156</v>
      </c>
      <c r="AJ524" s="3">
        <v>156</v>
      </c>
      <c r="AK524" s="3">
        <v>132</v>
      </c>
      <c r="AL524" s="3">
        <v>108</v>
      </c>
      <c r="AM524" s="3">
        <v>144</v>
      </c>
      <c r="AN524" s="3">
        <v>48</v>
      </c>
      <c r="AO524" s="3">
        <v>0</v>
      </c>
      <c r="AP524" s="3">
        <v>180</v>
      </c>
      <c r="AQ524" s="3">
        <v>48</v>
      </c>
      <c r="AR524" s="3">
        <v>396</v>
      </c>
      <c r="AS524" s="3">
        <v>84</v>
      </c>
      <c r="AT524" s="3">
        <v>0</v>
      </c>
      <c r="AU524" s="3">
        <v>264</v>
      </c>
      <c r="AV524" s="3">
        <v>36</v>
      </c>
      <c r="AW524" s="3">
        <v>12</v>
      </c>
    </row>
    <row r="525" spans="1:49">
      <c r="A525" s="4" t="s">
        <v>40</v>
      </c>
      <c r="B525" s="4" t="str">
        <f t="shared" si="8"/>
        <v>Hair Care</v>
      </c>
      <c r="C525" s="4" t="s">
        <v>1786</v>
      </c>
      <c r="D525" s="4" t="s">
        <v>575</v>
      </c>
      <c r="E525" s="24" t="s">
        <v>125</v>
      </c>
      <c r="F525" s="12" t="s">
        <v>250</v>
      </c>
      <c r="G525" s="4" t="s">
        <v>1787</v>
      </c>
      <c r="H525" s="3">
        <v>108</v>
      </c>
      <c r="I525" s="3">
        <v>168</v>
      </c>
      <c r="J525" s="3">
        <v>120</v>
      </c>
      <c r="K525" s="3">
        <v>48</v>
      </c>
      <c r="L525" s="3">
        <v>12</v>
      </c>
      <c r="M525" s="3">
        <v>72</v>
      </c>
      <c r="N525" s="3">
        <v>-60</v>
      </c>
      <c r="O525" s="3">
        <v>48</v>
      </c>
      <c r="P525" s="3">
        <v>36</v>
      </c>
      <c r="Q525" s="3">
        <v>24</v>
      </c>
      <c r="R525" s="3">
        <v>24</v>
      </c>
      <c r="S525" s="3">
        <v>60</v>
      </c>
      <c r="T525" s="3">
        <v>72</v>
      </c>
      <c r="U525" s="3">
        <v>24</v>
      </c>
      <c r="V525" s="3">
        <v>24</v>
      </c>
      <c r="W525" s="3">
        <v>48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</row>
    <row r="526" spans="1:49">
      <c r="A526" s="4" t="s">
        <v>40</v>
      </c>
      <c r="B526" s="4" t="str">
        <f t="shared" si="8"/>
        <v>Hair Care</v>
      </c>
      <c r="C526" s="4" t="s">
        <v>1786</v>
      </c>
      <c r="D526" s="4" t="s">
        <v>575</v>
      </c>
      <c r="E526" s="24" t="s">
        <v>125</v>
      </c>
      <c r="F526" s="12" t="s">
        <v>251</v>
      </c>
      <c r="G526" s="4" t="s">
        <v>1787</v>
      </c>
      <c r="H526" s="3">
        <v>393</v>
      </c>
      <c r="I526" s="3">
        <v>618</v>
      </c>
      <c r="J526" s="3">
        <v>327</v>
      </c>
      <c r="K526" s="3">
        <v>918</v>
      </c>
      <c r="L526" s="3">
        <v>171</v>
      </c>
      <c r="M526" s="3">
        <v>168</v>
      </c>
      <c r="N526" s="3">
        <v>189</v>
      </c>
      <c r="O526" s="3">
        <v>273</v>
      </c>
      <c r="P526" s="3">
        <v>540</v>
      </c>
      <c r="Q526" s="3">
        <v>168</v>
      </c>
      <c r="R526" s="3">
        <v>636</v>
      </c>
      <c r="S526" s="3">
        <v>771</v>
      </c>
      <c r="T526" s="3">
        <v>222</v>
      </c>
      <c r="U526" s="3">
        <v>0</v>
      </c>
      <c r="V526" s="3">
        <v>183</v>
      </c>
      <c r="W526" s="3">
        <v>414</v>
      </c>
      <c r="X526" s="3">
        <v>255</v>
      </c>
      <c r="Y526" s="3">
        <v>336</v>
      </c>
      <c r="Z526" s="3">
        <v>288</v>
      </c>
      <c r="AA526" s="3">
        <v>180</v>
      </c>
      <c r="AB526" s="3">
        <v>858</v>
      </c>
      <c r="AC526" s="3">
        <v>42</v>
      </c>
      <c r="AD526" s="3">
        <v>207</v>
      </c>
      <c r="AE526" s="3">
        <v>237</v>
      </c>
      <c r="AF526" s="3">
        <v>378</v>
      </c>
      <c r="AG526" s="3">
        <v>111</v>
      </c>
      <c r="AH526" s="3">
        <v>0</v>
      </c>
      <c r="AI526" s="3">
        <v>573</v>
      </c>
      <c r="AJ526" s="3">
        <v>72</v>
      </c>
      <c r="AK526" s="3">
        <v>222</v>
      </c>
      <c r="AL526" s="3">
        <v>0</v>
      </c>
      <c r="AM526" s="3">
        <v>228</v>
      </c>
      <c r="AN526" s="3">
        <v>108</v>
      </c>
      <c r="AO526" s="3">
        <v>342</v>
      </c>
      <c r="AP526" s="3">
        <v>255</v>
      </c>
      <c r="AQ526" s="3">
        <v>354</v>
      </c>
      <c r="AR526" s="3">
        <v>339</v>
      </c>
      <c r="AS526" s="3">
        <v>186</v>
      </c>
      <c r="AT526" s="3">
        <v>180</v>
      </c>
      <c r="AU526" s="3">
        <v>219</v>
      </c>
      <c r="AV526" s="3">
        <v>252</v>
      </c>
      <c r="AW526" s="3">
        <v>117</v>
      </c>
    </row>
    <row r="527" spans="1:49">
      <c r="A527" s="4" t="s">
        <v>40</v>
      </c>
      <c r="B527" s="4" t="str">
        <f t="shared" si="8"/>
        <v>Hair Care</v>
      </c>
      <c r="C527" s="4" t="s">
        <v>1786</v>
      </c>
      <c r="D527" s="4" t="s">
        <v>575</v>
      </c>
      <c r="E527" s="24" t="s">
        <v>125</v>
      </c>
      <c r="F527" s="12" t="s">
        <v>252</v>
      </c>
      <c r="G527" s="4" t="s">
        <v>1787</v>
      </c>
      <c r="H527" s="3">
        <v>144</v>
      </c>
      <c r="I527" s="3">
        <v>180</v>
      </c>
      <c r="J527" s="3">
        <v>108</v>
      </c>
      <c r="K527" s="3">
        <v>36</v>
      </c>
      <c r="L527" s="3">
        <v>72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</row>
    <row r="528" spans="1:49">
      <c r="A528" s="4" t="s">
        <v>40</v>
      </c>
      <c r="B528" s="4" t="str">
        <f t="shared" si="8"/>
        <v>Hair Care</v>
      </c>
      <c r="C528" s="4" t="s">
        <v>1786</v>
      </c>
      <c r="D528" s="4" t="s">
        <v>575</v>
      </c>
      <c r="E528" s="24" t="s">
        <v>125</v>
      </c>
      <c r="F528" s="12" t="s">
        <v>253</v>
      </c>
      <c r="G528" s="4" t="s">
        <v>1787</v>
      </c>
      <c r="H528" s="3">
        <v>84</v>
      </c>
      <c r="I528" s="3">
        <v>132</v>
      </c>
      <c r="J528" s="3">
        <v>48</v>
      </c>
      <c r="K528" s="3">
        <v>0</v>
      </c>
      <c r="L528" s="3">
        <v>24</v>
      </c>
      <c r="M528" s="3">
        <v>24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</row>
    <row r="529" spans="1:49">
      <c r="A529" s="4" t="s">
        <v>40</v>
      </c>
      <c r="B529" s="4" t="str">
        <f t="shared" si="8"/>
        <v>Hair Care</v>
      </c>
      <c r="C529" s="4" t="s">
        <v>1786</v>
      </c>
      <c r="D529" s="4" t="s">
        <v>575</v>
      </c>
      <c r="E529" s="24" t="s">
        <v>125</v>
      </c>
      <c r="F529" s="12" t="s">
        <v>254</v>
      </c>
      <c r="G529" s="4" t="s">
        <v>1787</v>
      </c>
      <c r="H529" s="3">
        <v>192</v>
      </c>
      <c r="I529" s="3">
        <v>72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</row>
    <row r="530" spans="1:49">
      <c r="A530" s="4" t="s">
        <v>40</v>
      </c>
      <c r="B530" s="4" t="str">
        <f t="shared" si="8"/>
        <v>Hair Care</v>
      </c>
      <c r="C530" s="4" t="s">
        <v>1786</v>
      </c>
      <c r="D530" s="4" t="s">
        <v>575</v>
      </c>
      <c r="E530" s="24" t="s">
        <v>125</v>
      </c>
      <c r="F530" s="12" t="s">
        <v>255</v>
      </c>
      <c r="G530" s="4" t="s">
        <v>1787</v>
      </c>
      <c r="H530" s="3">
        <v>624</v>
      </c>
      <c r="I530" s="3">
        <v>510</v>
      </c>
      <c r="J530" s="3">
        <v>180</v>
      </c>
      <c r="K530" s="3">
        <v>336</v>
      </c>
      <c r="L530" s="3">
        <v>120</v>
      </c>
      <c r="M530" s="3">
        <v>24</v>
      </c>
      <c r="N530" s="3">
        <v>84</v>
      </c>
      <c r="O530" s="3">
        <v>72</v>
      </c>
      <c r="P530" s="3">
        <v>12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</row>
    <row r="531" spans="1:49">
      <c r="A531" s="4" t="s">
        <v>40</v>
      </c>
      <c r="B531" s="4" t="str">
        <f t="shared" si="8"/>
        <v>Hair Care</v>
      </c>
      <c r="C531" s="4" t="s">
        <v>1786</v>
      </c>
      <c r="D531" s="4" t="s">
        <v>575</v>
      </c>
      <c r="E531" s="24" t="s">
        <v>125</v>
      </c>
      <c r="F531" s="12" t="s">
        <v>256</v>
      </c>
      <c r="G531" s="4" t="s">
        <v>1787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2700</v>
      </c>
      <c r="AI531" s="3">
        <v>2504</v>
      </c>
      <c r="AJ531" s="3">
        <v>60</v>
      </c>
      <c r="AK531" s="3">
        <v>757</v>
      </c>
      <c r="AL531" s="3">
        <v>2844</v>
      </c>
      <c r="AM531" s="3">
        <v>627</v>
      </c>
      <c r="AN531" s="3">
        <v>557</v>
      </c>
      <c r="AO531" s="3">
        <v>4776</v>
      </c>
      <c r="AP531" s="3">
        <v>214</v>
      </c>
      <c r="AQ531" s="3">
        <v>495</v>
      </c>
      <c r="AR531" s="3">
        <v>651</v>
      </c>
      <c r="AS531" s="3">
        <v>1866</v>
      </c>
      <c r="AT531" s="3">
        <v>276</v>
      </c>
      <c r="AU531" s="3">
        <v>997</v>
      </c>
      <c r="AV531" s="3">
        <v>330</v>
      </c>
      <c r="AW531" s="3">
        <v>222</v>
      </c>
    </row>
    <row r="532" spans="1:49">
      <c r="A532" s="4" t="s">
        <v>40</v>
      </c>
      <c r="B532" s="4" t="str">
        <f t="shared" si="8"/>
        <v>Hair Care</v>
      </c>
      <c r="C532" s="4" t="s">
        <v>1786</v>
      </c>
      <c r="D532" s="4" t="s">
        <v>575</v>
      </c>
      <c r="E532" s="24" t="s">
        <v>125</v>
      </c>
      <c r="F532" s="12" t="s">
        <v>257</v>
      </c>
      <c r="G532" s="4" t="s">
        <v>1787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2388</v>
      </c>
      <c r="AL532" s="3">
        <v>726</v>
      </c>
      <c r="AM532" s="3">
        <v>498</v>
      </c>
      <c r="AN532" s="3">
        <v>138</v>
      </c>
      <c r="AO532" s="3">
        <v>2832</v>
      </c>
      <c r="AP532" s="3">
        <v>48</v>
      </c>
      <c r="AQ532" s="3">
        <v>39</v>
      </c>
      <c r="AR532" s="3">
        <v>84</v>
      </c>
      <c r="AS532" s="3">
        <v>216</v>
      </c>
      <c r="AT532" s="3">
        <v>93</v>
      </c>
      <c r="AU532" s="3">
        <v>60</v>
      </c>
      <c r="AV532" s="3">
        <v>90</v>
      </c>
      <c r="AW532" s="3">
        <v>24</v>
      </c>
    </row>
    <row r="533" spans="1:49">
      <c r="A533" s="4" t="s">
        <v>40</v>
      </c>
      <c r="B533" s="4" t="str">
        <f t="shared" si="8"/>
        <v>Hair Care</v>
      </c>
      <c r="C533" s="4" t="s">
        <v>1786</v>
      </c>
      <c r="D533" s="4" t="s">
        <v>575</v>
      </c>
      <c r="E533" s="24" t="s">
        <v>125</v>
      </c>
      <c r="F533" s="12" t="s">
        <v>258</v>
      </c>
      <c r="G533" s="4" t="s">
        <v>1787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936</v>
      </c>
      <c r="AI533" s="3">
        <v>3312</v>
      </c>
      <c r="AJ533" s="3">
        <v>360</v>
      </c>
      <c r="AK533" s="3">
        <v>432</v>
      </c>
      <c r="AL533" s="3">
        <v>1746</v>
      </c>
      <c r="AM533" s="3">
        <v>732</v>
      </c>
      <c r="AN533" s="3">
        <v>2196</v>
      </c>
      <c r="AO533" s="3">
        <v>3684</v>
      </c>
      <c r="AP533" s="3">
        <v>186</v>
      </c>
      <c r="AQ533" s="3">
        <v>1902</v>
      </c>
      <c r="AR533" s="3">
        <v>1542</v>
      </c>
      <c r="AS533" s="3">
        <v>2382</v>
      </c>
      <c r="AT533" s="3">
        <v>1050</v>
      </c>
      <c r="AU533" s="3">
        <v>1662</v>
      </c>
      <c r="AV533" s="3">
        <v>1374</v>
      </c>
      <c r="AW533" s="3">
        <v>1656</v>
      </c>
    </row>
    <row r="534" spans="1:49">
      <c r="A534" s="4" t="s">
        <v>40</v>
      </c>
      <c r="B534" s="4" t="str">
        <f t="shared" si="8"/>
        <v>Hair Care</v>
      </c>
      <c r="C534" s="4" t="s">
        <v>1786</v>
      </c>
      <c r="D534" s="4" t="s">
        <v>575</v>
      </c>
      <c r="E534" s="24" t="s">
        <v>125</v>
      </c>
      <c r="F534" s="12" t="s">
        <v>259</v>
      </c>
      <c r="G534" s="4" t="s">
        <v>1787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4680</v>
      </c>
      <c r="AI534" s="3">
        <v>4152</v>
      </c>
      <c r="AJ534" s="3">
        <v>396</v>
      </c>
      <c r="AK534" s="3">
        <v>660</v>
      </c>
      <c r="AL534" s="3">
        <v>4122</v>
      </c>
      <c r="AM534" s="3">
        <v>600</v>
      </c>
      <c r="AN534" s="3">
        <v>2256</v>
      </c>
      <c r="AO534" s="3">
        <v>5520</v>
      </c>
      <c r="AP534" s="3">
        <v>474</v>
      </c>
      <c r="AQ534" s="3">
        <v>2346</v>
      </c>
      <c r="AR534" s="3">
        <v>1854</v>
      </c>
      <c r="AS534" s="3">
        <v>3090</v>
      </c>
      <c r="AT534" s="3">
        <v>1890</v>
      </c>
      <c r="AU534" s="3">
        <v>3174</v>
      </c>
      <c r="AV534" s="3">
        <v>1470</v>
      </c>
      <c r="AW534" s="3">
        <v>1596</v>
      </c>
    </row>
    <row r="535" spans="1:49">
      <c r="A535" s="4" t="s">
        <v>40</v>
      </c>
      <c r="B535" s="4" t="str">
        <f t="shared" si="8"/>
        <v>Hair Care</v>
      </c>
      <c r="C535" s="4" t="s">
        <v>1786</v>
      </c>
      <c r="D535" s="4" t="s">
        <v>575</v>
      </c>
      <c r="E535" s="24" t="s">
        <v>125</v>
      </c>
      <c r="F535" s="12" t="s">
        <v>260</v>
      </c>
      <c r="G535" s="4" t="s">
        <v>1787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2652</v>
      </c>
      <c r="AI535" s="3">
        <v>1258</v>
      </c>
      <c r="AJ535" s="3">
        <v>36</v>
      </c>
      <c r="AK535" s="3">
        <v>289</v>
      </c>
      <c r="AL535" s="3">
        <v>666</v>
      </c>
      <c r="AM535" s="3">
        <v>198</v>
      </c>
      <c r="AN535" s="3">
        <v>279</v>
      </c>
      <c r="AO535" s="3">
        <v>2484</v>
      </c>
      <c r="AP535" s="3">
        <v>37</v>
      </c>
      <c r="AQ535" s="3">
        <v>180</v>
      </c>
      <c r="AR535" s="3">
        <v>222</v>
      </c>
      <c r="AS535" s="3">
        <v>6</v>
      </c>
      <c r="AT535" s="3">
        <v>150</v>
      </c>
      <c r="AU535" s="3">
        <v>241</v>
      </c>
      <c r="AV535" s="3">
        <v>174</v>
      </c>
      <c r="AW535" s="3">
        <v>132</v>
      </c>
    </row>
    <row r="536" spans="1:49">
      <c r="A536" s="4" t="s">
        <v>40</v>
      </c>
      <c r="B536" s="4" t="str">
        <f t="shared" si="8"/>
        <v>Hair Care</v>
      </c>
      <c r="C536" s="4" t="s">
        <v>1786</v>
      </c>
      <c r="D536" s="4" t="s">
        <v>575</v>
      </c>
      <c r="E536" s="24" t="s">
        <v>125</v>
      </c>
      <c r="F536" s="12" t="s">
        <v>261</v>
      </c>
      <c r="G536" s="4" t="s">
        <v>1787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1902</v>
      </c>
      <c r="AM536" s="3">
        <v>954</v>
      </c>
      <c r="AN536" s="3">
        <v>888</v>
      </c>
      <c r="AO536" s="3">
        <v>3252</v>
      </c>
      <c r="AP536" s="3">
        <v>462</v>
      </c>
      <c r="AQ536" s="3">
        <v>210</v>
      </c>
      <c r="AR536" s="3">
        <v>168</v>
      </c>
      <c r="AS536" s="3">
        <v>276</v>
      </c>
      <c r="AT536" s="3">
        <v>84</v>
      </c>
      <c r="AU536" s="3">
        <v>60</v>
      </c>
      <c r="AV536" s="3">
        <v>144</v>
      </c>
      <c r="AW536" s="3">
        <v>156</v>
      </c>
    </row>
    <row r="537" spans="1:49">
      <c r="A537" s="4" t="s">
        <v>40</v>
      </c>
      <c r="B537" s="4" t="str">
        <f t="shared" si="8"/>
        <v>Hair Care</v>
      </c>
      <c r="C537" s="4" t="s">
        <v>1786</v>
      </c>
      <c r="D537" s="4" t="s">
        <v>575</v>
      </c>
      <c r="E537" s="24" t="s">
        <v>125</v>
      </c>
      <c r="F537" s="12" t="s">
        <v>262</v>
      </c>
      <c r="G537" s="4" t="s">
        <v>1787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2040</v>
      </c>
      <c r="AM537" s="3">
        <v>1458</v>
      </c>
      <c r="AN537" s="3">
        <v>2818</v>
      </c>
      <c r="AO537" s="3">
        <v>6228</v>
      </c>
      <c r="AP537" s="3">
        <v>144</v>
      </c>
      <c r="AQ537" s="3">
        <v>336</v>
      </c>
      <c r="AR537" s="3">
        <v>1140</v>
      </c>
      <c r="AS537" s="3">
        <v>3384</v>
      </c>
      <c r="AT537" s="3">
        <v>1428</v>
      </c>
      <c r="AU537" s="3">
        <v>1272</v>
      </c>
      <c r="AV537" s="3">
        <v>810</v>
      </c>
      <c r="AW537" s="3">
        <v>1362</v>
      </c>
    </row>
    <row r="538" spans="1:49">
      <c r="A538" s="4" t="s">
        <v>40</v>
      </c>
      <c r="B538" s="4" t="str">
        <f t="shared" si="8"/>
        <v>Hair Care</v>
      </c>
      <c r="C538" s="4" t="s">
        <v>1786</v>
      </c>
      <c r="D538" s="4" t="s">
        <v>575</v>
      </c>
      <c r="E538" s="24" t="s">
        <v>125</v>
      </c>
      <c r="F538" s="12" t="s">
        <v>263</v>
      </c>
      <c r="G538" s="4" t="s">
        <v>1787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5172</v>
      </c>
      <c r="AI538" s="3">
        <v>3696</v>
      </c>
      <c r="AJ538" s="3">
        <v>372</v>
      </c>
      <c r="AK538" s="3">
        <v>696</v>
      </c>
      <c r="AL538" s="3">
        <v>2940</v>
      </c>
      <c r="AM538" s="3">
        <v>966</v>
      </c>
      <c r="AN538" s="3">
        <v>2088</v>
      </c>
      <c r="AO538" s="3">
        <v>6816</v>
      </c>
      <c r="AP538" s="3">
        <v>96</v>
      </c>
      <c r="AQ538" s="3">
        <v>516</v>
      </c>
      <c r="AR538" s="3">
        <v>960</v>
      </c>
      <c r="AS538" s="3">
        <v>3228</v>
      </c>
      <c r="AT538" s="3">
        <v>1872</v>
      </c>
      <c r="AU538" s="3">
        <v>1848</v>
      </c>
      <c r="AV538" s="3">
        <v>654</v>
      </c>
      <c r="AW538" s="3">
        <v>1278</v>
      </c>
    </row>
    <row r="539" spans="1:49">
      <c r="A539" s="4" t="s">
        <v>40</v>
      </c>
      <c r="B539" s="4" t="str">
        <f t="shared" si="8"/>
        <v>Hair Care</v>
      </c>
      <c r="C539" s="4" t="s">
        <v>1786</v>
      </c>
      <c r="D539" s="4" t="s">
        <v>575</v>
      </c>
      <c r="E539" s="24" t="s">
        <v>125</v>
      </c>
      <c r="F539" s="12" t="s">
        <v>264</v>
      </c>
      <c r="G539" s="4" t="s">
        <v>1787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2064</v>
      </c>
      <c r="AM539" s="3">
        <v>804</v>
      </c>
      <c r="AN539" s="3">
        <v>922</v>
      </c>
      <c r="AO539" s="3">
        <v>3048</v>
      </c>
      <c r="AP539" s="3">
        <v>156</v>
      </c>
      <c r="AQ539" s="3">
        <v>180</v>
      </c>
      <c r="AR539" s="3">
        <v>408</v>
      </c>
      <c r="AS539" s="3">
        <v>252</v>
      </c>
      <c r="AT539" s="3">
        <v>334</v>
      </c>
      <c r="AU539" s="3">
        <v>840</v>
      </c>
      <c r="AV539" s="3">
        <v>312</v>
      </c>
      <c r="AW539" s="3">
        <v>276</v>
      </c>
    </row>
    <row r="540" spans="1:49">
      <c r="A540" s="4" t="s">
        <v>40</v>
      </c>
      <c r="B540" s="4" t="str">
        <f t="shared" si="8"/>
        <v>Hair Care</v>
      </c>
      <c r="C540" s="4" t="s">
        <v>1786</v>
      </c>
      <c r="D540" s="4" t="s">
        <v>575</v>
      </c>
      <c r="E540" s="24" t="s">
        <v>125</v>
      </c>
      <c r="F540" s="12" t="s">
        <v>265</v>
      </c>
      <c r="G540" s="4" t="s">
        <v>1787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3132</v>
      </c>
    </row>
    <row r="541" spans="1:49">
      <c r="A541" s="4" t="s">
        <v>40</v>
      </c>
      <c r="B541" s="4" t="str">
        <f t="shared" si="8"/>
        <v>Hair Care</v>
      </c>
      <c r="C541" s="4" t="s">
        <v>1786</v>
      </c>
      <c r="D541" s="4" t="s">
        <v>575</v>
      </c>
      <c r="E541" s="24" t="s">
        <v>125</v>
      </c>
      <c r="F541" s="12" t="s">
        <v>266</v>
      </c>
      <c r="G541" s="4" t="s">
        <v>1787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4092</v>
      </c>
    </row>
    <row r="542" spans="1:49">
      <c r="A542" s="4" t="s">
        <v>40</v>
      </c>
      <c r="B542" s="4" t="str">
        <f t="shared" si="8"/>
        <v>Hair Care</v>
      </c>
      <c r="C542" s="4" t="s">
        <v>1786</v>
      </c>
      <c r="D542" s="4" t="s">
        <v>575</v>
      </c>
      <c r="E542" s="24" t="s">
        <v>125</v>
      </c>
      <c r="F542" s="12" t="s">
        <v>267</v>
      </c>
      <c r="G542" s="4" t="s">
        <v>1787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3054</v>
      </c>
    </row>
    <row r="543" spans="1:49">
      <c r="A543" s="4" t="s">
        <v>40</v>
      </c>
      <c r="B543" s="4" t="str">
        <f t="shared" si="8"/>
        <v>Hair Care</v>
      </c>
      <c r="C543" s="4" t="s">
        <v>1786</v>
      </c>
      <c r="D543" s="4" t="s">
        <v>575</v>
      </c>
      <c r="E543" s="24" t="s">
        <v>125</v>
      </c>
      <c r="F543" s="12" t="s">
        <v>268</v>
      </c>
      <c r="G543" s="4" t="s">
        <v>1787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4224</v>
      </c>
    </row>
    <row r="544" spans="1:49">
      <c r="A544" s="4" t="s">
        <v>40</v>
      </c>
      <c r="B544" s="4" t="str">
        <f t="shared" si="8"/>
        <v>Hair Care</v>
      </c>
      <c r="C544" s="4" t="s">
        <v>1786</v>
      </c>
      <c r="D544" s="4" t="s">
        <v>575</v>
      </c>
      <c r="E544" s="24" t="s">
        <v>125</v>
      </c>
      <c r="F544" s="12" t="s">
        <v>269</v>
      </c>
      <c r="G544" s="4" t="s">
        <v>1787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3300</v>
      </c>
    </row>
    <row r="545" spans="1:49">
      <c r="A545" s="4" t="s">
        <v>40</v>
      </c>
      <c r="B545" s="4" t="str">
        <f t="shared" si="8"/>
        <v>Hair Care</v>
      </c>
      <c r="C545" s="4" t="s">
        <v>1786</v>
      </c>
      <c r="D545" s="4" t="s">
        <v>575</v>
      </c>
      <c r="E545" s="24" t="s">
        <v>125</v>
      </c>
      <c r="F545" s="12" t="s">
        <v>270</v>
      </c>
      <c r="G545" s="4" t="s">
        <v>1787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3252</v>
      </c>
    </row>
    <row r="546" spans="1:49">
      <c r="A546" s="4" t="s">
        <v>40</v>
      </c>
      <c r="B546" s="4" t="str">
        <f t="shared" si="8"/>
        <v>Hair Care</v>
      </c>
      <c r="C546" s="4" t="s">
        <v>1786</v>
      </c>
      <c r="D546" s="4" t="s">
        <v>575</v>
      </c>
      <c r="E546" s="24" t="s">
        <v>125</v>
      </c>
      <c r="F546" s="12" t="s">
        <v>271</v>
      </c>
      <c r="G546" s="4" t="s">
        <v>1787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1788</v>
      </c>
    </row>
    <row r="547" spans="1:49">
      <c r="A547" s="4" t="s">
        <v>40</v>
      </c>
      <c r="B547" s="4" t="str">
        <f t="shared" si="8"/>
        <v>Hair Care</v>
      </c>
      <c r="C547" s="4" t="s">
        <v>1786</v>
      </c>
      <c r="D547" s="4" t="s">
        <v>575</v>
      </c>
      <c r="E547" s="24" t="s">
        <v>125</v>
      </c>
      <c r="F547" s="12" t="s">
        <v>272</v>
      </c>
      <c r="G547" s="4" t="s">
        <v>1787</v>
      </c>
      <c r="H547" s="3">
        <v>0</v>
      </c>
      <c r="I547" s="3">
        <v>24</v>
      </c>
      <c r="J547" s="3">
        <v>36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12</v>
      </c>
      <c r="Q547" s="3">
        <v>48</v>
      </c>
      <c r="R547" s="3">
        <v>48</v>
      </c>
      <c r="S547" s="3">
        <v>60</v>
      </c>
      <c r="T547" s="3">
        <v>108</v>
      </c>
      <c r="U547" s="3">
        <v>72</v>
      </c>
      <c r="V547" s="3">
        <v>60</v>
      </c>
      <c r="W547" s="3">
        <v>0</v>
      </c>
      <c r="X547" s="3">
        <v>240</v>
      </c>
      <c r="Y547" s="3">
        <v>48</v>
      </c>
      <c r="Z547" s="3">
        <v>12</v>
      </c>
      <c r="AA547" s="3">
        <v>12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</row>
    <row r="548" spans="1:49">
      <c r="A548" s="4" t="s">
        <v>40</v>
      </c>
      <c r="B548" s="4" t="str">
        <f t="shared" si="8"/>
        <v>Hair Care</v>
      </c>
      <c r="C548" s="4" t="s">
        <v>1786</v>
      </c>
      <c r="D548" s="4" t="s">
        <v>575</v>
      </c>
      <c r="E548" s="24" t="s">
        <v>125</v>
      </c>
      <c r="F548" s="12" t="s">
        <v>576</v>
      </c>
      <c r="G548" s="4" t="s">
        <v>1787</v>
      </c>
      <c r="H548" s="3">
        <v>0</v>
      </c>
      <c r="I548" s="3">
        <v>12</v>
      </c>
      <c r="J548" s="3">
        <v>60</v>
      </c>
      <c r="K548" s="3">
        <v>0</v>
      </c>
      <c r="L548" s="3">
        <v>0</v>
      </c>
      <c r="M548" s="3">
        <v>0</v>
      </c>
      <c r="N548" s="3">
        <v>0</v>
      </c>
      <c r="O548" s="3">
        <v>24</v>
      </c>
      <c r="P548" s="3">
        <v>12</v>
      </c>
      <c r="Q548" s="3">
        <v>0</v>
      </c>
      <c r="R548" s="3">
        <v>12</v>
      </c>
      <c r="S548" s="3">
        <v>24</v>
      </c>
      <c r="T548" s="3">
        <v>36</v>
      </c>
      <c r="U548" s="3">
        <v>24</v>
      </c>
      <c r="V548" s="3">
        <v>24</v>
      </c>
      <c r="W548" s="3">
        <v>0</v>
      </c>
      <c r="X548" s="3">
        <v>12</v>
      </c>
      <c r="Y548" s="3">
        <v>36</v>
      </c>
      <c r="Z548" s="3">
        <v>12</v>
      </c>
      <c r="AA548" s="3">
        <v>60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</row>
    <row r="549" spans="1:49">
      <c r="A549" s="4" t="s">
        <v>40</v>
      </c>
      <c r="B549" s="4" t="str">
        <f t="shared" si="8"/>
        <v>Hair Care</v>
      </c>
      <c r="C549" s="4" t="s">
        <v>1786</v>
      </c>
      <c r="D549" s="4" t="s">
        <v>575</v>
      </c>
      <c r="E549" s="24" t="s">
        <v>125</v>
      </c>
      <c r="F549" s="12" t="s">
        <v>273</v>
      </c>
      <c r="G549" s="4" t="s">
        <v>1787</v>
      </c>
      <c r="H549" s="3">
        <v>252</v>
      </c>
      <c r="I549" s="3">
        <v>240</v>
      </c>
      <c r="J549" s="3">
        <v>204</v>
      </c>
      <c r="K549" s="3">
        <v>204</v>
      </c>
      <c r="L549" s="3">
        <v>36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</row>
    <row r="550" spans="1:49">
      <c r="A550" s="4" t="s">
        <v>40</v>
      </c>
      <c r="B550" s="4" t="str">
        <f t="shared" si="8"/>
        <v>Hair Care</v>
      </c>
      <c r="C550" s="4" t="s">
        <v>1786</v>
      </c>
      <c r="D550" s="4" t="s">
        <v>575</v>
      </c>
      <c r="E550" s="24" t="s">
        <v>125</v>
      </c>
      <c r="F550" s="12" t="s">
        <v>274</v>
      </c>
      <c r="G550" s="4" t="s">
        <v>1787</v>
      </c>
      <c r="H550" s="3">
        <v>516</v>
      </c>
      <c r="I550" s="3">
        <v>708</v>
      </c>
      <c r="J550" s="3">
        <v>696</v>
      </c>
      <c r="K550" s="3">
        <v>300</v>
      </c>
      <c r="L550" s="3">
        <v>12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</row>
    <row r="551" spans="1:49">
      <c r="A551" s="4" t="s">
        <v>40</v>
      </c>
      <c r="B551" s="4" t="str">
        <f t="shared" si="8"/>
        <v>Hair Care</v>
      </c>
      <c r="C551" s="4" t="s">
        <v>1786</v>
      </c>
      <c r="D551" s="4" t="s">
        <v>575</v>
      </c>
      <c r="E551" s="24" t="s">
        <v>125</v>
      </c>
      <c r="F551" s="12" t="s">
        <v>275</v>
      </c>
      <c r="G551" s="4" t="s">
        <v>1787</v>
      </c>
      <c r="H551" s="3">
        <v>0</v>
      </c>
      <c r="I551" s="3">
        <v>1314</v>
      </c>
      <c r="J551" s="3">
        <v>642</v>
      </c>
      <c r="K551" s="3">
        <v>684</v>
      </c>
      <c r="L551" s="3">
        <v>570</v>
      </c>
      <c r="M551" s="3">
        <v>699</v>
      </c>
      <c r="N551" s="3">
        <v>669</v>
      </c>
      <c r="O551" s="3">
        <v>666</v>
      </c>
      <c r="P551" s="3">
        <v>711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</row>
    <row r="552" spans="1:49">
      <c r="A552" s="4" t="s">
        <v>40</v>
      </c>
      <c r="B552" s="4" t="str">
        <f t="shared" si="8"/>
        <v>Hair Care</v>
      </c>
      <c r="C552" s="4" t="s">
        <v>1786</v>
      </c>
      <c r="D552" s="4" t="s">
        <v>575</v>
      </c>
      <c r="E552" s="24" t="s">
        <v>125</v>
      </c>
      <c r="F552" s="12" t="s">
        <v>276</v>
      </c>
      <c r="G552" s="4" t="s">
        <v>1787</v>
      </c>
      <c r="H552" s="3">
        <v>216</v>
      </c>
      <c r="I552" s="3">
        <v>168</v>
      </c>
      <c r="J552" s="3">
        <v>132</v>
      </c>
      <c r="K552" s="3">
        <v>72</v>
      </c>
      <c r="L552" s="3">
        <v>12</v>
      </c>
      <c r="M552" s="3">
        <v>144</v>
      </c>
      <c r="N552" s="3">
        <v>84</v>
      </c>
      <c r="O552" s="3">
        <v>84</v>
      </c>
      <c r="P552" s="3">
        <v>108</v>
      </c>
      <c r="Q552" s="3">
        <v>24</v>
      </c>
      <c r="R552" s="3">
        <v>204</v>
      </c>
      <c r="S552" s="3">
        <v>132</v>
      </c>
      <c r="T552" s="3">
        <v>120</v>
      </c>
      <c r="U552" s="3">
        <v>96</v>
      </c>
      <c r="V552" s="3">
        <v>132</v>
      </c>
      <c r="W552" s="3">
        <v>216</v>
      </c>
      <c r="X552" s="3">
        <v>168</v>
      </c>
      <c r="Y552" s="3">
        <v>72</v>
      </c>
      <c r="Z552" s="3">
        <v>180</v>
      </c>
      <c r="AA552" s="3">
        <v>36</v>
      </c>
      <c r="AB552" s="3">
        <v>264</v>
      </c>
      <c r="AC552" s="3">
        <v>12</v>
      </c>
      <c r="AD552" s="3">
        <v>36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</row>
    <row r="553" spans="1:49">
      <c r="A553" s="4" t="s">
        <v>40</v>
      </c>
      <c r="B553" s="4" t="str">
        <f t="shared" si="8"/>
        <v>Hair Care</v>
      </c>
      <c r="C553" s="4" t="s">
        <v>1786</v>
      </c>
      <c r="D553" s="4" t="s">
        <v>575</v>
      </c>
      <c r="E553" s="24" t="s">
        <v>125</v>
      </c>
      <c r="F553" s="12" t="s">
        <v>277</v>
      </c>
      <c r="G553" s="4" t="s">
        <v>1787</v>
      </c>
      <c r="H553" s="3">
        <v>144</v>
      </c>
      <c r="I553" s="3">
        <v>132</v>
      </c>
      <c r="J553" s="3">
        <v>84</v>
      </c>
      <c r="K553" s="3">
        <v>24</v>
      </c>
      <c r="L553" s="3">
        <v>36</v>
      </c>
      <c r="M553" s="3">
        <v>24</v>
      </c>
      <c r="N553" s="3">
        <v>36</v>
      </c>
      <c r="O553" s="3">
        <v>36</v>
      </c>
      <c r="P553" s="3">
        <v>48</v>
      </c>
      <c r="Q553" s="3">
        <v>60</v>
      </c>
      <c r="R553" s="3">
        <v>48</v>
      </c>
      <c r="S553" s="3">
        <v>24</v>
      </c>
      <c r="T553" s="3">
        <v>108</v>
      </c>
      <c r="U553" s="3">
        <v>36</v>
      </c>
      <c r="V553" s="3">
        <v>48</v>
      </c>
      <c r="W553" s="3">
        <v>84</v>
      </c>
      <c r="X553" s="3">
        <v>12</v>
      </c>
      <c r="Y553" s="3">
        <v>12</v>
      </c>
      <c r="Z553" s="3">
        <v>36</v>
      </c>
      <c r="AA553" s="3">
        <v>48</v>
      </c>
      <c r="AB553" s="3">
        <v>156</v>
      </c>
      <c r="AC553" s="3">
        <v>0</v>
      </c>
      <c r="AD553" s="3">
        <v>48</v>
      </c>
      <c r="AE553" s="3">
        <v>36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</row>
    <row r="554" spans="1:49">
      <c r="A554" s="4" t="s">
        <v>40</v>
      </c>
      <c r="B554" s="4" t="str">
        <f t="shared" si="8"/>
        <v>Hair Care</v>
      </c>
      <c r="C554" s="4" t="s">
        <v>1786</v>
      </c>
      <c r="D554" s="4" t="s">
        <v>575</v>
      </c>
      <c r="E554" s="24" t="s">
        <v>125</v>
      </c>
      <c r="F554" s="12" t="s">
        <v>278</v>
      </c>
      <c r="G554" s="4" t="s">
        <v>1787</v>
      </c>
      <c r="H554" s="3">
        <v>684</v>
      </c>
      <c r="I554" s="3">
        <v>108</v>
      </c>
      <c r="J554" s="3">
        <v>12</v>
      </c>
      <c r="K554" s="3">
        <v>12</v>
      </c>
      <c r="L554" s="3">
        <v>0</v>
      </c>
      <c r="M554" s="3">
        <v>0</v>
      </c>
      <c r="N554" s="3">
        <v>12</v>
      </c>
      <c r="O554" s="3">
        <v>48</v>
      </c>
      <c r="P554" s="3">
        <v>12</v>
      </c>
      <c r="Q554" s="3">
        <v>0</v>
      </c>
      <c r="R554" s="3">
        <v>24</v>
      </c>
      <c r="S554" s="3">
        <v>24</v>
      </c>
      <c r="T554" s="3">
        <v>12</v>
      </c>
      <c r="U554" s="3">
        <v>36</v>
      </c>
      <c r="V554" s="3">
        <v>12</v>
      </c>
      <c r="W554" s="3">
        <v>24</v>
      </c>
      <c r="X554" s="3">
        <v>0</v>
      </c>
      <c r="Y554" s="3">
        <v>12</v>
      </c>
      <c r="Z554" s="3">
        <v>0</v>
      </c>
      <c r="AA554" s="3">
        <v>84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</row>
    <row r="555" spans="1:49">
      <c r="A555" s="4" t="s">
        <v>40</v>
      </c>
      <c r="B555" s="4" t="str">
        <f t="shared" si="8"/>
        <v>Hair Care</v>
      </c>
      <c r="C555" s="4" t="s">
        <v>1786</v>
      </c>
      <c r="D555" s="4" t="s">
        <v>575</v>
      </c>
      <c r="E555" s="24" t="s">
        <v>125</v>
      </c>
      <c r="F555" s="12" t="s">
        <v>279</v>
      </c>
      <c r="G555" s="4" t="s">
        <v>1787</v>
      </c>
      <c r="H555" s="3">
        <v>192</v>
      </c>
      <c r="I555" s="3">
        <v>264</v>
      </c>
      <c r="J555" s="3">
        <v>264</v>
      </c>
      <c r="K555" s="3">
        <v>180</v>
      </c>
      <c r="L555" s="3">
        <v>144</v>
      </c>
      <c r="M555" s="3">
        <v>84</v>
      </c>
      <c r="N555" s="3">
        <v>108</v>
      </c>
      <c r="O555" s="3">
        <v>120</v>
      </c>
      <c r="P555" s="3">
        <v>168</v>
      </c>
      <c r="Q555" s="3">
        <v>108</v>
      </c>
      <c r="R555" s="3">
        <v>156</v>
      </c>
      <c r="S555" s="3">
        <v>216</v>
      </c>
      <c r="T555" s="3">
        <v>228</v>
      </c>
      <c r="U555" s="3">
        <v>180</v>
      </c>
      <c r="V555" s="3">
        <v>132</v>
      </c>
      <c r="W555" s="3">
        <v>648</v>
      </c>
      <c r="X555" s="3">
        <v>3636</v>
      </c>
      <c r="Y555" s="3">
        <v>72</v>
      </c>
      <c r="Z555" s="3">
        <v>0</v>
      </c>
      <c r="AA555" s="3">
        <v>156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</row>
    <row r="556" spans="1:49">
      <c r="A556" s="4" t="s">
        <v>40</v>
      </c>
      <c r="B556" s="4" t="str">
        <f t="shared" si="8"/>
        <v>Hair Care</v>
      </c>
      <c r="C556" s="4" t="s">
        <v>1786</v>
      </c>
      <c r="D556" s="4" t="s">
        <v>575</v>
      </c>
      <c r="E556" s="24" t="s">
        <v>125</v>
      </c>
      <c r="F556" s="12" t="s">
        <v>280</v>
      </c>
      <c r="G556" s="4" t="s">
        <v>1787</v>
      </c>
      <c r="H556" s="3">
        <v>333</v>
      </c>
      <c r="I556" s="3">
        <v>408</v>
      </c>
      <c r="J556" s="3">
        <v>225</v>
      </c>
      <c r="K556" s="3">
        <v>216</v>
      </c>
      <c r="L556" s="3">
        <v>231</v>
      </c>
      <c r="M556" s="3">
        <v>153</v>
      </c>
      <c r="N556" s="3">
        <v>171</v>
      </c>
      <c r="O556" s="3">
        <v>147</v>
      </c>
      <c r="P556" s="3">
        <v>267</v>
      </c>
      <c r="Q556" s="3">
        <v>72</v>
      </c>
      <c r="R556" s="3">
        <v>30</v>
      </c>
      <c r="S556" s="3">
        <v>60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</row>
    <row r="557" spans="1:49">
      <c r="A557" s="4" t="s">
        <v>40</v>
      </c>
      <c r="B557" s="4" t="str">
        <f t="shared" si="8"/>
        <v>Hair Care</v>
      </c>
      <c r="C557" s="4" t="s">
        <v>1786</v>
      </c>
      <c r="D557" s="4" t="s">
        <v>575</v>
      </c>
      <c r="E557" s="24" t="s">
        <v>125</v>
      </c>
      <c r="F557" s="12" t="s">
        <v>281</v>
      </c>
      <c r="G557" s="4" t="s">
        <v>1787</v>
      </c>
      <c r="H557" s="3">
        <v>0</v>
      </c>
      <c r="I557" s="3">
        <v>0</v>
      </c>
      <c r="J557" s="3">
        <v>0</v>
      </c>
      <c r="K557" s="3">
        <v>1326</v>
      </c>
      <c r="L557" s="3">
        <v>936</v>
      </c>
      <c r="M557" s="3">
        <v>90</v>
      </c>
      <c r="N557" s="3">
        <v>408</v>
      </c>
      <c r="O557" s="3">
        <v>120</v>
      </c>
      <c r="P557" s="3">
        <v>168</v>
      </c>
      <c r="Q557" s="3">
        <v>42</v>
      </c>
      <c r="R557" s="3">
        <v>84</v>
      </c>
      <c r="S557" s="3">
        <v>168</v>
      </c>
      <c r="T557" s="3">
        <v>270</v>
      </c>
      <c r="U557" s="3">
        <v>150</v>
      </c>
      <c r="V557" s="3">
        <v>1374</v>
      </c>
      <c r="W557" s="3">
        <v>54</v>
      </c>
      <c r="X557" s="3">
        <v>222</v>
      </c>
      <c r="Y557" s="3">
        <v>276</v>
      </c>
      <c r="Z557" s="3">
        <v>30</v>
      </c>
      <c r="AA557" s="3">
        <v>48</v>
      </c>
      <c r="AB557" s="3">
        <v>84</v>
      </c>
      <c r="AC557" s="3">
        <v>30</v>
      </c>
      <c r="AD557" s="3">
        <v>162</v>
      </c>
      <c r="AE557" s="3">
        <v>18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</row>
    <row r="558" spans="1:49">
      <c r="A558" s="4" t="s">
        <v>40</v>
      </c>
      <c r="B558" s="4" t="str">
        <f t="shared" si="8"/>
        <v>Hair Care</v>
      </c>
      <c r="C558" s="4" t="s">
        <v>1786</v>
      </c>
      <c r="D558" s="4" t="s">
        <v>575</v>
      </c>
      <c r="E558" s="24" t="s">
        <v>282</v>
      </c>
      <c r="F558" s="12" t="s">
        <v>284</v>
      </c>
      <c r="G558" s="4" t="s">
        <v>1787</v>
      </c>
      <c r="H558" s="3">
        <v>759</v>
      </c>
      <c r="I558" s="3">
        <v>681</v>
      </c>
      <c r="J558" s="3">
        <v>459</v>
      </c>
      <c r="K558" s="3">
        <v>600</v>
      </c>
      <c r="L558" s="3">
        <v>315</v>
      </c>
      <c r="M558" s="3">
        <v>456</v>
      </c>
      <c r="N558" s="3">
        <v>42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</row>
    <row r="559" spans="1:49">
      <c r="A559" s="4" t="s">
        <v>40</v>
      </c>
      <c r="B559" s="4" t="str">
        <f t="shared" si="8"/>
        <v>Hair Care</v>
      </c>
      <c r="C559" s="4" t="s">
        <v>1786</v>
      </c>
      <c r="D559" s="4" t="s">
        <v>575</v>
      </c>
      <c r="E559" s="24" t="s">
        <v>282</v>
      </c>
      <c r="F559" s="12" t="s">
        <v>285</v>
      </c>
      <c r="G559" s="4" t="s">
        <v>1787</v>
      </c>
      <c r="H559" s="3">
        <v>492</v>
      </c>
      <c r="I559" s="3">
        <v>504</v>
      </c>
      <c r="J559" s="3">
        <v>429</v>
      </c>
      <c r="K559" s="3">
        <v>447</v>
      </c>
      <c r="L559" s="3">
        <v>60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</row>
    <row r="560" spans="1:49">
      <c r="A560" s="4" t="s">
        <v>40</v>
      </c>
      <c r="B560" s="4" t="str">
        <f t="shared" si="8"/>
        <v>Hair Care</v>
      </c>
      <c r="C560" s="4" t="s">
        <v>1786</v>
      </c>
      <c r="D560" s="4" t="s">
        <v>575</v>
      </c>
      <c r="E560" s="24" t="s">
        <v>282</v>
      </c>
      <c r="F560" s="12" t="s">
        <v>287</v>
      </c>
      <c r="G560" s="4" t="s">
        <v>1787</v>
      </c>
      <c r="H560" s="3">
        <v>494</v>
      </c>
      <c r="I560" s="3">
        <v>462</v>
      </c>
      <c r="J560" s="3">
        <v>408</v>
      </c>
      <c r="K560" s="3">
        <v>564</v>
      </c>
      <c r="L560" s="3">
        <v>375</v>
      </c>
      <c r="M560" s="3">
        <v>486</v>
      </c>
      <c r="N560" s="3">
        <v>681</v>
      </c>
      <c r="O560" s="3">
        <v>423</v>
      </c>
      <c r="P560" s="3">
        <v>516</v>
      </c>
      <c r="Q560" s="3">
        <v>1350</v>
      </c>
      <c r="R560" s="3">
        <v>753</v>
      </c>
      <c r="S560" s="3">
        <v>1071</v>
      </c>
      <c r="T560" s="3">
        <v>726</v>
      </c>
      <c r="U560" s="3">
        <v>99</v>
      </c>
      <c r="V560" s="3">
        <v>846</v>
      </c>
      <c r="W560" s="3">
        <v>390</v>
      </c>
      <c r="X560" s="3">
        <v>498</v>
      </c>
      <c r="Y560" s="3">
        <v>450</v>
      </c>
      <c r="Z560" s="3">
        <v>717</v>
      </c>
      <c r="AA560" s="3">
        <v>819</v>
      </c>
      <c r="AB560" s="3">
        <v>657</v>
      </c>
      <c r="AC560" s="3">
        <v>18</v>
      </c>
      <c r="AD560" s="3">
        <v>930</v>
      </c>
      <c r="AE560" s="3">
        <v>112</v>
      </c>
      <c r="AF560" s="3">
        <v>360</v>
      </c>
      <c r="AG560" s="3">
        <v>288</v>
      </c>
      <c r="AH560" s="3">
        <v>228</v>
      </c>
      <c r="AI560" s="3">
        <v>468</v>
      </c>
      <c r="AJ560" s="3">
        <v>240</v>
      </c>
      <c r="AK560" s="3">
        <v>0</v>
      </c>
      <c r="AL560" s="3">
        <v>0</v>
      </c>
      <c r="AM560" s="3">
        <v>480</v>
      </c>
      <c r="AN560" s="3">
        <v>690</v>
      </c>
      <c r="AO560" s="3">
        <v>419</v>
      </c>
      <c r="AP560" s="3">
        <v>318</v>
      </c>
      <c r="AQ560" s="3">
        <v>134</v>
      </c>
      <c r="AR560" s="3">
        <v>234</v>
      </c>
      <c r="AS560" s="3">
        <v>162</v>
      </c>
      <c r="AT560" s="3">
        <v>546</v>
      </c>
      <c r="AU560" s="3">
        <v>366</v>
      </c>
      <c r="AV560" s="3">
        <v>252</v>
      </c>
      <c r="AW560" s="3">
        <v>294</v>
      </c>
    </row>
    <row r="561" spans="1:49">
      <c r="A561" s="4" t="s">
        <v>40</v>
      </c>
      <c r="B561" s="4" t="str">
        <f t="shared" si="8"/>
        <v>Hair Care</v>
      </c>
      <c r="C561" s="4" t="s">
        <v>1786</v>
      </c>
      <c r="D561" s="4" t="s">
        <v>575</v>
      </c>
      <c r="E561" s="24" t="s">
        <v>282</v>
      </c>
      <c r="F561" s="12" t="s">
        <v>288</v>
      </c>
      <c r="G561" s="4" t="s">
        <v>1787</v>
      </c>
      <c r="H561" s="3">
        <v>428</v>
      </c>
      <c r="I561" s="3">
        <v>435</v>
      </c>
      <c r="J561" s="3">
        <v>342</v>
      </c>
      <c r="K561" s="3">
        <v>429</v>
      </c>
      <c r="L561" s="3">
        <v>342</v>
      </c>
      <c r="M561" s="3">
        <v>417</v>
      </c>
      <c r="N561" s="3">
        <v>561</v>
      </c>
      <c r="O561" s="3">
        <v>300</v>
      </c>
      <c r="P561" s="3">
        <v>423</v>
      </c>
      <c r="Q561" s="3">
        <v>1308</v>
      </c>
      <c r="R561" s="3">
        <v>702</v>
      </c>
      <c r="S561" s="3">
        <v>750</v>
      </c>
      <c r="T561" s="3">
        <v>612</v>
      </c>
      <c r="U561" s="3">
        <v>99</v>
      </c>
      <c r="V561" s="3">
        <v>762</v>
      </c>
      <c r="W561" s="3">
        <v>282</v>
      </c>
      <c r="X561" s="3">
        <v>408</v>
      </c>
      <c r="Y561" s="3">
        <v>336</v>
      </c>
      <c r="Z561" s="3">
        <v>606</v>
      </c>
      <c r="AA561" s="3">
        <v>678</v>
      </c>
      <c r="AB561" s="3">
        <v>477</v>
      </c>
      <c r="AC561" s="3">
        <v>30</v>
      </c>
      <c r="AD561" s="3">
        <v>918</v>
      </c>
      <c r="AE561" s="3">
        <v>52</v>
      </c>
      <c r="AF561" s="3">
        <v>240</v>
      </c>
      <c r="AG561" s="3">
        <v>258</v>
      </c>
      <c r="AH561" s="3">
        <v>102</v>
      </c>
      <c r="AI561" s="3">
        <v>546</v>
      </c>
      <c r="AJ561" s="3">
        <v>100</v>
      </c>
      <c r="AK561" s="3">
        <v>234</v>
      </c>
      <c r="AL561" s="3">
        <v>336</v>
      </c>
      <c r="AM561" s="3">
        <v>144</v>
      </c>
      <c r="AN561" s="3">
        <v>582</v>
      </c>
      <c r="AO561" s="3">
        <v>380</v>
      </c>
      <c r="AP561" s="3">
        <v>288</v>
      </c>
      <c r="AQ561" s="3">
        <v>206</v>
      </c>
      <c r="AR561" s="3">
        <v>252</v>
      </c>
      <c r="AS561" s="3">
        <v>231</v>
      </c>
      <c r="AT561" s="3">
        <v>174</v>
      </c>
      <c r="AU561" s="3">
        <v>264</v>
      </c>
      <c r="AV561" s="3">
        <v>267</v>
      </c>
      <c r="AW561" s="3">
        <v>276</v>
      </c>
    </row>
    <row r="562" spans="1:49">
      <c r="A562" s="4" t="s">
        <v>40</v>
      </c>
      <c r="B562" s="4" t="str">
        <f t="shared" si="8"/>
        <v>Hair Care</v>
      </c>
      <c r="C562" s="4" t="s">
        <v>1786</v>
      </c>
      <c r="D562" s="4" t="s">
        <v>575</v>
      </c>
      <c r="E562" s="24" t="s">
        <v>282</v>
      </c>
      <c r="F562" s="12" t="s">
        <v>289</v>
      </c>
      <c r="G562" s="4" t="s">
        <v>1787</v>
      </c>
      <c r="H562" s="3">
        <v>550</v>
      </c>
      <c r="I562" s="3">
        <v>201</v>
      </c>
      <c r="J562" s="3">
        <v>159</v>
      </c>
      <c r="K562" s="3">
        <v>180</v>
      </c>
      <c r="L562" s="3">
        <v>123</v>
      </c>
      <c r="M562" s="3">
        <v>732</v>
      </c>
      <c r="N562" s="3">
        <v>180</v>
      </c>
      <c r="O562" s="3">
        <v>168</v>
      </c>
      <c r="P562" s="3">
        <v>210</v>
      </c>
      <c r="Q562" s="3">
        <v>876</v>
      </c>
      <c r="R562" s="3">
        <v>597</v>
      </c>
      <c r="S562" s="3">
        <v>736</v>
      </c>
      <c r="T562" s="3">
        <v>561</v>
      </c>
      <c r="U562" s="3">
        <v>42</v>
      </c>
      <c r="V562" s="3">
        <v>444</v>
      </c>
      <c r="W562" s="3">
        <v>126</v>
      </c>
      <c r="X562" s="3">
        <v>96</v>
      </c>
      <c r="Y562" s="3">
        <v>186</v>
      </c>
      <c r="Z562" s="3">
        <v>516</v>
      </c>
      <c r="AA562" s="3">
        <v>654</v>
      </c>
      <c r="AB562" s="3">
        <v>402</v>
      </c>
      <c r="AC562" s="3">
        <v>36</v>
      </c>
      <c r="AD562" s="3">
        <v>426</v>
      </c>
      <c r="AE562" s="3">
        <v>222</v>
      </c>
      <c r="AF562" s="3">
        <v>228</v>
      </c>
      <c r="AG562" s="3">
        <v>210</v>
      </c>
      <c r="AH562" s="3">
        <v>24</v>
      </c>
      <c r="AI562" s="3">
        <v>192</v>
      </c>
      <c r="AJ562" s="3">
        <v>204</v>
      </c>
      <c r="AK562" s="3">
        <v>150</v>
      </c>
      <c r="AL562" s="3">
        <v>402</v>
      </c>
      <c r="AM562" s="3">
        <v>342</v>
      </c>
      <c r="AN562" s="3">
        <v>210</v>
      </c>
      <c r="AO562" s="3">
        <v>612</v>
      </c>
      <c r="AP562" s="3">
        <v>90</v>
      </c>
      <c r="AQ562" s="3">
        <v>132</v>
      </c>
      <c r="AR562" s="3">
        <v>186</v>
      </c>
      <c r="AS562" s="3">
        <v>66</v>
      </c>
      <c r="AT562" s="3">
        <v>546</v>
      </c>
      <c r="AU562" s="3">
        <v>153</v>
      </c>
      <c r="AV562" s="3">
        <v>150</v>
      </c>
      <c r="AW562" s="3">
        <v>120</v>
      </c>
    </row>
    <row r="563" spans="1:49">
      <c r="A563" s="4" t="s">
        <v>40</v>
      </c>
      <c r="B563" s="4" t="str">
        <f t="shared" si="8"/>
        <v>Hair Care</v>
      </c>
      <c r="C563" s="4" t="s">
        <v>1786</v>
      </c>
      <c r="D563" s="4" t="s">
        <v>575</v>
      </c>
      <c r="E563" s="24" t="s">
        <v>282</v>
      </c>
      <c r="F563" s="12" t="s">
        <v>290</v>
      </c>
      <c r="G563" s="4" t="s">
        <v>1787</v>
      </c>
      <c r="H563" s="3">
        <v>583</v>
      </c>
      <c r="I563" s="3">
        <v>222</v>
      </c>
      <c r="J563" s="3">
        <v>159</v>
      </c>
      <c r="K563" s="3">
        <v>246</v>
      </c>
      <c r="L563" s="3">
        <v>138</v>
      </c>
      <c r="M563" s="3">
        <v>288</v>
      </c>
      <c r="N563" s="3">
        <v>174</v>
      </c>
      <c r="O563" s="3">
        <v>132</v>
      </c>
      <c r="P563" s="3">
        <v>162</v>
      </c>
      <c r="Q563" s="3">
        <v>804</v>
      </c>
      <c r="R563" s="3">
        <v>510</v>
      </c>
      <c r="S563" s="3">
        <v>706</v>
      </c>
      <c r="T563" s="3">
        <v>486</v>
      </c>
      <c r="U563" s="3">
        <v>102</v>
      </c>
      <c r="V563" s="3">
        <v>348</v>
      </c>
      <c r="W563" s="3">
        <v>108</v>
      </c>
      <c r="X563" s="3">
        <v>84</v>
      </c>
      <c r="Y563" s="3">
        <v>144</v>
      </c>
      <c r="Z563" s="3">
        <v>474</v>
      </c>
      <c r="AA563" s="3">
        <v>570</v>
      </c>
      <c r="AB563" s="3">
        <v>324</v>
      </c>
      <c r="AC563" s="3">
        <v>0</v>
      </c>
      <c r="AD563" s="3">
        <v>390</v>
      </c>
      <c r="AE563" s="3">
        <v>198</v>
      </c>
      <c r="AF563" s="3">
        <v>132</v>
      </c>
      <c r="AG563" s="3">
        <v>216</v>
      </c>
      <c r="AH563" s="3">
        <v>87</v>
      </c>
      <c r="AI563" s="3">
        <v>168</v>
      </c>
      <c r="AJ563" s="3">
        <v>174</v>
      </c>
      <c r="AK563" s="3">
        <v>132</v>
      </c>
      <c r="AL563" s="3">
        <v>372</v>
      </c>
      <c r="AM563" s="3">
        <v>324</v>
      </c>
      <c r="AN563" s="3">
        <v>162</v>
      </c>
      <c r="AO563" s="3">
        <v>276</v>
      </c>
      <c r="AP563" s="3">
        <v>64</v>
      </c>
      <c r="AQ563" s="3">
        <v>128</v>
      </c>
      <c r="AR563" s="3">
        <v>126</v>
      </c>
      <c r="AS563" s="3">
        <v>108</v>
      </c>
      <c r="AT563" s="3">
        <v>408</v>
      </c>
      <c r="AU563" s="3">
        <v>153</v>
      </c>
      <c r="AV563" s="3">
        <v>126</v>
      </c>
      <c r="AW563" s="3">
        <v>90</v>
      </c>
    </row>
    <row r="564" spans="1:49">
      <c r="A564" s="4" t="s">
        <v>40</v>
      </c>
      <c r="B564" s="4" t="str">
        <f t="shared" si="8"/>
        <v>Hair Care</v>
      </c>
      <c r="C564" s="4" t="s">
        <v>1786</v>
      </c>
      <c r="D564" s="4" t="s">
        <v>575</v>
      </c>
      <c r="E564" s="24" t="s">
        <v>282</v>
      </c>
      <c r="F564" s="12" t="s">
        <v>291</v>
      </c>
      <c r="G564" s="4" t="s">
        <v>1787</v>
      </c>
      <c r="H564" s="3">
        <v>564</v>
      </c>
      <c r="I564" s="3">
        <v>492</v>
      </c>
      <c r="J564" s="3">
        <v>696</v>
      </c>
      <c r="K564" s="3">
        <v>0</v>
      </c>
      <c r="L564" s="3">
        <v>336</v>
      </c>
      <c r="M564" s="3">
        <v>828</v>
      </c>
      <c r="N564" s="3">
        <v>690</v>
      </c>
      <c r="O564" s="3">
        <v>252</v>
      </c>
      <c r="P564" s="3">
        <v>534</v>
      </c>
      <c r="Q564" s="3">
        <v>672</v>
      </c>
      <c r="R564" s="3">
        <v>432</v>
      </c>
      <c r="S564" s="3">
        <v>780</v>
      </c>
      <c r="T564" s="3">
        <v>756</v>
      </c>
      <c r="U564" s="3">
        <v>342</v>
      </c>
      <c r="V564" s="3">
        <v>858</v>
      </c>
      <c r="W564" s="3">
        <v>324</v>
      </c>
      <c r="X564" s="3">
        <v>270</v>
      </c>
      <c r="Y564" s="3">
        <v>468</v>
      </c>
      <c r="Z564" s="3">
        <v>726</v>
      </c>
      <c r="AA564" s="3">
        <v>780</v>
      </c>
      <c r="AB564" s="3">
        <v>690</v>
      </c>
      <c r="AC564" s="3">
        <v>0</v>
      </c>
      <c r="AD564" s="3">
        <v>396</v>
      </c>
      <c r="AE564" s="3">
        <v>426</v>
      </c>
      <c r="AF564" s="3">
        <v>486</v>
      </c>
      <c r="AG564" s="3">
        <v>432</v>
      </c>
      <c r="AH564" s="3">
        <v>498</v>
      </c>
      <c r="AI564" s="3">
        <v>318</v>
      </c>
      <c r="AJ564" s="3">
        <v>258</v>
      </c>
      <c r="AK564" s="3">
        <v>210</v>
      </c>
      <c r="AL564" s="3">
        <v>426</v>
      </c>
      <c r="AM564" s="3">
        <v>210</v>
      </c>
      <c r="AN564" s="3">
        <v>90</v>
      </c>
      <c r="AO564" s="3">
        <v>425</v>
      </c>
      <c r="AP564" s="3">
        <v>438</v>
      </c>
      <c r="AQ564" s="3">
        <v>450</v>
      </c>
      <c r="AR564" s="3">
        <v>612</v>
      </c>
      <c r="AS564" s="3">
        <v>588</v>
      </c>
      <c r="AT564" s="3">
        <v>474</v>
      </c>
      <c r="AU564" s="3">
        <v>192</v>
      </c>
      <c r="AV564" s="3">
        <v>402</v>
      </c>
      <c r="AW564" s="3">
        <v>432</v>
      </c>
    </row>
    <row r="565" spans="1:49">
      <c r="A565" s="4" t="s">
        <v>40</v>
      </c>
      <c r="B565" s="4" t="str">
        <f t="shared" si="8"/>
        <v>Hair Care</v>
      </c>
      <c r="C565" s="4" t="s">
        <v>1786</v>
      </c>
      <c r="D565" s="4" t="s">
        <v>575</v>
      </c>
      <c r="E565" s="24" t="s">
        <v>282</v>
      </c>
      <c r="F565" s="12" t="s">
        <v>292</v>
      </c>
      <c r="G565" s="4" t="s">
        <v>1787</v>
      </c>
      <c r="H565" s="3">
        <v>462</v>
      </c>
      <c r="I565" s="3">
        <v>432</v>
      </c>
      <c r="J565" s="3">
        <v>378</v>
      </c>
      <c r="K565" s="3">
        <v>468</v>
      </c>
      <c r="L565" s="3">
        <v>210</v>
      </c>
      <c r="M565" s="3">
        <v>528</v>
      </c>
      <c r="N565" s="3">
        <v>462</v>
      </c>
      <c r="O565" s="3">
        <v>222</v>
      </c>
      <c r="P565" s="3">
        <v>360</v>
      </c>
      <c r="Q565" s="3">
        <v>636</v>
      </c>
      <c r="R565" s="3">
        <v>324</v>
      </c>
      <c r="S565" s="3">
        <v>738</v>
      </c>
      <c r="T565" s="3">
        <v>684</v>
      </c>
      <c r="U565" s="3">
        <v>240</v>
      </c>
      <c r="V565" s="3">
        <v>630</v>
      </c>
      <c r="W565" s="3">
        <v>216</v>
      </c>
      <c r="X565" s="3">
        <v>144</v>
      </c>
      <c r="Y565" s="3">
        <v>300</v>
      </c>
      <c r="Z565" s="3">
        <v>618</v>
      </c>
      <c r="AA565" s="3">
        <v>648</v>
      </c>
      <c r="AB565" s="3">
        <v>348</v>
      </c>
      <c r="AC565" s="3">
        <v>24</v>
      </c>
      <c r="AD565" s="3">
        <v>378</v>
      </c>
      <c r="AE565" s="3">
        <v>264</v>
      </c>
      <c r="AF565" s="3">
        <v>336</v>
      </c>
      <c r="AG565" s="3">
        <v>306</v>
      </c>
      <c r="AH565" s="3">
        <v>198</v>
      </c>
      <c r="AI565" s="3">
        <v>162</v>
      </c>
      <c r="AJ565" s="3">
        <v>210</v>
      </c>
      <c r="AK565" s="3">
        <v>48</v>
      </c>
      <c r="AL565" s="3">
        <v>66</v>
      </c>
      <c r="AM565" s="3">
        <v>54</v>
      </c>
      <c r="AN565" s="3">
        <v>90</v>
      </c>
      <c r="AO565" s="3">
        <v>-18</v>
      </c>
      <c r="AP565" s="3">
        <v>102</v>
      </c>
      <c r="AQ565" s="3">
        <v>0</v>
      </c>
      <c r="AR565" s="3">
        <v>150</v>
      </c>
      <c r="AS565" s="3">
        <v>438</v>
      </c>
      <c r="AT565" s="3">
        <v>774</v>
      </c>
      <c r="AU565" s="3">
        <v>276</v>
      </c>
      <c r="AV565" s="3">
        <v>132</v>
      </c>
      <c r="AW565" s="3">
        <v>234</v>
      </c>
    </row>
    <row r="566" spans="1:49">
      <c r="A566" s="4" t="s">
        <v>40</v>
      </c>
      <c r="B566" s="4" t="str">
        <f t="shared" si="8"/>
        <v>Hair Care</v>
      </c>
      <c r="C566" s="4" t="s">
        <v>1786</v>
      </c>
      <c r="D566" s="4" t="s">
        <v>575</v>
      </c>
      <c r="E566" s="24" t="s">
        <v>282</v>
      </c>
      <c r="F566" s="12" t="s">
        <v>293</v>
      </c>
      <c r="G566" s="4" t="s">
        <v>1787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1452</v>
      </c>
      <c r="AO566" s="3">
        <v>738</v>
      </c>
      <c r="AP566" s="3">
        <v>213</v>
      </c>
      <c r="AQ566" s="3">
        <v>270</v>
      </c>
      <c r="AR566" s="3">
        <v>305</v>
      </c>
      <c r="AS566" s="3">
        <v>325</v>
      </c>
      <c r="AT566" s="3">
        <v>399</v>
      </c>
      <c r="AU566" s="3">
        <v>333</v>
      </c>
      <c r="AV566" s="3">
        <v>2196</v>
      </c>
      <c r="AW566" s="3">
        <v>222</v>
      </c>
    </row>
    <row r="567" spans="1:49">
      <c r="A567" s="4" t="s">
        <v>40</v>
      </c>
      <c r="B567" s="4" t="str">
        <f t="shared" si="8"/>
        <v>Hair Care</v>
      </c>
      <c r="C567" s="4" t="s">
        <v>1786</v>
      </c>
      <c r="D567" s="4" t="s">
        <v>575</v>
      </c>
      <c r="E567" s="24" t="s">
        <v>282</v>
      </c>
      <c r="F567" s="12" t="s">
        <v>294</v>
      </c>
      <c r="G567" s="4" t="s">
        <v>1787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1452</v>
      </c>
      <c r="AO567" s="3">
        <v>696</v>
      </c>
      <c r="AP567" s="3">
        <v>177</v>
      </c>
      <c r="AQ567" s="3">
        <v>252</v>
      </c>
      <c r="AR567" s="3">
        <v>303</v>
      </c>
      <c r="AS567" s="3">
        <v>251</v>
      </c>
      <c r="AT567" s="3">
        <v>402</v>
      </c>
      <c r="AU567" s="3">
        <v>319</v>
      </c>
      <c r="AV567" s="3">
        <v>2128</v>
      </c>
      <c r="AW567" s="3">
        <v>274</v>
      </c>
    </row>
    <row r="568" spans="1:49">
      <c r="A568" s="4" t="s">
        <v>40</v>
      </c>
      <c r="B568" s="4" t="str">
        <f t="shared" si="8"/>
        <v>Hair Care</v>
      </c>
      <c r="C568" s="4" t="s">
        <v>1786</v>
      </c>
      <c r="D568" s="4" t="s">
        <v>575</v>
      </c>
      <c r="E568" s="24" t="s">
        <v>282</v>
      </c>
      <c r="F568" s="12" t="s">
        <v>295</v>
      </c>
      <c r="G568" s="4" t="s">
        <v>1787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1636</v>
      </c>
      <c r="AO568" s="3">
        <v>696</v>
      </c>
      <c r="AP568" s="3">
        <v>171</v>
      </c>
      <c r="AQ568" s="3">
        <v>163</v>
      </c>
      <c r="AR568" s="3">
        <v>232</v>
      </c>
      <c r="AS568" s="3">
        <v>254</v>
      </c>
      <c r="AT568" s="3">
        <v>347</v>
      </c>
      <c r="AU568" s="3">
        <v>283</v>
      </c>
      <c r="AV568" s="3">
        <v>304</v>
      </c>
      <c r="AW568" s="3">
        <v>180</v>
      </c>
    </row>
    <row r="569" spans="1:49">
      <c r="A569" s="4" t="s">
        <v>40</v>
      </c>
      <c r="B569" s="4" t="str">
        <f t="shared" si="8"/>
        <v>Hair Care</v>
      </c>
      <c r="C569" s="4" t="s">
        <v>1786</v>
      </c>
      <c r="D569" s="4" t="s">
        <v>575</v>
      </c>
      <c r="E569" s="24" t="s">
        <v>282</v>
      </c>
      <c r="F569" s="12" t="s">
        <v>296</v>
      </c>
      <c r="G569" s="4" t="s">
        <v>1787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1536</v>
      </c>
      <c r="AO569" s="3">
        <v>648</v>
      </c>
      <c r="AP569" s="3">
        <v>156</v>
      </c>
      <c r="AQ569" s="3">
        <v>94</v>
      </c>
      <c r="AR569" s="3">
        <v>190</v>
      </c>
      <c r="AS569" s="3">
        <v>241</v>
      </c>
      <c r="AT569" s="3">
        <v>259</v>
      </c>
      <c r="AU569" s="3">
        <v>246</v>
      </c>
      <c r="AV569" s="3">
        <v>251</v>
      </c>
      <c r="AW569" s="3">
        <v>174</v>
      </c>
    </row>
    <row r="570" spans="1:49">
      <c r="A570" s="4" t="s">
        <v>40</v>
      </c>
      <c r="B570" s="4" t="str">
        <f t="shared" si="8"/>
        <v>Hair Care</v>
      </c>
      <c r="C570" s="4" t="s">
        <v>1786</v>
      </c>
      <c r="D570" s="4" t="s">
        <v>575</v>
      </c>
      <c r="E570" s="24" t="s">
        <v>282</v>
      </c>
      <c r="F570" s="12" t="s">
        <v>297</v>
      </c>
      <c r="G570" s="4" t="s">
        <v>1787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1094</v>
      </c>
      <c r="AO570" s="3">
        <v>228</v>
      </c>
      <c r="AP570" s="3">
        <v>66</v>
      </c>
      <c r="AQ570" s="3">
        <v>333</v>
      </c>
      <c r="AR570" s="3">
        <v>60</v>
      </c>
      <c r="AS570" s="3">
        <v>882</v>
      </c>
      <c r="AT570" s="3">
        <v>18</v>
      </c>
      <c r="AU570" s="3">
        <v>297</v>
      </c>
      <c r="AV570" s="3">
        <v>90</v>
      </c>
      <c r="AW570" s="3">
        <v>27</v>
      </c>
    </row>
    <row r="571" spans="1:49">
      <c r="A571" s="4" t="s">
        <v>40</v>
      </c>
      <c r="B571" s="4" t="str">
        <f t="shared" si="8"/>
        <v>Hair Care</v>
      </c>
      <c r="C571" s="4" t="s">
        <v>1786</v>
      </c>
      <c r="D571" s="4" t="s">
        <v>575</v>
      </c>
      <c r="E571" s="24" t="s">
        <v>42</v>
      </c>
      <c r="F571" s="12" t="s">
        <v>298</v>
      </c>
      <c r="G571" s="4" t="s">
        <v>1787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1146</v>
      </c>
      <c r="Z571" s="3">
        <v>282</v>
      </c>
      <c r="AA571" s="3">
        <v>1358</v>
      </c>
      <c r="AB571" s="3">
        <v>597</v>
      </c>
      <c r="AC571" s="3">
        <v>0</v>
      </c>
      <c r="AD571" s="3">
        <v>0</v>
      </c>
      <c r="AE571" s="3">
        <v>168</v>
      </c>
      <c r="AF571" s="3">
        <v>64</v>
      </c>
      <c r="AG571" s="3">
        <v>0</v>
      </c>
      <c r="AH571" s="3">
        <v>0</v>
      </c>
      <c r="AI571" s="3">
        <v>369</v>
      </c>
      <c r="AJ571" s="3">
        <v>132</v>
      </c>
      <c r="AK571" s="3">
        <v>288</v>
      </c>
      <c r="AL571" s="3">
        <v>411</v>
      </c>
      <c r="AM571" s="3">
        <v>24</v>
      </c>
      <c r="AN571" s="3">
        <v>51</v>
      </c>
      <c r="AO571" s="3">
        <v>42</v>
      </c>
      <c r="AP571" s="3">
        <v>91</v>
      </c>
      <c r="AQ571" s="3">
        <v>108</v>
      </c>
      <c r="AR571" s="3">
        <v>78</v>
      </c>
      <c r="AS571" s="3">
        <v>90</v>
      </c>
      <c r="AT571" s="3">
        <v>108</v>
      </c>
      <c r="AU571" s="3">
        <v>345</v>
      </c>
      <c r="AV571" s="3">
        <v>135</v>
      </c>
      <c r="AW571" s="3">
        <v>111</v>
      </c>
    </row>
    <row r="572" spans="1:49">
      <c r="A572" s="4" t="s">
        <v>40</v>
      </c>
      <c r="B572" s="4" t="str">
        <f t="shared" si="8"/>
        <v>Hair Care</v>
      </c>
      <c r="C572" s="4" t="s">
        <v>1786</v>
      </c>
      <c r="D572" s="4" t="s">
        <v>575</v>
      </c>
      <c r="E572" s="24" t="s">
        <v>42</v>
      </c>
      <c r="F572" s="12" t="s">
        <v>299</v>
      </c>
      <c r="G572" s="4" t="s">
        <v>1787</v>
      </c>
      <c r="H572" s="3">
        <v>0</v>
      </c>
      <c r="I572" s="3">
        <v>0</v>
      </c>
      <c r="J572" s="3">
        <v>0</v>
      </c>
      <c r="K572" s="3">
        <v>0</v>
      </c>
      <c r="L572" s="3">
        <v>768</v>
      </c>
      <c r="M572" s="3">
        <v>276</v>
      </c>
      <c r="N572" s="3">
        <v>864</v>
      </c>
      <c r="O572" s="3">
        <v>72</v>
      </c>
      <c r="P572" s="3">
        <v>0</v>
      </c>
      <c r="Q572" s="3">
        <v>0</v>
      </c>
      <c r="R572" s="3">
        <v>24</v>
      </c>
      <c r="S572" s="3">
        <v>0</v>
      </c>
      <c r="T572" s="3">
        <v>12</v>
      </c>
      <c r="U572" s="3">
        <v>12</v>
      </c>
      <c r="V572" s="3">
        <v>12</v>
      </c>
      <c r="W572" s="3">
        <v>12</v>
      </c>
      <c r="X572" s="3">
        <v>36</v>
      </c>
      <c r="Y572" s="3">
        <v>12</v>
      </c>
      <c r="Z572" s="3">
        <v>0</v>
      </c>
      <c r="AA572" s="3">
        <v>0</v>
      </c>
      <c r="AB572" s="3">
        <v>0</v>
      </c>
      <c r="AC572" s="3">
        <v>0</v>
      </c>
      <c r="AD572" s="3">
        <v>12</v>
      </c>
      <c r="AE572" s="3">
        <v>24</v>
      </c>
      <c r="AF572" s="3">
        <v>12</v>
      </c>
      <c r="AG572" s="3">
        <v>36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</row>
    <row r="573" spans="1:49">
      <c r="A573" s="4" t="s">
        <v>40</v>
      </c>
      <c r="B573" s="4" t="str">
        <f t="shared" si="8"/>
        <v>Hair Care</v>
      </c>
      <c r="C573" s="4" t="s">
        <v>1786</v>
      </c>
      <c r="D573" s="4" t="s">
        <v>575</v>
      </c>
      <c r="E573" s="24" t="s">
        <v>42</v>
      </c>
      <c r="F573" s="12" t="s">
        <v>300</v>
      </c>
      <c r="G573" s="4" t="s">
        <v>1787</v>
      </c>
      <c r="H573" s="3">
        <v>0</v>
      </c>
      <c r="I573" s="3">
        <v>0</v>
      </c>
      <c r="J573" s="3">
        <v>0</v>
      </c>
      <c r="K573" s="3">
        <v>0</v>
      </c>
      <c r="L573" s="3">
        <v>768</v>
      </c>
      <c r="M573" s="3">
        <v>348</v>
      </c>
      <c r="N573" s="3">
        <v>876</v>
      </c>
      <c r="O573" s="3">
        <v>180</v>
      </c>
      <c r="P573" s="3">
        <v>0</v>
      </c>
      <c r="Q573" s="3">
        <v>12</v>
      </c>
      <c r="R573" s="3">
        <v>24</v>
      </c>
      <c r="S573" s="3">
        <v>12</v>
      </c>
      <c r="T573" s="3">
        <v>12</v>
      </c>
      <c r="U573" s="3">
        <v>24</v>
      </c>
      <c r="V573" s="3">
        <v>12</v>
      </c>
      <c r="W573" s="3">
        <v>0</v>
      </c>
      <c r="X573" s="3">
        <v>48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12</v>
      </c>
      <c r="AE573" s="3">
        <v>12</v>
      </c>
      <c r="AF573" s="3">
        <v>12</v>
      </c>
      <c r="AG573" s="3">
        <v>24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</row>
    <row r="574" spans="1:49">
      <c r="A574" s="4" t="s">
        <v>40</v>
      </c>
      <c r="B574" s="4" t="str">
        <f t="shared" si="8"/>
        <v>Hair Care</v>
      </c>
      <c r="C574" s="4" t="s">
        <v>1786</v>
      </c>
      <c r="D574" s="4" t="s">
        <v>575</v>
      </c>
      <c r="E574" s="24" t="s">
        <v>42</v>
      </c>
      <c r="F574" s="12" t="s">
        <v>301</v>
      </c>
      <c r="G574" s="4" t="s">
        <v>1787</v>
      </c>
      <c r="H574" s="3">
        <v>0</v>
      </c>
      <c r="I574" s="3">
        <v>0</v>
      </c>
      <c r="J574" s="3">
        <v>0</v>
      </c>
      <c r="K574" s="3">
        <v>0</v>
      </c>
      <c r="L574" s="3">
        <v>768</v>
      </c>
      <c r="M574" s="3">
        <v>288</v>
      </c>
      <c r="N574" s="3">
        <v>864</v>
      </c>
      <c r="O574" s="3">
        <v>180</v>
      </c>
      <c r="P574" s="3">
        <v>0</v>
      </c>
      <c r="Q574" s="3">
        <v>12</v>
      </c>
      <c r="R574" s="3">
        <v>24</v>
      </c>
      <c r="S574" s="3">
        <v>10</v>
      </c>
      <c r="T574" s="3">
        <v>12</v>
      </c>
      <c r="U574" s="3">
        <v>0</v>
      </c>
      <c r="V574" s="3">
        <v>0</v>
      </c>
      <c r="W574" s="3">
        <v>0</v>
      </c>
      <c r="X574" s="3">
        <v>36</v>
      </c>
      <c r="Y574" s="3">
        <v>12</v>
      </c>
      <c r="Z574" s="3">
        <v>12</v>
      </c>
      <c r="AA574" s="3">
        <v>0</v>
      </c>
      <c r="AB574" s="3">
        <v>0</v>
      </c>
      <c r="AC574" s="3">
        <v>0</v>
      </c>
      <c r="AD574" s="3">
        <v>24</v>
      </c>
      <c r="AE574" s="3">
        <v>12</v>
      </c>
      <c r="AF574" s="3">
        <v>12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</row>
    <row r="575" spans="1:49">
      <c r="A575" s="4" t="s">
        <v>40</v>
      </c>
      <c r="B575" s="4" t="str">
        <f t="shared" si="8"/>
        <v>Hair Care</v>
      </c>
      <c r="C575" s="4" t="s">
        <v>1786</v>
      </c>
      <c r="D575" s="4" t="s">
        <v>575</v>
      </c>
      <c r="E575" s="24" t="s">
        <v>42</v>
      </c>
      <c r="F575" s="12" t="s">
        <v>302</v>
      </c>
      <c r="G575" s="4" t="s">
        <v>1787</v>
      </c>
      <c r="H575" s="3">
        <v>0</v>
      </c>
      <c r="I575" s="3">
        <v>0</v>
      </c>
      <c r="J575" s="3">
        <v>0</v>
      </c>
      <c r="K575" s="3">
        <v>0</v>
      </c>
      <c r="L575" s="3">
        <v>768</v>
      </c>
      <c r="M575" s="3">
        <v>300</v>
      </c>
      <c r="N575" s="3">
        <v>840</v>
      </c>
      <c r="O575" s="3">
        <v>60</v>
      </c>
      <c r="P575" s="3">
        <v>0</v>
      </c>
      <c r="Q575" s="3">
        <v>0</v>
      </c>
      <c r="R575" s="3">
        <v>12</v>
      </c>
      <c r="S575" s="3">
        <v>0</v>
      </c>
      <c r="T575" s="3">
        <v>12</v>
      </c>
      <c r="U575" s="3">
        <v>12</v>
      </c>
      <c r="V575" s="3">
        <v>24</v>
      </c>
      <c r="W575" s="3">
        <v>0</v>
      </c>
      <c r="X575" s="3">
        <v>24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12</v>
      </c>
      <c r="AF575" s="3">
        <v>12</v>
      </c>
      <c r="AG575" s="3">
        <v>12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</row>
    <row r="576" spans="1:49">
      <c r="A576" s="4" t="s">
        <v>40</v>
      </c>
      <c r="B576" s="4" t="str">
        <f t="shared" si="8"/>
        <v>Hair Care</v>
      </c>
      <c r="C576" s="4" t="s">
        <v>1786</v>
      </c>
      <c r="D576" s="4" t="s">
        <v>575</v>
      </c>
      <c r="E576" s="24" t="s">
        <v>42</v>
      </c>
      <c r="F576" s="12" t="s">
        <v>303</v>
      </c>
      <c r="G576" s="4" t="s">
        <v>1787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456</v>
      </c>
      <c r="U576" s="3">
        <v>1032</v>
      </c>
      <c r="V576" s="3">
        <v>216</v>
      </c>
      <c r="W576" s="3">
        <v>216</v>
      </c>
      <c r="X576" s="3">
        <v>168</v>
      </c>
      <c r="Y576" s="3">
        <v>300</v>
      </c>
      <c r="Z576" s="3">
        <v>156</v>
      </c>
      <c r="AA576" s="3">
        <v>180</v>
      </c>
      <c r="AB576" s="3">
        <v>636</v>
      </c>
      <c r="AC576" s="3">
        <v>252</v>
      </c>
      <c r="AD576" s="3">
        <v>60</v>
      </c>
      <c r="AE576" s="3">
        <v>240</v>
      </c>
      <c r="AF576" s="3">
        <v>276</v>
      </c>
      <c r="AG576" s="3">
        <v>204</v>
      </c>
      <c r="AH576" s="3">
        <v>120</v>
      </c>
      <c r="AI576" s="3">
        <v>192</v>
      </c>
      <c r="AJ576" s="3">
        <v>204</v>
      </c>
      <c r="AK576" s="3">
        <v>204</v>
      </c>
      <c r="AL576" s="3">
        <v>192</v>
      </c>
      <c r="AM576" s="3">
        <v>240</v>
      </c>
      <c r="AN576" s="3">
        <v>204</v>
      </c>
      <c r="AO576" s="3">
        <v>204</v>
      </c>
      <c r="AP576" s="3">
        <v>216</v>
      </c>
      <c r="AQ576" s="3">
        <v>96</v>
      </c>
      <c r="AR576" s="3">
        <v>324</v>
      </c>
      <c r="AS576" s="3">
        <v>324</v>
      </c>
      <c r="AT576" s="3">
        <v>204</v>
      </c>
      <c r="AU576" s="3">
        <v>300</v>
      </c>
      <c r="AV576" s="3">
        <v>0</v>
      </c>
      <c r="AW576" s="3">
        <v>276</v>
      </c>
    </row>
    <row r="577" spans="1:49">
      <c r="A577" s="4" t="s">
        <v>40</v>
      </c>
      <c r="B577" s="4" t="str">
        <f t="shared" si="8"/>
        <v>Hair Care</v>
      </c>
      <c r="C577" s="4" t="s">
        <v>1786</v>
      </c>
      <c r="D577" s="4" t="s">
        <v>575</v>
      </c>
      <c r="E577" s="24" t="s">
        <v>42</v>
      </c>
      <c r="F577" s="12" t="s">
        <v>304</v>
      </c>
      <c r="G577" s="4" t="s">
        <v>1787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420</v>
      </c>
      <c r="U577" s="3">
        <v>804</v>
      </c>
      <c r="V577" s="3">
        <v>324</v>
      </c>
      <c r="W577" s="3">
        <v>228</v>
      </c>
      <c r="X577" s="3">
        <v>120</v>
      </c>
      <c r="Y577" s="3">
        <v>240</v>
      </c>
      <c r="Z577" s="3">
        <v>84</v>
      </c>
      <c r="AA577" s="3">
        <v>180</v>
      </c>
      <c r="AB577" s="3">
        <v>504</v>
      </c>
      <c r="AC577" s="3">
        <v>228</v>
      </c>
      <c r="AD577" s="3">
        <v>84</v>
      </c>
      <c r="AE577" s="3">
        <v>216</v>
      </c>
      <c r="AF577" s="3">
        <v>204</v>
      </c>
      <c r="AG577" s="3">
        <v>180</v>
      </c>
      <c r="AH577" s="3">
        <v>204</v>
      </c>
      <c r="AI577" s="3">
        <v>108</v>
      </c>
      <c r="AJ577" s="3">
        <v>168</v>
      </c>
      <c r="AK577" s="3">
        <v>144</v>
      </c>
      <c r="AL577" s="3">
        <v>180</v>
      </c>
      <c r="AM577" s="3">
        <v>240</v>
      </c>
      <c r="AN577" s="3">
        <v>132</v>
      </c>
      <c r="AO577" s="3">
        <v>120</v>
      </c>
      <c r="AP577" s="3">
        <v>96</v>
      </c>
      <c r="AQ577" s="3">
        <v>72</v>
      </c>
      <c r="AR577" s="3">
        <v>84</v>
      </c>
      <c r="AS577" s="3">
        <v>144</v>
      </c>
      <c r="AT577" s="3">
        <v>48</v>
      </c>
      <c r="AU577" s="3">
        <v>0</v>
      </c>
      <c r="AV577" s="3">
        <v>0</v>
      </c>
      <c r="AW577" s="3">
        <v>0</v>
      </c>
    </row>
    <row r="578" spans="1:49">
      <c r="A578" s="4" t="s">
        <v>40</v>
      </c>
      <c r="B578" s="4" t="str">
        <f t="shared" si="8"/>
        <v>Hair Care</v>
      </c>
      <c r="C578" s="4" t="s">
        <v>1786</v>
      </c>
      <c r="D578" s="4" t="s">
        <v>575</v>
      </c>
      <c r="E578" s="24" t="s">
        <v>42</v>
      </c>
      <c r="F578" s="12" t="s">
        <v>305</v>
      </c>
      <c r="G578" s="4" t="s">
        <v>1787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588</v>
      </c>
      <c r="U578" s="3">
        <v>1176</v>
      </c>
      <c r="V578" s="3">
        <v>264</v>
      </c>
      <c r="W578" s="3">
        <v>168</v>
      </c>
      <c r="X578" s="3">
        <v>108</v>
      </c>
      <c r="Y578" s="3">
        <v>384</v>
      </c>
      <c r="Z578" s="3">
        <v>204</v>
      </c>
      <c r="AA578" s="3">
        <v>336</v>
      </c>
      <c r="AB578" s="3">
        <v>492</v>
      </c>
      <c r="AC578" s="3">
        <v>0</v>
      </c>
      <c r="AD578" s="3">
        <v>84</v>
      </c>
      <c r="AE578" s="3">
        <v>180</v>
      </c>
      <c r="AF578" s="3">
        <v>192</v>
      </c>
      <c r="AG578" s="3">
        <v>192</v>
      </c>
      <c r="AH578" s="3">
        <v>192</v>
      </c>
      <c r="AI578" s="3">
        <v>240</v>
      </c>
      <c r="AJ578" s="3">
        <v>168</v>
      </c>
      <c r="AK578" s="3">
        <v>192</v>
      </c>
      <c r="AL578" s="3">
        <v>228</v>
      </c>
      <c r="AM578" s="3">
        <v>156</v>
      </c>
      <c r="AN578" s="3">
        <v>180</v>
      </c>
      <c r="AO578" s="3">
        <v>84</v>
      </c>
      <c r="AP578" s="3">
        <v>396</v>
      </c>
      <c r="AQ578" s="3">
        <v>-132</v>
      </c>
      <c r="AR578" s="3">
        <v>144</v>
      </c>
      <c r="AS578" s="3">
        <v>0</v>
      </c>
      <c r="AT578" s="3">
        <v>0</v>
      </c>
      <c r="AU578" s="3">
        <v>0</v>
      </c>
      <c r="AV578" s="3">
        <v>0</v>
      </c>
      <c r="AW578" s="3">
        <v>1980</v>
      </c>
    </row>
    <row r="579" spans="1:49">
      <c r="A579" s="4" t="s">
        <v>40</v>
      </c>
      <c r="B579" s="4" t="str">
        <f t="shared" ref="B579:B642" si="9">A579</f>
        <v>Hair Care</v>
      </c>
      <c r="C579" s="4" t="s">
        <v>1786</v>
      </c>
      <c r="D579" s="4" t="s">
        <v>575</v>
      </c>
      <c r="E579" s="24" t="s">
        <v>42</v>
      </c>
      <c r="F579" s="12" t="s">
        <v>306</v>
      </c>
      <c r="G579" s="4" t="s">
        <v>1787</v>
      </c>
      <c r="H579" s="3">
        <v>0</v>
      </c>
      <c r="I579" s="3">
        <v>0</v>
      </c>
      <c r="J579" s="3">
        <v>0</v>
      </c>
      <c r="K579" s="3">
        <v>0</v>
      </c>
      <c r="L579" s="3">
        <v>1072</v>
      </c>
      <c r="M579" s="3">
        <v>368</v>
      </c>
      <c r="N579" s="3">
        <v>126</v>
      </c>
      <c r="O579" s="3">
        <v>108</v>
      </c>
      <c r="P579" s="3">
        <v>120</v>
      </c>
      <c r="Q579" s="3">
        <v>66</v>
      </c>
      <c r="R579" s="3">
        <v>150</v>
      </c>
      <c r="S579" s="3">
        <v>180</v>
      </c>
      <c r="T579" s="3">
        <v>249</v>
      </c>
      <c r="U579" s="3">
        <v>158</v>
      </c>
      <c r="V579" s="3">
        <v>239</v>
      </c>
      <c r="W579" s="3">
        <v>204</v>
      </c>
      <c r="X579" s="3">
        <v>114</v>
      </c>
      <c r="Y579" s="3">
        <v>44</v>
      </c>
      <c r="Z579" s="3">
        <v>120</v>
      </c>
      <c r="AA579" s="3">
        <v>231</v>
      </c>
      <c r="AB579" s="3">
        <v>408</v>
      </c>
      <c r="AC579" s="3">
        <v>21</v>
      </c>
      <c r="AD579" s="3">
        <v>99</v>
      </c>
      <c r="AE579" s="3">
        <v>30</v>
      </c>
      <c r="AF579" s="3">
        <v>72</v>
      </c>
      <c r="AG579" s="3">
        <v>75</v>
      </c>
      <c r="AH579" s="3">
        <v>36</v>
      </c>
      <c r="AI579" s="3">
        <v>84</v>
      </c>
      <c r="AJ579" s="3">
        <v>18</v>
      </c>
      <c r="AK579" s="3">
        <v>90</v>
      </c>
      <c r="AL579" s="3">
        <v>96</v>
      </c>
      <c r="AM579" s="3">
        <v>24</v>
      </c>
      <c r="AN579" s="3">
        <v>12</v>
      </c>
      <c r="AO579" s="3">
        <v>18</v>
      </c>
      <c r="AP579" s="3">
        <v>96</v>
      </c>
      <c r="AQ579" s="3">
        <v>18</v>
      </c>
      <c r="AR579" s="3">
        <v>120</v>
      </c>
      <c r="AS579" s="3">
        <v>78</v>
      </c>
      <c r="AT579" s="3">
        <v>36</v>
      </c>
      <c r="AU579" s="3">
        <v>0</v>
      </c>
      <c r="AV579" s="3">
        <v>90</v>
      </c>
      <c r="AW579" s="3">
        <v>18</v>
      </c>
    </row>
    <row r="580" spans="1:49">
      <c r="A580" s="4" t="s">
        <v>40</v>
      </c>
      <c r="B580" s="4" t="str">
        <f t="shared" si="9"/>
        <v>Hair Care</v>
      </c>
      <c r="C580" s="4" t="s">
        <v>1786</v>
      </c>
      <c r="D580" s="4" t="s">
        <v>575</v>
      </c>
      <c r="E580" s="24" t="s">
        <v>42</v>
      </c>
      <c r="F580" s="12" t="s">
        <v>307</v>
      </c>
      <c r="G580" s="4" t="s">
        <v>1787</v>
      </c>
      <c r="H580" s="3">
        <v>0</v>
      </c>
      <c r="I580" s="3">
        <v>0</v>
      </c>
      <c r="J580" s="3">
        <v>0</v>
      </c>
      <c r="K580" s="3">
        <v>0</v>
      </c>
      <c r="L580" s="3">
        <v>1066</v>
      </c>
      <c r="M580" s="3">
        <v>455</v>
      </c>
      <c r="N580" s="3">
        <v>132</v>
      </c>
      <c r="O580" s="3">
        <v>164</v>
      </c>
      <c r="P580" s="3">
        <v>192</v>
      </c>
      <c r="Q580" s="3">
        <v>43</v>
      </c>
      <c r="R580" s="3">
        <v>164</v>
      </c>
      <c r="S580" s="3">
        <v>126</v>
      </c>
      <c r="T580" s="3">
        <v>150</v>
      </c>
      <c r="U580" s="3">
        <v>120</v>
      </c>
      <c r="V580" s="3">
        <v>236</v>
      </c>
      <c r="W580" s="3">
        <v>132</v>
      </c>
      <c r="X580" s="3">
        <v>66</v>
      </c>
      <c r="Y580" s="3">
        <v>216</v>
      </c>
      <c r="Z580" s="3">
        <v>78</v>
      </c>
      <c r="AA580" s="3">
        <v>171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</row>
    <row r="581" spans="1:49">
      <c r="A581" s="4" t="s">
        <v>40</v>
      </c>
      <c r="B581" s="4" t="str">
        <f t="shared" si="9"/>
        <v>Hair Care</v>
      </c>
      <c r="C581" s="4" t="s">
        <v>1786</v>
      </c>
      <c r="D581" s="4" t="s">
        <v>575</v>
      </c>
      <c r="E581" s="24" t="s">
        <v>42</v>
      </c>
      <c r="F581" s="12" t="s">
        <v>308</v>
      </c>
      <c r="G581" s="4" t="s">
        <v>1787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588</v>
      </c>
      <c r="U581" s="3">
        <v>1272</v>
      </c>
      <c r="V581" s="3">
        <v>336</v>
      </c>
      <c r="W581" s="3">
        <v>588</v>
      </c>
      <c r="X581" s="3">
        <v>372</v>
      </c>
      <c r="Y581" s="3">
        <v>624</v>
      </c>
      <c r="Z581" s="3">
        <v>312</v>
      </c>
      <c r="AA581" s="3">
        <v>510</v>
      </c>
      <c r="AB581" s="3">
        <v>900</v>
      </c>
      <c r="AC581" s="3">
        <v>6</v>
      </c>
      <c r="AD581" s="3">
        <v>228</v>
      </c>
      <c r="AE581" s="3">
        <v>294</v>
      </c>
      <c r="AF581" s="3">
        <v>342</v>
      </c>
      <c r="AG581" s="3">
        <v>246</v>
      </c>
      <c r="AH581" s="3">
        <v>282</v>
      </c>
      <c r="AI581" s="3">
        <v>318</v>
      </c>
      <c r="AJ581" s="3">
        <v>204</v>
      </c>
      <c r="AK581" s="3">
        <v>636</v>
      </c>
      <c r="AL581" s="3">
        <v>714</v>
      </c>
      <c r="AM581" s="3">
        <v>0</v>
      </c>
      <c r="AN581" s="3">
        <v>342</v>
      </c>
      <c r="AO581" s="3">
        <v>240</v>
      </c>
      <c r="AP581" s="3">
        <v>156</v>
      </c>
      <c r="AQ581" s="3">
        <v>756</v>
      </c>
      <c r="AR581" s="3">
        <v>384</v>
      </c>
      <c r="AS581" s="3">
        <v>534</v>
      </c>
      <c r="AT581" s="3">
        <v>504</v>
      </c>
      <c r="AU581" s="3">
        <v>1050</v>
      </c>
      <c r="AV581" s="3">
        <v>102</v>
      </c>
      <c r="AW581" s="3">
        <v>336</v>
      </c>
    </row>
    <row r="582" spans="1:49">
      <c r="A582" s="4" t="s">
        <v>40</v>
      </c>
      <c r="B582" s="4" t="str">
        <f t="shared" si="9"/>
        <v>Hair Care</v>
      </c>
      <c r="C582" s="4" t="s">
        <v>1786</v>
      </c>
      <c r="D582" s="4" t="s">
        <v>575</v>
      </c>
      <c r="E582" s="24" t="s">
        <v>42</v>
      </c>
      <c r="F582" s="12" t="s">
        <v>309</v>
      </c>
      <c r="G582" s="4" t="s">
        <v>1787</v>
      </c>
      <c r="H582" s="3">
        <v>0</v>
      </c>
      <c r="I582" s="3">
        <v>0</v>
      </c>
      <c r="J582" s="3">
        <v>0</v>
      </c>
      <c r="K582" s="3">
        <v>0</v>
      </c>
      <c r="L582" s="3">
        <v>1332</v>
      </c>
      <c r="M582" s="3">
        <v>480</v>
      </c>
      <c r="N582" s="3">
        <v>216</v>
      </c>
      <c r="O582" s="3">
        <v>228</v>
      </c>
      <c r="P582" s="3">
        <v>312</v>
      </c>
      <c r="Q582" s="3">
        <v>228</v>
      </c>
      <c r="R582" s="3">
        <v>264</v>
      </c>
      <c r="S582" s="3">
        <v>240</v>
      </c>
      <c r="T582" s="3">
        <v>204</v>
      </c>
      <c r="U582" s="3">
        <v>192</v>
      </c>
      <c r="V582" s="3">
        <v>276</v>
      </c>
      <c r="W582" s="3">
        <v>216</v>
      </c>
      <c r="X582" s="3">
        <v>516</v>
      </c>
      <c r="Y582" s="3">
        <v>276</v>
      </c>
      <c r="Z582" s="3">
        <v>252</v>
      </c>
      <c r="AA582" s="3">
        <v>96</v>
      </c>
      <c r="AB582" s="3">
        <v>744</v>
      </c>
      <c r="AC582" s="3">
        <v>24</v>
      </c>
      <c r="AD582" s="3">
        <v>276</v>
      </c>
      <c r="AE582" s="3">
        <v>168</v>
      </c>
      <c r="AF582" s="3">
        <v>36</v>
      </c>
      <c r="AG582" s="3">
        <v>48</v>
      </c>
      <c r="AH582" s="3">
        <v>48</v>
      </c>
      <c r="AI582" s="3">
        <v>300</v>
      </c>
      <c r="AJ582" s="3">
        <v>60</v>
      </c>
      <c r="AK582" s="3">
        <v>468</v>
      </c>
      <c r="AL582" s="3">
        <v>96</v>
      </c>
      <c r="AM582" s="3">
        <v>204</v>
      </c>
      <c r="AN582" s="3">
        <v>132</v>
      </c>
      <c r="AO582" s="3">
        <v>108</v>
      </c>
      <c r="AP582" s="3">
        <v>84</v>
      </c>
      <c r="AQ582" s="3">
        <v>48</v>
      </c>
      <c r="AR582" s="3">
        <v>504</v>
      </c>
      <c r="AS582" s="3">
        <v>192</v>
      </c>
      <c r="AT582" s="3">
        <v>192</v>
      </c>
      <c r="AU582" s="3">
        <v>348</v>
      </c>
      <c r="AV582" s="3">
        <v>0</v>
      </c>
      <c r="AW582" s="3">
        <v>36</v>
      </c>
    </row>
    <row r="583" spans="1:49">
      <c r="A583" s="4" t="s">
        <v>40</v>
      </c>
      <c r="B583" s="4" t="str">
        <f t="shared" si="9"/>
        <v>Hair Care</v>
      </c>
      <c r="C583" s="4" t="s">
        <v>1786</v>
      </c>
      <c r="D583" s="4" t="s">
        <v>575</v>
      </c>
      <c r="E583" s="24" t="s">
        <v>42</v>
      </c>
      <c r="F583" s="12" t="s">
        <v>310</v>
      </c>
      <c r="G583" s="4" t="s">
        <v>1787</v>
      </c>
      <c r="H583" s="3">
        <v>36</v>
      </c>
      <c r="I583" s="3">
        <v>84</v>
      </c>
      <c r="J583" s="3">
        <v>84</v>
      </c>
      <c r="K583" s="3">
        <v>48</v>
      </c>
      <c r="L583" s="3">
        <v>120</v>
      </c>
      <c r="M583" s="3">
        <v>36</v>
      </c>
      <c r="N583" s="3">
        <v>38</v>
      </c>
      <c r="O583" s="3">
        <v>24</v>
      </c>
      <c r="P583" s="3">
        <v>24</v>
      </c>
      <c r="Q583" s="3">
        <v>60</v>
      </c>
      <c r="R583" s="3">
        <v>96</v>
      </c>
      <c r="S583" s="3">
        <v>96</v>
      </c>
      <c r="T583" s="3">
        <v>156</v>
      </c>
      <c r="U583" s="3">
        <v>48</v>
      </c>
      <c r="V583" s="3">
        <v>144</v>
      </c>
      <c r="W583" s="3">
        <v>168</v>
      </c>
      <c r="X583" s="3">
        <v>48</v>
      </c>
      <c r="Y583" s="3">
        <v>108</v>
      </c>
      <c r="Z583" s="3">
        <v>60</v>
      </c>
      <c r="AA583" s="3">
        <v>60</v>
      </c>
      <c r="AB583" s="3">
        <v>648</v>
      </c>
      <c r="AC583" s="3">
        <v>24</v>
      </c>
      <c r="AD583" s="3">
        <v>36</v>
      </c>
      <c r="AE583" s="3">
        <v>0</v>
      </c>
      <c r="AF583" s="3">
        <v>0</v>
      </c>
      <c r="AG583" s="3">
        <v>20</v>
      </c>
      <c r="AH583" s="3">
        <v>10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</row>
    <row r="584" spans="1:49">
      <c r="A584" s="4" t="s">
        <v>40</v>
      </c>
      <c r="B584" s="4" t="str">
        <f t="shared" si="9"/>
        <v>Hair Care</v>
      </c>
      <c r="C584" s="4" t="s">
        <v>1786</v>
      </c>
      <c r="D584" s="4" t="s">
        <v>575</v>
      </c>
      <c r="E584" s="24" t="s">
        <v>42</v>
      </c>
      <c r="F584" s="12" t="s">
        <v>311</v>
      </c>
      <c r="G584" s="4" t="s">
        <v>1787</v>
      </c>
      <c r="H584" s="3">
        <v>832</v>
      </c>
      <c r="I584" s="3">
        <v>570</v>
      </c>
      <c r="J584" s="3">
        <v>150</v>
      </c>
      <c r="K584" s="3">
        <v>726</v>
      </c>
      <c r="L584" s="3">
        <v>582</v>
      </c>
      <c r="M584" s="3">
        <v>618</v>
      </c>
      <c r="N584" s="3">
        <v>194</v>
      </c>
      <c r="O584" s="3">
        <v>348</v>
      </c>
      <c r="P584" s="3">
        <v>666</v>
      </c>
      <c r="Q584" s="3">
        <v>162</v>
      </c>
      <c r="R584" s="3">
        <v>312</v>
      </c>
      <c r="S584" s="3">
        <v>588</v>
      </c>
      <c r="T584" s="3">
        <v>798</v>
      </c>
      <c r="U584" s="3">
        <v>198</v>
      </c>
      <c r="V584" s="3">
        <v>180</v>
      </c>
      <c r="W584" s="3">
        <v>300</v>
      </c>
      <c r="X584" s="3">
        <v>378</v>
      </c>
      <c r="Y584" s="3">
        <v>426</v>
      </c>
      <c r="Z584" s="3">
        <v>1302</v>
      </c>
      <c r="AA584" s="3">
        <v>300</v>
      </c>
      <c r="AB584" s="3">
        <v>462</v>
      </c>
      <c r="AC584" s="3">
        <v>0</v>
      </c>
      <c r="AD584" s="3">
        <v>0</v>
      </c>
      <c r="AE584" s="3">
        <v>0</v>
      </c>
      <c r="AF584" s="3">
        <v>0</v>
      </c>
      <c r="AG584" s="3">
        <v>20</v>
      </c>
      <c r="AH584" s="3">
        <v>10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</row>
    <row r="585" spans="1:49">
      <c r="A585" s="4" t="s">
        <v>40</v>
      </c>
      <c r="B585" s="4" t="str">
        <f t="shared" si="9"/>
        <v>Hair Care</v>
      </c>
      <c r="C585" s="4" t="s">
        <v>1786</v>
      </c>
      <c r="D585" s="4" t="s">
        <v>575</v>
      </c>
      <c r="E585" s="24" t="s">
        <v>42</v>
      </c>
      <c r="F585" s="12" t="s">
        <v>312</v>
      </c>
      <c r="G585" s="4" t="s">
        <v>1787</v>
      </c>
      <c r="H585" s="3">
        <v>132</v>
      </c>
      <c r="I585" s="3">
        <v>144</v>
      </c>
      <c r="J585" s="3">
        <v>192</v>
      </c>
      <c r="K585" s="3">
        <v>144</v>
      </c>
      <c r="L585" s="3">
        <v>84</v>
      </c>
      <c r="M585" s="3">
        <v>36</v>
      </c>
      <c r="N585" s="3">
        <v>2</v>
      </c>
      <c r="O585" s="3">
        <v>24</v>
      </c>
      <c r="P585" s="3">
        <v>24</v>
      </c>
      <c r="Q585" s="3">
        <v>36</v>
      </c>
      <c r="R585" s="3">
        <v>36</v>
      </c>
      <c r="S585" s="3">
        <v>24</v>
      </c>
      <c r="T585" s="3">
        <v>108</v>
      </c>
      <c r="U585" s="3">
        <v>24</v>
      </c>
      <c r="V585" s="3">
        <v>132</v>
      </c>
      <c r="W585" s="3">
        <v>72</v>
      </c>
      <c r="X585" s="3">
        <v>48</v>
      </c>
      <c r="Y585" s="3">
        <v>60</v>
      </c>
      <c r="Z585" s="3">
        <v>36</v>
      </c>
      <c r="AA585" s="3">
        <v>72</v>
      </c>
      <c r="AB585" s="3">
        <v>108</v>
      </c>
      <c r="AC585" s="3">
        <v>0</v>
      </c>
      <c r="AD585" s="3">
        <v>0</v>
      </c>
      <c r="AE585" s="3">
        <v>0</v>
      </c>
      <c r="AF585" s="3">
        <v>0</v>
      </c>
      <c r="AG585" s="3">
        <v>20</v>
      </c>
      <c r="AH585" s="3">
        <v>10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</row>
    <row r="586" spans="1:49">
      <c r="A586" s="4" t="s">
        <v>40</v>
      </c>
      <c r="B586" s="4" t="str">
        <f t="shared" si="9"/>
        <v>Hair Care</v>
      </c>
      <c r="C586" s="4" t="s">
        <v>1786</v>
      </c>
      <c r="D586" s="4" t="s">
        <v>575</v>
      </c>
      <c r="E586" s="24" t="s">
        <v>42</v>
      </c>
      <c r="F586" s="12" t="s">
        <v>313</v>
      </c>
      <c r="G586" s="4" t="s">
        <v>1787</v>
      </c>
      <c r="H586" s="3">
        <v>750</v>
      </c>
      <c r="I586" s="3">
        <v>702</v>
      </c>
      <c r="J586" s="3">
        <v>672</v>
      </c>
      <c r="K586" s="3">
        <v>810</v>
      </c>
      <c r="L586" s="3">
        <v>510</v>
      </c>
      <c r="M586" s="3">
        <v>552</v>
      </c>
      <c r="N586" s="3">
        <v>164</v>
      </c>
      <c r="O586" s="3">
        <v>234</v>
      </c>
      <c r="P586" s="3">
        <v>588</v>
      </c>
      <c r="Q586" s="3">
        <v>90</v>
      </c>
      <c r="R586" s="3">
        <v>192</v>
      </c>
      <c r="S586" s="3">
        <v>456</v>
      </c>
      <c r="T586" s="3">
        <v>714</v>
      </c>
      <c r="U586" s="3">
        <v>240</v>
      </c>
      <c r="V586" s="3">
        <v>474</v>
      </c>
      <c r="W586" s="3">
        <v>546</v>
      </c>
      <c r="X586" s="3">
        <v>258</v>
      </c>
      <c r="Y586" s="3">
        <v>150</v>
      </c>
      <c r="Z586" s="3">
        <v>1290</v>
      </c>
      <c r="AA586" s="3">
        <v>6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20</v>
      </c>
      <c r="AH586" s="3">
        <v>10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</row>
    <row r="587" spans="1:49">
      <c r="A587" s="4" t="s">
        <v>40</v>
      </c>
      <c r="B587" s="4" t="str">
        <f t="shared" si="9"/>
        <v>Hair Care</v>
      </c>
      <c r="C587" s="4" t="s">
        <v>1786</v>
      </c>
      <c r="D587" s="4" t="s">
        <v>575</v>
      </c>
      <c r="E587" s="24" t="s">
        <v>42</v>
      </c>
      <c r="F587" s="12" t="s">
        <v>314</v>
      </c>
      <c r="G587" s="4" t="s">
        <v>1787</v>
      </c>
      <c r="H587" s="3">
        <v>858</v>
      </c>
      <c r="I587" s="3">
        <v>1332</v>
      </c>
      <c r="J587" s="3">
        <v>834</v>
      </c>
      <c r="K587" s="3">
        <v>1266</v>
      </c>
      <c r="L587" s="3">
        <v>438</v>
      </c>
      <c r="M587" s="3">
        <v>1020</v>
      </c>
      <c r="N587" s="3">
        <v>252</v>
      </c>
      <c r="O587" s="3">
        <v>504</v>
      </c>
      <c r="P587" s="3">
        <v>798</v>
      </c>
      <c r="Q587" s="3">
        <v>234</v>
      </c>
      <c r="R587" s="3">
        <v>492</v>
      </c>
      <c r="S587" s="3">
        <v>600</v>
      </c>
      <c r="T587" s="3">
        <v>570</v>
      </c>
      <c r="U587" s="3">
        <v>108</v>
      </c>
      <c r="V587" s="3">
        <v>792</v>
      </c>
      <c r="W587" s="3">
        <v>204</v>
      </c>
      <c r="X587" s="3">
        <v>48</v>
      </c>
      <c r="Y587" s="3">
        <v>840</v>
      </c>
      <c r="Z587" s="3">
        <v>36</v>
      </c>
      <c r="AA587" s="3">
        <v>24</v>
      </c>
      <c r="AB587" s="3">
        <v>276</v>
      </c>
      <c r="AC587" s="3">
        <v>0</v>
      </c>
      <c r="AD587" s="3">
        <v>36</v>
      </c>
      <c r="AE587" s="3">
        <v>48</v>
      </c>
      <c r="AF587" s="3">
        <v>48</v>
      </c>
      <c r="AG587" s="3">
        <v>48</v>
      </c>
      <c r="AH587" s="3">
        <v>120</v>
      </c>
      <c r="AI587" s="3">
        <v>24</v>
      </c>
      <c r="AJ587" s="3">
        <v>72</v>
      </c>
      <c r="AK587" s="3">
        <v>60</v>
      </c>
      <c r="AL587" s="3">
        <v>528</v>
      </c>
      <c r="AM587" s="3">
        <v>102</v>
      </c>
      <c r="AN587" s="3">
        <v>96</v>
      </c>
      <c r="AO587" s="3">
        <v>102</v>
      </c>
      <c r="AP587" s="3">
        <v>246</v>
      </c>
      <c r="AQ587" s="3">
        <v>324</v>
      </c>
      <c r="AR587" s="3">
        <v>228</v>
      </c>
      <c r="AS587" s="3">
        <v>402</v>
      </c>
      <c r="AT587" s="3">
        <v>618</v>
      </c>
      <c r="AU587" s="3">
        <v>48</v>
      </c>
      <c r="AV587" s="3">
        <v>240</v>
      </c>
      <c r="AW587" s="3">
        <v>60</v>
      </c>
    </row>
    <row r="588" spans="1:49">
      <c r="A588" s="4" t="s">
        <v>40</v>
      </c>
      <c r="B588" s="4" t="str">
        <f t="shared" si="9"/>
        <v>Hair Care</v>
      </c>
      <c r="C588" s="4" t="s">
        <v>1786</v>
      </c>
      <c r="D588" s="4" t="s">
        <v>575</v>
      </c>
      <c r="E588" s="24" t="s">
        <v>42</v>
      </c>
      <c r="F588" s="12" t="s">
        <v>315</v>
      </c>
      <c r="G588" s="4" t="s">
        <v>1787</v>
      </c>
      <c r="H588" s="3">
        <v>236</v>
      </c>
      <c r="I588" s="3">
        <v>0</v>
      </c>
      <c r="J588" s="3">
        <v>0</v>
      </c>
      <c r="K588" s="3">
        <v>312</v>
      </c>
      <c r="L588" s="3">
        <v>108</v>
      </c>
      <c r="M588" s="3">
        <v>24</v>
      </c>
      <c r="N588" s="3">
        <v>12</v>
      </c>
      <c r="O588" s="3">
        <v>24</v>
      </c>
      <c r="P588" s="3">
        <v>12</v>
      </c>
      <c r="Q588" s="3">
        <v>12</v>
      </c>
      <c r="R588" s="3">
        <v>8</v>
      </c>
      <c r="S588" s="3">
        <v>0</v>
      </c>
      <c r="T588" s="3">
        <v>24</v>
      </c>
      <c r="U588" s="3">
        <v>96</v>
      </c>
      <c r="V588" s="3">
        <v>24</v>
      </c>
      <c r="W588" s="3">
        <v>96</v>
      </c>
      <c r="X588" s="3">
        <v>72</v>
      </c>
      <c r="Y588" s="3">
        <v>12</v>
      </c>
      <c r="Z588" s="3">
        <v>36</v>
      </c>
      <c r="AA588" s="3">
        <v>60</v>
      </c>
      <c r="AB588" s="3">
        <v>192</v>
      </c>
      <c r="AC588" s="3">
        <v>0</v>
      </c>
      <c r="AD588" s="3">
        <v>24</v>
      </c>
      <c r="AE588" s="3">
        <v>24</v>
      </c>
      <c r="AF588" s="3">
        <v>12</v>
      </c>
      <c r="AG588" s="3">
        <v>192</v>
      </c>
      <c r="AH588" s="3">
        <v>12</v>
      </c>
      <c r="AI588" s="3">
        <v>0</v>
      </c>
      <c r="AJ588" s="3">
        <v>102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24</v>
      </c>
      <c r="AQ588" s="3">
        <v>36</v>
      </c>
      <c r="AR588" s="3">
        <v>120</v>
      </c>
      <c r="AS588" s="3">
        <v>0</v>
      </c>
      <c r="AT588" s="3">
        <v>0</v>
      </c>
      <c r="AU588" s="3">
        <v>0</v>
      </c>
      <c r="AV588" s="3">
        <v>36</v>
      </c>
      <c r="AW588" s="3">
        <v>84</v>
      </c>
    </row>
    <row r="589" spans="1:49">
      <c r="A589" s="4" t="s">
        <v>40</v>
      </c>
      <c r="B589" s="4" t="str">
        <f t="shared" si="9"/>
        <v>Hair Care</v>
      </c>
      <c r="C589" s="4" t="s">
        <v>1786</v>
      </c>
      <c r="D589" s="4" t="s">
        <v>575</v>
      </c>
      <c r="E589" s="24" t="s">
        <v>42</v>
      </c>
      <c r="F589" s="12" t="s">
        <v>316</v>
      </c>
      <c r="G589" s="4" t="s">
        <v>1787</v>
      </c>
      <c r="H589" s="3">
        <v>108</v>
      </c>
      <c r="I589" s="3">
        <v>204</v>
      </c>
      <c r="J589" s="3">
        <v>96</v>
      </c>
      <c r="K589" s="3">
        <v>48</v>
      </c>
      <c r="L589" s="3">
        <v>36</v>
      </c>
      <c r="M589" s="3">
        <v>72</v>
      </c>
      <c r="N589" s="3">
        <v>48</v>
      </c>
      <c r="O589" s="3">
        <v>12</v>
      </c>
      <c r="P589" s="3">
        <v>72</v>
      </c>
      <c r="Q589" s="3">
        <v>36</v>
      </c>
      <c r="R589" s="3">
        <v>60</v>
      </c>
      <c r="S589" s="3">
        <v>60</v>
      </c>
      <c r="T589" s="3">
        <v>144</v>
      </c>
      <c r="U589" s="3">
        <v>108</v>
      </c>
      <c r="V589" s="3">
        <v>36</v>
      </c>
      <c r="W589" s="3">
        <v>120</v>
      </c>
      <c r="X589" s="3">
        <v>72</v>
      </c>
      <c r="Y589" s="3">
        <v>72</v>
      </c>
      <c r="Z589" s="3">
        <v>36</v>
      </c>
      <c r="AA589" s="3">
        <v>48</v>
      </c>
      <c r="AB589" s="3">
        <v>240</v>
      </c>
      <c r="AC589" s="3">
        <v>48</v>
      </c>
      <c r="AD589" s="3">
        <v>36</v>
      </c>
      <c r="AE589" s="3">
        <v>60</v>
      </c>
      <c r="AF589" s="3">
        <v>72</v>
      </c>
      <c r="AG589" s="3">
        <v>72</v>
      </c>
      <c r="AH589" s="3">
        <v>12</v>
      </c>
      <c r="AI589" s="3">
        <v>36</v>
      </c>
      <c r="AJ589" s="3">
        <v>126</v>
      </c>
      <c r="AK589" s="3">
        <v>36</v>
      </c>
      <c r="AL589" s="3">
        <v>12</v>
      </c>
      <c r="AM589" s="3">
        <v>12</v>
      </c>
      <c r="AN589" s="3">
        <v>36</v>
      </c>
      <c r="AO589" s="3">
        <v>48</v>
      </c>
      <c r="AP589" s="3">
        <v>24</v>
      </c>
      <c r="AQ589" s="3">
        <v>0</v>
      </c>
      <c r="AR589" s="3">
        <v>264</v>
      </c>
      <c r="AS589" s="3">
        <v>132</v>
      </c>
      <c r="AT589" s="3">
        <v>12</v>
      </c>
      <c r="AU589" s="3">
        <v>12</v>
      </c>
      <c r="AV589" s="3">
        <v>156</v>
      </c>
      <c r="AW589" s="3">
        <v>12</v>
      </c>
    </row>
    <row r="590" spans="1:49">
      <c r="A590" s="4" t="s">
        <v>40</v>
      </c>
      <c r="B590" s="4" t="str">
        <f t="shared" si="9"/>
        <v>Hair Care</v>
      </c>
      <c r="C590" s="4" t="s">
        <v>1786</v>
      </c>
      <c r="D590" s="4" t="s">
        <v>575</v>
      </c>
      <c r="E590" s="24" t="s">
        <v>42</v>
      </c>
      <c r="F590" s="12" t="s">
        <v>317</v>
      </c>
      <c r="G590" s="4" t="s">
        <v>1787</v>
      </c>
      <c r="H590" s="3">
        <v>303</v>
      </c>
      <c r="I590" s="3">
        <v>252</v>
      </c>
      <c r="J590" s="3">
        <v>150</v>
      </c>
      <c r="K590" s="3">
        <v>0</v>
      </c>
      <c r="L590" s="3">
        <v>384</v>
      </c>
      <c r="M590" s="3">
        <v>63</v>
      </c>
      <c r="N590" s="3">
        <v>120</v>
      </c>
      <c r="O590" s="3">
        <v>78</v>
      </c>
      <c r="P590" s="3">
        <v>108</v>
      </c>
      <c r="Q590" s="3">
        <v>30</v>
      </c>
      <c r="R590" s="3">
        <v>84</v>
      </c>
      <c r="S590" s="3">
        <v>102</v>
      </c>
      <c r="T590" s="3">
        <v>327</v>
      </c>
      <c r="U590" s="3">
        <v>0</v>
      </c>
      <c r="V590" s="3">
        <v>312</v>
      </c>
      <c r="W590" s="3">
        <v>150</v>
      </c>
      <c r="X590" s="3">
        <v>66</v>
      </c>
      <c r="Y590" s="3">
        <v>84</v>
      </c>
      <c r="Z590" s="3">
        <v>30</v>
      </c>
      <c r="AA590" s="3">
        <v>96</v>
      </c>
      <c r="AB590" s="3">
        <v>96</v>
      </c>
      <c r="AC590" s="3">
        <v>0</v>
      </c>
      <c r="AD590" s="3">
        <v>0</v>
      </c>
      <c r="AE590" s="3">
        <v>108</v>
      </c>
      <c r="AF590" s="3">
        <v>114</v>
      </c>
      <c r="AG590" s="3">
        <v>105</v>
      </c>
      <c r="AH590" s="3">
        <v>78</v>
      </c>
      <c r="AI590" s="3">
        <v>54</v>
      </c>
      <c r="AJ590" s="3">
        <v>36</v>
      </c>
      <c r="AK590" s="3">
        <v>84</v>
      </c>
      <c r="AL590" s="3">
        <v>75</v>
      </c>
      <c r="AM590" s="3">
        <v>3</v>
      </c>
      <c r="AN590" s="3">
        <v>15</v>
      </c>
      <c r="AO590" s="3">
        <v>18</v>
      </c>
      <c r="AP590" s="3">
        <v>72</v>
      </c>
      <c r="AQ590" s="3">
        <v>69</v>
      </c>
      <c r="AR590" s="3">
        <v>84</v>
      </c>
      <c r="AS590" s="3">
        <v>51</v>
      </c>
      <c r="AT590" s="3">
        <v>102</v>
      </c>
      <c r="AU590" s="3">
        <v>18</v>
      </c>
      <c r="AV590" s="3">
        <v>0</v>
      </c>
      <c r="AW590" s="3">
        <v>120</v>
      </c>
    </row>
    <row r="591" spans="1:49">
      <c r="A591" s="4" t="s">
        <v>40</v>
      </c>
      <c r="B591" s="4" t="str">
        <f t="shared" si="9"/>
        <v>Hair Care</v>
      </c>
      <c r="C591" s="4" t="s">
        <v>1786</v>
      </c>
      <c r="D591" s="4" t="s">
        <v>575</v>
      </c>
      <c r="E591" s="24" t="s">
        <v>42</v>
      </c>
      <c r="F591" s="12" t="s">
        <v>318</v>
      </c>
      <c r="G591" s="4" t="s">
        <v>1787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24</v>
      </c>
      <c r="U591" s="3">
        <v>252</v>
      </c>
      <c r="V591" s="3">
        <v>912</v>
      </c>
      <c r="W591" s="3">
        <v>300</v>
      </c>
      <c r="X591" s="3">
        <v>48</v>
      </c>
      <c r="Y591" s="3">
        <v>804</v>
      </c>
      <c r="Z591" s="3">
        <v>0</v>
      </c>
      <c r="AA591" s="3">
        <v>0</v>
      </c>
      <c r="AB591" s="3">
        <v>0</v>
      </c>
      <c r="AC591" s="3">
        <v>12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</row>
    <row r="592" spans="1:49">
      <c r="A592" s="4" t="s">
        <v>40</v>
      </c>
      <c r="B592" s="4" t="str">
        <f t="shared" si="9"/>
        <v>Hair Care</v>
      </c>
      <c r="C592" s="4" t="s">
        <v>1786</v>
      </c>
      <c r="D592" s="4" t="s">
        <v>575</v>
      </c>
      <c r="E592" s="24" t="s">
        <v>42</v>
      </c>
      <c r="F592" s="12" t="s">
        <v>319</v>
      </c>
      <c r="G592" s="4" t="s">
        <v>1787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60</v>
      </c>
      <c r="V592" s="3">
        <v>252</v>
      </c>
      <c r="W592" s="3">
        <v>0</v>
      </c>
      <c r="X592" s="3">
        <v>0</v>
      </c>
      <c r="Y592" s="3">
        <v>0</v>
      </c>
      <c r="Z592" s="3">
        <v>126</v>
      </c>
      <c r="AA592" s="3">
        <v>156</v>
      </c>
      <c r="AB592" s="3">
        <v>552</v>
      </c>
      <c r="AC592" s="3">
        <v>24</v>
      </c>
      <c r="AD592" s="3">
        <v>84</v>
      </c>
      <c r="AE592" s="3">
        <v>36</v>
      </c>
      <c r="AF592" s="3">
        <v>96</v>
      </c>
      <c r="AG592" s="3">
        <v>12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</row>
    <row r="593" spans="1:49">
      <c r="A593" s="4" t="s">
        <v>40</v>
      </c>
      <c r="B593" s="4" t="str">
        <f t="shared" si="9"/>
        <v>Hair Care</v>
      </c>
      <c r="C593" s="4" t="s">
        <v>1786</v>
      </c>
      <c r="D593" s="4" t="s">
        <v>575</v>
      </c>
      <c r="E593" s="24" t="s">
        <v>42</v>
      </c>
      <c r="F593" s="12" t="s">
        <v>320</v>
      </c>
      <c r="G593" s="4" t="s">
        <v>1787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36</v>
      </c>
      <c r="AK593" s="3">
        <v>96</v>
      </c>
      <c r="AL593" s="3">
        <v>24</v>
      </c>
      <c r="AM593" s="3">
        <v>0</v>
      </c>
      <c r="AN593" s="3">
        <v>24</v>
      </c>
      <c r="AO593" s="3">
        <v>108</v>
      </c>
      <c r="AP593" s="3">
        <v>72</v>
      </c>
      <c r="AQ593" s="3">
        <v>96</v>
      </c>
      <c r="AR593" s="3">
        <v>12</v>
      </c>
      <c r="AS593" s="3">
        <v>24</v>
      </c>
      <c r="AT593" s="3">
        <v>36</v>
      </c>
      <c r="AU593" s="3">
        <v>12</v>
      </c>
      <c r="AV593" s="3">
        <v>84</v>
      </c>
      <c r="AW593" s="3">
        <v>36</v>
      </c>
    </row>
    <row r="594" spans="1:49">
      <c r="A594" s="4" t="s">
        <v>40</v>
      </c>
      <c r="B594" s="4" t="str">
        <f t="shared" si="9"/>
        <v>Hair Care</v>
      </c>
      <c r="C594" s="4" t="s">
        <v>1786</v>
      </c>
      <c r="D594" s="4" t="s">
        <v>575</v>
      </c>
      <c r="E594" s="24" t="s">
        <v>42</v>
      </c>
      <c r="F594" s="12" t="s">
        <v>321</v>
      </c>
      <c r="G594" s="4" t="s">
        <v>1787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30</v>
      </c>
      <c r="Y594" s="3">
        <v>318</v>
      </c>
      <c r="Z594" s="3">
        <v>1038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</row>
    <row r="595" spans="1:49">
      <c r="A595" s="4" t="s">
        <v>40</v>
      </c>
      <c r="B595" s="4" t="str">
        <f t="shared" si="9"/>
        <v>Hair Care</v>
      </c>
      <c r="C595" s="4" t="s">
        <v>1786</v>
      </c>
      <c r="D595" s="4" t="s">
        <v>575</v>
      </c>
      <c r="E595" s="24" t="s">
        <v>42</v>
      </c>
      <c r="F595" s="12" t="s">
        <v>322</v>
      </c>
      <c r="G595" s="4" t="s">
        <v>1787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48</v>
      </c>
      <c r="T595" s="3">
        <v>168</v>
      </c>
      <c r="U595" s="3">
        <v>60</v>
      </c>
      <c r="V595" s="3">
        <v>60</v>
      </c>
      <c r="W595" s="3">
        <v>144</v>
      </c>
      <c r="X595" s="3">
        <v>120</v>
      </c>
      <c r="Y595" s="3">
        <v>108</v>
      </c>
      <c r="Z595" s="3">
        <v>30</v>
      </c>
      <c r="AA595" s="3">
        <v>72</v>
      </c>
      <c r="AB595" s="3">
        <v>516</v>
      </c>
      <c r="AC595" s="3">
        <v>60</v>
      </c>
      <c r="AD595" s="3">
        <v>24</v>
      </c>
      <c r="AE595" s="3">
        <v>36</v>
      </c>
      <c r="AF595" s="3">
        <v>48</v>
      </c>
      <c r="AG595" s="3">
        <v>60</v>
      </c>
      <c r="AH595" s="3">
        <v>0</v>
      </c>
      <c r="AI595" s="3">
        <v>60</v>
      </c>
      <c r="AJ595" s="3">
        <v>0</v>
      </c>
      <c r="AK595" s="3">
        <v>48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</row>
    <row r="596" spans="1:49">
      <c r="A596" s="4" t="s">
        <v>40</v>
      </c>
      <c r="B596" s="4" t="str">
        <f t="shared" si="9"/>
        <v>Hair Care</v>
      </c>
      <c r="C596" s="4" t="s">
        <v>1786</v>
      </c>
      <c r="D596" s="4" t="s">
        <v>575</v>
      </c>
      <c r="E596" s="24" t="s">
        <v>42</v>
      </c>
      <c r="F596" s="12" t="s">
        <v>323</v>
      </c>
      <c r="G596" s="4" t="s">
        <v>1787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48</v>
      </c>
      <c r="AF596" s="3">
        <v>60</v>
      </c>
      <c r="AG596" s="3">
        <v>24</v>
      </c>
      <c r="AH596" s="3">
        <v>0</v>
      </c>
      <c r="AI596" s="3">
        <v>198</v>
      </c>
      <c r="AJ596" s="3">
        <v>378</v>
      </c>
      <c r="AK596" s="3">
        <v>84</v>
      </c>
      <c r="AL596" s="3">
        <v>0</v>
      </c>
      <c r="AM596" s="3">
        <v>0</v>
      </c>
      <c r="AN596" s="3">
        <v>72</v>
      </c>
      <c r="AO596" s="3">
        <v>96</v>
      </c>
      <c r="AP596" s="3">
        <v>300</v>
      </c>
      <c r="AQ596" s="3">
        <v>384</v>
      </c>
      <c r="AR596" s="3">
        <v>132</v>
      </c>
      <c r="AS596" s="3">
        <v>426</v>
      </c>
      <c r="AT596" s="3">
        <v>1188</v>
      </c>
      <c r="AU596" s="3">
        <v>306</v>
      </c>
      <c r="AV596" s="3">
        <v>72</v>
      </c>
      <c r="AW596" s="3">
        <v>84</v>
      </c>
    </row>
    <row r="597" spans="1:49">
      <c r="A597" s="4" t="s">
        <v>40</v>
      </c>
      <c r="B597" s="4" t="str">
        <f t="shared" si="9"/>
        <v>Hair Care</v>
      </c>
      <c r="C597" s="4" t="s">
        <v>1786</v>
      </c>
      <c r="D597" s="4" t="s">
        <v>575</v>
      </c>
      <c r="E597" s="24" t="s">
        <v>42</v>
      </c>
      <c r="F597" s="12" t="s">
        <v>324</v>
      </c>
      <c r="G597" s="4" t="s">
        <v>1787</v>
      </c>
      <c r="H597" s="3">
        <v>300</v>
      </c>
      <c r="I597" s="3">
        <v>252</v>
      </c>
      <c r="J597" s="3">
        <v>264</v>
      </c>
      <c r="K597" s="3">
        <v>240</v>
      </c>
      <c r="L597" s="3">
        <v>108</v>
      </c>
      <c r="M597" s="3">
        <v>228</v>
      </c>
      <c r="N597" s="3">
        <v>120</v>
      </c>
      <c r="O597" s="3">
        <v>12</v>
      </c>
      <c r="P597" s="3">
        <v>84</v>
      </c>
      <c r="Q597" s="3">
        <v>60</v>
      </c>
      <c r="R597" s="3">
        <v>60</v>
      </c>
      <c r="S597" s="3">
        <v>108</v>
      </c>
      <c r="T597" s="3">
        <v>144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</row>
    <row r="598" spans="1:49">
      <c r="A598" s="4" t="s">
        <v>40</v>
      </c>
      <c r="B598" s="4" t="str">
        <f t="shared" si="9"/>
        <v>Hair Care</v>
      </c>
      <c r="C598" s="4" t="s">
        <v>1786</v>
      </c>
      <c r="D598" s="4" t="s">
        <v>575</v>
      </c>
      <c r="E598" s="24" t="s">
        <v>42</v>
      </c>
      <c r="F598" s="12" t="s">
        <v>325</v>
      </c>
      <c r="G598" s="4" t="s">
        <v>1787</v>
      </c>
      <c r="H598" s="3">
        <v>1070</v>
      </c>
      <c r="I598" s="3">
        <v>1380</v>
      </c>
      <c r="J598" s="3">
        <v>990</v>
      </c>
      <c r="K598" s="3">
        <v>1398</v>
      </c>
      <c r="L598" s="3">
        <v>522</v>
      </c>
      <c r="M598" s="3">
        <v>1068</v>
      </c>
      <c r="N598" s="3">
        <v>372</v>
      </c>
      <c r="O598" s="3">
        <v>624</v>
      </c>
      <c r="P598" s="3">
        <v>858</v>
      </c>
      <c r="Q598" s="3">
        <v>294</v>
      </c>
      <c r="R598" s="3">
        <v>608</v>
      </c>
      <c r="S598" s="3">
        <v>600</v>
      </c>
      <c r="T598" s="3">
        <v>498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</row>
    <row r="599" spans="1:49">
      <c r="A599" s="4" t="s">
        <v>40</v>
      </c>
      <c r="B599" s="4" t="str">
        <f t="shared" si="9"/>
        <v>Hair Care</v>
      </c>
      <c r="C599" s="4" t="s">
        <v>1786</v>
      </c>
      <c r="D599" s="4" t="s">
        <v>575</v>
      </c>
      <c r="E599" s="24" t="s">
        <v>42</v>
      </c>
      <c r="F599" s="12" t="s">
        <v>326</v>
      </c>
      <c r="G599" s="4" t="s">
        <v>1787</v>
      </c>
      <c r="H599" s="3">
        <v>426</v>
      </c>
      <c r="I599" s="3">
        <v>750</v>
      </c>
      <c r="J599" s="3">
        <v>396</v>
      </c>
      <c r="K599" s="3">
        <v>528</v>
      </c>
      <c r="L599" s="3">
        <v>84</v>
      </c>
      <c r="M599" s="3">
        <v>324</v>
      </c>
      <c r="N599" s="3">
        <v>186</v>
      </c>
      <c r="O599" s="3">
        <v>216</v>
      </c>
      <c r="P599" s="3">
        <v>540</v>
      </c>
      <c r="Q599" s="3">
        <v>354</v>
      </c>
      <c r="R599" s="3">
        <v>492</v>
      </c>
      <c r="S599" s="3">
        <v>180</v>
      </c>
      <c r="T599" s="3">
        <v>708</v>
      </c>
      <c r="U599" s="3">
        <v>384</v>
      </c>
      <c r="V599" s="3">
        <v>798</v>
      </c>
      <c r="W599" s="3">
        <v>516</v>
      </c>
      <c r="X599" s="3">
        <v>312</v>
      </c>
      <c r="Y599" s="3">
        <v>516</v>
      </c>
      <c r="Z599" s="3">
        <v>384</v>
      </c>
      <c r="AA599" s="3">
        <v>492</v>
      </c>
      <c r="AB599" s="3">
        <v>492</v>
      </c>
      <c r="AC599" s="3">
        <v>54</v>
      </c>
      <c r="AD599" s="3">
        <v>222</v>
      </c>
      <c r="AE599" s="3">
        <v>270</v>
      </c>
      <c r="AF599" s="3">
        <v>228</v>
      </c>
      <c r="AG599" s="3">
        <v>216</v>
      </c>
      <c r="AH599" s="3">
        <v>120</v>
      </c>
      <c r="AI599" s="3">
        <v>342</v>
      </c>
      <c r="AJ599" s="3">
        <v>192</v>
      </c>
      <c r="AK599" s="3">
        <v>522</v>
      </c>
      <c r="AL599" s="3">
        <v>684</v>
      </c>
      <c r="AM599" s="3">
        <v>516</v>
      </c>
      <c r="AN599" s="3">
        <v>204</v>
      </c>
      <c r="AO599" s="3">
        <v>180</v>
      </c>
      <c r="AP599" s="3">
        <v>186</v>
      </c>
      <c r="AQ599" s="3">
        <v>648</v>
      </c>
      <c r="AR599" s="3">
        <v>384</v>
      </c>
      <c r="AS599" s="3">
        <v>294</v>
      </c>
      <c r="AT599" s="3">
        <v>318</v>
      </c>
      <c r="AU599" s="3">
        <v>588</v>
      </c>
      <c r="AV599" s="3">
        <v>126</v>
      </c>
      <c r="AW599" s="3">
        <v>270</v>
      </c>
    </row>
    <row r="600" spans="1:49">
      <c r="A600" s="4" t="s">
        <v>40</v>
      </c>
      <c r="B600" s="4" t="str">
        <f t="shared" si="9"/>
        <v>Hair Care</v>
      </c>
      <c r="C600" s="4" t="s">
        <v>1786</v>
      </c>
      <c r="D600" s="4" t="s">
        <v>575</v>
      </c>
      <c r="E600" s="24" t="s">
        <v>42</v>
      </c>
      <c r="F600" s="12" t="s">
        <v>327</v>
      </c>
      <c r="G600" s="4" t="s">
        <v>1787</v>
      </c>
      <c r="H600" s="3">
        <v>162</v>
      </c>
      <c r="I600" s="3">
        <v>534</v>
      </c>
      <c r="J600" s="3">
        <v>234</v>
      </c>
      <c r="K600" s="3">
        <v>330</v>
      </c>
      <c r="L600" s="3">
        <v>168</v>
      </c>
      <c r="M600" s="3">
        <v>120</v>
      </c>
      <c r="N600" s="3">
        <v>36</v>
      </c>
      <c r="O600" s="3">
        <v>54</v>
      </c>
      <c r="P600" s="3">
        <v>150</v>
      </c>
      <c r="Q600" s="3">
        <v>84</v>
      </c>
      <c r="R600" s="3">
        <v>126</v>
      </c>
      <c r="S600" s="3">
        <v>54</v>
      </c>
      <c r="T600" s="3">
        <v>186</v>
      </c>
      <c r="U600" s="3">
        <v>144</v>
      </c>
      <c r="V600" s="3">
        <v>228</v>
      </c>
      <c r="W600" s="3">
        <v>60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</row>
    <row r="601" spans="1:49">
      <c r="A601" s="4" t="s">
        <v>40</v>
      </c>
      <c r="B601" s="4" t="str">
        <f t="shared" si="9"/>
        <v>Hair Care</v>
      </c>
      <c r="C601" s="4" t="s">
        <v>1786</v>
      </c>
      <c r="D601" s="4" t="s">
        <v>575</v>
      </c>
      <c r="E601" s="24" t="s">
        <v>42</v>
      </c>
      <c r="F601" s="12" t="s">
        <v>328</v>
      </c>
      <c r="G601" s="4" t="s">
        <v>1787</v>
      </c>
      <c r="H601" s="3">
        <v>462</v>
      </c>
      <c r="I601" s="3">
        <v>702</v>
      </c>
      <c r="J601" s="3">
        <v>414</v>
      </c>
      <c r="K601" s="3">
        <v>570</v>
      </c>
      <c r="L601" s="3">
        <v>330</v>
      </c>
      <c r="M601" s="3">
        <v>432</v>
      </c>
      <c r="N601" s="3">
        <v>282</v>
      </c>
      <c r="O601" s="3">
        <v>366</v>
      </c>
      <c r="P601" s="3">
        <v>624</v>
      </c>
      <c r="Q601" s="3">
        <v>480</v>
      </c>
      <c r="R601" s="3">
        <v>798</v>
      </c>
      <c r="S601" s="3">
        <v>534</v>
      </c>
      <c r="T601" s="3">
        <v>972</v>
      </c>
      <c r="U601" s="3">
        <v>726</v>
      </c>
      <c r="V601" s="3">
        <v>891</v>
      </c>
      <c r="W601" s="3">
        <v>360</v>
      </c>
      <c r="X601" s="3">
        <v>360</v>
      </c>
      <c r="Y601" s="3">
        <v>672</v>
      </c>
      <c r="Z601" s="3">
        <v>270</v>
      </c>
      <c r="AA601" s="3">
        <v>582</v>
      </c>
      <c r="AB601" s="3">
        <v>702</v>
      </c>
      <c r="AC601" s="3">
        <v>168</v>
      </c>
      <c r="AD601" s="3">
        <v>324</v>
      </c>
      <c r="AE601" s="3">
        <v>348</v>
      </c>
      <c r="AF601" s="3">
        <v>468</v>
      </c>
      <c r="AG601" s="3">
        <v>378</v>
      </c>
      <c r="AH601" s="3">
        <v>438</v>
      </c>
      <c r="AI601" s="3">
        <v>576</v>
      </c>
      <c r="AJ601" s="3">
        <v>564</v>
      </c>
      <c r="AK601" s="3">
        <v>822</v>
      </c>
      <c r="AL601" s="3">
        <v>762</v>
      </c>
      <c r="AM601" s="3">
        <v>702</v>
      </c>
      <c r="AN601" s="3">
        <v>582</v>
      </c>
      <c r="AO601" s="3">
        <v>0</v>
      </c>
      <c r="AP601" s="3">
        <v>1392</v>
      </c>
      <c r="AQ601" s="3">
        <v>930</v>
      </c>
      <c r="AR601" s="3">
        <v>414</v>
      </c>
      <c r="AS601" s="3">
        <v>912</v>
      </c>
      <c r="AT601" s="3">
        <v>1032</v>
      </c>
      <c r="AU601" s="3">
        <v>1554</v>
      </c>
      <c r="AV601" s="3">
        <v>198</v>
      </c>
      <c r="AW601" s="3">
        <v>390</v>
      </c>
    </row>
    <row r="602" spans="1:49">
      <c r="A602" s="4" t="s">
        <v>40</v>
      </c>
      <c r="B602" s="4" t="str">
        <f t="shared" si="9"/>
        <v>Hair Care</v>
      </c>
      <c r="C602" s="4" t="s">
        <v>1786</v>
      </c>
      <c r="D602" s="4" t="s">
        <v>575</v>
      </c>
      <c r="E602" s="24" t="s">
        <v>42</v>
      </c>
      <c r="F602" s="12" t="s">
        <v>329</v>
      </c>
      <c r="G602" s="4" t="s">
        <v>1787</v>
      </c>
      <c r="H602" s="3">
        <v>1428</v>
      </c>
      <c r="I602" s="3">
        <v>1194</v>
      </c>
      <c r="J602" s="3">
        <v>1860</v>
      </c>
      <c r="K602" s="3">
        <v>1236</v>
      </c>
      <c r="L602" s="3">
        <v>1218</v>
      </c>
      <c r="M602" s="3">
        <v>1080</v>
      </c>
      <c r="N602" s="3">
        <v>732</v>
      </c>
      <c r="O602" s="3">
        <v>948</v>
      </c>
      <c r="P602" s="3">
        <v>1044</v>
      </c>
      <c r="Q602" s="3">
        <v>570</v>
      </c>
      <c r="R602" s="3">
        <v>1146</v>
      </c>
      <c r="S602" s="3">
        <v>1494</v>
      </c>
      <c r="T602" s="3">
        <v>738</v>
      </c>
      <c r="U602" s="3">
        <v>744</v>
      </c>
      <c r="V602" s="3">
        <v>534</v>
      </c>
      <c r="W602" s="3">
        <v>144</v>
      </c>
      <c r="X602" s="3">
        <v>108</v>
      </c>
      <c r="Y602" s="3">
        <v>60</v>
      </c>
      <c r="Z602" s="3">
        <v>24</v>
      </c>
      <c r="AA602" s="3">
        <v>72</v>
      </c>
      <c r="AB602" s="3">
        <v>564</v>
      </c>
      <c r="AC602" s="3">
        <v>36</v>
      </c>
      <c r="AD602" s="3">
        <v>60</v>
      </c>
      <c r="AE602" s="3">
        <v>372</v>
      </c>
      <c r="AF602" s="3">
        <v>432</v>
      </c>
      <c r="AG602" s="3">
        <v>168</v>
      </c>
      <c r="AH602" s="3">
        <v>2052</v>
      </c>
      <c r="AI602" s="3">
        <v>336</v>
      </c>
      <c r="AJ602" s="3">
        <v>36</v>
      </c>
      <c r="AK602" s="3">
        <v>12</v>
      </c>
      <c r="AL602" s="3">
        <v>1740</v>
      </c>
      <c r="AM602" s="3">
        <v>48</v>
      </c>
      <c r="AN602" s="3">
        <v>36</v>
      </c>
      <c r="AO602" s="3">
        <v>216</v>
      </c>
      <c r="AP602" s="3">
        <v>24</v>
      </c>
      <c r="AQ602" s="3">
        <v>108</v>
      </c>
      <c r="AR602" s="3">
        <v>108</v>
      </c>
      <c r="AS602" s="3">
        <v>60</v>
      </c>
      <c r="AT602" s="3">
        <v>144</v>
      </c>
      <c r="AU602" s="3">
        <v>36</v>
      </c>
      <c r="AV602" s="3">
        <v>1116</v>
      </c>
      <c r="AW602" s="3">
        <v>132</v>
      </c>
    </row>
    <row r="603" spans="1:49">
      <c r="A603" s="4" t="s">
        <v>40</v>
      </c>
      <c r="B603" s="4" t="str">
        <f t="shared" si="9"/>
        <v>Hair Care</v>
      </c>
      <c r="C603" s="4" t="s">
        <v>1786</v>
      </c>
      <c r="D603" s="4" t="s">
        <v>575</v>
      </c>
      <c r="E603" s="24" t="s">
        <v>42</v>
      </c>
      <c r="F603" s="12" t="s">
        <v>330</v>
      </c>
      <c r="G603" s="4" t="s">
        <v>1787</v>
      </c>
      <c r="H603" s="3">
        <v>324</v>
      </c>
      <c r="I603" s="3">
        <v>48</v>
      </c>
      <c r="J603" s="3">
        <v>0</v>
      </c>
      <c r="K603" s="3">
        <v>324</v>
      </c>
      <c r="L603" s="3">
        <v>96</v>
      </c>
      <c r="M603" s="3">
        <v>36</v>
      </c>
      <c r="N603" s="3">
        <v>12</v>
      </c>
      <c r="O603" s="3">
        <v>12</v>
      </c>
      <c r="P603" s="3">
        <v>12</v>
      </c>
      <c r="Q603" s="3">
        <v>12</v>
      </c>
      <c r="R603" s="3">
        <v>0</v>
      </c>
      <c r="S603" s="3">
        <v>0</v>
      </c>
      <c r="T603" s="3">
        <v>156</v>
      </c>
      <c r="U603" s="3">
        <v>204</v>
      </c>
      <c r="V603" s="3">
        <v>24</v>
      </c>
      <c r="W603" s="3">
        <v>108</v>
      </c>
      <c r="X603" s="3">
        <v>72</v>
      </c>
      <c r="Y603" s="3">
        <v>36</v>
      </c>
      <c r="Z603" s="3">
        <v>48</v>
      </c>
      <c r="AA603" s="3">
        <v>72</v>
      </c>
      <c r="AB603" s="3">
        <v>264</v>
      </c>
      <c r="AC603" s="3">
        <v>24</v>
      </c>
      <c r="AD603" s="3">
        <v>36</v>
      </c>
      <c r="AE603" s="3">
        <v>12</v>
      </c>
      <c r="AF603" s="3">
        <v>12</v>
      </c>
      <c r="AG603" s="3">
        <v>240</v>
      </c>
      <c r="AH603" s="3">
        <v>12</v>
      </c>
      <c r="AI603" s="3">
        <v>0</v>
      </c>
      <c r="AJ603" s="3">
        <v>0</v>
      </c>
      <c r="AK603" s="3">
        <v>0</v>
      </c>
      <c r="AL603" s="3">
        <v>36</v>
      </c>
      <c r="AM603" s="3">
        <v>12</v>
      </c>
      <c r="AN603" s="3">
        <v>0</v>
      </c>
      <c r="AO603" s="3">
        <v>36</v>
      </c>
      <c r="AP603" s="3">
        <v>120</v>
      </c>
      <c r="AQ603" s="3">
        <v>24</v>
      </c>
      <c r="AR603" s="3">
        <v>330</v>
      </c>
      <c r="AS603" s="3">
        <v>672</v>
      </c>
      <c r="AT603" s="3">
        <v>180</v>
      </c>
      <c r="AU603" s="3">
        <v>0</v>
      </c>
      <c r="AV603" s="3">
        <v>24</v>
      </c>
      <c r="AW603" s="3">
        <v>0</v>
      </c>
    </row>
    <row r="604" spans="1:49">
      <c r="A604" s="4" t="s">
        <v>40</v>
      </c>
      <c r="B604" s="4" t="str">
        <f t="shared" si="9"/>
        <v>Hair Care</v>
      </c>
      <c r="C604" s="4" t="s">
        <v>1786</v>
      </c>
      <c r="D604" s="4" t="s">
        <v>575</v>
      </c>
      <c r="E604" s="24" t="s">
        <v>42</v>
      </c>
      <c r="F604" s="12" t="s">
        <v>331</v>
      </c>
      <c r="G604" s="4" t="s">
        <v>1787</v>
      </c>
      <c r="H604" s="3">
        <v>276</v>
      </c>
      <c r="I604" s="3">
        <v>360</v>
      </c>
      <c r="J604" s="3">
        <v>204</v>
      </c>
      <c r="K604" s="3">
        <v>204</v>
      </c>
      <c r="L604" s="3">
        <v>168</v>
      </c>
      <c r="M604" s="3">
        <v>192</v>
      </c>
      <c r="N604" s="3">
        <v>96</v>
      </c>
      <c r="O604" s="3">
        <v>36</v>
      </c>
      <c r="P604" s="3">
        <v>96</v>
      </c>
      <c r="Q604" s="3">
        <v>72</v>
      </c>
      <c r="R604" s="3">
        <v>228</v>
      </c>
      <c r="S604" s="3">
        <v>456</v>
      </c>
      <c r="T604" s="3">
        <v>180</v>
      </c>
      <c r="U604" s="3">
        <v>84</v>
      </c>
      <c r="V604" s="3">
        <v>108</v>
      </c>
      <c r="W604" s="3">
        <v>156</v>
      </c>
      <c r="X604" s="3">
        <v>144</v>
      </c>
      <c r="Y604" s="3">
        <v>72</v>
      </c>
      <c r="Z604" s="3">
        <v>72</v>
      </c>
      <c r="AA604" s="3">
        <v>48</v>
      </c>
      <c r="AB604" s="3">
        <v>360</v>
      </c>
      <c r="AC604" s="3">
        <v>24</v>
      </c>
      <c r="AD604" s="3">
        <v>60</v>
      </c>
      <c r="AE604" s="3">
        <v>48</v>
      </c>
      <c r="AF604" s="3">
        <v>84</v>
      </c>
      <c r="AG604" s="3">
        <v>60</v>
      </c>
      <c r="AH604" s="3">
        <v>24</v>
      </c>
      <c r="AI604" s="3">
        <v>48</v>
      </c>
      <c r="AJ604" s="3">
        <v>36</v>
      </c>
      <c r="AK604" s="3">
        <v>12</v>
      </c>
      <c r="AL604" s="3">
        <v>72</v>
      </c>
      <c r="AM604" s="3">
        <v>72</v>
      </c>
      <c r="AN604" s="3">
        <v>84</v>
      </c>
      <c r="AO604" s="3">
        <v>168</v>
      </c>
      <c r="AP604" s="3">
        <v>132</v>
      </c>
      <c r="AQ604" s="3">
        <v>84</v>
      </c>
      <c r="AR604" s="3">
        <v>474</v>
      </c>
      <c r="AS604" s="3">
        <v>720</v>
      </c>
      <c r="AT604" s="3">
        <v>120</v>
      </c>
      <c r="AU604" s="3">
        <v>12</v>
      </c>
      <c r="AV604" s="3">
        <v>168</v>
      </c>
      <c r="AW604" s="3">
        <v>48</v>
      </c>
    </row>
    <row r="605" spans="1:49">
      <c r="A605" s="4" t="s">
        <v>40</v>
      </c>
      <c r="B605" s="4" t="str">
        <f t="shared" si="9"/>
        <v>Hair Care</v>
      </c>
      <c r="C605" s="4" t="s">
        <v>1786</v>
      </c>
      <c r="D605" s="4" t="s">
        <v>575</v>
      </c>
      <c r="E605" s="24" t="s">
        <v>42</v>
      </c>
      <c r="F605" s="12" t="s">
        <v>332</v>
      </c>
      <c r="G605" s="4" t="s">
        <v>1787</v>
      </c>
      <c r="H605" s="3">
        <v>72</v>
      </c>
      <c r="I605" s="3">
        <v>204</v>
      </c>
      <c r="J605" s="3">
        <v>108</v>
      </c>
      <c r="K605" s="3">
        <v>96</v>
      </c>
      <c r="L605" s="3">
        <v>168</v>
      </c>
      <c r="M605" s="3">
        <v>24</v>
      </c>
      <c r="N605" s="3">
        <v>72</v>
      </c>
      <c r="O605" s="3">
        <v>72</v>
      </c>
      <c r="P605" s="3">
        <v>60</v>
      </c>
      <c r="Q605" s="3">
        <v>48</v>
      </c>
      <c r="R605" s="3">
        <v>84</v>
      </c>
      <c r="S605" s="3">
        <v>144</v>
      </c>
      <c r="T605" s="3">
        <v>288</v>
      </c>
      <c r="U605" s="3">
        <v>60</v>
      </c>
      <c r="V605" s="3">
        <v>156</v>
      </c>
      <c r="W605" s="3">
        <v>120</v>
      </c>
      <c r="X605" s="3">
        <v>120</v>
      </c>
      <c r="Y605" s="3">
        <v>0</v>
      </c>
      <c r="Z605" s="3">
        <v>108</v>
      </c>
      <c r="AA605" s="3">
        <v>120</v>
      </c>
      <c r="AB605" s="3">
        <v>456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</row>
    <row r="606" spans="1:49">
      <c r="A606" s="4" t="s">
        <v>40</v>
      </c>
      <c r="B606" s="4" t="str">
        <f t="shared" si="9"/>
        <v>Hair Care</v>
      </c>
      <c r="C606" s="4" t="s">
        <v>1786</v>
      </c>
      <c r="D606" s="4" t="s">
        <v>575</v>
      </c>
      <c r="E606" s="24" t="s">
        <v>42</v>
      </c>
      <c r="F606" s="12" t="s">
        <v>333</v>
      </c>
      <c r="G606" s="4" t="s">
        <v>1787</v>
      </c>
      <c r="H606" s="3">
        <v>1464</v>
      </c>
      <c r="I606" s="3">
        <v>1098</v>
      </c>
      <c r="J606" s="3">
        <v>1656</v>
      </c>
      <c r="K606" s="3">
        <v>1200</v>
      </c>
      <c r="L606" s="3">
        <v>1194</v>
      </c>
      <c r="M606" s="3">
        <v>1092</v>
      </c>
      <c r="N606" s="3">
        <v>720</v>
      </c>
      <c r="O606" s="3">
        <v>1020</v>
      </c>
      <c r="P606" s="3">
        <v>1032</v>
      </c>
      <c r="Q606" s="3">
        <v>510</v>
      </c>
      <c r="R606" s="3">
        <v>858</v>
      </c>
      <c r="S606" s="3">
        <v>1014</v>
      </c>
      <c r="T606" s="3">
        <v>714</v>
      </c>
      <c r="U606" s="3">
        <v>696</v>
      </c>
      <c r="V606" s="3">
        <v>486</v>
      </c>
      <c r="W606" s="3">
        <v>0</v>
      </c>
      <c r="X606" s="3">
        <v>0</v>
      </c>
      <c r="Y606" s="3">
        <v>0</v>
      </c>
      <c r="Z606" s="3">
        <v>168</v>
      </c>
      <c r="AA606" s="3">
        <v>180</v>
      </c>
      <c r="AB606" s="3">
        <v>588</v>
      </c>
      <c r="AC606" s="3">
        <v>48</v>
      </c>
      <c r="AD606" s="3">
        <v>72</v>
      </c>
      <c r="AE606" s="3">
        <v>84</v>
      </c>
      <c r="AF606" s="3">
        <v>24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</row>
    <row r="607" spans="1:49">
      <c r="A607" s="4" t="s">
        <v>40</v>
      </c>
      <c r="B607" s="4" t="str">
        <f t="shared" si="9"/>
        <v>Hair Care</v>
      </c>
      <c r="C607" s="4" t="s">
        <v>1786</v>
      </c>
      <c r="D607" s="4" t="s">
        <v>575</v>
      </c>
      <c r="E607" s="24" t="s">
        <v>42</v>
      </c>
      <c r="F607" s="12" t="s">
        <v>334</v>
      </c>
      <c r="G607" s="4" t="s">
        <v>1787</v>
      </c>
      <c r="H607" s="3">
        <v>228</v>
      </c>
      <c r="I607" s="3">
        <v>588</v>
      </c>
      <c r="J607" s="3">
        <v>246</v>
      </c>
      <c r="K607" s="3">
        <v>498</v>
      </c>
      <c r="L607" s="3">
        <v>222</v>
      </c>
      <c r="M607" s="3">
        <v>186</v>
      </c>
      <c r="N607" s="3">
        <v>276</v>
      </c>
      <c r="O607" s="3">
        <v>294</v>
      </c>
      <c r="P607" s="3">
        <v>450</v>
      </c>
      <c r="Q607" s="3">
        <v>252</v>
      </c>
      <c r="R607" s="3">
        <v>342</v>
      </c>
      <c r="S607" s="3">
        <v>396</v>
      </c>
      <c r="T607" s="3">
        <v>732</v>
      </c>
      <c r="U607" s="3">
        <v>282</v>
      </c>
      <c r="V607" s="3">
        <v>396</v>
      </c>
      <c r="W607" s="3">
        <v>486</v>
      </c>
      <c r="X607" s="3">
        <v>228</v>
      </c>
      <c r="Y607" s="3">
        <v>108</v>
      </c>
      <c r="Z607" s="3">
        <v>186</v>
      </c>
      <c r="AA607" s="3">
        <v>264</v>
      </c>
      <c r="AB607" s="3">
        <v>636</v>
      </c>
      <c r="AC607" s="3">
        <v>30</v>
      </c>
      <c r="AD607" s="3">
        <v>90</v>
      </c>
      <c r="AE607" s="3">
        <v>126</v>
      </c>
      <c r="AF607" s="3">
        <v>120</v>
      </c>
      <c r="AG607" s="3">
        <v>126</v>
      </c>
      <c r="AH607" s="3">
        <v>54</v>
      </c>
      <c r="AI607" s="3">
        <v>30</v>
      </c>
      <c r="AJ607" s="3">
        <v>372</v>
      </c>
      <c r="AK607" s="3">
        <v>150</v>
      </c>
      <c r="AL607" s="3">
        <v>150</v>
      </c>
      <c r="AM607" s="3">
        <v>114</v>
      </c>
      <c r="AN607" s="3">
        <v>120</v>
      </c>
      <c r="AO607" s="3">
        <v>102</v>
      </c>
      <c r="AP607" s="3">
        <v>120</v>
      </c>
      <c r="AQ607" s="3">
        <v>180</v>
      </c>
      <c r="AR607" s="3">
        <v>252</v>
      </c>
      <c r="AS607" s="3">
        <v>78</v>
      </c>
      <c r="AT607" s="3">
        <v>174</v>
      </c>
      <c r="AU607" s="3">
        <v>156</v>
      </c>
      <c r="AV607" s="3">
        <v>90</v>
      </c>
      <c r="AW607" s="3">
        <v>276</v>
      </c>
    </row>
    <row r="608" spans="1:49">
      <c r="A608" s="4" t="s">
        <v>40</v>
      </c>
      <c r="B608" s="4" t="str">
        <f t="shared" si="9"/>
        <v>Hair Care</v>
      </c>
      <c r="C608" s="4" t="s">
        <v>1786</v>
      </c>
      <c r="D608" s="4" t="s">
        <v>575</v>
      </c>
      <c r="E608" s="24" t="s">
        <v>42</v>
      </c>
      <c r="F608" s="12" t="s">
        <v>335</v>
      </c>
      <c r="G608" s="4" t="s">
        <v>1787</v>
      </c>
      <c r="H608" s="3">
        <v>246</v>
      </c>
      <c r="I608" s="3">
        <v>324</v>
      </c>
      <c r="J608" s="3">
        <v>144</v>
      </c>
      <c r="K608" s="3">
        <v>396</v>
      </c>
      <c r="L608" s="3">
        <v>90</v>
      </c>
      <c r="M608" s="3">
        <v>36</v>
      </c>
      <c r="N608" s="3">
        <v>246</v>
      </c>
      <c r="O608" s="3">
        <v>156</v>
      </c>
      <c r="P608" s="3">
        <v>0</v>
      </c>
      <c r="Q608" s="3">
        <v>12</v>
      </c>
      <c r="R608" s="3">
        <v>12</v>
      </c>
      <c r="S608" s="3">
        <v>30</v>
      </c>
      <c r="T608" s="3">
        <v>72</v>
      </c>
      <c r="U608" s="3">
        <v>120</v>
      </c>
      <c r="V608" s="3">
        <v>66</v>
      </c>
      <c r="W608" s="3">
        <v>12</v>
      </c>
      <c r="X608" s="3">
        <v>0</v>
      </c>
      <c r="Y608" s="3">
        <v>12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</row>
    <row r="609" spans="1:49">
      <c r="A609" s="4" t="s">
        <v>40</v>
      </c>
      <c r="B609" s="4" t="str">
        <f t="shared" si="9"/>
        <v>Hair Care</v>
      </c>
      <c r="C609" s="4" t="s">
        <v>1786</v>
      </c>
      <c r="D609" s="4" t="s">
        <v>575</v>
      </c>
      <c r="E609" s="24" t="s">
        <v>42</v>
      </c>
      <c r="F609" s="12" t="s">
        <v>336</v>
      </c>
      <c r="G609" s="4" t="s">
        <v>1787</v>
      </c>
      <c r="H609" s="3">
        <v>138</v>
      </c>
      <c r="I609" s="3">
        <v>252</v>
      </c>
      <c r="J609" s="3">
        <v>132</v>
      </c>
      <c r="K609" s="3">
        <v>288</v>
      </c>
      <c r="L609" s="3">
        <v>66</v>
      </c>
      <c r="M609" s="3">
        <v>0</v>
      </c>
      <c r="N609" s="3">
        <v>246</v>
      </c>
      <c r="O609" s="3">
        <v>120</v>
      </c>
      <c r="P609" s="3">
        <v>24</v>
      </c>
      <c r="Q609" s="3">
        <v>0</v>
      </c>
      <c r="R609" s="3">
        <v>12</v>
      </c>
      <c r="S609" s="3">
        <v>30</v>
      </c>
      <c r="T609" s="3">
        <v>96</v>
      </c>
      <c r="U609" s="3">
        <v>96</v>
      </c>
      <c r="V609" s="3">
        <v>90</v>
      </c>
      <c r="W609" s="3">
        <v>96</v>
      </c>
      <c r="X609" s="3">
        <v>60</v>
      </c>
      <c r="Y609" s="3">
        <v>60</v>
      </c>
      <c r="Z609" s="3">
        <v>12</v>
      </c>
      <c r="AA609" s="3">
        <v>12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</row>
    <row r="610" spans="1:49">
      <c r="A610" s="4" t="s">
        <v>40</v>
      </c>
      <c r="B610" s="4" t="str">
        <f t="shared" si="9"/>
        <v>Hair Care</v>
      </c>
      <c r="C610" s="4" t="s">
        <v>1786</v>
      </c>
      <c r="D610" s="4" t="s">
        <v>575</v>
      </c>
      <c r="E610" s="24" t="s">
        <v>42</v>
      </c>
      <c r="F610" s="12" t="s">
        <v>337</v>
      </c>
      <c r="G610" s="4" t="s">
        <v>1787</v>
      </c>
      <c r="H610" s="3">
        <v>456</v>
      </c>
      <c r="I610" s="3">
        <v>444</v>
      </c>
      <c r="J610" s="3">
        <v>126</v>
      </c>
      <c r="K610" s="3">
        <v>396</v>
      </c>
      <c r="L610" s="3">
        <v>24</v>
      </c>
      <c r="M610" s="3">
        <v>120</v>
      </c>
      <c r="N610" s="3">
        <v>324</v>
      </c>
      <c r="O610" s="3">
        <v>180</v>
      </c>
      <c r="P610" s="3">
        <v>90</v>
      </c>
      <c r="Q610" s="3">
        <v>48</v>
      </c>
      <c r="R610" s="3">
        <v>156</v>
      </c>
      <c r="S610" s="3">
        <v>102</v>
      </c>
      <c r="T610" s="3">
        <v>210</v>
      </c>
      <c r="U610" s="3">
        <v>174</v>
      </c>
      <c r="V610" s="3">
        <v>24</v>
      </c>
      <c r="W610" s="3">
        <v>6</v>
      </c>
      <c r="X610" s="3">
        <v>132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</row>
    <row r="611" spans="1:49">
      <c r="A611" s="4" t="s">
        <v>40</v>
      </c>
      <c r="B611" s="4" t="str">
        <f t="shared" si="9"/>
        <v>Hair Care</v>
      </c>
      <c r="C611" s="4" t="s">
        <v>1786</v>
      </c>
      <c r="D611" s="4" t="s">
        <v>575</v>
      </c>
      <c r="E611" s="24" t="s">
        <v>42</v>
      </c>
      <c r="F611" s="12" t="s">
        <v>338</v>
      </c>
      <c r="G611" s="4" t="s">
        <v>1787</v>
      </c>
      <c r="H611" s="3">
        <v>312</v>
      </c>
      <c r="I611" s="3">
        <v>300</v>
      </c>
      <c r="J611" s="3">
        <v>78</v>
      </c>
      <c r="K611" s="3">
        <v>264</v>
      </c>
      <c r="L611" s="3">
        <v>48</v>
      </c>
      <c r="M611" s="3">
        <v>60</v>
      </c>
      <c r="N611" s="3">
        <v>276</v>
      </c>
      <c r="O611" s="3">
        <v>120</v>
      </c>
      <c r="P611" s="3">
        <v>6</v>
      </c>
      <c r="Q611" s="3">
        <v>0</v>
      </c>
      <c r="R611" s="3">
        <v>84</v>
      </c>
      <c r="S611" s="3">
        <v>78</v>
      </c>
      <c r="T611" s="3">
        <v>138</v>
      </c>
      <c r="U611" s="3">
        <v>186</v>
      </c>
      <c r="V611" s="3">
        <v>168</v>
      </c>
      <c r="W611" s="3">
        <v>102</v>
      </c>
      <c r="X611" s="3">
        <v>228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</row>
    <row r="612" spans="1:49">
      <c r="A612" s="4" t="s">
        <v>40</v>
      </c>
      <c r="B612" s="4" t="str">
        <f t="shared" si="9"/>
        <v>Hair Care</v>
      </c>
      <c r="C612" s="4" t="s">
        <v>1786</v>
      </c>
      <c r="D612" s="4" t="s">
        <v>575</v>
      </c>
      <c r="E612" s="24" t="s">
        <v>42</v>
      </c>
      <c r="F612" s="12" t="s">
        <v>339</v>
      </c>
      <c r="G612" s="4" t="s">
        <v>1787</v>
      </c>
      <c r="H612" s="3">
        <v>276</v>
      </c>
      <c r="I612" s="3">
        <v>438</v>
      </c>
      <c r="J612" s="3">
        <v>120</v>
      </c>
      <c r="K612" s="3">
        <v>408</v>
      </c>
      <c r="L612" s="3">
        <v>48</v>
      </c>
      <c r="M612" s="3">
        <v>84</v>
      </c>
      <c r="N612" s="3">
        <v>348</v>
      </c>
      <c r="O612" s="3">
        <v>216</v>
      </c>
      <c r="P612" s="3">
        <v>60</v>
      </c>
      <c r="Q612" s="3">
        <v>54</v>
      </c>
      <c r="R612" s="3">
        <v>114</v>
      </c>
      <c r="S612" s="3">
        <v>144</v>
      </c>
      <c r="T612" s="3">
        <v>150</v>
      </c>
      <c r="U612" s="3">
        <v>294</v>
      </c>
      <c r="V612" s="3">
        <v>216</v>
      </c>
      <c r="W612" s="3">
        <v>168</v>
      </c>
      <c r="X612" s="3">
        <v>270</v>
      </c>
      <c r="Y612" s="3">
        <v>156</v>
      </c>
      <c r="Z612" s="3">
        <v>96</v>
      </c>
      <c r="AA612" s="3">
        <v>84</v>
      </c>
      <c r="AB612" s="3">
        <v>528</v>
      </c>
      <c r="AC612" s="3">
        <v>228</v>
      </c>
      <c r="AD612" s="3">
        <v>48</v>
      </c>
      <c r="AE612" s="3">
        <v>120</v>
      </c>
      <c r="AF612" s="3">
        <v>156</v>
      </c>
      <c r="AG612" s="3">
        <v>72</v>
      </c>
      <c r="AH612" s="3">
        <v>0</v>
      </c>
      <c r="AI612" s="3">
        <v>0</v>
      </c>
      <c r="AJ612" s="3">
        <v>228</v>
      </c>
      <c r="AK612" s="3">
        <v>168</v>
      </c>
      <c r="AL612" s="3">
        <v>96</v>
      </c>
      <c r="AM612" s="3">
        <v>216</v>
      </c>
      <c r="AN612" s="3">
        <v>132</v>
      </c>
      <c r="AO612" s="3">
        <v>108</v>
      </c>
      <c r="AP612" s="3">
        <v>132</v>
      </c>
      <c r="AQ612" s="3">
        <v>120</v>
      </c>
      <c r="AR612" s="3">
        <v>204</v>
      </c>
      <c r="AS612" s="3">
        <v>192</v>
      </c>
      <c r="AT612" s="3">
        <v>180</v>
      </c>
      <c r="AU612" s="3">
        <v>84</v>
      </c>
      <c r="AV612" s="3">
        <v>300</v>
      </c>
      <c r="AW612" s="3">
        <v>180</v>
      </c>
    </row>
    <row r="613" spans="1:49">
      <c r="A613" s="4" t="s">
        <v>40</v>
      </c>
      <c r="B613" s="4" t="str">
        <f t="shared" si="9"/>
        <v>Hair Care</v>
      </c>
      <c r="C613" s="4" t="s">
        <v>1786</v>
      </c>
      <c r="D613" s="4" t="s">
        <v>575</v>
      </c>
      <c r="E613" s="24" t="s">
        <v>42</v>
      </c>
      <c r="F613" s="12" t="s">
        <v>340</v>
      </c>
      <c r="G613" s="4" t="s">
        <v>1787</v>
      </c>
      <c r="H613" s="3">
        <v>228</v>
      </c>
      <c r="I613" s="3">
        <v>294</v>
      </c>
      <c r="J613" s="3">
        <v>72</v>
      </c>
      <c r="K613" s="3">
        <v>300</v>
      </c>
      <c r="L613" s="3">
        <v>12</v>
      </c>
      <c r="M613" s="3">
        <v>60</v>
      </c>
      <c r="N613" s="3">
        <v>324</v>
      </c>
      <c r="O613" s="3">
        <v>192</v>
      </c>
      <c r="P613" s="3">
        <v>36</v>
      </c>
      <c r="Q613" s="3">
        <v>30</v>
      </c>
      <c r="R613" s="3">
        <v>78</v>
      </c>
      <c r="S613" s="3">
        <v>96</v>
      </c>
      <c r="T613" s="3">
        <v>162</v>
      </c>
      <c r="U613" s="3">
        <v>162</v>
      </c>
      <c r="V613" s="3">
        <v>240</v>
      </c>
      <c r="W613" s="3">
        <v>156</v>
      </c>
      <c r="X613" s="3">
        <v>258</v>
      </c>
      <c r="Y613" s="3">
        <v>132</v>
      </c>
      <c r="Z613" s="3">
        <v>72</v>
      </c>
      <c r="AA613" s="3">
        <v>48</v>
      </c>
      <c r="AB613" s="3">
        <v>0</v>
      </c>
      <c r="AC613" s="3">
        <v>0</v>
      </c>
      <c r="AD613" s="3">
        <v>156</v>
      </c>
      <c r="AE613" s="3">
        <v>84</v>
      </c>
      <c r="AF613" s="3">
        <v>108</v>
      </c>
      <c r="AG613" s="3">
        <v>108</v>
      </c>
      <c r="AH613" s="3">
        <v>120</v>
      </c>
      <c r="AI613" s="3">
        <v>24</v>
      </c>
      <c r="AJ613" s="3">
        <v>84</v>
      </c>
      <c r="AK613" s="3">
        <v>84</v>
      </c>
      <c r="AL613" s="3">
        <v>120</v>
      </c>
      <c r="AM613" s="3">
        <v>12</v>
      </c>
      <c r="AN613" s="3">
        <v>120</v>
      </c>
      <c r="AO613" s="3">
        <v>60</v>
      </c>
      <c r="AP613" s="3">
        <v>96</v>
      </c>
      <c r="AQ613" s="3">
        <v>132</v>
      </c>
      <c r="AR613" s="3">
        <v>180</v>
      </c>
      <c r="AS613" s="3">
        <v>180</v>
      </c>
      <c r="AT613" s="3">
        <v>120</v>
      </c>
      <c r="AU613" s="3">
        <v>0</v>
      </c>
      <c r="AV613" s="3">
        <v>276</v>
      </c>
      <c r="AW613" s="3">
        <v>204</v>
      </c>
    </row>
    <row r="614" spans="1:49">
      <c r="A614" s="4" t="s">
        <v>40</v>
      </c>
      <c r="B614" s="4" t="str">
        <f t="shared" si="9"/>
        <v>Hair Care</v>
      </c>
      <c r="C614" s="4" t="s">
        <v>1786</v>
      </c>
      <c r="D614" s="4" t="s">
        <v>575</v>
      </c>
      <c r="E614" s="24" t="s">
        <v>42</v>
      </c>
      <c r="F614" s="12" t="s">
        <v>341</v>
      </c>
      <c r="G614" s="4" t="s">
        <v>1787</v>
      </c>
      <c r="H614" s="3">
        <v>318</v>
      </c>
      <c r="I614" s="3">
        <v>474</v>
      </c>
      <c r="J614" s="3">
        <v>252</v>
      </c>
      <c r="K614" s="3">
        <v>438</v>
      </c>
      <c r="L614" s="3">
        <v>252</v>
      </c>
      <c r="M614" s="3">
        <v>156</v>
      </c>
      <c r="N614" s="3">
        <v>402</v>
      </c>
      <c r="O614" s="3">
        <v>216</v>
      </c>
      <c r="P614" s="3">
        <v>132</v>
      </c>
      <c r="Q614" s="3">
        <v>96</v>
      </c>
      <c r="R614" s="3">
        <v>276</v>
      </c>
      <c r="S614" s="3">
        <v>210</v>
      </c>
      <c r="T614" s="3">
        <v>354</v>
      </c>
      <c r="U614" s="3">
        <v>288</v>
      </c>
      <c r="V614" s="3">
        <v>304</v>
      </c>
      <c r="W614" s="3">
        <v>180</v>
      </c>
      <c r="X614" s="3">
        <v>336</v>
      </c>
      <c r="Y614" s="3">
        <v>450</v>
      </c>
      <c r="Z614" s="3">
        <v>240</v>
      </c>
      <c r="AA614" s="3">
        <v>480</v>
      </c>
      <c r="AB614" s="3">
        <v>216</v>
      </c>
      <c r="AC614" s="3">
        <v>0</v>
      </c>
      <c r="AD614" s="3">
        <v>498</v>
      </c>
      <c r="AE614" s="3">
        <v>0</v>
      </c>
      <c r="AF614" s="3">
        <v>324</v>
      </c>
      <c r="AG614" s="3">
        <v>72</v>
      </c>
      <c r="AH614" s="3">
        <v>204</v>
      </c>
      <c r="AI614" s="3">
        <v>228</v>
      </c>
      <c r="AJ614" s="3">
        <v>240</v>
      </c>
      <c r="AK614" s="3">
        <v>204</v>
      </c>
      <c r="AL614" s="3">
        <v>288</v>
      </c>
      <c r="AM614" s="3">
        <v>360</v>
      </c>
      <c r="AN614" s="3">
        <v>204</v>
      </c>
      <c r="AO614" s="3">
        <v>240</v>
      </c>
      <c r="AP614" s="3">
        <v>264</v>
      </c>
      <c r="AQ614" s="3">
        <v>276</v>
      </c>
      <c r="AR614" s="3">
        <v>420</v>
      </c>
      <c r="AS614" s="3">
        <v>312</v>
      </c>
      <c r="AT614" s="3">
        <v>432</v>
      </c>
      <c r="AU614" s="3">
        <v>168</v>
      </c>
      <c r="AV614" s="3">
        <v>288</v>
      </c>
      <c r="AW614" s="3">
        <v>348</v>
      </c>
    </row>
    <row r="615" spans="1:49">
      <c r="A615" s="4" t="s">
        <v>40</v>
      </c>
      <c r="B615" s="4" t="str">
        <f t="shared" si="9"/>
        <v>Hair Care</v>
      </c>
      <c r="C615" s="4" t="s">
        <v>1786</v>
      </c>
      <c r="D615" s="4" t="s">
        <v>575</v>
      </c>
      <c r="E615" s="24" t="s">
        <v>42</v>
      </c>
      <c r="F615" s="12" t="s">
        <v>342</v>
      </c>
      <c r="G615" s="4" t="s">
        <v>1787</v>
      </c>
      <c r="H615" s="3">
        <v>234</v>
      </c>
      <c r="I615" s="3">
        <v>318</v>
      </c>
      <c r="J615" s="3">
        <v>192</v>
      </c>
      <c r="K615" s="3">
        <v>474</v>
      </c>
      <c r="L615" s="3">
        <v>216</v>
      </c>
      <c r="M615" s="3">
        <v>84</v>
      </c>
      <c r="N615" s="3">
        <v>318</v>
      </c>
      <c r="O615" s="3">
        <v>228</v>
      </c>
      <c r="P615" s="3">
        <v>120</v>
      </c>
      <c r="Q615" s="3">
        <v>48</v>
      </c>
      <c r="R615" s="3">
        <v>216</v>
      </c>
      <c r="S615" s="3">
        <v>210</v>
      </c>
      <c r="T615" s="3">
        <v>282</v>
      </c>
      <c r="U615" s="3">
        <v>180</v>
      </c>
      <c r="V615" s="3">
        <v>288</v>
      </c>
      <c r="W615" s="3">
        <v>192</v>
      </c>
      <c r="X615" s="3">
        <v>384</v>
      </c>
      <c r="Y615" s="3">
        <v>414</v>
      </c>
      <c r="Z615" s="3">
        <v>168</v>
      </c>
      <c r="AA615" s="3">
        <v>252</v>
      </c>
      <c r="AB615" s="3">
        <v>696</v>
      </c>
      <c r="AC615" s="3">
        <v>144</v>
      </c>
      <c r="AD615" s="3">
        <v>78</v>
      </c>
      <c r="AE615" s="3">
        <v>108</v>
      </c>
      <c r="AF615" s="3">
        <v>264</v>
      </c>
      <c r="AG615" s="3">
        <v>168</v>
      </c>
      <c r="AH615" s="3">
        <v>132</v>
      </c>
      <c r="AI615" s="3">
        <v>108</v>
      </c>
      <c r="AJ615" s="3">
        <v>228</v>
      </c>
      <c r="AK615" s="3">
        <v>108</v>
      </c>
      <c r="AL615" s="3">
        <v>228</v>
      </c>
      <c r="AM615" s="3">
        <v>120</v>
      </c>
      <c r="AN615" s="3">
        <v>204</v>
      </c>
      <c r="AO615" s="3">
        <v>252</v>
      </c>
      <c r="AP615" s="3">
        <v>132</v>
      </c>
      <c r="AQ615" s="3">
        <v>132</v>
      </c>
      <c r="AR615" s="3">
        <v>444</v>
      </c>
      <c r="AS615" s="3">
        <v>48</v>
      </c>
      <c r="AT615" s="3">
        <v>204</v>
      </c>
      <c r="AU615" s="3">
        <v>24</v>
      </c>
      <c r="AV615" s="3">
        <v>348</v>
      </c>
      <c r="AW615" s="3">
        <v>408</v>
      </c>
    </row>
    <row r="616" spans="1:49">
      <c r="A616" s="4" t="s">
        <v>40</v>
      </c>
      <c r="B616" s="4" t="str">
        <f t="shared" si="9"/>
        <v>Hair Care</v>
      </c>
      <c r="C616" s="4" t="s">
        <v>1786</v>
      </c>
      <c r="D616" s="4" t="s">
        <v>575</v>
      </c>
      <c r="E616" s="24" t="s">
        <v>42</v>
      </c>
      <c r="F616" s="12" t="s">
        <v>343</v>
      </c>
      <c r="G616" s="4" t="s">
        <v>1787</v>
      </c>
      <c r="H616" s="3">
        <v>180</v>
      </c>
      <c r="I616" s="3">
        <v>168</v>
      </c>
      <c r="J616" s="3">
        <v>204</v>
      </c>
      <c r="K616" s="3">
        <v>444</v>
      </c>
      <c r="L616" s="3">
        <v>84</v>
      </c>
      <c r="M616" s="3">
        <v>120</v>
      </c>
      <c r="N616" s="3">
        <v>144</v>
      </c>
      <c r="O616" s="3">
        <v>132</v>
      </c>
      <c r="P616" s="3">
        <v>204</v>
      </c>
      <c r="Q616" s="3">
        <v>120</v>
      </c>
      <c r="R616" s="3">
        <v>168</v>
      </c>
      <c r="S616" s="3">
        <v>216</v>
      </c>
      <c r="T616" s="3">
        <v>228</v>
      </c>
      <c r="U616" s="3">
        <v>80</v>
      </c>
      <c r="V616" s="3">
        <v>84</v>
      </c>
      <c r="W616" s="3">
        <v>120</v>
      </c>
      <c r="X616" s="3">
        <v>144</v>
      </c>
      <c r="Y616" s="3">
        <v>144</v>
      </c>
      <c r="Z616" s="3">
        <v>48</v>
      </c>
      <c r="AA616" s="3">
        <v>96</v>
      </c>
      <c r="AB616" s="3">
        <v>72</v>
      </c>
      <c r="AC616" s="3">
        <v>0</v>
      </c>
      <c r="AD616" s="3">
        <v>0</v>
      </c>
      <c r="AE616" s="3">
        <v>168</v>
      </c>
      <c r="AF616" s="3">
        <v>132</v>
      </c>
      <c r="AG616" s="3">
        <v>108</v>
      </c>
      <c r="AH616" s="3">
        <v>48</v>
      </c>
      <c r="AI616" s="3">
        <v>48</v>
      </c>
      <c r="AJ616" s="3">
        <v>144</v>
      </c>
      <c r="AK616" s="3">
        <v>96</v>
      </c>
      <c r="AL616" s="3">
        <v>60</v>
      </c>
      <c r="AM616" s="3">
        <v>120</v>
      </c>
      <c r="AN616" s="3">
        <v>84</v>
      </c>
      <c r="AO616" s="3">
        <v>96</v>
      </c>
      <c r="AP616" s="3">
        <v>96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</row>
    <row r="617" spans="1:49">
      <c r="A617" s="4" t="s">
        <v>40</v>
      </c>
      <c r="B617" s="4" t="str">
        <f t="shared" si="9"/>
        <v>Hair Care</v>
      </c>
      <c r="C617" s="4" t="s">
        <v>1786</v>
      </c>
      <c r="D617" s="4" t="s">
        <v>575</v>
      </c>
      <c r="E617" s="24" t="s">
        <v>42</v>
      </c>
      <c r="F617" s="12" t="s">
        <v>344</v>
      </c>
      <c r="G617" s="4" t="s">
        <v>1787</v>
      </c>
      <c r="H617" s="3">
        <v>132</v>
      </c>
      <c r="I617" s="3">
        <v>108</v>
      </c>
      <c r="J617" s="3">
        <v>72</v>
      </c>
      <c r="K617" s="3">
        <v>324</v>
      </c>
      <c r="L617" s="3">
        <v>96</v>
      </c>
      <c r="M617" s="3">
        <v>24</v>
      </c>
      <c r="N617" s="3">
        <v>72</v>
      </c>
      <c r="O617" s="3">
        <v>24</v>
      </c>
      <c r="P617" s="3">
        <v>144</v>
      </c>
      <c r="Q617" s="3">
        <v>48</v>
      </c>
      <c r="R617" s="3">
        <v>96</v>
      </c>
      <c r="S617" s="3">
        <v>132</v>
      </c>
      <c r="T617" s="3">
        <v>132</v>
      </c>
      <c r="U617" s="3">
        <v>48</v>
      </c>
      <c r="V617" s="3">
        <v>96</v>
      </c>
      <c r="W617" s="3">
        <v>84</v>
      </c>
      <c r="X617" s="3">
        <v>48</v>
      </c>
      <c r="Y617" s="3">
        <v>24</v>
      </c>
      <c r="Z617" s="3">
        <v>24</v>
      </c>
      <c r="AA617" s="3">
        <v>96</v>
      </c>
      <c r="AB617" s="3">
        <v>48</v>
      </c>
      <c r="AC617" s="3">
        <v>0</v>
      </c>
      <c r="AD617" s="3">
        <v>48</v>
      </c>
      <c r="AE617" s="3">
        <v>0</v>
      </c>
      <c r="AF617" s="3">
        <v>0</v>
      </c>
      <c r="AG617" s="3">
        <v>108</v>
      </c>
      <c r="AH617" s="3">
        <v>0</v>
      </c>
      <c r="AI617" s="3">
        <v>48</v>
      </c>
      <c r="AJ617" s="3">
        <v>24</v>
      </c>
      <c r="AK617" s="3">
        <v>60</v>
      </c>
      <c r="AL617" s="3">
        <v>0</v>
      </c>
      <c r="AM617" s="3">
        <v>0</v>
      </c>
      <c r="AN617" s="3">
        <v>60</v>
      </c>
      <c r="AO617" s="3">
        <v>24</v>
      </c>
      <c r="AP617" s="3">
        <v>12</v>
      </c>
      <c r="AQ617" s="3">
        <v>0</v>
      </c>
      <c r="AR617" s="3">
        <v>96</v>
      </c>
      <c r="AS617" s="3">
        <v>132</v>
      </c>
      <c r="AT617" s="3">
        <v>12</v>
      </c>
      <c r="AU617" s="3">
        <v>0</v>
      </c>
      <c r="AV617" s="3">
        <v>0</v>
      </c>
      <c r="AW617" s="3">
        <v>0</v>
      </c>
    </row>
    <row r="618" spans="1:49">
      <c r="A618" s="4" t="s">
        <v>40</v>
      </c>
      <c r="B618" s="4" t="str">
        <f t="shared" si="9"/>
        <v>Hair Care</v>
      </c>
      <c r="C618" s="4" t="s">
        <v>1786</v>
      </c>
      <c r="D618" s="4" t="s">
        <v>575</v>
      </c>
      <c r="E618" s="24" t="s">
        <v>42</v>
      </c>
      <c r="F618" s="12" t="s">
        <v>345</v>
      </c>
      <c r="G618" s="4" t="s">
        <v>1787</v>
      </c>
      <c r="H618" s="3">
        <v>210</v>
      </c>
      <c r="I618" s="3">
        <v>402</v>
      </c>
      <c r="J618" s="3">
        <v>234</v>
      </c>
      <c r="K618" s="3">
        <v>240</v>
      </c>
      <c r="L618" s="3">
        <v>240</v>
      </c>
      <c r="M618" s="3">
        <v>240</v>
      </c>
      <c r="N618" s="3">
        <v>180</v>
      </c>
      <c r="O618" s="3">
        <v>150</v>
      </c>
      <c r="P618" s="3">
        <v>390</v>
      </c>
      <c r="Q618" s="3">
        <v>270</v>
      </c>
      <c r="R618" s="3">
        <v>336</v>
      </c>
      <c r="S618" s="3">
        <v>270</v>
      </c>
      <c r="T618" s="3">
        <v>546</v>
      </c>
      <c r="U618" s="3">
        <v>180</v>
      </c>
      <c r="V618" s="3">
        <v>125</v>
      </c>
      <c r="W618" s="3">
        <v>318</v>
      </c>
      <c r="X618" s="3">
        <v>264</v>
      </c>
      <c r="Y618" s="3">
        <v>132</v>
      </c>
      <c r="Z618" s="3">
        <v>150</v>
      </c>
      <c r="AA618" s="3">
        <v>354</v>
      </c>
      <c r="AB618" s="3">
        <v>108</v>
      </c>
      <c r="AC618" s="3">
        <v>0</v>
      </c>
      <c r="AD618" s="3">
        <v>12</v>
      </c>
      <c r="AE618" s="3">
        <v>72</v>
      </c>
      <c r="AF618" s="3">
        <v>48</v>
      </c>
      <c r="AG618" s="3">
        <v>84</v>
      </c>
      <c r="AH618" s="3">
        <v>108</v>
      </c>
      <c r="AI618" s="3">
        <v>72</v>
      </c>
      <c r="AJ618" s="3">
        <v>420</v>
      </c>
      <c r="AK618" s="3">
        <v>114</v>
      </c>
      <c r="AL618" s="3">
        <v>252</v>
      </c>
      <c r="AM618" s="3">
        <v>174</v>
      </c>
      <c r="AN618" s="3">
        <v>114</v>
      </c>
      <c r="AO618" s="3">
        <v>264</v>
      </c>
      <c r="AP618" s="3">
        <v>108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</row>
    <row r="619" spans="1:49">
      <c r="A619" s="4" t="s">
        <v>40</v>
      </c>
      <c r="B619" s="4" t="str">
        <f t="shared" si="9"/>
        <v>Hair Care</v>
      </c>
      <c r="C619" s="4" t="s">
        <v>1786</v>
      </c>
      <c r="D619" s="4" t="s">
        <v>575</v>
      </c>
      <c r="E619" s="24" t="s">
        <v>42</v>
      </c>
      <c r="F619" s="12" t="s">
        <v>346</v>
      </c>
      <c r="G619" s="4" t="s">
        <v>1787</v>
      </c>
      <c r="H619" s="3">
        <v>42</v>
      </c>
      <c r="I619" s="3">
        <v>36</v>
      </c>
      <c r="J619" s="3">
        <v>108</v>
      </c>
      <c r="K619" s="3">
        <v>84</v>
      </c>
      <c r="L619" s="3">
        <v>60</v>
      </c>
      <c r="M619" s="3">
        <v>6</v>
      </c>
      <c r="N619" s="3">
        <v>30</v>
      </c>
      <c r="O619" s="3">
        <v>12</v>
      </c>
      <c r="P619" s="3">
        <v>66</v>
      </c>
      <c r="Q619" s="3">
        <v>12</v>
      </c>
      <c r="R619" s="3">
        <v>30</v>
      </c>
      <c r="S619" s="3">
        <v>42</v>
      </c>
      <c r="T619" s="3">
        <v>204</v>
      </c>
      <c r="U619" s="3">
        <v>80</v>
      </c>
      <c r="V619" s="3">
        <v>121</v>
      </c>
      <c r="W619" s="3">
        <v>78</v>
      </c>
      <c r="X619" s="3">
        <v>90</v>
      </c>
      <c r="Y619" s="3">
        <v>48</v>
      </c>
      <c r="Z619" s="3">
        <v>42</v>
      </c>
      <c r="AA619" s="3">
        <v>84</v>
      </c>
      <c r="AB619" s="3">
        <v>210</v>
      </c>
      <c r="AC619" s="3">
        <v>30</v>
      </c>
      <c r="AD619" s="3">
        <v>6</v>
      </c>
      <c r="AE619" s="3">
        <v>0</v>
      </c>
      <c r="AF619" s="3">
        <v>0</v>
      </c>
      <c r="AG619" s="3">
        <v>37</v>
      </c>
      <c r="AH619" s="3">
        <v>12</v>
      </c>
      <c r="AI619" s="3">
        <v>24</v>
      </c>
      <c r="AJ619" s="3">
        <v>18</v>
      </c>
      <c r="AK619" s="3">
        <v>96</v>
      </c>
      <c r="AL619" s="3">
        <v>36</v>
      </c>
      <c r="AM619" s="3">
        <v>90</v>
      </c>
      <c r="AN619" s="3">
        <v>48</v>
      </c>
      <c r="AO619" s="3">
        <v>18</v>
      </c>
      <c r="AP619" s="3">
        <v>0</v>
      </c>
      <c r="AQ619" s="3">
        <v>111</v>
      </c>
      <c r="AR619" s="3">
        <v>111</v>
      </c>
      <c r="AS619" s="3">
        <v>12</v>
      </c>
      <c r="AT619" s="3">
        <v>0</v>
      </c>
      <c r="AU619" s="3">
        <v>39</v>
      </c>
      <c r="AV619" s="3">
        <v>0</v>
      </c>
      <c r="AW619" s="3">
        <v>0</v>
      </c>
    </row>
    <row r="620" spans="1:49">
      <c r="A620" s="4" t="s">
        <v>40</v>
      </c>
      <c r="B620" s="4" t="str">
        <f t="shared" si="9"/>
        <v>Hair Care</v>
      </c>
      <c r="C620" s="4" t="s">
        <v>1786</v>
      </c>
      <c r="D620" s="4" t="s">
        <v>575</v>
      </c>
      <c r="E620" s="24" t="s">
        <v>42</v>
      </c>
      <c r="F620" s="12" t="s">
        <v>347</v>
      </c>
      <c r="G620" s="4" t="s">
        <v>1787</v>
      </c>
      <c r="H620" s="3">
        <v>294</v>
      </c>
      <c r="I620" s="3">
        <v>330</v>
      </c>
      <c r="J620" s="3">
        <v>255</v>
      </c>
      <c r="K620" s="3">
        <v>183</v>
      </c>
      <c r="L620" s="3">
        <v>348</v>
      </c>
      <c r="M620" s="3">
        <v>204</v>
      </c>
      <c r="N620" s="3">
        <v>204</v>
      </c>
      <c r="O620" s="3">
        <v>546</v>
      </c>
      <c r="P620" s="3">
        <v>294</v>
      </c>
      <c r="Q620" s="3">
        <v>318</v>
      </c>
      <c r="R620" s="3">
        <v>378</v>
      </c>
      <c r="S620" s="3">
        <v>360</v>
      </c>
      <c r="T620" s="3">
        <v>432</v>
      </c>
      <c r="U620" s="3">
        <v>345</v>
      </c>
      <c r="V620" s="3">
        <v>330</v>
      </c>
      <c r="W620" s="3">
        <v>360</v>
      </c>
      <c r="X620" s="3">
        <v>192</v>
      </c>
      <c r="Y620" s="3">
        <v>348</v>
      </c>
      <c r="Z620" s="3">
        <v>0</v>
      </c>
      <c r="AA620" s="3">
        <v>474</v>
      </c>
      <c r="AB620" s="3">
        <v>747</v>
      </c>
      <c r="AC620" s="3">
        <v>138</v>
      </c>
      <c r="AD620" s="3">
        <v>288</v>
      </c>
      <c r="AE620" s="3">
        <v>306</v>
      </c>
      <c r="AF620" s="3">
        <v>309</v>
      </c>
      <c r="AG620" s="3">
        <v>129</v>
      </c>
      <c r="AH620" s="3">
        <v>0</v>
      </c>
      <c r="AI620" s="3">
        <v>468</v>
      </c>
      <c r="AJ620" s="3">
        <v>222</v>
      </c>
      <c r="AK620" s="3">
        <v>272</v>
      </c>
      <c r="AL620" s="3">
        <v>156</v>
      </c>
      <c r="AM620" s="3">
        <v>228</v>
      </c>
      <c r="AN620" s="3">
        <v>327</v>
      </c>
      <c r="AO620" s="3">
        <v>198</v>
      </c>
      <c r="AP620" s="3">
        <v>66</v>
      </c>
      <c r="AQ620" s="3">
        <v>156</v>
      </c>
      <c r="AR620" s="3">
        <v>690</v>
      </c>
      <c r="AS620" s="3">
        <v>378</v>
      </c>
      <c r="AT620" s="3">
        <v>180</v>
      </c>
      <c r="AU620" s="3">
        <v>438</v>
      </c>
      <c r="AV620" s="3">
        <v>467</v>
      </c>
      <c r="AW620" s="3">
        <v>60</v>
      </c>
    </row>
    <row r="621" spans="1:49">
      <c r="A621" s="4" t="s">
        <v>40</v>
      </c>
      <c r="B621" s="4" t="str">
        <f t="shared" si="9"/>
        <v>Hair Care</v>
      </c>
      <c r="C621" s="4" t="s">
        <v>1786</v>
      </c>
      <c r="D621" s="4" t="s">
        <v>575</v>
      </c>
      <c r="E621" s="24" t="s">
        <v>42</v>
      </c>
      <c r="F621" s="12" t="s">
        <v>348</v>
      </c>
      <c r="G621" s="4" t="s">
        <v>1787</v>
      </c>
      <c r="H621" s="3">
        <v>268</v>
      </c>
      <c r="I621" s="3">
        <v>0</v>
      </c>
      <c r="J621" s="3">
        <v>0</v>
      </c>
      <c r="K621" s="3">
        <v>324</v>
      </c>
      <c r="L621" s="3">
        <v>108</v>
      </c>
      <c r="M621" s="3">
        <v>24</v>
      </c>
      <c r="N621" s="3">
        <v>12</v>
      </c>
      <c r="O621" s="3">
        <v>12</v>
      </c>
      <c r="P621" s="3">
        <v>12</v>
      </c>
      <c r="Q621" s="3">
        <v>12</v>
      </c>
      <c r="R621" s="3">
        <v>0</v>
      </c>
      <c r="S621" s="3">
        <v>12</v>
      </c>
      <c r="T621" s="3">
        <v>36</v>
      </c>
      <c r="U621" s="3">
        <v>120</v>
      </c>
      <c r="V621" s="3">
        <v>0</v>
      </c>
      <c r="W621" s="3">
        <v>96</v>
      </c>
      <c r="X621" s="3">
        <v>48</v>
      </c>
      <c r="Y621" s="3">
        <v>36</v>
      </c>
      <c r="Z621" s="3">
        <v>60</v>
      </c>
      <c r="AA621" s="3">
        <v>72</v>
      </c>
      <c r="AB621" s="3">
        <v>228</v>
      </c>
      <c r="AC621" s="3">
        <v>36</v>
      </c>
      <c r="AD621" s="3">
        <v>0</v>
      </c>
      <c r="AE621" s="3">
        <v>0</v>
      </c>
      <c r="AF621" s="3">
        <v>36</v>
      </c>
      <c r="AG621" s="3">
        <v>180</v>
      </c>
      <c r="AH621" s="3">
        <v>0</v>
      </c>
      <c r="AI621" s="3">
        <v>36</v>
      </c>
      <c r="AJ621" s="3">
        <v>12</v>
      </c>
      <c r="AK621" s="3">
        <v>12</v>
      </c>
      <c r="AL621" s="3">
        <v>36</v>
      </c>
      <c r="AM621" s="3">
        <v>12</v>
      </c>
      <c r="AN621" s="3">
        <v>0</v>
      </c>
      <c r="AO621" s="3">
        <v>72</v>
      </c>
      <c r="AP621" s="3">
        <v>0</v>
      </c>
      <c r="AQ621" s="3">
        <v>132</v>
      </c>
      <c r="AR621" s="3">
        <v>0</v>
      </c>
      <c r="AS621" s="3">
        <v>48</v>
      </c>
      <c r="AT621" s="3">
        <v>240</v>
      </c>
      <c r="AU621" s="3">
        <v>12</v>
      </c>
      <c r="AV621" s="3">
        <v>24</v>
      </c>
      <c r="AW621" s="3">
        <v>156</v>
      </c>
    </row>
    <row r="622" spans="1:49">
      <c r="A622" s="4" t="s">
        <v>40</v>
      </c>
      <c r="B622" s="4" t="str">
        <f t="shared" si="9"/>
        <v>Hair Care</v>
      </c>
      <c r="C622" s="4" t="s">
        <v>1786</v>
      </c>
      <c r="D622" s="4" t="s">
        <v>575</v>
      </c>
      <c r="E622" s="24" t="s">
        <v>42</v>
      </c>
      <c r="F622" s="12" t="s">
        <v>349</v>
      </c>
      <c r="G622" s="4" t="s">
        <v>1787</v>
      </c>
      <c r="H622" s="3">
        <v>702</v>
      </c>
      <c r="I622" s="3">
        <v>1746</v>
      </c>
      <c r="J622" s="3">
        <v>834</v>
      </c>
      <c r="K622" s="3">
        <v>1236</v>
      </c>
      <c r="L622" s="3">
        <v>1368</v>
      </c>
      <c r="M622" s="3">
        <v>450</v>
      </c>
      <c r="N622" s="3">
        <v>390</v>
      </c>
      <c r="O622" s="3">
        <v>774</v>
      </c>
      <c r="P622" s="3">
        <v>660</v>
      </c>
      <c r="Q622" s="3">
        <v>486</v>
      </c>
      <c r="R622" s="3">
        <v>924</v>
      </c>
      <c r="S622" s="3">
        <v>774</v>
      </c>
      <c r="T622" s="3">
        <v>966</v>
      </c>
      <c r="U622" s="3">
        <v>744</v>
      </c>
      <c r="V622" s="3">
        <v>1062</v>
      </c>
      <c r="W622" s="3">
        <v>642</v>
      </c>
      <c r="X622" s="3">
        <v>582</v>
      </c>
      <c r="Y622" s="3">
        <v>462</v>
      </c>
      <c r="Z622" s="3">
        <v>1128</v>
      </c>
      <c r="AA622" s="3">
        <v>96</v>
      </c>
      <c r="AB622" s="3">
        <v>432</v>
      </c>
      <c r="AC622" s="3">
        <v>60</v>
      </c>
      <c r="AD622" s="3">
        <v>312</v>
      </c>
      <c r="AE622" s="3">
        <v>336</v>
      </c>
      <c r="AF622" s="3">
        <v>192</v>
      </c>
      <c r="AG622" s="3">
        <v>264</v>
      </c>
      <c r="AH622" s="3">
        <v>408</v>
      </c>
      <c r="AI622" s="3">
        <v>156</v>
      </c>
      <c r="AJ622" s="3">
        <v>60</v>
      </c>
      <c r="AK622" s="3">
        <v>48</v>
      </c>
      <c r="AL622" s="3">
        <v>204</v>
      </c>
      <c r="AM622" s="3">
        <v>204</v>
      </c>
      <c r="AN622" s="3">
        <v>132</v>
      </c>
      <c r="AO622" s="3">
        <v>228</v>
      </c>
      <c r="AP622" s="3">
        <v>264</v>
      </c>
      <c r="AQ622" s="3">
        <v>264</v>
      </c>
      <c r="AR622" s="3">
        <v>360</v>
      </c>
      <c r="AS622" s="3">
        <v>972</v>
      </c>
      <c r="AT622" s="3">
        <v>1260</v>
      </c>
      <c r="AU622" s="3">
        <v>366</v>
      </c>
      <c r="AV622" s="3">
        <v>1236</v>
      </c>
      <c r="AW622" s="3">
        <v>234</v>
      </c>
    </row>
    <row r="623" spans="1:49">
      <c r="A623" s="4" t="s">
        <v>40</v>
      </c>
      <c r="B623" s="4" t="str">
        <f t="shared" si="9"/>
        <v>Hair Care</v>
      </c>
      <c r="C623" s="4" t="s">
        <v>1786</v>
      </c>
      <c r="D623" s="4" t="s">
        <v>575</v>
      </c>
      <c r="E623" s="24" t="s">
        <v>42</v>
      </c>
      <c r="F623" s="12" t="s">
        <v>350</v>
      </c>
      <c r="G623" s="4" t="s">
        <v>1787</v>
      </c>
      <c r="H623" s="3">
        <v>147</v>
      </c>
      <c r="I623" s="3">
        <v>138</v>
      </c>
      <c r="J623" s="3">
        <v>99</v>
      </c>
      <c r="K623" s="3">
        <v>77</v>
      </c>
      <c r="L623" s="3">
        <v>59</v>
      </c>
      <c r="M623" s="3">
        <v>72</v>
      </c>
      <c r="N623" s="3">
        <v>50</v>
      </c>
      <c r="O623" s="3">
        <v>1224</v>
      </c>
      <c r="P623" s="3">
        <v>264</v>
      </c>
      <c r="Q623" s="3">
        <v>12</v>
      </c>
      <c r="R623" s="3">
        <v>30</v>
      </c>
      <c r="S623" s="3">
        <v>48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20</v>
      </c>
      <c r="AH623" s="3">
        <v>10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</row>
    <row r="624" spans="1:49">
      <c r="A624" s="4" t="s">
        <v>40</v>
      </c>
      <c r="B624" s="4" t="str">
        <f t="shared" si="9"/>
        <v>Hair Care</v>
      </c>
      <c r="C624" s="4" t="s">
        <v>1786</v>
      </c>
      <c r="D624" s="4" t="s">
        <v>575</v>
      </c>
      <c r="E624" s="24" t="s">
        <v>42</v>
      </c>
      <c r="F624" s="12" t="s">
        <v>351</v>
      </c>
      <c r="G624" s="4" t="s">
        <v>1787</v>
      </c>
      <c r="H624" s="3">
        <v>866</v>
      </c>
      <c r="I624" s="3">
        <v>1422</v>
      </c>
      <c r="J624" s="3">
        <v>846</v>
      </c>
      <c r="K624" s="3">
        <v>1128</v>
      </c>
      <c r="L624" s="3">
        <v>1368</v>
      </c>
      <c r="M624" s="3">
        <v>438</v>
      </c>
      <c r="N624" s="3">
        <v>380</v>
      </c>
      <c r="O624" s="3">
        <v>726</v>
      </c>
      <c r="P624" s="3">
        <v>648</v>
      </c>
      <c r="Q624" s="3">
        <v>474</v>
      </c>
      <c r="R624" s="3">
        <v>816</v>
      </c>
      <c r="S624" s="3">
        <v>642</v>
      </c>
      <c r="T624" s="3">
        <v>978</v>
      </c>
      <c r="U624" s="3">
        <v>696</v>
      </c>
      <c r="V624" s="3">
        <v>978</v>
      </c>
      <c r="W624" s="3">
        <v>606</v>
      </c>
      <c r="X624" s="3">
        <v>480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20</v>
      </c>
      <c r="AH624" s="3">
        <v>10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</row>
    <row r="625" spans="1:49">
      <c r="A625" s="4" t="s">
        <v>40</v>
      </c>
      <c r="B625" s="4" t="str">
        <f t="shared" si="9"/>
        <v>Hair Care</v>
      </c>
      <c r="C625" s="4" t="s">
        <v>1786</v>
      </c>
      <c r="D625" s="4" t="s">
        <v>575</v>
      </c>
      <c r="E625" s="24" t="s">
        <v>42</v>
      </c>
      <c r="F625" s="12" t="s">
        <v>352</v>
      </c>
      <c r="G625" s="4" t="s">
        <v>1787</v>
      </c>
      <c r="H625" s="3">
        <v>144</v>
      </c>
      <c r="I625" s="3">
        <v>120</v>
      </c>
      <c r="J625" s="3">
        <v>120</v>
      </c>
      <c r="K625" s="3">
        <v>156</v>
      </c>
      <c r="L625" s="3">
        <v>168</v>
      </c>
      <c r="M625" s="3">
        <v>24</v>
      </c>
      <c r="N625" s="3">
        <v>48</v>
      </c>
      <c r="O625" s="3">
        <v>24</v>
      </c>
      <c r="P625" s="3">
        <v>72</v>
      </c>
      <c r="Q625" s="3">
        <v>12</v>
      </c>
      <c r="R625" s="3">
        <v>72</v>
      </c>
      <c r="S625" s="3">
        <v>24</v>
      </c>
      <c r="T625" s="3">
        <v>204</v>
      </c>
      <c r="U625" s="3">
        <v>168</v>
      </c>
      <c r="V625" s="3">
        <v>84</v>
      </c>
      <c r="W625" s="3">
        <v>96</v>
      </c>
      <c r="X625" s="3">
        <v>72</v>
      </c>
      <c r="Y625" s="3">
        <v>0</v>
      </c>
      <c r="Z625" s="3">
        <v>36</v>
      </c>
      <c r="AA625" s="3">
        <v>120</v>
      </c>
      <c r="AB625" s="3">
        <v>228</v>
      </c>
      <c r="AC625" s="3">
        <v>24</v>
      </c>
      <c r="AD625" s="3">
        <v>36</v>
      </c>
      <c r="AE625" s="3">
        <v>36</v>
      </c>
      <c r="AF625" s="3">
        <v>36</v>
      </c>
      <c r="AG625" s="3">
        <v>96</v>
      </c>
      <c r="AH625" s="3">
        <v>72</v>
      </c>
      <c r="AI625" s="3">
        <v>36</v>
      </c>
      <c r="AJ625" s="3">
        <v>24</v>
      </c>
      <c r="AK625" s="3">
        <v>72</v>
      </c>
      <c r="AL625" s="3">
        <v>36</v>
      </c>
      <c r="AM625" s="3">
        <v>0</v>
      </c>
      <c r="AN625" s="3">
        <v>0</v>
      </c>
      <c r="AO625" s="3">
        <v>60</v>
      </c>
      <c r="AP625" s="3">
        <v>96</v>
      </c>
      <c r="AQ625" s="3">
        <v>24</v>
      </c>
      <c r="AR625" s="3">
        <v>84</v>
      </c>
      <c r="AS625" s="3">
        <v>84</v>
      </c>
      <c r="AT625" s="3">
        <v>0</v>
      </c>
      <c r="AU625" s="3">
        <v>36</v>
      </c>
      <c r="AV625" s="3">
        <v>0</v>
      </c>
      <c r="AW625" s="3">
        <v>132</v>
      </c>
    </row>
    <row r="626" spans="1:49">
      <c r="A626" s="4" t="s">
        <v>40</v>
      </c>
      <c r="B626" s="4" t="str">
        <f t="shared" si="9"/>
        <v>Hair Care</v>
      </c>
      <c r="C626" s="4" t="s">
        <v>1786</v>
      </c>
      <c r="D626" s="4" t="s">
        <v>575</v>
      </c>
      <c r="E626" s="24" t="s">
        <v>42</v>
      </c>
      <c r="F626" s="12" t="s">
        <v>353</v>
      </c>
      <c r="G626" s="4" t="s">
        <v>1787</v>
      </c>
      <c r="H626" s="3">
        <v>48</v>
      </c>
      <c r="I626" s="3">
        <v>420</v>
      </c>
      <c r="J626" s="3">
        <v>132</v>
      </c>
      <c r="K626" s="3">
        <v>168</v>
      </c>
      <c r="L626" s="3">
        <v>60</v>
      </c>
      <c r="M626" s="3">
        <v>84</v>
      </c>
      <c r="N626" s="3">
        <v>108</v>
      </c>
      <c r="O626" s="3">
        <v>96</v>
      </c>
      <c r="P626" s="3">
        <v>156</v>
      </c>
      <c r="Q626" s="3">
        <v>36</v>
      </c>
      <c r="R626" s="3">
        <v>288</v>
      </c>
      <c r="S626" s="3">
        <v>216</v>
      </c>
      <c r="T626" s="3">
        <v>84</v>
      </c>
      <c r="U626" s="3">
        <v>120</v>
      </c>
      <c r="V626" s="3">
        <v>132</v>
      </c>
      <c r="W626" s="3">
        <v>204</v>
      </c>
      <c r="X626" s="3">
        <v>96</v>
      </c>
      <c r="Y626" s="3">
        <v>360</v>
      </c>
      <c r="Z626" s="3">
        <v>12</v>
      </c>
      <c r="AA626" s="3">
        <v>24</v>
      </c>
      <c r="AB626" s="3">
        <v>288</v>
      </c>
      <c r="AC626" s="3">
        <v>0</v>
      </c>
      <c r="AD626" s="3">
        <v>228</v>
      </c>
      <c r="AE626" s="3">
        <v>336</v>
      </c>
      <c r="AF626" s="3">
        <v>180</v>
      </c>
      <c r="AG626" s="3">
        <v>60</v>
      </c>
      <c r="AH626" s="3">
        <v>0</v>
      </c>
      <c r="AI626" s="3">
        <v>420</v>
      </c>
      <c r="AJ626" s="3">
        <v>108</v>
      </c>
      <c r="AK626" s="3">
        <v>204</v>
      </c>
      <c r="AL626" s="3">
        <v>84</v>
      </c>
      <c r="AM626" s="3">
        <v>156</v>
      </c>
      <c r="AN626" s="3">
        <v>132</v>
      </c>
      <c r="AO626" s="3">
        <v>192</v>
      </c>
      <c r="AP626" s="3">
        <v>240</v>
      </c>
      <c r="AQ626" s="3">
        <v>288</v>
      </c>
      <c r="AR626" s="3">
        <v>156</v>
      </c>
      <c r="AS626" s="3">
        <v>240</v>
      </c>
      <c r="AT626" s="3">
        <v>432</v>
      </c>
      <c r="AU626" s="3">
        <v>252</v>
      </c>
      <c r="AV626" s="3">
        <v>108</v>
      </c>
      <c r="AW626" s="3">
        <v>168</v>
      </c>
    </row>
    <row r="627" spans="1:49">
      <c r="A627" s="4" t="s">
        <v>40</v>
      </c>
      <c r="B627" s="4" t="str">
        <f t="shared" si="9"/>
        <v>Hair Care</v>
      </c>
      <c r="C627" s="4" t="s">
        <v>1786</v>
      </c>
      <c r="D627" s="4" t="s">
        <v>575</v>
      </c>
      <c r="E627" s="24" t="s">
        <v>42</v>
      </c>
      <c r="F627" s="12" t="s">
        <v>354</v>
      </c>
      <c r="G627" s="4" t="s">
        <v>1787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1572</v>
      </c>
      <c r="Z627" s="3">
        <v>1188</v>
      </c>
      <c r="AA627" s="3">
        <v>1344</v>
      </c>
      <c r="AB627" s="3">
        <v>1308</v>
      </c>
      <c r="AC627" s="3">
        <v>84</v>
      </c>
      <c r="AD627" s="3">
        <v>276</v>
      </c>
      <c r="AE627" s="3">
        <v>468</v>
      </c>
      <c r="AF627" s="3">
        <v>444</v>
      </c>
      <c r="AG627" s="3">
        <v>396</v>
      </c>
      <c r="AH627" s="3">
        <v>504</v>
      </c>
      <c r="AI627" s="3">
        <v>336</v>
      </c>
      <c r="AJ627" s="3">
        <v>312</v>
      </c>
      <c r="AK627" s="3">
        <v>696</v>
      </c>
      <c r="AL627" s="3">
        <v>120</v>
      </c>
      <c r="AM627" s="3">
        <v>408</v>
      </c>
      <c r="AN627" s="3">
        <v>204</v>
      </c>
      <c r="AO627" s="3">
        <v>384</v>
      </c>
      <c r="AP627" s="3">
        <v>348</v>
      </c>
      <c r="AQ627" s="3">
        <v>420</v>
      </c>
      <c r="AR627" s="3">
        <v>264</v>
      </c>
      <c r="AS627" s="3">
        <v>432</v>
      </c>
      <c r="AT627" s="3">
        <v>264</v>
      </c>
      <c r="AU627" s="3">
        <v>420</v>
      </c>
      <c r="AV627" s="3">
        <v>468</v>
      </c>
      <c r="AW627" s="3">
        <v>192</v>
      </c>
    </row>
    <row r="628" spans="1:49">
      <c r="A628" s="4" t="s">
        <v>40</v>
      </c>
      <c r="B628" s="4" t="str">
        <f t="shared" si="9"/>
        <v>Hair Care</v>
      </c>
      <c r="C628" s="4" t="s">
        <v>1786</v>
      </c>
      <c r="D628" s="4" t="s">
        <v>575</v>
      </c>
      <c r="E628" s="24" t="s">
        <v>42</v>
      </c>
      <c r="F628" s="12" t="s">
        <v>355</v>
      </c>
      <c r="G628" s="4" t="s">
        <v>1787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582</v>
      </c>
      <c r="Z628" s="3">
        <v>48</v>
      </c>
      <c r="AA628" s="3">
        <v>180</v>
      </c>
      <c r="AB628" s="3">
        <v>552</v>
      </c>
      <c r="AC628" s="3">
        <v>12</v>
      </c>
      <c r="AD628" s="3">
        <v>24</v>
      </c>
      <c r="AE628" s="3">
        <v>60</v>
      </c>
      <c r="AF628" s="3">
        <v>144</v>
      </c>
      <c r="AG628" s="3">
        <v>276</v>
      </c>
      <c r="AH628" s="3">
        <v>0</v>
      </c>
      <c r="AI628" s="3">
        <v>36</v>
      </c>
      <c r="AJ628" s="3">
        <v>276</v>
      </c>
      <c r="AK628" s="3">
        <v>48</v>
      </c>
      <c r="AL628" s="3">
        <v>60</v>
      </c>
      <c r="AM628" s="3">
        <v>12</v>
      </c>
      <c r="AN628" s="3">
        <v>498</v>
      </c>
      <c r="AO628" s="3">
        <v>174</v>
      </c>
      <c r="AP628" s="3">
        <v>12</v>
      </c>
      <c r="AQ628" s="3">
        <v>48</v>
      </c>
      <c r="AR628" s="3">
        <v>294</v>
      </c>
      <c r="AS628" s="3">
        <v>348</v>
      </c>
      <c r="AT628" s="3">
        <v>264</v>
      </c>
      <c r="AU628" s="3">
        <v>0</v>
      </c>
      <c r="AV628" s="3">
        <v>48</v>
      </c>
      <c r="AW628" s="3">
        <v>444</v>
      </c>
    </row>
    <row r="629" spans="1:49">
      <c r="A629" s="4" t="s">
        <v>40</v>
      </c>
      <c r="B629" s="4" t="str">
        <f t="shared" si="9"/>
        <v>Hair Care</v>
      </c>
      <c r="C629" s="4" t="s">
        <v>1786</v>
      </c>
      <c r="D629" s="4" t="s">
        <v>575</v>
      </c>
      <c r="E629" s="24" t="s">
        <v>42</v>
      </c>
      <c r="F629" s="12" t="s">
        <v>356</v>
      </c>
      <c r="G629" s="4" t="s">
        <v>1787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1062</v>
      </c>
      <c r="Z629" s="3">
        <v>144</v>
      </c>
      <c r="AA629" s="3">
        <v>0</v>
      </c>
      <c r="AB629" s="3">
        <v>1248</v>
      </c>
      <c r="AC629" s="3">
        <v>72</v>
      </c>
      <c r="AD629" s="3">
        <v>216</v>
      </c>
      <c r="AE629" s="3">
        <v>288</v>
      </c>
      <c r="AF629" s="3">
        <v>504</v>
      </c>
      <c r="AG629" s="3">
        <v>300</v>
      </c>
      <c r="AH629" s="3">
        <v>324</v>
      </c>
      <c r="AI629" s="3">
        <v>288</v>
      </c>
      <c r="AJ629" s="3">
        <v>168</v>
      </c>
      <c r="AK629" s="3">
        <v>276</v>
      </c>
      <c r="AL629" s="3">
        <v>324</v>
      </c>
      <c r="AM629" s="3">
        <v>132</v>
      </c>
      <c r="AN629" s="3">
        <v>168</v>
      </c>
      <c r="AO629" s="3">
        <v>84</v>
      </c>
      <c r="AP629" s="3">
        <v>180</v>
      </c>
      <c r="AQ629" s="3">
        <v>216</v>
      </c>
      <c r="AR629" s="3">
        <v>408</v>
      </c>
      <c r="AS629" s="3">
        <v>216</v>
      </c>
      <c r="AT629" s="3">
        <v>0</v>
      </c>
      <c r="AU629" s="3">
        <v>372</v>
      </c>
      <c r="AV629" s="3">
        <v>144</v>
      </c>
      <c r="AW629" s="3">
        <v>276</v>
      </c>
    </row>
    <row r="630" spans="1:49">
      <c r="A630" s="4" t="s">
        <v>40</v>
      </c>
      <c r="B630" s="4" t="str">
        <f t="shared" si="9"/>
        <v>Hair Care</v>
      </c>
      <c r="C630" s="4" t="s">
        <v>1786</v>
      </c>
      <c r="D630" s="4" t="s">
        <v>575</v>
      </c>
      <c r="E630" s="24" t="s">
        <v>42</v>
      </c>
      <c r="F630" s="12" t="s">
        <v>357</v>
      </c>
      <c r="G630" s="4" t="s">
        <v>1787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1428</v>
      </c>
      <c r="AW630" s="3">
        <v>312</v>
      </c>
    </row>
    <row r="631" spans="1:49">
      <c r="A631" s="4" t="s">
        <v>40</v>
      </c>
      <c r="B631" s="4" t="str">
        <f t="shared" si="9"/>
        <v>Hair Care</v>
      </c>
      <c r="C631" s="4" t="s">
        <v>1786</v>
      </c>
      <c r="D631" s="4" t="s">
        <v>575</v>
      </c>
      <c r="E631" s="24" t="s">
        <v>42</v>
      </c>
      <c r="F631" s="12" t="s">
        <v>358</v>
      </c>
      <c r="G631" s="4" t="s">
        <v>1787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1344</v>
      </c>
      <c r="AW631" s="3">
        <v>264</v>
      </c>
    </row>
    <row r="632" spans="1:49">
      <c r="A632" s="4" t="s">
        <v>40</v>
      </c>
      <c r="B632" s="4" t="str">
        <f t="shared" si="9"/>
        <v>Hair Care</v>
      </c>
      <c r="C632" s="4" t="s">
        <v>1786</v>
      </c>
      <c r="D632" s="4" t="s">
        <v>575</v>
      </c>
      <c r="E632" s="24" t="s">
        <v>42</v>
      </c>
      <c r="F632" s="12" t="s">
        <v>359</v>
      </c>
      <c r="G632" s="4" t="s">
        <v>1787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1470</v>
      </c>
      <c r="AW632" s="3">
        <v>636</v>
      </c>
    </row>
    <row r="633" spans="1:49">
      <c r="A633" s="4" t="s">
        <v>40</v>
      </c>
      <c r="B633" s="4" t="str">
        <f t="shared" si="9"/>
        <v>Hair Care</v>
      </c>
      <c r="C633" s="4" t="s">
        <v>1786</v>
      </c>
      <c r="D633" s="4" t="s">
        <v>575</v>
      </c>
      <c r="E633" s="24" t="s">
        <v>42</v>
      </c>
      <c r="F633" s="12" t="s">
        <v>360</v>
      </c>
      <c r="G633" s="4" t="s">
        <v>1787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1512</v>
      </c>
      <c r="Z633" s="3">
        <v>1092</v>
      </c>
      <c r="AA633" s="3">
        <v>1188</v>
      </c>
      <c r="AB633" s="3">
        <v>1224</v>
      </c>
      <c r="AC633" s="3">
        <v>60</v>
      </c>
      <c r="AD633" s="3">
        <v>0</v>
      </c>
      <c r="AE633" s="3">
        <v>672</v>
      </c>
      <c r="AF633" s="3">
        <v>324</v>
      </c>
      <c r="AG633" s="3">
        <v>276</v>
      </c>
      <c r="AH633" s="3">
        <v>324</v>
      </c>
      <c r="AI633" s="3">
        <v>444</v>
      </c>
      <c r="AJ633" s="3">
        <v>600</v>
      </c>
      <c r="AK633" s="3">
        <v>492</v>
      </c>
      <c r="AL633" s="3">
        <v>264</v>
      </c>
      <c r="AM633" s="3">
        <v>420</v>
      </c>
      <c r="AN633" s="3">
        <v>690</v>
      </c>
      <c r="AO633" s="3">
        <v>294</v>
      </c>
      <c r="AP633" s="3">
        <v>372</v>
      </c>
      <c r="AQ633" s="3">
        <v>420</v>
      </c>
      <c r="AR633" s="3">
        <v>498</v>
      </c>
      <c r="AS633" s="3">
        <v>576</v>
      </c>
      <c r="AT633" s="3">
        <v>432</v>
      </c>
      <c r="AU633" s="3">
        <v>408</v>
      </c>
      <c r="AV633" s="3">
        <v>444</v>
      </c>
      <c r="AW633" s="3">
        <v>360</v>
      </c>
    </row>
    <row r="634" spans="1:49">
      <c r="A634" s="4" t="s">
        <v>40</v>
      </c>
      <c r="B634" s="4" t="str">
        <f t="shared" si="9"/>
        <v>Hair Care</v>
      </c>
      <c r="C634" s="4" t="s">
        <v>1786</v>
      </c>
      <c r="D634" s="4" t="s">
        <v>575</v>
      </c>
      <c r="E634" s="24" t="s">
        <v>42</v>
      </c>
      <c r="F634" s="12" t="s">
        <v>361</v>
      </c>
      <c r="G634" s="4" t="s">
        <v>1787</v>
      </c>
      <c r="H634" s="3">
        <v>240</v>
      </c>
      <c r="I634" s="3">
        <v>216</v>
      </c>
      <c r="J634" s="3">
        <v>312</v>
      </c>
      <c r="K634" s="3">
        <v>132</v>
      </c>
      <c r="L634" s="3">
        <v>180</v>
      </c>
      <c r="M634" s="3">
        <v>204</v>
      </c>
      <c r="N634" s="3">
        <v>144</v>
      </c>
      <c r="O634" s="3">
        <v>300</v>
      </c>
      <c r="P634" s="3">
        <v>240</v>
      </c>
      <c r="Q634" s="3">
        <v>96</v>
      </c>
      <c r="R634" s="3">
        <v>144</v>
      </c>
      <c r="S634" s="3">
        <v>252</v>
      </c>
      <c r="T634" s="3">
        <v>192</v>
      </c>
      <c r="U634" s="3">
        <v>144</v>
      </c>
      <c r="V634" s="3">
        <v>216</v>
      </c>
      <c r="W634" s="3">
        <v>276</v>
      </c>
      <c r="X634" s="3">
        <v>396</v>
      </c>
      <c r="Y634" s="3">
        <v>180</v>
      </c>
      <c r="Z634" s="3">
        <v>72</v>
      </c>
      <c r="AA634" s="3">
        <v>0</v>
      </c>
      <c r="AB634" s="3">
        <v>0</v>
      </c>
      <c r="AC634" s="3">
        <v>36</v>
      </c>
      <c r="AD634" s="3">
        <v>336</v>
      </c>
      <c r="AE634" s="3">
        <v>168</v>
      </c>
      <c r="AF634" s="3">
        <v>240</v>
      </c>
      <c r="AG634" s="3">
        <v>240</v>
      </c>
      <c r="AH634" s="3">
        <v>96</v>
      </c>
      <c r="AI634" s="3">
        <v>96</v>
      </c>
      <c r="AJ634" s="3">
        <v>168</v>
      </c>
      <c r="AK634" s="3">
        <v>180</v>
      </c>
      <c r="AL634" s="3">
        <v>72</v>
      </c>
      <c r="AM634" s="3">
        <v>96</v>
      </c>
      <c r="AN634" s="3">
        <v>192</v>
      </c>
      <c r="AO634" s="3">
        <v>264</v>
      </c>
      <c r="AP634" s="3">
        <v>96</v>
      </c>
      <c r="AQ634" s="3">
        <v>396</v>
      </c>
      <c r="AR634" s="3">
        <v>120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</row>
    <row r="635" spans="1:49">
      <c r="A635" s="4" t="s">
        <v>40</v>
      </c>
      <c r="B635" s="4" t="str">
        <f t="shared" si="9"/>
        <v>Hair Care</v>
      </c>
      <c r="C635" s="4" t="s">
        <v>1786</v>
      </c>
      <c r="D635" s="4" t="s">
        <v>575</v>
      </c>
      <c r="E635" s="24" t="s">
        <v>42</v>
      </c>
      <c r="F635" s="12" t="s">
        <v>362</v>
      </c>
      <c r="G635" s="4" t="s">
        <v>1787</v>
      </c>
      <c r="H635" s="3">
        <v>465</v>
      </c>
      <c r="I635" s="3">
        <v>297</v>
      </c>
      <c r="J635" s="3">
        <v>600</v>
      </c>
      <c r="K635" s="3">
        <v>369</v>
      </c>
      <c r="L635" s="3">
        <v>333</v>
      </c>
      <c r="M635" s="3">
        <v>171</v>
      </c>
      <c r="N635" s="3">
        <v>141</v>
      </c>
      <c r="O635" s="3">
        <v>183</v>
      </c>
      <c r="P635" s="3">
        <v>237</v>
      </c>
      <c r="Q635" s="3">
        <v>186</v>
      </c>
      <c r="R635" s="3">
        <v>312</v>
      </c>
      <c r="S635" s="3">
        <v>189</v>
      </c>
      <c r="T635" s="3">
        <v>375</v>
      </c>
      <c r="U635" s="3">
        <v>348</v>
      </c>
      <c r="V635" s="3">
        <v>705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</row>
    <row r="636" spans="1:49">
      <c r="A636" s="4" t="s">
        <v>40</v>
      </c>
      <c r="B636" s="4" t="str">
        <f t="shared" si="9"/>
        <v>Hair Care</v>
      </c>
      <c r="C636" s="4" t="s">
        <v>1786</v>
      </c>
      <c r="D636" s="4" t="s">
        <v>575</v>
      </c>
      <c r="E636" s="24" t="s">
        <v>42</v>
      </c>
      <c r="F636" s="12" t="s">
        <v>363</v>
      </c>
      <c r="G636" s="4" t="s">
        <v>1787</v>
      </c>
      <c r="H636" s="3">
        <v>816</v>
      </c>
      <c r="I636" s="3">
        <v>654</v>
      </c>
      <c r="J636" s="3">
        <v>294</v>
      </c>
      <c r="K636" s="3">
        <v>858</v>
      </c>
      <c r="L636" s="3">
        <v>594</v>
      </c>
      <c r="M636" s="3">
        <v>642</v>
      </c>
      <c r="N636" s="3">
        <v>180</v>
      </c>
      <c r="O636" s="3">
        <v>348</v>
      </c>
      <c r="P636" s="3">
        <v>654</v>
      </c>
      <c r="Q636" s="3">
        <v>174</v>
      </c>
      <c r="R636" s="3">
        <v>324</v>
      </c>
      <c r="S636" s="3">
        <v>552</v>
      </c>
      <c r="T636" s="3">
        <v>870</v>
      </c>
      <c r="U636" s="3">
        <v>198</v>
      </c>
      <c r="V636" s="3">
        <v>120</v>
      </c>
      <c r="W636" s="3">
        <v>384</v>
      </c>
      <c r="X636" s="3">
        <v>414</v>
      </c>
      <c r="Y636" s="3">
        <v>450</v>
      </c>
      <c r="Z636" s="3">
        <v>1338</v>
      </c>
      <c r="AA636" s="3">
        <v>276</v>
      </c>
      <c r="AB636" s="3">
        <v>618</v>
      </c>
      <c r="AC636" s="3">
        <v>12</v>
      </c>
      <c r="AD636" s="3">
        <v>48</v>
      </c>
      <c r="AE636" s="3">
        <v>36</v>
      </c>
      <c r="AF636" s="3">
        <v>36</v>
      </c>
      <c r="AG636" s="3">
        <v>84</v>
      </c>
      <c r="AH636" s="3">
        <v>360</v>
      </c>
      <c r="AI636" s="3">
        <v>60</v>
      </c>
      <c r="AJ636" s="3">
        <v>24</v>
      </c>
      <c r="AK636" s="3">
        <v>120</v>
      </c>
      <c r="AL636" s="3">
        <v>516</v>
      </c>
      <c r="AM636" s="3">
        <v>384</v>
      </c>
      <c r="AN636" s="3">
        <v>0</v>
      </c>
      <c r="AO636" s="3">
        <v>180</v>
      </c>
      <c r="AP636" s="3">
        <v>696</v>
      </c>
      <c r="AQ636" s="3">
        <v>120</v>
      </c>
      <c r="AR636" s="3">
        <v>72</v>
      </c>
      <c r="AS636" s="3">
        <v>96</v>
      </c>
      <c r="AT636" s="3">
        <v>36</v>
      </c>
      <c r="AU636" s="3">
        <v>36</v>
      </c>
      <c r="AV636" s="3">
        <v>72</v>
      </c>
      <c r="AW636" s="3">
        <v>132</v>
      </c>
    </row>
    <row r="637" spans="1:49">
      <c r="A637" s="4" t="s">
        <v>40</v>
      </c>
      <c r="B637" s="4" t="str">
        <f t="shared" si="9"/>
        <v>Hair Care</v>
      </c>
      <c r="C637" s="4" t="s">
        <v>1786</v>
      </c>
      <c r="D637" s="4" t="s">
        <v>575</v>
      </c>
      <c r="E637" s="24" t="s">
        <v>42</v>
      </c>
      <c r="F637" s="12" t="s">
        <v>364</v>
      </c>
      <c r="G637" s="4" t="s">
        <v>1787</v>
      </c>
      <c r="H637" s="3">
        <v>244</v>
      </c>
      <c r="I637" s="3">
        <v>0</v>
      </c>
      <c r="J637" s="3">
        <v>0</v>
      </c>
      <c r="K637" s="3">
        <v>324</v>
      </c>
      <c r="L637" s="3">
        <v>96</v>
      </c>
      <c r="M637" s="3">
        <v>36</v>
      </c>
      <c r="N637" s="3">
        <v>0</v>
      </c>
      <c r="O637" s="3">
        <v>24</v>
      </c>
      <c r="P637" s="3">
        <v>12</v>
      </c>
      <c r="Q637" s="3">
        <v>24</v>
      </c>
      <c r="R637" s="3">
        <v>0</v>
      </c>
      <c r="S637" s="3">
        <v>24</v>
      </c>
      <c r="T637" s="3">
        <v>60</v>
      </c>
      <c r="U637" s="3">
        <v>216</v>
      </c>
      <c r="V637" s="3">
        <v>12</v>
      </c>
      <c r="W637" s="3">
        <v>48</v>
      </c>
      <c r="X637" s="3">
        <v>60</v>
      </c>
      <c r="Y637" s="3">
        <v>24</v>
      </c>
      <c r="Z637" s="3">
        <v>48</v>
      </c>
      <c r="AA637" s="3">
        <v>72</v>
      </c>
      <c r="AB637" s="3">
        <v>204</v>
      </c>
      <c r="AC637" s="3">
        <v>12</v>
      </c>
      <c r="AD637" s="3">
        <v>0</v>
      </c>
      <c r="AE637" s="3">
        <v>36</v>
      </c>
      <c r="AF637" s="3">
        <v>24</v>
      </c>
      <c r="AG637" s="3">
        <v>228</v>
      </c>
      <c r="AH637" s="3">
        <v>12</v>
      </c>
      <c r="AI637" s="3">
        <v>12</v>
      </c>
      <c r="AJ637" s="3">
        <v>24</v>
      </c>
      <c r="AK637" s="3">
        <v>108</v>
      </c>
      <c r="AL637" s="3">
        <v>24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</row>
    <row r="638" spans="1:49">
      <c r="A638" s="4" t="s">
        <v>40</v>
      </c>
      <c r="B638" s="4" t="str">
        <f t="shared" si="9"/>
        <v>Hair Care</v>
      </c>
      <c r="C638" s="4" t="s">
        <v>1786</v>
      </c>
      <c r="D638" s="4" t="s">
        <v>575</v>
      </c>
      <c r="E638" s="24" t="s">
        <v>42</v>
      </c>
      <c r="F638" s="12" t="s">
        <v>365</v>
      </c>
      <c r="G638" s="4" t="s">
        <v>1787</v>
      </c>
      <c r="H638" s="3">
        <v>288</v>
      </c>
      <c r="I638" s="3">
        <v>288</v>
      </c>
      <c r="J638" s="3">
        <v>192</v>
      </c>
      <c r="K638" s="3">
        <v>228</v>
      </c>
      <c r="L638" s="3">
        <v>168</v>
      </c>
      <c r="M638" s="3">
        <v>120</v>
      </c>
      <c r="N638" s="3">
        <v>156</v>
      </c>
      <c r="O638" s="3">
        <v>132</v>
      </c>
      <c r="P638" s="3">
        <v>372</v>
      </c>
      <c r="Q638" s="3">
        <v>120</v>
      </c>
      <c r="R638" s="3">
        <v>156</v>
      </c>
      <c r="S638" s="3">
        <v>192</v>
      </c>
      <c r="T638" s="3">
        <v>384</v>
      </c>
      <c r="U638" s="3">
        <v>132</v>
      </c>
      <c r="V638" s="3">
        <v>216</v>
      </c>
      <c r="W638" s="3">
        <v>252</v>
      </c>
      <c r="X638" s="3">
        <v>324</v>
      </c>
      <c r="Y638" s="3">
        <v>132</v>
      </c>
      <c r="Z638" s="3">
        <v>96</v>
      </c>
      <c r="AA638" s="3">
        <v>72</v>
      </c>
      <c r="AB638" s="3">
        <v>0</v>
      </c>
      <c r="AC638" s="3">
        <v>144</v>
      </c>
      <c r="AD638" s="3">
        <v>228</v>
      </c>
      <c r="AE638" s="3">
        <v>144</v>
      </c>
      <c r="AF638" s="3">
        <v>576</v>
      </c>
      <c r="AG638" s="3">
        <v>312</v>
      </c>
      <c r="AH638" s="3">
        <v>120</v>
      </c>
      <c r="AI638" s="3">
        <v>120</v>
      </c>
      <c r="AJ638" s="3">
        <v>132</v>
      </c>
      <c r="AK638" s="3">
        <v>204</v>
      </c>
      <c r="AL638" s="3">
        <v>12</v>
      </c>
      <c r="AM638" s="3">
        <v>0</v>
      </c>
      <c r="AN638" s="3">
        <v>108</v>
      </c>
      <c r="AO638" s="3">
        <v>240</v>
      </c>
      <c r="AP638" s="3">
        <v>192</v>
      </c>
      <c r="AQ638" s="3">
        <v>312</v>
      </c>
      <c r="AR638" s="3">
        <v>192</v>
      </c>
      <c r="AS638" s="3">
        <v>168</v>
      </c>
      <c r="AT638" s="3">
        <v>120</v>
      </c>
      <c r="AU638" s="3">
        <v>60</v>
      </c>
      <c r="AV638" s="3">
        <v>156</v>
      </c>
      <c r="AW638" s="3">
        <v>204</v>
      </c>
    </row>
    <row r="639" spans="1:49">
      <c r="A639" s="4" t="s">
        <v>40</v>
      </c>
      <c r="B639" s="4" t="str">
        <f t="shared" si="9"/>
        <v>Hair Care</v>
      </c>
      <c r="C639" s="4" t="s">
        <v>1786</v>
      </c>
      <c r="D639" s="4" t="s">
        <v>575</v>
      </c>
      <c r="E639" s="24" t="s">
        <v>42</v>
      </c>
      <c r="F639" s="12" t="s">
        <v>366</v>
      </c>
      <c r="G639" s="4" t="s">
        <v>1787</v>
      </c>
      <c r="H639" s="3">
        <v>738</v>
      </c>
      <c r="I639" s="3">
        <v>762</v>
      </c>
      <c r="J639" s="3">
        <v>636</v>
      </c>
      <c r="K639" s="3">
        <v>798</v>
      </c>
      <c r="L639" s="3">
        <v>450</v>
      </c>
      <c r="M639" s="3">
        <v>588</v>
      </c>
      <c r="N639" s="3">
        <v>162</v>
      </c>
      <c r="O639" s="3">
        <v>210</v>
      </c>
      <c r="P639" s="3">
        <v>624</v>
      </c>
      <c r="Q639" s="3">
        <v>102</v>
      </c>
      <c r="R639" s="3">
        <v>156</v>
      </c>
      <c r="S639" s="3">
        <v>372</v>
      </c>
      <c r="T639" s="3">
        <v>690</v>
      </c>
      <c r="U639" s="3">
        <v>228</v>
      </c>
      <c r="V639" s="3">
        <v>498</v>
      </c>
      <c r="W639" s="3">
        <v>546</v>
      </c>
      <c r="X639" s="3">
        <v>282</v>
      </c>
      <c r="Y639" s="3">
        <v>162</v>
      </c>
      <c r="Z639" s="3">
        <v>1302</v>
      </c>
      <c r="AA639" s="3">
        <v>18</v>
      </c>
      <c r="AB639" s="3">
        <v>276</v>
      </c>
      <c r="AC639" s="3">
        <v>12</v>
      </c>
      <c r="AD639" s="3">
        <v>12</v>
      </c>
      <c r="AE639" s="3">
        <v>24</v>
      </c>
      <c r="AF639" s="3">
        <v>48</v>
      </c>
      <c r="AG639" s="3">
        <v>48</v>
      </c>
      <c r="AH639" s="3">
        <v>2196</v>
      </c>
      <c r="AI639" s="3">
        <v>210</v>
      </c>
      <c r="AJ639" s="3">
        <v>366</v>
      </c>
      <c r="AK639" s="3">
        <v>0</v>
      </c>
      <c r="AL639" s="3">
        <v>0</v>
      </c>
      <c r="AM639" s="3">
        <v>0</v>
      </c>
      <c r="AN639" s="3">
        <v>0</v>
      </c>
      <c r="AO639" s="3">
        <v>36</v>
      </c>
      <c r="AP639" s="3">
        <v>552</v>
      </c>
      <c r="AQ639" s="3">
        <v>504</v>
      </c>
      <c r="AR639" s="3">
        <v>180</v>
      </c>
      <c r="AS639" s="3">
        <v>402</v>
      </c>
      <c r="AT639" s="3">
        <v>1176</v>
      </c>
      <c r="AU639" s="3">
        <v>330</v>
      </c>
      <c r="AV639" s="3">
        <v>36</v>
      </c>
      <c r="AW639" s="3">
        <v>144</v>
      </c>
    </row>
    <row r="640" spans="1:49">
      <c r="A640" s="4" t="s">
        <v>40</v>
      </c>
      <c r="B640" s="4" t="str">
        <f t="shared" si="9"/>
        <v>Hair Care</v>
      </c>
      <c r="C640" s="4" t="s">
        <v>1786</v>
      </c>
      <c r="D640" s="4" t="s">
        <v>575</v>
      </c>
      <c r="E640" s="24" t="s">
        <v>42</v>
      </c>
      <c r="F640" s="12" t="s">
        <v>367</v>
      </c>
      <c r="G640" s="4" t="s">
        <v>1787</v>
      </c>
      <c r="H640" s="3">
        <v>0</v>
      </c>
      <c r="I640" s="3">
        <v>0</v>
      </c>
      <c r="J640" s="3">
        <v>0</v>
      </c>
      <c r="K640" s="3">
        <v>0</v>
      </c>
      <c r="L640" s="3">
        <v>1464</v>
      </c>
      <c r="M640" s="3">
        <v>468</v>
      </c>
      <c r="N640" s="3">
        <v>276</v>
      </c>
      <c r="O640" s="3">
        <v>444</v>
      </c>
      <c r="P640" s="3">
        <v>504</v>
      </c>
      <c r="Q640" s="3">
        <v>372</v>
      </c>
      <c r="R640" s="3">
        <v>492</v>
      </c>
      <c r="S640" s="3">
        <v>324</v>
      </c>
      <c r="T640" s="3">
        <v>480</v>
      </c>
      <c r="U640" s="3">
        <v>420</v>
      </c>
      <c r="V640" s="3">
        <v>504</v>
      </c>
      <c r="W640" s="3">
        <v>420</v>
      </c>
      <c r="X640" s="3">
        <v>444</v>
      </c>
      <c r="Y640" s="3">
        <v>528</v>
      </c>
      <c r="Z640" s="3">
        <v>384</v>
      </c>
      <c r="AA640" s="3">
        <v>78</v>
      </c>
      <c r="AB640" s="3">
        <v>0</v>
      </c>
      <c r="AC640" s="3">
        <v>384</v>
      </c>
      <c r="AD640" s="3">
        <v>612</v>
      </c>
      <c r="AE640" s="3">
        <v>276</v>
      </c>
      <c r="AF640" s="3">
        <v>528</v>
      </c>
      <c r="AG640" s="3">
        <v>468</v>
      </c>
      <c r="AH640" s="3">
        <v>480</v>
      </c>
      <c r="AI640" s="3">
        <v>240</v>
      </c>
      <c r="AJ640" s="3">
        <v>264</v>
      </c>
      <c r="AK640" s="3">
        <v>564</v>
      </c>
      <c r="AL640" s="3">
        <v>192</v>
      </c>
      <c r="AM640" s="3">
        <v>84</v>
      </c>
      <c r="AN640" s="3">
        <v>60</v>
      </c>
      <c r="AO640" s="3">
        <v>240</v>
      </c>
      <c r="AP640" s="3">
        <v>120</v>
      </c>
      <c r="AQ640" s="3">
        <v>72</v>
      </c>
      <c r="AR640" s="3">
        <v>192</v>
      </c>
      <c r="AS640" s="3">
        <v>72</v>
      </c>
      <c r="AT640" s="3">
        <v>72</v>
      </c>
      <c r="AU640" s="3">
        <v>72</v>
      </c>
      <c r="AV640" s="3">
        <v>108</v>
      </c>
      <c r="AW640" s="3">
        <v>24</v>
      </c>
    </row>
    <row r="641" spans="1:49">
      <c r="A641" s="4" t="s">
        <v>40</v>
      </c>
      <c r="B641" s="4" t="str">
        <f t="shared" si="9"/>
        <v>Hair Care</v>
      </c>
      <c r="C641" s="4" t="s">
        <v>1786</v>
      </c>
      <c r="D641" s="4" t="s">
        <v>575</v>
      </c>
      <c r="E641" s="24" t="s">
        <v>42</v>
      </c>
      <c r="F641" s="12" t="s">
        <v>368</v>
      </c>
      <c r="G641" s="4" t="s">
        <v>1787</v>
      </c>
      <c r="H641" s="3">
        <v>75</v>
      </c>
      <c r="I641" s="3">
        <v>114</v>
      </c>
      <c r="J641" s="3">
        <v>75</v>
      </c>
      <c r="K641" s="3">
        <v>78</v>
      </c>
      <c r="L641" s="3">
        <v>105</v>
      </c>
      <c r="M641" s="3">
        <v>129</v>
      </c>
      <c r="N641" s="3">
        <v>96</v>
      </c>
      <c r="O641" s="3">
        <v>90</v>
      </c>
      <c r="P641" s="3">
        <v>192</v>
      </c>
      <c r="Q641" s="3">
        <v>105</v>
      </c>
      <c r="R641" s="3">
        <v>60</v>
      </c>
      <c r="S641" s="3">
        <v>141</v>
      </c>
      <c r="T641" s="3">
        <v>375</v>
      </c>
      <c r="U641" s="3">
        <v>177</v>
      </c>
      <c r="V641" s="3">
        <v>246</v>
      </c>
      <c r="W641" s="3">
        <v>93</v>
      </c>
      <c r="X641" s="3">
        <v>135</v>
      </c>
      <c r="Y641" s="3">
        <v>102</v>
      </c>
      <c r="Z641" s="3">
        <v>87</v>
      </c>
      <c r="AA641" s="3">
        <v>114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</row>
    <row r="642" spans="1:49">
      <c r="A642" s="4" t="s">
        <v>40</v>
      </c>
      <c r="B642" s="4" t="str">
        <f t="shared" si="9"/>
        <v>Hair Care</v>
      </c>
      <c r="C642" s="4" t="s">
        <v>1786</v>
      </c>
      <c r="D642" s="4" t="s">
        <v>575</v>
      </c>
      <c r="E642" s="24" t="s">
        <v>42</v>
      </c>
      <c r="F642" s="12" t="s">
        <v>369</v>
      </c>
      <c r="G642" s="4" t="s">
        <v>1787</v>
      </c>
      <c r="H642" s="3">
        <v>60</v>
      </c>
      <c r="I642" s="3">
        <v>168</v>
      </c>
      <c r="J642" s="3">
        <v>108</v>
      </c>
      <c r="K642" s="3">
        <v>48</v>
      </c>
      <c r="L642" s="3">
        <v>48</v>
      </c>
      <c r="M642" s="3">
        <v>12</v>
      </c>
      <c r="N642" s="3">
        <v>24</v>
      </c>
      <c r="O642" s="3">
        <v>12</v>
      </c>
      <c r="P642" s="3">
        <v>24</v>
      </c>
      <c r="Q642" s="3">
        <v>0</v>
      </c>
      <c r="R642" s="3">
        <v>0</v>
      </c>
      <c r="S642" s="3">
        <v>72</v>
      </c>
      <c r="T642" s="3">
        <v>132</v>
      </c>
      <c r="U642" s="3">
        <v>36</v>
      </c>
      <c r="V642" s="3">
        <v>108</v>
      </c>
      <c r="W642" s="3">
        <v>84</v>
      </c>
      <c r="X642" s="3">
        <v>48</v>
      </c>
      <c r="Y642" s="3">
        <v>36</v>
      </c>
      <c r="Z642" s="3">
        <v>24</v>
      </c>
      <c r="AA642" s="3">
        <v>36</v>
      </c>
      <c r="AB642" s="3">
        <v>228</v>
      </c>
      <c r="AC642" s="3">
        <v>12</v>
      </c>
      <c r="AD642" s="3">
        <v>0</v>
      </c>
      <c r="AE642" s="3">
        <v>72</v>
      </c>
      <c r="AF642" s="3">
        <v>12</v>
      </c>
      <c r="AG642" s="3">
        <v>12</v>
      </c>
      <c r="AH642" s="3">
        <v>36</v>
      </c>
      <c r="AI642" s="3">
        <v>12</v>
      </c>
      <c r="AJ642" s="3">
        <v>12</v>
      </c>
      <c r="AK642" s="3">
        <v>72</v>
      </c>
      <c r="AL642" s="3">
        <v>24</v>
      </c>
      <c r="AM642" s="3">
        <v>12</v>
      </c>
      <c r="AN642" s="3">
        <v>12</v>
      </c>
      <c r="AO642" s="3">
        <v>36</v>
      </c>
      <c r="AP642" s="3">
        <v>36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</row>
    <row r="643" spans="1:49">
      <c r="A643" s="4" t="s">
        <v>40</v>
      </c>
      <c r="B643" s="4" t="str">
        <f t="shared" ref="B643:B706" si="10">A643</f>
        <v>Hair Care</v>
      </c>
      <c r="C643" s="4" t="s">
        <v>1786</v>
      </c>
      <c r="D643" s="4" t="s">
        <v>575</v>
      </c>
      <c r="E643" s="24" t="s">
        <v>42</v>
      </c>
      <c r="F643" s="12" t="s">
        <v>370</v>
      </c>
      <c r="G643" s="4" t="s">
        <v>1787</v>
      </c>
      <c r="H643" s="3">
        <v>48</v>
      </c>
      <c r="I643" s="3">
        <v>48</v>
      </c>
      <c r="J643" s="3">
        <v>192</v>
      </c>
      <c r="K643" s="3">
        <v>24</v>
      </c>
      <c r="L643" s="3">
        <v>60</v>
      </c>
      <c r="M643" s="3">
        <v>36</v>
      </c>
      <c r="N643" s="3">
        <v>24</v>
      </c>
      <c r="O643" s="3">
        <v>24</v>
      </c>
      <c r="P643" s="3">
        <v>48</v>
      </c>
      <c r="Q643" s="3">
        <v>36</v>
      </c>
      <c r="R643" s="3">
        <v>60</v>
      </c>
      <c r="S643" s="3">
        <v>108</v>
      </c>
      <c r="T643" s="3">
        <v>84</v>
      </c>
      <c r="U643" s="3">
        <v>60</v>
      </c>
      <c r="V643" s="3">
        <v>60</v>
      </c>
      <c r="W643" s="3">
        <v>132</v>
      </c>
      <c r="X643" s="3">
        <v>36</v>
      </c>
      <c r="Y643" s="3">
        <v>24</v>
      </c>
      <c r="Z643" s="3">
        <v>48</v>
      </c>
      <c r="AA643" s="3">
        <v>24</v>
      </c>
      <c r="AB643" s="3">
        <v>216</v>
      </c>
      <c r="AC643" s="3">
        <v>12</v>
      </c>
      <c r="AD643" s="3">
        <v>0</v>
      </c>
      <c r="AE643" s="3">
        <v>12</v>
      </c>
      <c r="AF643" s="3">
        <v>48</v>
      </c>
      <c r="AG643" s="3">
        <v>84</v>
      </c>
      <c r="AH643" s="3">
        <v>24</v>
      </c>
      <c r="AI643" s="3">
        <v>36</v>
      </c>
      <c r="AJ643" s="3">
        <v>24</v>
      </c>
      <c r="AK643" s="3">
        <v>132</v>
      </c>
      <c r="AL643" s="3">
        <v>36</v>
      </c>
      <c r="AM643" s="3">
        <v>24</v>
      </c>
      <c r="AN643" s="3">
        <v>0</v>
      </c>
      <c r="AO643" s="3">
        <v>48</v>
      </c>
      <c r="AP643" s="3">
        <v>60</v>
      </c>
      <c r="AQ643" s="3">
        <v>192</v>
      </c>
      <c r="AR643" s="3">
        <v>180</v>
      </c>
      <c r="AS643" s="3">
        <v>24</v>
      </c>
      <c r="AT643" s="3">
        <v>48</v>
      </c>
      <c r="AU643" s="3">
        <v>48</v>
      </c>
      <c r="AV643" s="3">
        <v>0</v>
      </c>
      <c r="AW643" s="3">
        <v>0</v>
      </c>
    </row>
    <row r="644" spans="1:49">
      <c r="A644" s="4" t="s">
        <v>40</v>
      </c>
      <c r="B644" s="4" t="str">
        <f t="shared" si="10"/>
        <v>Hair Care</v>
      </c>
      <c r="C644" s="4" t="s">
        <v>1786</v>
      </c>
      <c r="D644" s="4" t="s">
        <v>575</v>
      </c>
      <c r="E644" s="24" t="s">
        <v>42</v>
      </c>
      <c r="F644" s="12" t="s">
        <v>371</v>
      </c>
      <c r="G644" s="4" t="s">
        <v>1787</v>
      </c>
      <c r="H644" s="3">
        <v>48</v>
      </c>
      <c r="I644" s="3">
        <v>12</v>
      </c>
      <c r="J644" s="3">
        <v>84</v>
      </c>
      <c r="K644" s="3">
        <v>24</v>
      </c>
      <c r="L644" s="3">
        <v>60</v>
      </c>
      <c r="M644" s="3">
        <v>24</v>
      </c>
      <c r="N644" s="3">
        <v>12</v>
      </c>
      <c r="O644" s="3">
        <v>12</v>
      </c>
      <c r="P644" s="3">
        <v>36</v>
      </c>
      <c r="Q644" s="3">
        <v>36</v>
      </c>
      <c r="R644" s="3">
        <v>12</v>
      </c>
      <c r="S644" s="3">
        <v>36</v>
      </c>
      <c r="T644" s="3">
        <v>132</v>
      </c>
      <c r="U644" s="3">
        <v>72</v>
      </c>
      <c r="V644" s="3">
        <v>60</v>
      </c>
      <c r="W644" s="3">
        <v>84</v>
      </c>
      <c r="X644" s="3">
        <v>96</v>
      </c>
      <c r="Y644" s="3">
        <v>24</v>
      </c>
      <c r="Z644" s="3">
        <v>24</v>
      </c>
      <c r="AA644" s="3">
        <v>48</v>
      </c>
      <c r="AB644" s="3">
        <v>216</v>
      </c>
      <c r="AC644" s="3">
        <v>0</v>
      </c>
      <c r="AD644" s="3">
        <v>0</v>
      </c>
      <c r="AE644" s="3">
        <v>0</v>
      </c>
      <c r="AF644" s="3">
        <v>12</v>
      </c>
      <c r="AG644" s="3">
        <v>24</v>
      </c>
      <c r="AH644" s="3">
        <v>0</v>
      </c>
      <c r="AI644" s="3">
        <v>36</v>
      </c>
      <c r="AJ644" s="3">
        <v>12</v>
      </c>
      <c r="AK644" s="3">
        <v>48</v>
      </c>
      <c r="AL644" s="3">
        <v>0</v>
      </c>
      <c r="AM644" s="3">
        <v>12</v>
      </c>
      <c r="AN644" s="3">
        <v>0</v>
      </c>
      <c r="AO644" s="3">
        <v>36</v>
      </c>
      <c r="AP644" s="3">
        <v>60</v>
      </c>
      <c r="AQ644" s="3">
        <v>132</v>
      </c>
      <c r="AR644" s="3">
        <v>48</v>
      </c>
      <c r="AS644" s="3">
        <v>24</v>
      </c>
      <c r="AT644" s="3">
        <v>0</v>
      </c>
      <c r="AU644" s="3">
        <v>0</v>
      </c>
      <c r="AV644" s="3">
        <v>0</v>
      </c>
      <c r="AW644" s="3">
        <v>0</v>
      </c>
    </row>
    <row r="645" spans="1:49">
      <c r="A645" s="4" t="s">
        <v>40</v>
      </c>
      <c r="B645" s="4" t="str">
        <f t="shared" si="10"/>
        <v>Hair Care</v>
      </c>
      <c r="C645" s="4" t="s">
        <v>1786</v>
      </c>
      <c r="D645" s="4" t="s">
        <v>575</v>
      </c>
      <c r="E645" s="24" t="s">
        <v>42</v>
      </c>
      <c r="F645" s="12" t="s">
        <v>372</v>
      </c>
      <c r="G645" s="4" t="s">
        <v>1787</v>
      </c>
      <c r="H645" s="3">
        <v>342</v>
      </c>
      <c r="I645" s="3">
        <v>183</v>
      </c>
      <c r="J645" s="3">
        <v>132</v>
      </c>
      <c r="K645" s="3">
        <v>114</v>
      </c>
      <c r="L645" s="3">
        <v>264</v>
      </c>
      <c r="M645" s="3">
        <v>129</v>
      </c>
      <c r="N645" s="3">
        <v>159</v>
      </c>
      <c r="O645" s="3">
        <v>159</v>
      </c>
      <c r="P645" s="3">
        <v>189</v>
      </c>
      <c r="Q645" s="3">
        <v>87</v>
      </c>
      <c r="R645" s="3">
        <v>114</v>
      </c>
      <c r="S645" s="3">
        <v>168</v>
      </c>
      <c r="T645" s="3">
        <v>642</v>
      </c>
      <c r="U645" s="3">
        <v>60</v>
      </c>
      <c r="V645" s="3">
        <v>393</v>
      </c>
      <c r="W645" s="3">
        <v>270</v>
      </c>
      <c r="X645" s="3">
        <v>108</v>
      </c>
      <c r="Y645" s="3">
        <v>114</v>
      </c>
      <c r="Z645" s="3">
        <v>102</v>
      </c>
      <c r="AA645" s="3">
        <v>189</v>
      </c>
      <c r="AB645" s="3">
        <v>468</v>
      </c>
      <c r="AC645" s="3">
        <v>30</v>
      </c>
      <c r="AD645" s="3">
        <v>126</v>
      </c>
      <c r="AE645" s="3">
        <v>6</v>
      </c>
      <c r="AF645" s="3">
        <v>0</v>
      </c>
      <c r="AG645" s="3">
        <v>93</v>
      </c>
      <c r="AH645" s="3">
        <v>147</v>
      </c>
      <c r="AI645" s="3">
        <v>84</v>
      </c>
      <c r="AJ645" s="3">
        <v>69</v>
      </c>
      <c r="AK645" s="3">
        <v>54</v>
      </c>
      <c r="AL645" s="3">
        <v>138</v>
      </c>
      <c r="AM645" s="3">
        <v>90</v>
      </c>
      <c r="AN645" s="3">
        <v>0</v>
      </c>
      <c r="AO645" s="3">
        <v>144</v>
      </c>
      <c r="AP645" s="3">
        <v>60</v>
      </c>
      <c r="AQ645" s="3">
        <v>30</v>
      </c>
      <c r="AR645" s="3">
        <v>252</v>
      </c>
      <c r="AS645" s="3">
        <v>186</v>
      </c>
      <c r="AT645" s="3">
        <v>0</v>
      </c>
      <c r="AU645" s="3">
        <v>54</v>
      </c>
      <c r="AV645" s="3">
        <v>228</v>
      </c>
      <c r="AW645" s="3">
        <v>144</v>
      </c>
    </row>
    <row r="646" spans="1:49">
      <c r="A646" s="4" t="s">
        <v>40</v>
      </c>
      <c r="B646" s="4" t="str">
        <f t="shared" si="10"/>
        <v>Hair Care</v>
      </c>
      <c r="C646" s="4" t="s">
        <v>1786</v>
      </c>
      <c r="D646" s="4" t="s">
        <v>575</v>
      </c>
      <c r="E646" s="24" t="s">
        <v>42</v>
      </c>
      <c r="F646" s="12" t="s">
        <v>373</v>
      </c>
      <c r="G646" s="4" t="s">
        <v>1787</v>
      </c>
      <c r="H646" s="3">
        <v>12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9</v>
      </c>
      <c r="P646" s="3">
        <v>0</v>
      </c>
      <c r="Q646" s="3">
        <v>0</v>
      </c>
      <c r="R646" s="3">
        <v>0</v>
      </c>
      <c r="S646" s="3">
        <v>120</v>
      </c>
      <c r="T646" s="3">
        <v>360</v>
      </c>
      <c r="U646" s="3">
        <v>60</v>
      </c>
      <c r="V646" s="3">
        <v>48</v>
      </c>
      <c r="W646" s="3">
        <v>156</v>
      </c>
      <c r="X646" s="3">
        <v>72</v>
      </c>
      <c r="Y646" s="3">
        <v>48</v>
      </c>
      <c r="Z646" s="3">
        <v>36</v>
      </c>
      <c r="AA646" s="3">
        <v>48</v>
      </c>
      <c r="AB646" s="3">
        <v>420</v>
      </c>
      <c r="AC646" s="3">
        <v>0</v>
      </c>
      <c r="AD646" s="3">
        <v>36</v>
      </c>
      <c r="AE646" s="3">
        <v>72</v>
      </c>
      <c r="AF646" s="3">
        <v>96</v>
      </c>
      <c r="AG646" s="3">
        <v>36</v>
      </c>
      <c r="AH646" s="3">
        <v>24</v>
      </c>
      <c r="AI646" s="3">
        <v>24</v>
      </c>
      <c r="AJ646" s="3">
        <v>60</v>
      </c>
      <c r="AK646" s="3">
        <v>36</v>
      </c>
      <c r="AL646" s="3">
        <v>60</v>
      </c>
      <c r="AM646" s="3">
        <v>12</v>
      </c>
      <c r="AN646" s="3">
        <v>24</v>
      </c>
      <c r="AO646" s="3">
        <v>48</v>
      </c>
      <c r="AP646" s="3">
        <v>96</v>
      </c>
      <c r="AQ646" s="3">
        <v>168</v>
      </c>
      <c r="AR646" s="3">
        <v>72</v>
      </c>
      <c r="AS646" s="3">
        <v>24</v>
      </c>
      <c r="AT646" s="3">
        <v>24</v>
      </c>
      <c r="AU646" s="3">
        <v>36</v>
      </c>
      <c r="AV646" s="3">
        <v>60</v>
      </c>
      <c r="AW646" s="3">
        <v>72</v>
      </c>
    </row>
    <row r="647" spans="1:49">
      <c r="A647" s="4" t="s">
        <v>40</v>
      </c>
      <c r="B647" s="4" t="str">
        <f t="shared" si="10"/>
        <v>Hair Care</v>
      </c>
      <c r="C647" s="4" t="s">
        <v>1786</v>
      </c>
      <c r="D647" s="4" t="s">
        <v>575</v>
      </c>
      <c r="E647" s="24" t="s">
        <v>42</v>
      </c>
      <c r="F647" s="12" t="s">
        <v>374</v>
      </c>
      <c r="G647" s="4" t="s">
        <v>1787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684</v>
      </c>
      <c r="AM647" s="3">
        <v>162</v>
      </c>
      <c r="AN647" s="3">
        <v>108</v>
      </c>
      <c r="AO647" s="3">
        <v>186</v>
      </c>
      <c r="AP647" s="3">
        <v>210</v>
      </c>
      <c r="AQ647" s="3">
        <v>372</v>
      </c>
      <c r="AR647" s="3">
        <v>216</v>
      </c>
      <c r="AS647" s="3">
        <v>450</v>
      </c>
      <c r="AT647" s="3">
        <v>690</v>
      </c>
      <c r="AU647" s="3">
        <v>168</v>
      </c>
      <c r="AV647" s="3">
        <v>228</v>
      </c>
      <c r="AW647" s="3">
        <v>60</v>
      </c>
    </row>
    <row r="648" spans="1:49">
      <c r="A648" s="4" t="s">
        <v>40</v>
      </c>
      <c r="B648" s="4" t="str">
        <f t="shared" si="10"/>
        <v>Hair Care</v>
      </c>
      <c r="C648" s="4" t="s">
        <v>1786</v>
      </c>
      <c r="D648" s="4" t="s">
        <v>575</v>
      </c>
      <c r="E648" s="24" t="s">
        <v>42</v>
      </c>
      <c r="F648" s="12" t="s">
        <v>375</v>
      </c>
      <c r="G648" s="4" t="s">
        <v>1787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72</v>
      </c>
      <c r="AR648" s="3">
        <v>252</v>
      </c>
      <c r="AS648" s="3">
        <v>768</v>
      </c>
      <c r="AT648" s="3">
        <v>840</v>
      </c>
      <c r="AU648" s="3">
        <v>198</v>
      </c>
      <c r="AV648" s="3">
        <v>1032</v>
      </c>
      <c r="AW648" s="3">
        <v>174</v>
      </c>
    </row>
    <row r="649" spans="1:49">
      <c r="A649" s="4" t="s">
        <v>40</v>
      </c>
      <c r="B649" s="4" t="str">
        <f t="shared" si="10"/>
        <v>Hair Care</v>
      </c>
      <c r="C649" s="4" t="s">
        <v>1786</v>
      </c>
      <c r="D649" s="4" t="s">
        <v>575</v>
      </c>
      <c r="E649" s="24" t="s">
        <v>42</v>
      </c>
      <c r="F649" s="12" t="s">
        <v>376</v>
      </c>
      <c r="G649" s="4" t="s">
        <v>1787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60</v>
      </c>
      <c r="AM649" s="3">
        <v>36</v>
      </c>
      <c r="AN649" s="3">
        <v>0</v>
      </c>
      <c r="AO649" s="3">
        <v>60</v>
      </c>
      <c r="AP649" s="3">
        <v>60</v>
      </c>
      <c r="AQ649" s="3">
        <v>12</v>
      </c>
      <c r="AR649" s="3">
        <v>60</v>
      </c>
      <c r="AS649" s="3">
        <v>24</v>
      </c>
      <c r="AT649" s="3">
        <v>60</v>
      </c>
      <c r="AU649" s="3">
        <v>12</v>
      </c>
      <c r="AV649" s="3">
        <v>72</v>
      </c>
      <c r="AW649" s="3">
        <v>72</v>
      </c>
    </row>
    <row r="650" spans="1:49">
      <c r="A650" s="4" t="s">
        <v>40</v>
      </c>
      <c r="B650" s="4" t="str">
        <f t="shared" si="10"/>
        <v>Hair Care</v>
      </c>
      <c r="C650" s="4" t="s">
        <v>1786</v>
      </c>
      <c r="D650" s="4" t="s">
        <v>575</v>
      </c>
      <c r="E650" s="24" t="s">
        <v>42</v>
      </c>
      <c r="F650" s="12" t="s">
        <v>377</v>
      </c>
      <c r="G650" s="4" t="s">
        <v>1787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108</v>
      </c>
      <c r="AI650" s="3">
        <v>24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</row>
    <row r="651" spans="1:49">
      <c r="A651" s="4" t="s">
        <v>40</v>
      </c>
      <c r="B651" s="4" t="str">
        <f t="shared" si="10"/>
        <v>Hair Care</v>
      </c>
      <c r="C651" s="4" t="s">
        <v>1786</v>
      </c>
      <c r="D651" s="4" t="s">
        <v>575</v>
      </c>
      <c r="E651" s="24" t="s">
        <v>42</v>
      </c>
      <c r="F651" s="12" t="s">
        <v>378</v>
      </c>
      <c r="G651" s="4" t="s">
        <v>1787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108</v>
      </c>
      <c r="AI651" s="3">
        <v>48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</row>
    <row r="652" spans="1:49">
      <c r="A652" s="4" t="s">
        <v>40</v>
      </c>
      <c r="B652" s="4" t="str">
        <f t="shared" si="10"/>
        <v>Hair Care</v>
      </c>
      <c r="C652" s="4" t="s">
        <v>1786</v>
      </c>
      <c r="D652" s="4" t="s">
        <v>575</v>
      </c>
      <c r="E652" s="24" t="s">
        <v>42</v>
      </c>
      <c r="F652" s="12" t="s">
        <v>379</v>
      </c>
      <c r="G652" s="4" t="s">
        <v>1787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72</v>
      </c>
      <c r="AM652" s="3">
        <v>12</v>
      </c>
      <c r="AN652" s="3">
        <v>12</v>
      </c>
      <c r="AO652" s="3">
        <v>0</v>
      </c>
      <c r="AP652" s="3">
        <v>0</v>
      </c>
      <c r="AQ652" s="3">
        <v>156</v>
      </c>
      <c r="AR652" s="3">
        <v>108</v>
      </c>
      <c r="AS652" s="3">
        <v>12</v>
      </c>
      <c r="AT652" s="3">
        <v>48</v>
      </c>
      <c r="AU652" s="3">
        <v>0</v>
      </c>
      <c r="AV652" s="3">
        <v>108</v>
      </c>
      <c r="AW652" s="3">
        <v>48</v>
      </c>
    </row>
    <row r="653" spans="1:49">
      <c r="A653" s="4" t="s">
        <v>40</v>
      </c>
      <c r="B653" s="4" t="str">
        <f t="shared" si="10"/>
        <v>Hair Care</v>
      </c>
      <c r="C653" s="4" t="s">
        <v>1786</v>
      </c>
      <c r="D653" s="4" t="s">
        <v>575</v>
      </c>
      <c r="E653" s="24" t="s">
        <v>42</v>
      </c>
      <c r="F653" s="12" t="s">
        <v>380</v>
      </c>
      <c r="G653" s="4" t="s">
        <v>1787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1848</v>
      </c>
      <c r="AN653" s="3">
        <v>456</v>
      </c>
      <c r="AO653" s="3">
        <v>480</v>
      </c>
      <c r="AP653" s="3">
        <v>480</v>
      </c>
      <c r="AQ653" s="3">
        <v>756</v>
      </c>
      <c r="AR653" s="3">
        <v>312</v>
      </c>
      <c r="AS653" s="3">
        <v>420</v>
      </c>
      <c r="AT653" s="3">
        <v>1578</v>
      </c>
      <c r="AU653" s="3">
        <v>1188</v>
      </c>
      <c r="AV653" s="3">
        <v>762</v>
      </c>
      <c r="AW653" s="3">
        <v>924</v>
      </c>
    </row>
    <row r="654" spans="1:49">
      <c r="A654" s="4" t="s">
        <v>40</v>
      </c>
      <c r="B654" s="4" t="str">
        <f t="shared" si="10"/>
        <v>Hair Care</v>
      </c>
      <c r="C654" s="4" t="s">
        <v>1786</v>
      </c>
      <c r="D654" s="4" t="s">
        <v>575</v>
      </c>
      <c r="E654" s="24" t="s">
        <v>42</v>
      </c>
      <c r="F654" s="12" t="s">
        <v>381</v>
      </c>
      <c r="G654" s="4" t="s">
        <v>1787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1764</v>
      </c>
      <c r="AN654" s="3">
        <v>396</v>
      </c>
      <c r="AO654" s="3">
        <v>504</v>
      </c>
      <c r="AP654" s="3">
        <v>738</v>
      </c>
      <c r="AQ654" s="3">
        <v>912</v>
      </c>
      <c r="AR654" s="3">
        <v>324</v>
      </c>
      <c r="AS654" s="3">
        <v>516</v>
      </c>
      <c r="AT654" s="3">
        <v>996</v>
      </c>
      <c r="AU654" s="3">
        <v>1734</v>
      </c>
      <c r="AV654" s="3">
        <v>0</v>
      </c>
      <c r="AW654" s="3">
        <v>288</v>
      </c>
    </row>
    <row r="655" spans="1:49">
      <c r="A655" s="4" t="s">
        <v>40</v>
      </c>
      <c r="B655" s="4" t="str">
        <f t="shared" si="10"/>
        <v>Hair Care</v>
      </c>
      <c r="C655" s="4" t="s">
        <v>1786</v>
      </c>
      <c r="D655" s="4" t="s">
        <v>575</v>
      </c>
      <c r="E655" s="24" t="s">
        <v>42</v>
      </c>
      <c r="F655" s="12" t="s">
        <v>382</v>
      </c>
      <c r="G655" s="4" t="s">
        <v>1787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1296</v>
      </c>
      <c r="AN655" s="3">
        <v>108</v>
      </c>
      <c r="AO655" s="3">
        <v>276</v>
      </c>
      <c r="AP655" s="3">
        <v>0</v>
      </c>
      <c r="AQ655" s="3">
        <v>348</v>
      </c>
      <c r="AR655" s="3">
        <v>240</v>
      </c>
      <c r="AS655" s="3">
        <v>192</v>
      </c>
      <c r="AT655" s="3">
        <v>168</v>
      </c>
      <c r="AU655" s="3">
        <v>384</v>
      </c>
      <c r="AV655" s="3">
        <v>96</v>
      </c>
      <c r="AW655" s="3">
        <v>120</v>
      </c>
    </row>
    <row r="656" spans="1:49">
      <c r="A656" s="4" t="s">
        <v>40</v>
      </c>
      <c r="B656" s="4" t="str">
        <f t="shared" si="10"/>
        <v>Hair Care</v>
      </c>
      <c r="C656" s="4" t="s">
        <v>1786</v>
      </c>
      <c r="D656" s="4" t="s">
        <v>575</v>
      </c>
      <c r="E656" s="24" t="s">
        <v>42</v>
      </c>
      <c r="F656" s="12" t="s">
        <v>383</v>
      </c>
      <c r="G656" s="4" t="s">
        <v>1787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1260</v>
      </c>
      <c r="AN656" s="3">
        <v>312</v>
      </c>
      <c r="AO656" s="3">
        <v>252</v>
      </c>
      <c r="AP656" s="3">
        <v>690</v>
      </c>
      <c r="AQ656" s="3">
        <v>828</v>
      </c>
      <c r="AR656" s="3">
        <v>84</v>
      </c>
      <c r="AS656" s="3">
        <v>600</v>
      </c>
      <c r="AT656" s="3">
        <v>1068</v>
      </c>
      <c r="AU656" s="3">
        <v>1158</v>
      </c>
      <c r="AV656" s="3">
        <v>336</v>
      </c>
      <c r="AW656" s="3">
        <v>648</v>
      </c>
    </row>
    <row r="657" spans="1:49">
      <c r="A657" s="4" t="s">
        <v>40</v>
      </c>
      <c r="B657" s="4" t="str">
        <f t="shared" si="10"/>
        <v>Hair Care</v>
      </c>
      <c r="C657" s="4" t="s">
        <v>1786</v>
      </c>
      <c r="D657" s="4" t="s">
        <v>575</v>
      </c>
      <c r="E657" s="24" t="s">
        <v>42</v>
      </c>
      <c r="F657" s="12" t="s">
        <v>384</v>
      </c>
      <c r="G657" s="4" t="s">
        <v>1787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636</v>
      </c>
      <c r="AT657" s="3">
        <v>312</v>
      </c>
      <c r="AU657" s="3">
        <v>72</v>
      </c>
      <c r="AV657" s="3">
        <v>132</v>
      </c>
      <c r="AW657" s="3">
        <v>108</v>
      </c>
    </row>
    <row r="658" spans="1:49">
      <c r="A658" s="4" t="s">
        <v>40</v>
      </c>
      <c r="B658" s="4" t="str">
        <f t="shared" si="10"/>
        <v>Hair Care</v>
      </c>
      <c r="C658" s="4" t="s">
        <v>1786</v>
      </c>
      <c r="D658" s="4" t="s">
        <v>575</v>
      </c>
      <c r="E658" s="24" t="s">
        <v>42</v>
      </c>
      <c r="F658" s="12" t="s">
        <v>385</v>
      </c>
      <c r="G658" s="4" t="s">
        <v>1787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588</v>
      </c>
      <c r="AT658" s="3">
        <v>1206</v>
      </c>
      <c r="AU658" s="3">
        <v>192</v>
      </c>
      <c r="AV658" s="3">
        <v>786</v>
      </c>
      <c r="AW658" s="3">
        <v>636</v>
      </c>
    </row>
    <row r="659" spans="1:49">
      <c r="A659" s="4" t="s">
        <v>40</v>
      </c>
      <c r="B659" s="4" t="str">
        <f t="shared" si="10"/>
        <v>Hair Care</v>
      </c>
      <c r="C659" s="4" t="s">
        <v>1786</v>
      </c>
      <c r="D659" s="4" t="s">
        <v>575</v>
      </c>
      <c r="E659" s="24" t="s">
        <v>42</v>
      </c>
      <c r="F659" s="12" t="s">
        <v>386</v>
      </c>
      <c r="G659" s="4" t="s">
        <v>1787</v>
      </c>
      <c r="H659" s="3">
        <v>360</v>
      </c>
      <c r="I659" s="3">
        <v>24</v>
      </c>
      <c r="J659" s="3">
        <v>-24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</row>
    <row r="660" spans="1:49">
      <c r="A660" s="4" t="s">
        <v>40</v>
      </c>
      <c r="B660" s="4" t="str">
        <f t="shared" si="10"/>
        <v>Hair Care</v>
      </c>
      <c r="C660" s="4" t="s">
        <v>1786</v>
      </c>
      <c r="D660" s="4" t="s">
        <v>575</v>
      </c>
      <c r="E660" s="24" t="s">
        <v>387</v>
      </c>
      <c r="F660" s="12" t="s">
        <v>389</v>
      </c>
      <c r="G660" s="4" t="s">
        <v>1787</v>
      </c>
      <c r="H660" s="3">
        <v>267</v>
      </c>
      <c r="I660" s="3">
        <v>177</v>
      </c>
      <c r="J660" s="3">
        <v>192</v>
      </c>
      <c r="K660" s="3">
        <v>123</v>
      </c>
      <c r="L660" s="3">
        <v>138</v>
      </c>
      <c r="M660" s="3">
        <v>96</v>
      </c>
      <c r="N660" s="3">
        <v>138</v>
      </c>
      <c r="O660" s="3">
        <v>156</v>
      </c>
      <c r="P660" s="3">
        <v>153</v>
      </c>
      <c r="Q660" s="3">
        <v>60</v>
      </c>
      <c r="R660" s="3">
        <v>111</v>
      </c>
      <c r="S660" s="3">
        <v>165</v>
      </c>
      <c r="T660" s="3">
        <v>231</v>
      </c>
      <c r="U660" s="3">
        <v>249</v>
      </c>
      <c r="V660" s="3">
        <v>144</v>
      </c>
      <c r="W660" s="3">
        <v>546</v>
      </c>
      <c r="X660" s="3">
        <v>90</v>
      </c>
      <c r="Y660" s="3">
        <v>144</v>
      </c>
      <c r="Z660" s="3">
        <v>109</v>
      </c>
      <c r="AA660" s="3">
        <v>126</v>
      </c>
      <c r="AB660" s="3">
        <v>192</v>
      </c>
      <c r="AC660" s="3">
        <v>24</v>
      </c>
      <c r="AD660" s="3">
        <v>72</v>
      </c>
      <c r="AE660" s="3">
        <v>120</v>
      </c>
      <c r="AF660" s="3">
        <v>198</v>
      </c>
      <c r="AG660" s="3">
        <v>138</v>
      </c>
      <c r="AH660" s="3">
        <v>90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27</v>
      </c>
      <c r="AP660" s="3">
        <v>27</v>
      </c>
      <c r="AQ660" s="3">
        <v>129</v>
      </c>
      <c r="AR660" s="3">
        <v>57</v>
      </c>
      <c r="AS660" s="3">
        <v>42</v>
      </c>
      <c r="AT660" s="3">
        <v>42</v>
      </c>
      <c r="AU660" s="3">
        <v>0</v>
      </c>
      <c r="AV660" s="3">
        <v>0</v>
      </c>
      <c r="AW660" s="3">
        <v>0</v>
      </c>
    </row>
    <row r="661" spans="1:49">
      <c r="A661" s="4" t="s">
        <v>40</v>
      </c>
      <c r="B661" s="4" t="str">
        <f t="shared" si="10"/>
        <v>Hair Care</v>
      </c>
      <c r="C661" s="4" t="s">
        <v>1786</v>
      </c>
      <c r="D661" s="4" t="s">
        <v>575</v>
      </c>
      <c r="E661" s="24" t="s">
        <v>387</v>
      </c>
      <c r="F661" s="12" t="s">
        <v>390</v>
      </c>
      <c r="G661" s="4" t="s">
        <v>1787</v>
      </c>
      <c r="H661" s="3">
        <v>267</v>
      </c>
      <c r="I661" s="3">
        <v>138</v>
      </c>
      <c r="J661" s="3">
        <v>201</v>
      </c>
      <c r="K661" s="3">
        <v>108</v>
      </c>
      <c r="L661" s="3">
        <v>135</v>
      </c>
      <c r="M661" s="3">
        <v>126</v>
      </c>
      <c r="N661" s="3">
        <v>114</v>
      </c>
      <c r="O661" s="3">
        <v>84</v>
      </c>
      <c r="P661" s="3">
        <v>156</v>
      </c>
      <c r="Q661" s="3">
        <v>84</v>
      </c>
      <c r="R661" s="3">
        <v>180</v>
      </c>
      <c r="S661" s="3">
        <v>180</v>
      </c>
      <c r="T661" s="3">
        <v>162</v>
      </c>
      <c r="U661" s="3">
        <v>201</v>
      </c>
      <c r="V661" s="3">
        <v>111</v>
      </c>
      <c r="W661" s="3">
        <v>543</v>
      </c>
      <c r="X661" s="3">
        <v>78</v>
      </c>
      <c r="Y661" s="3">
        <v>156</v>
      </c>
      <c r="Z661" s="3">
        <v>120</v>
      </c>
      <c r="AA661" s="3">
        <v>123</v>
      </c>
      <c r="AB661" s="3">
        <v>306</v>
      </c>
      <c r="AC661" s="3">
        <v>42</v>
      </c>
      <c r="AD661" s="3">
        <v>102</v>
      </c>
      <c r="AE661" s="3">
        <v>120</v>
      </c>
      <c r="AF661" s="3">
        <v>228</v>
      </c>
      <c r="AG661" s="3">
        <v>102</v>
      </c>
      <c r="AH661" s="3">
        <v>0</v>
      </c>
      <c r="AI661" s="3">
        <v>234</v>
      </c>
      <c r="AJ661" s="3">
        <v>126</v>
      </c>
      <c r="AK661" s="3">
        <v>147</v>
      </c>
      <c r="AL661" s="3">
        <v>69</v>
      </c>
      <c r="AM661" s="3">
        <v>18</v>
      </c>
      <c r="AN661" s="3">
        <v>12</v>
      </c>
      <c r="AO661" s="3">
        <v>27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114</v>
      </c>
      <c r="AV661" s="3">
        <v>3</v>
      </c>
      <c r="AW661" s="3">
        <v>0</v>
      </c>
    </row>
    <row r="662" spans="1:49">
      <c r="A662" s="4" t="s">
        <v>40</v>
      </c>
      <c r="B662" s="4" t="str">
        <f t="shared" si="10"/>
        <v>Hair Care</v>
      </c>
      <c r="C662" s="4" t="s">
        <v>1786</v>
      </c>
      <c r="D662" s="4" t="s">
        <v>575</v>
      </c>
      <c r="E662" s="24" t="s">
        <v>387</v>
      </c>
      <c r="F662" s="12" t="s">
        <v>391</v>
      </c>
      <c r="G662" s="4" t="s">
        <v>1787</v>
      </c>
      <c r="H662" s="3">
        <v>312</v>
      </c>
      <c r="I662" s="3">
        <v>372</v>
      </c>
      <c r="J662" s="3">
        <v>174</v>
      </c>
      <c r="K662" s="3">
        <v>132</v>
      </c>
      <c r="L662" s="3">
        <v>48</v>
      </c>
      <c r="M662" s="3">
        <v>84</v>
      </c>
      <c r="N662" s="3">
        <v>45</v>
      </c>
      <c r="O662" s="3">
        <v>72</v>
      </c>
      <c r="P662" s="3">
        <v>72</v>
      </c>
      <c r="Q662" s="3">
        <v>30</v>
      </c>
      <c r="R662" s="3">
        <v>120</v>
      </c>
      <c r="S662" s="3">
        <v>72</v>
      </c>
      <c r="T662" s="3">
        <v>138</v>
      </c>
      <c r="U662" s="3">
        <v>69</v>
      </c>
      <c r="V662" s="3">
        <v>87</v>
      </c>
      <c r="W662" s="3">
        <v>384</v>
      </c>
      <c r="X662" s="3">
        <v>42</v>
      </c>
      <c r="Y662" s="3">
        <v>132</v>
      </c>
      <c r="Z662" s="3">
        <v>24</v>
      </c>
      <c r="AA662" s="3">
        <v>240</v>
      </c>
      <c r="AB662" s="3">
        <v>129</v>
      </c>
      <c r="AC662" s="3">
        <v>0</v>
      </c>
      <c r="AD662" s="3">
        <v>60</v>
      </c>
      <c r="AE662" s="3">
        <v>48</v>
      </c>
      <c r="AF662" s="3">
        <v>42</v>
      </c>
      <c r="AG662" s="3">
        <v>84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</row>
    <row r="663" spans="1:49">
      <c r="A663" s="4" t="s">
        <v>40</v>
      </c>
      <c r="B663" s="4" t="str">
        <f t="shared" si="10"/>
        <v>Hair Care</v>
      </c>
      <c r="C663" s="4" t="s">
        <v>1786</v>
      </c>
      <c r="D663" s="4" t="s">
        <v>575</v>
      </c>
      <c r="E663" s="24" t="s">
        <v>392</v>
      </c>
      <c r="F663" s="12" t="s">
        <v>393</v>
      </c>
      <c r="G663" s="4" t="s">
        <v>1787</v>
      </c>
      <c r="H663" s="3">
        <v>825</v>
      </c>
      <c r="I663" s="3">
        <v>891</v>
      </c>
      <c r="J663" s="3">
        <v>459</v>
      </c>
      <c r="K663" s="3">
        <v>987</v>
      </c>
      <c r="L663" s="3">
        <v>12</v>
      </c>
      <c r="M663" s="3">
        <v>1</v>
      </c>
      <c r="N663" s="3">
        <v>0</v>
      </c>
      <c r="O663" s="3">
        <v>966</v>
      </c>
      <c r="P663" s="3">
        <v>1263</v>
      </c>
      <c r="Q663" s="3">
        <v>123</v>
      </c>
      <c r="R663" s="3">
        <v>1368</v>
      </c>
      <c r="S663" s="3">
        <v>784</v>
      </c>
      <c r="T663" s="3">
        <v>0</v>
      </c>
      <c r="U663" s="3">
        <v>534</v>
      </c>
      <c r="V663" s="3">
        <v>1698</v>
      </c>
      <c r="W663" s="3">
        <v>579</v>
      </c>
      <c r="X663" s="3">
        <v>579</v>
      </c>
      <c r="Y663" s="3">
        <v>582</v>
      </c>
      <c r="Z663" s="3">
        <v>398</v>
      </c>
      <c r="AA663" s="3">
        <v>702</v>
      </c>
      <c r="AB663" s="3">
        <v>1422</v>
      </c>
      <c r="AC663" s="3">
        <v>174</v>
      </c>
      <c r="AD663" s="3">
        <v>402</v>
      </c>
      <c r="AE663" s="3">
        <v>681</v>
      </c>
      <c r="AF663" s="3">
        <v>945</v>
      </c>
      <c r="AG663" s="3">
        <v>828</v>
      </c>
      <c r="AH663" s="3">
        <v>486</v>
      </c>
      <c r="AI663" s="3">
        <v>0</v>
      </c>
      <c r="AJ663" s="3">
        <v>0</v>
      </c>
      <c r="AK663" s="3">
        <v>813</v>
      </c>
      <c r="AL663" s="3">
        <v>921</v>
      </c>
      <c r="AM663" s="3">
        <v>408</v>
      </c>
      <c r="AN663" s="3">
        <v>0</v>
      </c>
      <c r="AO663" s="3">
        <v>0</v>
      </c>
      <c r="AP663" s="3">
        <v>1629</v>
      </c>
      <c r="AQ663" s="3">
        <v>783</v>
      </c>
      <c r="AR663" s="3">
        <v>849</v>
      </c>
      <c r="AS663" s="3">
        <v>549</v>
      </c>
      <c r="AT663" s="3">
        <v>936</v>
      </c>
      <c r="AU663" s="3">
        <v>600</v>
      </c>
      <c r="AV663" s="3">
        <v>528</v>
      </c>
      <c r="AW663" s="3">
        <v>504</v>
      </c>
    </row>
    <row r="664" spans="1:49">
      <c r="A664" s="4" t="s">
        <v>40</v>
      </c>
      <c r="B664" s="4" t="str">
        <f t="shared" si="10"/>
        <v>Hair Care</v>
      </c>
      <c r="C664" s="4" t="s">
        <v>1786</v>
      </c>
      <c r="D664" s="4" t="s">
        <v>575</v>
      </c>
      <c r="E664" s="24" t="s">
        <v>392</v>
      </c>
      <c r="F664" s="12" t="s">
        <v>394</v>
      </c>
      <c r="G664" s="4" t="s">
        <v>1787</v>
      </c>
      <c r="H664" s="3">
        <v>98</v>
      </c>
      <c r="I664" s="3">
        <v>0</v>
      </c>
      <c r="J664" s="3">
        <v>195</v>
      </c>
      <c r="K664" s="3">
        <v>589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582</v>
      </c>
      <c r="S664" s="3">
        <v>18</v>
      </c>
      <c r="T664" s="3">
        <v>0</v>
      </c>
      <c r="U664" s="3">
        <v>510</v>
      </c>
      <c r="V664" s="3">
        <v>459</v>
      </c>
      <c r="W664" s="3">
        <v>315</v>
      </c>
      <c r="X664" s="3">
        <v>228</v>
      </c>
      <c r="Y664" s="3">
        <v>264</v>
      </c>
      <c r="Z664" s="3">
        <v>246</v>
      </c>
      <c r="AA664" s="3">
        <v>168</v>
      </c>
      <c r="AB664" s="3">
        <v>831</v>
      </c>
      <c r="AC664" s="3">
        <v>162</v>
      </c>
      <c r="AD664" s="3">
        <v>192</v>
      </c>
      <c r="AE664" s="3">
        <v>105</v>
      </c>
      <c r="AF664" s="3">
        <v>0</v>
      </c>
      <c r="AG664" s="3">
        <v>0</v>
      </c>
      <c r="AH664" s="3">
        <v>573</v>
      </c>
      <c r="AI664" s="3">
        <v>336</v>
      </c>
      <c r="AJ664" s="3">
        <v>447</v>
      </c>
      <c r="AK664" s="3">
        <v>288</v>
      </c>
      <c r="AL664" s="3">
        <v>312</v>
      </c>
      <c r="AM664" s="3">
        <v>213</v>
      </c>
      <c r="AN664" s="3">
        <v>294</v>
      </c>
      <c r="AO664" s="3">
        <v>387</v>
      </c>
      <c r="AP664" s="3">
        <v>342</v>
      </c>
      <c r="AQ664" s="3">
        <v>426</v>
      </c>
      <c r="AR664" s="3">
        <v>381</v>
      </c>
      <c r="AS664" s="3">
        <v>453</v>
      </c>
      <c r="AT664" s="3">
        <v>387</v>
      </c>
      <c r="AU664" s="3">
        <v>291</v>
      </c>
      <c r="AV664" s="3">
        <v>213</v>
      </c>
      <c r="AW664" s="3">
        <v>261</v>
      </c>
    </row>
    <row r="665" spans="1:49">
      <c r="A665" s="4" t="s">
        <v>40</v>
      </c>
      <c r="B665" s="4" t="str">
        <f t="shared" si="10"/>
        <v>Hair Care</v>
      </c>
      <c r="C665" s="4" t="s">
        <v>1786</v>
      </c>
      <c r="D665" s="4" t="s">
        <v>575</v>
      </c>
      <c r="E665" s="24" t="s">
        <v>392</v>
      </c>
      <c r="F665" s="12" t="s">
        <v>395</v>
      </c>
      <c r="G665" s="4" t="s">
        <v>1787</v>
      </c>
      <c r="H665" s="3">
        <v>555</v>
      </c>
      <c r="I665" s="3">
        <v>27</v>
      </c>
      <c r="J665" s="3">
        <v>645</v>
      </c>
      <c r="K665" s="3">
        <v>459</v>
      </c>
      <c r="L665" s="3">
        <v>255</v>
      </c>
      <c r="M665" s="3">
        <v>465</v>
      </c>
      <c r="N665" s="3">
        <v>285</v>
      </c>
      <c r="O665" s="3">
        <v>60</v>
      </c>
      <c r="P665" s="3">
        <v>471</v>
      </c>
      <c r="Q665" s="3">
        <v>120</v>
      </c>
      <c r="R665" s="3">
        <v>579</v>
      </c>
      <c r="S665" s="3">
        <v>447</v>
      </c>
      <c r="T665" s="3">
        <v>126</v>
      </c>
      <c r="U665" s="3">
        <v>528</v>
      </c>
      <c r="V665" s="3">
        <v>252</v>
      </c>
      <c r="W665" s="3">
        <v>0</v>
      </c>
      <c r="X665" s="3">
        <v>0</v>
      </c>
      <c r="Y665" s="3">
        <v>291</v>
      </c>
      <c r="Z665" s="3">
        <v>498</v>
      </c>
      <c r="AA665" s="3">
        <v>579</v>
      </c>
      <c r="AB665" s="3">
        <v>1095</v>
      </c>
      <c r="AC665" s="3">
        <v>87</v>
      </c>
      <c r="AD665" s="3">
        <v>186</v>
      </c>
      <c r="AE665" s="3">
        <v>306</v>
      </c>
      <c r="AF665" s="3">
        <v>334</v>
      </c>
      <c r="AG665" s="3">
        <v>0</v>
      </c>
      <c r="AH665" s="3">
        <v>0</v>
      </c>
      <c r="AI665" s="3">
        <v>0</v>
      </c>
      <c r="AJ665" s="3">
        <v>711</v>
      </c>
      <c r="AK665" s="3">
        <v>354</v>
      </c>
      <c r="AL665" s="3">
        <v>462</v>
      </c>
      <c r="AM665" s="3">
        <v>153</v>
      </c>
      <c r="AN665" s="3">
        <v>48</v>
      </c>
      <c r="AO665" s="3">
        <v>465</v>
      </c>
      <c r="AP665" s="3">
        <v>186</v>
      </c>
      <c r="AQ665" s="3">
        <v>156</v>
      </c>
      <c r="AR665" s="3">
        <v>0</v>
      </c>
      <c r="AS665" s="3">
        <v>264</v>
      </c>
      <c r="AT665" s="3">
        <v>0</v>
      </c>
      <c r="AU665" s="3">
        <v>492</v>
      </c>
      <c r="AV665" s="3">
        <v>126</v>
      </c>
      <c r="AW665" s="3">
        <v>105</v>
      </c>
    </row>
    <row r="666" spans="1:49">
      <c r="A666" s="4" t="s">
        <v>40</v>
      </c>
      <c r="B666" s="4" t="str">
        <f t="shared" si="10"/>
        <v>Hair Care</v>
      </c>
      <c r="C666" s="4" t="s">
        <v>1786</v>
      </c>
      <c r="D666" s="4" t="s">
        <v>575</v>
      </c>
      <c r="E666" s="24" t="s">
        <v>392</v>
      </c>
      <c r="F666" s="12" t="s">
        <v>396</v>
      </c>
      <c r="G666" s="4" t="s">
        <v>1787</v>
      </c>
      <c r="H666" s="3">
        <v>687</v>
      </c>
      <c r="I666" s="3">
        <v>0</v>
      </c>
      <c r="J666" s="3">
        <v>972</v>
      </c>
      <c r="K666" s="3">
        <v>462</v>
      </c>
      <c r="L666" s="3">
        <v>399</v>
      </c>
      <c r="M666" s="3">
        <v>369</v>
      </c>
      <c r="N666" s="3">
        <v>573</v>
      </c>
      <c r="O666" s="3">
        <v>417</v>
      </c>
      <c r="P666" s="3">
        <v>825</v>
      </c>
      <c r="Q666" s="3">
        <v>573</v>
      </c>
      <c r="R666" s="3">
        <v>732</v>
      </c>
      <c r="S666" s="3">
        <v>777</v>
      </c>
      <c r="T666" s="3">
        <v>1059</v>
      </c>
      <c r="U666" s="3">
        <v>663</v>
      </c>
      <c r="V666" s="3">
        <v>807</v>
      </c>
      <c r="W666" s="3">
        <v>948</v>
      </c>
      <c r="X666" s="3">
        <v>615</v>
      </c>
      <c r="Y666" s="3">
        <v>585</v>
      </c>
      <c r="Z666" s="3">
        <v>462</v>
      </c>
      <c r="AA666" s="3">
        <v>483</v>
      </c>
      <c r="AB666" s="3">
        <v>1572</v>
      </c>
      <c r="AC666" s="3">
        <v>273</v>
      </c>
      <c r="AD666" s="3">
        <v>615</v>
      </c>
      <c r="AE666" s="3">
        <v>480</v>
      </c>
      <c r="AF666" s="3">
        <v>1072</v>
      </c>
      <c r="AG666" s="3">
        <v>48</v>
      </c>
      <c r="AH666" s="3">
        <v>0</v>
      </c>
      <c r="AI666" s="3">
        <v>1218</v>
      </c>
      <c r="AJ666" s="3">
        <v>609</v>
      </c>
      <c r="AK666" s="3">
        <v>639</v>
      </c>
      <c r="AL666" s="3">
        <v>300</v>
      </c>
      <c r="AM666" s="3">
        <v>84</v>
      </c>
      <c r="AN666" s="3">
        <v>0</v>
      </c>
      <c r="AO666" s="3">
        <v>1181</v>
      </c>
      <c r="AP666" s="3">
        <v>324</v>
      </c>
      <c r="AQ666" s="3">
        <v>803</v>
      </c>
      <c r="AR666" s="3">
        <v>942</v>
      </c>
      <c r="AS666" s="3">
        <v>30</v>
      </c>
      <c r="AT666" s="3">
        <v>849</v>
      </c>
      <c r="AU666" s="3">
        <v>477</v>
      </c>
      <c r="AV666" s="3">
        <v>771</v>
      </c>
      <c r="AW666" s="3">
        <v>564</v>
      </c>
    </row>
    <row r="667" spans="1:49">
      <c r="A667" s="4" t="s">
        <v>35</v>
      </c>
      <c r="B667" s="4" t="str">
        <f t="shared" si="10"/>
        <v>Hair Color</v>
      </c>
      <c r="C667" s="4" t="s">
        <v>1786</v>
      </c>
      <c r="D667" s="4" t="s">
        <v>575</v>
      </c>
      <c r="E667" s="24" t="s">
        <v>44</v>
      </c>
      <c r="F667" s="12" t="s">
        <v>397</v>
      </c>
      <c r="G667" s="4" t="s">
        <v>1787</v>
      </c>
      <c r="H667" s="3">
        <v>168</v>
      </c>
      <c r="I667" s="3">
        <v>300</v>
      </c>
      <c r="J667" s="3">
        <v>108</v>
      </c>
      <c r="K667" s="3">
        <v>285</v>
      </c>
      <c r="L667" s="3">
        <v>105</v>
      </c>
      <c r="M667" s="3">
        <v>234</v>
      </c>
      <c r="N667" s="3">
        <v>153</v>
      </c>
      <c r="O667" s="3">
        <v>240</v>
      </c>
      <c r="P667" s="3">
        <v>189</v>
      </c>
      <c r="Q667" s="3">
        <v>162</v>
      </c>
      <c r="R667" s="3">
        <v>255</v>
      </c>
      <c r="S667" s="3">
        <v>171</v>
      </c>
      <c r="T667" s="3">
        <v>168</v>
      </c>
      <c r="U667" s="3">
        <v>93</v>
      </c>
      <c r="V667" s="3">
        <v>219</v>
      </c>
      <c r="W667" s="3">
        <v>102</v>
      </c>
      <c r="X667" s="3">
        <v>198</v>
      </c>
      <c r="Y667" s="3">
        <v>129</v>
      </c>
      <c r="Z667" s="3">
        <v>219</v>
      </c>
      <c r="AA667" s="3">
        <v>153</v>
      </c>
      <c r="AB667" s="3">
        <v>159</v>
      </c>
      <c r="AC667" s="3">
        <v>72</v>
      </c>
      <c r="AD667" s="3">
        <v>99</v>
      </c>
      <c r="AE667" s="3">
        <v>105</v>
      </c>
      <c r="AF667" s="3">
        <v>141</v>
      </c>
      <c r="AG667" s="3">
        <v>183</v>
      </c>
      <c r="AH667" s="3">
        <v>105</v>
      </c>
      <c r="AI667" s="3">
        <v>86</v>
      </c>
      <c r="AJ667" s="3">
        <v>86</v>
      </c>
      <c r="AK667" s="3">
        <v>114</v>
      </c>
      <c r="AL667" s="3">
        <v>144</v>
      </c>
      <c r="AM667" s="3">
        <v>120</v>
      </c>
      <c r="AN667" s="3">
        <v>108</v>
      </c>
      <c r="AO667" s="3">
        <v>126</v>
      </c>
      <c r="AP667" s="3">
        <v>180</v>
      </c>
      <c r="AQ667" s="3">
        <v>321</v>
      </c>
      <c r="AR667" s="3">
        <v>60</v>
      </c>
      <c r="AS667" s="3">
        <v>60</v>
      </c>
      <c r="AT667" s="3">
        <v>75</v>
      </c>
      <c r="AU667" s="3">
        <v>102</v>
      </c>
      <c r="AV667" s="3">
        <v>195</v>
      </c>
      <c r="AW667" s="3">
        <v>96</v>
      </c>
    </row>
    <row r="668" spans="1:49">
      <c r="A668" s="4" t="s">
        <v>35</v>
      </c>
      <c r="B668" s="4" t="str">
        <f t="shared" si="10"/>
        <v>Hair Color</v>
      </c>
      <c r="C668" s="4" t="s">
        <v>1786</v>
      </c>
      <c r="D668" s="4" t="s">
        <v>575</v>
      </c>
      <c r="E668" s="24" t="s">
        <v>44</v>
      </c>
      <c r="F668" s="12" t="s">
        <v>398</v>
      </c>
      <c r="G668" s="4" t="s">
        <v>1787</v>
      </c>
      <c r="H668" s="3">
        <v>60</v>
      </c>
      <c r="I668" s="3">
        <v>189</v>
      </c>
      <c r="J668" s="3">
        <v>63</v>
      </c>
      <c r="K668" s="3">
        <v>171</v>
      </c>
      <c r="L668" s="3">
        <v>19</v>
      </c>
      <c r="M668" s="3">
        <v>105</v>
      </c>
      <c r="N668" s="3">
        <v>123</v>
      </c>
      <c r="O668" s="3">
        <v>102</v>
      </c>
      <c r="P668" s="3">
        <v>141</v>
      </c>
      <c r="Q668" s="3">
        <v>57</v>
      </c>
      <c r="R668" s="3">
        <v>252</v>
      </c>
      <c r="S668" s="3">
        <v>114</v>
      </c>
      <c r="T668" s="3">
        <v>66</v>
      </c>
      <c r="U668" s="3">
        <v>54</v>
      </c>
      <c r="V668" s="3">
        <v>69</v>
      </c>
      <c r="W668" s="3">
        <v>51</v>
      </c>
      <c r="X668" s="3">
        <v>48</v>
      </c>
      <c r="Y668" s="3">
        <v>123</v>
      </c>
      <c r="Z668" s="3">
        <v>60</v>
      </c>
      <c r="AA668" s="3">
        <v>75</v>
      </c>
      <c r="AB668" s="3">
        <v>117</v>
      </c>
      <c r="AC668" s="3">
        <v>30</v>
      </c>
      <c r="AD668" s="3">
        <v>120</v>
      </c>
      <c r="AE668" s="3">
        <v>162</v>
      </c>
      <c r="AF668" s="3">
        <v>111</v>
      </c>
      <c r="AG668" s="3">
        <v>90</v>
      </c>
      <c r="AH668" s="3">
        <v>3</v>
      </c>
      <c r="AI668" s="3">
        <v>138</v>
      </c>
      <c r="AJ668" s="3">
        <v>18</v>
      </c>
      <c r="AK668" s="3">
        <v>123</v>
      </c>
      <c r="AL668" s="3">
        <v>87</v>
      </c>
      <c r="AM668" s="3">
        <v>21</v>
      </c>
      <c r="AN668" s="3">
        <v>261</v>
      </c>
      <c r="AO668" s="3">
        <v>129</v>
      </c>
      <c r="AP668" s="3">
        <v>159</v>
      </c>
      <c r="AQ668" s="3">
        <v>9</v>
      </c>
      <c r="AR668" s="3">
        <v>195</v>
      </c>
      <c r="AS668" s="3">
        <v>105</v>
      </c>
      <c r="AT668" s="3">
        <v>72</v>
      </c>
      <c r="AU668" s="3">
        <v>120</v>
      </c>
      <c r="AV668" s="3">
        <v>126</v>
      </c>
      <c r="AW668" s="3">
        <v>63</v>
      </c>
    </row>
    <row r="669" spans="1:49">
      <c r="A669" s="4" t="s">
        <v>35</v>
      </c>
      <c r="B669" s="4" t="str">
        <f t="shared" si="10"/>
        <v>Hair Color</v>
      </c>
      <c r="C669" s="4" t="s">
        <v>1786</v>
      </c>
      <c r="D669" s="4" t="s">
        <v>575</v>
      </c>
      <c r="E669" s="24" t="s">
        <v>44</v>
      </c>
      <c r="F669" s="12" t="s">
        <v>399</v>
      </c>
      <c r="G669" s="4" t="s">
        <v>1787</v>
      </c>
      <c r="H669" s="3">
        <v>192</v>
      </c>
      <c r="I669" s="3">
        <v>558</v>
      </c>
      <c r="J669" s="3">
        <v>216</v>
      </c>
      <c r="K669" s="3">
        <v>0</v>
      </c>
      <c r="L669" s="3">
        <v>435</v>
      </c>
      <c r="M669" s="3">
        <v>462</v>
      </c>
      <c r="N669" s="3">
        <v>279</v>
      </c>
      <c r="O669" s="3">
        <v>435</v>
      </c>
      <c r="P669" s="3">
        <v>354</v>
      </c>
      <c r="Q669" s="3">
        <v>255</v>
      </c>
      <c r="R669" s="3">
        <v>375</v>
      </c>
      <c r="S669" s="3">
        <v>369</v>
      </c>
      <c r="T669" s="3">
        <v>294</v>
      </c>
      <c r="U669" s="3">
        <v>219</v>
      </c>
      <c r="V669" s="3">
        <v>318</v>
      </c>
      <c r="W669" s="3">
        <v>186</v>
      </c>
      <c r="X669" s="3">
        <v>477</v>
      </c>
      <c r="Y669" s="3">
        <v>423</v>
      </c>
      <c r="Z669" s="3">
        <v>222</v>
      </c>
      <c r="AA669" s="3">
        <v>363</v>
      </c>
      <c r="AB669" s="3">
        <v>60</v>
      </c>
      <c r="AC669" s="3">
        <v>0</v>
      </c>
      <c r="AD669" s="3">
        <v>441</v>
      </c>
      <c r="AE669" s="3">
        <v>252</v>
      </c>
      <c r="AF669" s="3">
        <v>333</v>
      </c>
      <c r="AG669" s="3">
        <v>309</v>
      </c>
      <c r="AH669" s="3">
        <v>264</v>
      </c>
      <c r="AI669" s="3">
        <v>321</v>
      </c>
      <c r="AJ669" s="3">
        <v>235</v>
      </c>
      <c r="AK669" s="3">
        <v>294</v>
      </c>
      <c r="AL669" s="3">
        <v>315</v>
      </c>
      <c r="AM669" s="3">
        <v>248</v>
      </c>
      <c r="AN669" s="3">
        <v>261</v>
      </c>
      <c r="AO669" s="3">
        <v>402</v>
      </c>
      <c r="AP669" s="3">
        <v>276</v>
      </c>
      <c r="AQ669" s="3">
        <v>462</v>
      </c>
      <c r="AR669" s="3">
        <v>267</v>
      </c>
      <c r="AS669" s="3">
        <v>186</v>
      </c>
      <c r="AT669" s="3">
        <v>235</v>
      </c>
      <c r="AU669" s="3">
        <v>294</v>
      </c>
      <c r="AV669" s="3">
        <v>378</v>
      </c>
      <c r="AW669" s="3">
        <v>315</v>
      </c>
    </row>
    <row r="670" spans="1:49">
      <c r="A670" s="4" t="s">
        <v>35</v>
      </c>
      <c r="B670" s="4" t="str">
        <f t="shared" si="10"/>
        <v>Hair Color</v>
      </c>
      <c r="C670" s="4" t="s">
        <v>1786</v>
      </c>
      <c r="D670" s="4" t="s">
        <v>575</v>
      </c>
      <c r="E670" s="24" t="s">
        <v>44</v>
      </c>
      <c r="F670" s="12" t="s">
        <v>400</v>
      </c>
      <c r="G670" s="4" t="s">
        <v>1787</v>
      </c>
      <c r="H670" s="3">
        <v>207</v>
      </c>
      <c r="I670" s="3">
        <v>306</v>
      </c>
      <c r="J670" s="3">
        <v>156</v>
      </c>
      <c r="K670" s="3">
        <v>285</v>
      </c>
      <c r="L670" s="3">
        <v>195</v>
      </c>
      <c r="M670" s="3">
        <v>255</v>
      </c>
      <c r="N670" s="3">
        <v>216</v>
      </c>
      <c r="O670" s="3">
        <v>222</v>
      </c>
      <c r="P670" s="3">
        <v>249</v>
      </c>
      <c r="Q670" s="3">
        <v>135</v>
      </c>
      <c r="R670" s="3">
        <v>252</v>
      </c>
      <c r="S670" s="3">
        <v>171</v>
      </c>
      <c r="T670" s="3">
        <v>177</v>
      </c>
      <c r="U670" s="3">
        <v>78</v>
      </c>
      <c r="V670" s="3">
        <v>186</v>
      </c>
      <c r="W670" s="3">
        <v>77</v>
      </c>
      <c r="X670" s="3">
        <v>237</v>
      </c>
      <c r="Y670" s="3">
        <v>216</v>
      </c>
      <c r="Z670" s="3">
        <v>123</v>
      </c>
      <c r="AA670" s="3">
        <v>147</v>
      </c>
      <c r="AB670" s="3">
        <v>273</v>
      </c>
      <c r="AC670" s="3">
        <v>66</v>
      </c>
      <c r="AD670" s="3">
        <v>138</v>
      </c>
      <c r="AE670" s="3">
        <v>155</v>
      </c>
      <c r="AF670" s="3">
        <v>186</v>
      </c>
      <c r="AG670" s="3">
        <v>141</v>
      </c>
      <c r="AH670" s="3">
        <v>0</v>
      </c>
      <c r="AI670" s="3">
        <v>312</v>
      </c>
      <c r="AJ670" s="3">
        <v>150</v>
      </c>
      <c r="AK670" s="3">
        <v>147</v>
      </c>
      <c r="AL670" s="3">
        <v>183</v>
      </c>
      <c r="AM670" s="3">
        <v>177</v>
      </c>
      <c r="AN670" s="3">
        <v>165</v>
      </c>
      <c r="AO670" s="3">
        <v>126</v>
      </c>
      <c r="AP670" s="3">
        <v>207</v>
      </c>
      <c r="AQ670" s="3">
        <v>333</v>
      </c>
      <c r="AR670" s="3">
        <v>90</v>
      </c>
      <c r="AS670" s="3">
        <v>177</v>
      </c>
      <c r="AT670" s="3">
        <v>108</v>
      </c>
      <c r="AU670" s="3">
        <v>170</v>
      </c>
      <c r="AV670" s="3">
        <v>210</v>
      </c>
      <c r="AW670" s="3">
        <v>153</v>
      </c>
    </row>
    <row r="671" spans="1:49">
      <c r="A671" s="4" t="s">
        <v>35</v>
      </c>
      <c r="B671" s="4" t="str">
        <f t="shared" si="10"/>
        <v>Hair Color</v>
      </c>
      <c r="C671" s="4" t="s">
        <v>1786</v>
      </c>
      <c r="D671" s="4" t="s">
        <v>575</v>
      </c>
      <c r="E671" s="24" t="s">
        <v>44</v>
      </c>
      <c r="F671" s="12" t="s">
        <v>401</v>
      </c>
      <c r="G671" s="4" t="s">
        <v>1787</v>
      </c>
      <c r="H671" s="3">
        <v>150</v>
      </c>
      <c r="I671" s="3">
        <v>240</v>
      </c>
      <c r="J671" s="3">
        <v>132</v>
      </c>
      <c r="K671" s="3">
        <v>273</v>
      </c>
      <c r="L671" s="3">
        <v>81</v>
      </c>
      <c r="M671" s="3">
        <v>183</v>
      </c>
      <c r="N671" s="3">
        <v>138</v>
      </c>
      <c r="O671" s="3">
        <v>171</v>
      </c>
      <c r="P671" s="3">
        <v>180</v>
      </c>
      <c r="Q671" s="3">
        <v>111</v>
      </c>
      <c r="R671" s="3">
        <v>240</v>
      </c>
      <c r="S671" s="3">
        <v>168</v>
      </c>
      <c r="T671" s="3">
        <v>159</v>
      </c>
      <c r="U671" s="3">
        <v>45</v>
      </c>
      <c r="V671" s="3">
        <v>120</v>
      </c>
      <c r="W671" s="3">
        <v>87</v>
      </c>
      <c r="X671" s="3">
        <v>108</v>
      </c>
      <c r="Y671" s="3">
        <v>213</v>
      </c>
      <c r="Z671" s="3">
        <v>84</v>
      </c>
      <c r="AA671" s="3">
        <v>111</v>
      </c>
      <c r="AB671" s="3">
        <v>174</v>
      </c>
      <c r="AC671" s="3">
        <v>63</v>
      </c>
      <c r="AD671" s="3">
        <v>114</v>
      </c>
      <c r="AE671" s="3">
        <v>123</v>
      </c>
      <c r="AF671" s="3">
        <v>177</v>
      </c>
      <c r="AG671" s="3">
        <v>129</v>
      </c>
      <c r="AH671" s="3">
        <v>97</v>
      </c>
      <c r="AI671" s="3">
        <v>90</v>
      </c>
      <c r="AJ671" s="3">
        <v>54</v>
      </c>
      <c r="AK671" s="3">
        <v>138</v>
      </c>
      <c r="AL671" s="3">
        <v>120</v>
      </c>
      <c r="AM671" s="3">
        <v>87</v>
      </c>
      <c r="AN671" s="3">
        <v>129</v>
      </c>
      <c r="AO671" s="3">
        <v>117</v>
      </c>
      <c r="AP671" s="3">
        <v>177</v>
      </c>
      <c r="AQ671" s="3">
        <v>285</v>
      </c>
      <c r="AR671" s="3">
        <v>108</v>
      </c>
      <c r="AS671" s="3">
        <v>108</v>
      </c>
      <c r="AT671" s="3">
        <v>81</v>
      </c>
      <c r="AU671" s="3">
        <v>120</v>
      </c>
      <c r="AV671" s="3">
        <v>267</v>
      </c>
      <c r="AW671" s="3">
        <v>69</v>
      </c>
    </row>
    <row r="672" spans="1:49">
      <c r="A672" s="4" t="s">
        <v>35</v>
      </c>
      <c r="B672" s="4" t="str">
        <f t="shared" si="10"/>
        <v>Hair Color</v>
      </c>
      <c r="C672" s="4" t="s">
        <v>1786</v>
      </c>
      <c r="D672" s="4" t="s">
        <v>575</v>
      </c>
      <c r="E672" s="24" t="s">
        <v>44</v>
      </c>
      <c r="F672" s="12" t="s">
        <v>402</v>
      </c>
      <c r="G672" s="4" t="s">
        <v>1787</v>
      </c>
      <c r="H672" s="3">
        <v>282</v>
      </c>
      <c r="I672" s="3">
        <v>345</v>
      </c>
      <c r="J672" s="3">
        <v>342</v>
      </c>
      <c r="K672" s="3">
        <v>135</v>
      </c>
      <c r="L672" s="3">
        <v>255</v>
      </c>
      <c r="M672" s="3">
        <v>453</v>
      </c>
      <c r="N672" s="3">
        <v>234</v>
      </c>
      <c r="O672" s="3">
        <v>396</v>
      </c>
      <c r="P672" s="3">
        <v>351</v>
      </c>
      <c r="Q672" s="3">
        <v>180</v>
      </c>
      <c r="R672" s="3">
        <v>288</v>
      </c>
      <c r="S672" s="3">
        <v>321</v>
      </c>
      <c r="T672" s="3">
        <v>252</v>
      </c>
      <c r="U672" s="3">
        <v>225</v>
      </c>
      <c r="V672" s="3">
        <v>339</v>
      </c>
      <c r="W672" s="3">
        <v>183</v>
      </c>
      <c r="X672" s="3">
        <v>366</v>
      </c>
      <c r="Y672" s="3">
        <v>390</v>
      </c>
      <c r="Z672" s="3">
        <v>204</v>
      </c>
      <c r="AA672" s="3">
        <v>294</v>
      </c>
      <c r="AB672" s="3">
        <v>303</v>
      </c>
      <c r="AC672" s="3">
        <v>123</v>
      </c>
      <c r="AD672" s="3">
        <v>36</v>
      </c>
      <c r="AE672" s="3">
        <v>252</v>
      </c>
      <c r="AF672" s="3">
        <v>216</v>
      </c>
      <c r="AG672" s="3">
        <v>333</v>
      </c>
      <c r="AH672" s="3">
        <v>246</v>
      </c>
      <c r="AI672" s="3">
        <v>285</v>
      </c>
      <c r="AJ672" s="3">
        <v>264</v>
      </c>
      <c r="AK672" s="3">
        <v>276</v>
      </c>
      <c r="AL672" s="3">
        <v>291</v>
      </c>
      <c r="AM672" s="3">
        <v>195</v>
      </c>
      <c r="AN672" s="3">
        <v>246</v>
      </c>
      <c r="AO672" s="3">
        <v>270</v>
      </c>
      <c r="AP672" s="3">
        <v>306</v>
      </c>
      <c r="AQ672" s="3">
        <v>393</v>
      </c>
      <c r="AR672" s="3">
        <v>243</v>
      </c>
      <c r="AS672" s="3">
        <v>207</v>
      </c>
      <c r="AT672" s="3">
        <v>144</v>
      </c>
      <c r="AU672" s="3">
        <v>48</v>
      </c>
      <c r="AV672" s="3">
        <v>447</v>
      </c>
      <c r="AW672" s="3">
        <v>228</v>
      </c>
    </row>
    <row r="673" spans="1:49">
      <c r="A673" s="4" t="s">
        <v>35</v>
      </c>
      <c r="B673" s="4" t="str">
        <f t="shared" si="10"/>
        <v>Hair Color</v>
      </c>
      <c r="C673" s="4" t="s">
        <v>1786</v>
      </c>
      <c r="D673" s="4" t="s">
        <v>575</v>
      </c>
      <c r="E673" s="24" t="s">
        <v>44</v>
      </c>
      <c r="F673" s="12" t="s">
        <v>403</v>
      </c>
      <c r="G673" s="4" t="s">
        <v>1787</v>
      </c>
      <c r="H673" s="3">
        <v>78</v>
      </c>
      <c r="I673" s="3">
        <v>87</v>
      </c>
      <c r="J673" s="3">
        <v>12</v>
      </c>
      <c r="K673" s="3">
        <v>0</v>
      </c>
      <c r="L673" s="3">
        <v>54</v>
      </c>
      <c r="M673" s="3">
        <v>114</v>
      </c>
      <c r="N673" s="3">
        <v>90</v>
      </c>
      <c r="O673" s="3">
        <v>45</v>
      </c>
      <c r="P673" s="3">
        <v>51</v>
      </c>
      <c r="Q673" s="3">
        <v>24</v>
      </c>
      <c r="R673" s="3">
        <v>39</v>
      </c>
      <c r="S673" s="3">
        <v>39</v>
      </c>
      <c r="T673" s="3">
        <v>42</v>
      </c>
      <c r="U673" s="3">
        <v>48</v>
      </c>
      <c r="V673" s="3">
        <v>66</v>
      </c>
      <c r="W673" s="3">
        <v>33</v>
      </c>
      <c r="X673" s="3">
        <v>33</v>
      </c>
      <c r="Y673" s="3">
        <v>69</v>
      </c>
      <c r="Z673" s="3">
        <v>27</v>
      </c>
      <c r="AA673" s="3">
        <v>48</v>
      </c>
      <c r="AB673" s="3">
        <v>54</v>
      </c>
      <c r="AC673" s="3">
        <v>36</v>
      </c>
      <c r="AD673" s="3">
        <v>75</v>
      </c>
      <c r="AE673" s="3">
        <v>84</v>
      </c>
      <c r="AF673" s="3">
        <v>33</v>
      </c>
      <c r="AG673" s="3">
        <v>54</v>
      </c>
      <c r="AH673" s="3">
        <v>30</v>
      </c>
      <c r="AI673" s="3">
        <v>51</v>
      </c>
      <c r="AJ673" s="3">
        <v>33</v>
      </c>
      <c r="AK673" s="3">
        <v>144</v>
      </c>
      <c r="AL673" s="3">
        <v>21</v>
      </c>
      <c r="AM673" s="3">
        <v>15</v>
      </c>
      <c r="AN673" s="3">
        <v>24</v>
      </c>
      <c r="AO673" s="3">
        <v>54</v>
      </c>
      <c r="AP673" s="3">
        <v>72</v>
      </c>
      <c r="AQ673" s="3">
        <v>156</v>
      </c>
      <c r="AR673" s="3">
        <v>0</v>
      </c>
      <c r="AS673" s="3">
        <v>18</v>
      </c>
      <c r="AT673" s="3">
        <v>18</v>
      </c>
      <c r="AU673" s="3">
        <v>45</v>
      </c>
      <c r="AV673" s="3">
        <v>33</v>
      </c>
      <c r="AW673" s="3">
        <v>15</v>
      </c>
    </row>
    <row r="674" spans="1:49">
      <c r="A674" s="4" t="s">
        <v>35</v>
      </c>
      <c r="B674" s="4" t="str">
        <f t="shared" si="10"/>
        <v>Hair Color</v>
      </c>
      <c r="C674" s="4" t="s">
        <v>1786</v>
      </c>
      <c r="D674" s="4" t="s">
        <v>575</v>
      </c>
      <c r="E674" s="24" t="s">
        <v>44</v>
      </c>
      <c r="F674" s="12" t="s">
        <v>404</v>
      </c>
      <c r="G674" s="4" t="s">
        <v>1787</v>
      </c>
      <c r="H674" s="3">
        <v>135</v>
      </c>
      <c r="I674" s="3">
        <v>255</v>
      </c>
      <c r="J674" s="3">
        <v>30</v>
      </c>
      <c r="K674" s="3">
        <v>174</v>
      </c>
      <c r="L674" s="3">
        <v>30</v>
      </c>
      <c r="M674" s="3">
        <v>180</v>
      </c>
      <c r="N674" s="3">
        <v>147</v>
      </c>
      <c r="O674" s="3">
        <v>126</v>
      </c>
      <c r="P674" s="3">
        <v>141</v>
      </c>
      <c r="Q674" s="3">
        <v>87</v>
      </c>
      <c r="R674" s="3">
        <v>234</v>
      </c>
      <c r="S674" s="3">
        <v>78</v>
      </c>
      <c r="T674" s="3">
        <v>117</v>
      </c>
      <c r="U674" s="3">
        <v>36</v>
      </c>
      <c r="V674" s="3">
        <v>108</v>
      </c>
      <c r="W674" s="3">
        <v>69</v>
      </c>
      <c r="X674" s="3">
        <v>72</v>
      </c>
      <c r="Y674" s="3">
        <v>102</v>
      </c>
      <c r="Z674" s="3">
        <v>51</v>
      </c>
      <c r="AA674" s="3">
        <v>87</v>
      </c>
      <c r="AB674" s="3">
        <v>102</v>
      </c>
      <c r="AC674" s="3">
        <v>39</v>
      </c>
      <c r="AD674" s="3">
        <v>69</v>
      </c>
      <c r="AE674" s="3">
        <v>102</v>
      </c>
      <c r="AF674" s="3">
        <v>60</v>
      </c>
      <c r="AG674" s="3">
        <v>132</v>
      </c>
      <c r="AH674" s="3">
        <v>120</v>
      </c>
      <c r="AI674" s="3">
        <v>135</v>
      </c>
      <c r="AJ674" s="3">
        <v>81</v>
      </c>
      <c r="AK674" s="3">
        <v>84</v>
      </c>
      <c r="AL674" s="3">
        <v>102</v>
      </c>
      <c r="AM674" s="3">
        <v>93</v>
      </c>
      <c r="AN674" s="3">
        <v>54</v>
      </c>
      <c r="AO674" s="3">
        <v>120</v>
      </c>
      <c r="AP674" s="3">
        <v>141</v>
      </c>
      <c r="AQ674" s="3">
        <v>204</v>
      </c>
      <c r="AR674" s="3">
        <v>39</v>
      </c>
      <c r="AS674" s="3">
        <v>78</v>
      </c>
      <c r="AT674" s="3">
        <v>72</v>
      </c>
      <c r="AU674" s="3">
        <v>69</v>
      </c>
      <c r="AV674" s="3">
        <v>126</v>
      </c>
      <c r="AW674" s="3">
        <v>108</v>
      </c>
    </row>
    <row r="675" spans="1:49">
      <c r="A675" s="4" t="s">
        <v>35</v>
      </c>
      <c r="B675" s="4" t="str">
        <f t="shared" si="10"/>
        <v>Hair Color</v>
      </c>
      <c r="C675" s="4" t="s">
        <v>1786</v>
      </c>
      <c r="D675" s="4" t="s">
        <v>575</v>
      </c>
      <c r="E675" s="24" t="s">
        <v>44</v>
      </c>
      <c r="F675" s="12" t="s">
        <v>405</v>
      </c>
      <c r="G675" s="4" t="s">
        <v>1787</v>
      </c>
      <c r="H675" s="3">
        <v>111</v>
      </c>
      <c r="I675" s="3">
        <v>210</v>
      </c>
      <c r="J675" s="3">
        <v>144</v>
      </c>
      <c r="K675" s="3">
        <v>150</v>
      </c>
      <c r="L675" s="3">
        <v>102</v>
      </c>
      <c r="M675" s="3">
        <v>111</v>
      </c>
      <c r="N675" s="3">
        <v>135</v>
      </c>
      <c r="O675" s="3">
        <v>111</v>
      </c>
      <c r="P675" s="3">
        <v>174</v>
      </c>
      <c r="Q675" s="3">
        <v>90</v>
      </c>
      <c r="R675" s="3">
        <v>165</v>
      </c>
      <c r="S675" s="3">
        <v>138</v>
      </c>
      <c r="T675" s="3">
        <v>72</v>
      </c>
      <c r="U675" s="3">
        <v>27</v>
      </c>
      <c r="V675" s="3">
        <v>93</v>
      </c>
      <c r="W675" s="3">
        <v>84</v>
      </c>
      <c r="X675" s="3">
        <v>78</v>
      </c>
      <c r="Y675" s="3">
        <v>171</v>
      </c>
      <c r="Z675" s="3">
        <v>168</v>
      </c>
      <c r="AA675" s="3">
        <v>81</v>
      </c>
      <c r="AB675" s="3">
        <v>105</v>
      </c>
      <c r="AC675" s="3">
        <v>42</v>
      </c>
      <c r="AD675" s="3">
        <v>129</v>
      </c>
      <c r="AE675" s="3">
        <v>66</v>
      </c>
      <c r="AF675" s="3">
        <v>99</v>
      </c>
      <c r="AG675" s="3">
        <v>141</v>
      </c>
      <c r="AH675" s="3">
        <v>87</v>
      </c>
      <c r="AI675" s="3">
        <v>90</v>
      </c>
      <c r="AJ675" s="3">
        <v>79</v>
      </c>
      <c r="AK675" s="3">
        <v>84</v>
      </c>
      <c r="AL675" s="3">
        <v>108</v>
      </c>
      <c r="AM675" s="3">
        <v>86</v>
      </c>
      <c r="AN675" s="3">
        <v>51</v>
      </c>
      <c r="AO675" s="3">
        <v>111</v>
      </c>
      <c r="AP675" s="3">
        <v>138</v>
      </c>
      <c r="AQ675" s="3">
        <v>240</v>
      </c>
      <c r="AR675" s="3">
        <v>57</v>
      </c>
      <c r="AS675" s="3">
        <v>72</v>
      </c>
      <c r="AT675" s="3">
        <v>72</v>
      </c>
      <c r="AU675" s="3">
        <v>105</v>
      </c>
      <c r="AV675" s="3">
        <v>162</v>
      </c>
      <c r="AW675" s="3">
        <v>72</v>
      </c>
    </row>
    <row r="676" spans="1:49">
      <c r="A676" s="4" t="s">
        <v>35</v>
      </c>
      <c r="B676" s="4" t="str">
        <f t="shared" si="10"/>
        <v>Hair Color</v>
      </c>
      <c r="C676" s="4" t="s">
        <v>1786</v>
      </c>
      <c r="D676" s="4" t="s">
        <v>575</v>
      </c>
      <c r="E676" s="24" t="s">
        <v>44</v>
      </c>
      <c r="F676" s="12" t="s">
        <v>406</v>
      </c>
      <c r="G676" s="4" t="s">
        <v>1787</v>
      </c>
      <c r="H676" s="3">
        <v>69</v>
      </c>
      <c r="I676" s="3">
        <v>111</v>
      </c>
      <c r="J676" s="3">
        <v>51</v>
      </c>
      <c r="K676" s="3">
        <v>21</v>
      </c>
      <c r="L676" s="3">
        <v>54</v>
      </c>
      <c r="M676" s="3">
        <v>84</v>
      </c>
      <c r="N676" s="3">
        <v>72</v>
      </c>
      <c r="O676" s="3">
        <v>51</v>
      </c>
      <c r="P676" s="3">
        <v>66</v>
      </c>
      <c r="Q676" s="3">
        <v>39</v>
      </c>
      <c r="R676" s="3">
        <v>48</v>
      </c>
      <c r="S676" s="3">
        <v>75</v>
      </c>
      <c r="T676" s="3">
        <v>54</v>
      </c>
      <c r="U676" s="3">
        <v>30</v>
      </c>
      <c r="V676" s="3">
        <v>45</v>
      </c>
      <c r="W676" s="3">
        <v>24</v>
      </c>
      <c r="X676" s="3">
        <v>12</v>
      </c>
      <c r="Y676" s="3">
        <v>102</v>
      </c>
      <c r="Z676" s="3">
        <v>57</v>
      </c>
      <c r="AA676" s="3">
        <v>9</v>
      </c>
      <c r="AB676" s="3">
        <v>33</v>
      </c>
      <c r="AC676" s="3">
        <v>6</v>
      </c>
      <c r="AD676" s="3">
        <v>12</v>
      </c>
      <c r="AE676" s="3">
        <v>0</v>
      </c>
      <c r="AF676" s="3">
        <v>3</v>
      </c>
      <c r="AG676" s="3">
        <v>105</v>
      </c>
      <c r="AH676" s="3">
        <v>24</v>
      </c>
      <c r="AI676" s="3">
        <v>84</v>
      </c>
      <c r="AJ676" s="3">
        <v>36</v>
      </c>
      <c r="AK676" s="3">
        <v>48</v>
      </c>
      <c r="AL676" s="3">
        <v>72</v>
      </c>
      <c r="AM676" s="3">
        <v>51</v>
      </c>
      <c r="AN676" s="3">
        <v>69</v>
      </c>
      <c r="AO676" s="3">
        <v>39</v>
      </c>
      <c r="AP676" s="3">
        <v>90</v>
      </c>
      <c r="AQ676" s="3">
        <v>171</v>
      </c>
      <c r="AR676" s="3">
        <v>3</v>
      </c>
      <c r="AS676" s="3">
        <v>9</v>
      </c>
      <c r="AT676" s="3">
        <v>3</v>
      </c>
      <c r="AU676" s="3">
        <v>39</v>
      </c>
      <c r="AV676" s="3">
        <v>78</v>
      </c>
      <c r="AW676" s="3">
        <v>18</v>
      </c>
    </row>
    <row r="677" spans="1:49">
      <c r="A677" s="4" t="s">
        <v>35</v>
      </c>
      <c r="B677" s="4" t="str">
        <f t="shared" si="10"/>
        <v>Hair Color</v>
      </c>
      <c r="C677" s="4" t="s">
        <v>1786</v>
      </c>
      <c r="D677" s="4" t="s">
        <v>575</v>
      </c>
      <c r="E677" s="24" t="s">
        <v>44</v>
      </c>
      <c r="F677" s="12" t="s">
        <v>407</v>
      </c>
      <c r="G677" s="4" t="s">
        <v>1787</v>
      </c>
      <c r="H677" s="3">
        <v>249</v>
      </c>
      <c r="I677" s="3">
        <v>516</v>
      </c>
      <c r="J677" s="3">
        <v>213</v>
      </c>
      <c r="K677" s="3">
        <v>0</v>
      </c>
      <c r="L677" s="3">
        <v>297</v>
      </c>
      <c r="M677" s="3">
        <v>453</v>
      </c>
      <c r="N677" s="3">
        <v>309</v>
      </c>
      <c r="O677" s="3">
        <v>306</v>
      </c>
      <c r="P677" s="3">
        <v>318</v>
      </c>
      <c r="Q677" s="3">
        <v>210</v>
      </c>
      <c r="R677" s="3">
        <v>468</v>
      </c>
      <c r="S677" s="3">
        <v>180</v>
      </c>
      <c r="T677" s="3">
        <v>216</v>
      </c>
      <c r="U677" s="3">
        <v>222</v>
      </c>
      <c r="V677" s="3">
        <v>318</v>
      </c>
      <c r="W677" s="3">
        <v>138</v>
      </c>
      <c r="X677" s="3">
        <v>483</v>
      </c>
      <c r="Y677" s="3">
        <v>168</v>
      </c>
      <c r="Z677" s="3">
        <v>156</v>
      </c>
      <c r="AA677" s="3">
        <v>309</v>
      </c>
      <c r="AB677" s="3">
        <v>408</v>
      </c>
      <c r="AC677" s="3">
        <v>144</v>
      </c>
      <c r="AD677" s="3">
        <v>216</v>
      </c>
      <c r="AE677" s="3">
        <v>147</v>
      </c>
      <c r="AF677" s="3">
        <v>312</v>
      </c>
      <c r="AG677" s="3">
        <v>255</v>
      </c>
      <c r="AH677" s="3">
        <v>246</v>
      </c>
      <c r="AI677" s="3">
        <v>222</v>
      </c>
      <c r="AJ677" s="3">
        <v>171</v>
      </c>
      <c r="AK677" s="3">
        <v>363</v>
      </c>
      <c r="AL677" s="3">
        <v>231</v>
      </c>
      <c r="AM677" s="3">
        <v>204</v>
      </c>
      <c r="AN677" s="3">
        <v>234</v>
      </c>
      <c r="AO677" s="3">
        <v>303</v>
      </c>
      <c r="AP677" s="3">
        <v>258</v>
      </c>
      <c r="AQ677" s="3">
        <v>405</v>
      </c>
      <c r="AR677" s="3">
        <v>237</v>
      </c>
      <c r="AS677" s="3">
        <v>165</v>
      </c>
      <c r="AT677" s="3">
        <v>159</v>
      </c>
      <c r="AU677" s="3">
        <v>273</v>
      </c>
      <c r="AV677" s="3">
        <v>323</v>
      </c>
      <c r="AW677" s="3">
        <v>252</v>
      </c>
    </row>
    <row r="678" spans="1:49">
      <c r="A678" s="4" t="s">
        <v>35</v>
      </c>
      <c r="B678" s="4" t="str">
        <f t="shared" si="10"/>
        <v>Hair Color</v>
      </c>
      <c r="C678" s="4" t="s">
        <v>1786</v>
      </c>
      <c r="D678" s="4" t="s">
        <v>575</v>
      </c>
      <c r="E678" s="24" t="s">
        <v>44</v>
      </c>
      <c r="F678" s="12" t="s">
        <v>408</v>
      </c>
      <c r="G678" s="4" t="s">
        <v>1787</v>
      </c>
      <c r="H678" s="3">
        <v>98</v>
      </c>
      <c r="I678" s="3">
        <v>216</v>
      </c>
      <c r="J678" s="3">
        <v>87</v>
      </c>
      <c r="K678" s="3">
        <v>177</v>
      </c>
      <c r="L678" s="3">
        <v>81</v>
      </c>
      <c r="M678" s="3">
        <v>144</v>
      </c>
      <c r="N678" s="3">
        <v>105</v>
      </c>
      <c r="O678" s="3">
        <v>105</v>
      </c>
      <c r="P678" s="3">
        <v>138</v>
      </c>
      <c r="Q678" s="3">
        <v>27</v>
      </c>
      <c r="R678" s="3">
        <v>162</v>
      </c>
      <c r="S678" s="3">
        <v>153</v>
      </c>
      <c r="T678" s="3">
        <v>87</v>
      </c>
      <c r="U678" s="3">
        <v>66</v>
      </c>
      <c r="V678" s="3">
        <v>81</v>
      </c>
      <c r="W678" s="3">
        <v>39</v>
      </c>
      <c r="X678" s="3">
        <v>33</v>
      </c>
      <c r="Y678" s="3">
        <v>135</v>
      </c>
      <c r="Z678" s="3">
        <v>57</v>
      </c>
      <c r="AA678" s="3">
        <v>93</v>
      </c>
      <c r="AB678" s="3">
        <v>75</v>
      </c>
      <c r="AC678" s="3">
        <v>66</v>
      </c>
      <c r="AD678" s="3">
        <v>83</v>
      </c>
      <c r="AE678" s="3">
        <v>123</v>
      </c>
      <c r="AF678" s="3">
        <v>75</v>
      </c>
      <c r="AG678" s="3">
        <v>147</v>
      </c>
      <c r="AH678" s="3">
        <v>72</v>
      </c>
      <c r="AI678" s="3">
        <v>111</v>
      </c>
      <c r="AJ678" s="3">
        <v>120</v>
      </c>
      <c r="AK678" s="3">
        <v>117</v>
      </c>
      <c r="AL678" s="3">
        <v>105</v>
      </c>
      <c r="AM678" s="3">
        <v>98</v>
      </c>
      <c r="AN678" s="3">
        <v>156</v>
      </c>
      <c r="AO678" s="3">
        <v>159</v>
      </c>
      <c r="AP678" s="3">
        <v>144</v>
      </c>
      <c r="AQ678" s="3">
        <v>243</v>
      </c>
      <c r="AR678" s="3">
        <v>102</v>
      </c>
      <c r="AS678" s="3">
        <v>59</v>
      </c>
      <c r="AT678" s="3">
        <v>93</v>
      </c>
      <c r="AU678" s="3">
        <v>111</v>
      </c>
      <c r="AV678" s="3">
        <v>160</v>
      </c>
      <c r="AW678" s="3">
        <v>102</v>
      </c>
    </row>
    <row r="679" spans="1:49">
      <c r="A679" s="4" t="s">
        <v>35</v>
      </c>
      <c r="B679" s="4" t="str">
        <f t="shared" si="10"/>
        <v>Hair Color</v>
      </c>
      <c r="C679" s="4" t="s">
        <v>1786</v>
      </c>
      <c r="D679" s="4" t="s">
        <v>575</v>
      </c>
      <c r="E679" s="24" t="s">
        <v>44</v>
      </c>
      <c r="F679" s="12" t="s">
        <v>409</v>
      </c>
      <c r="G679" s="4" t="s">
        <v>1787</v>
      </c>
      <c r="H679" s="3">
        <v>378</v>
      </c>
      <c r="I679" s="3">
        <v>513</v>
      </c>
      <c r="J679" s="3">
        <v>354</v>
      </c>
      <c r="K679" s="3">
        <v>531</v>
      </c>
      <c r="L679" s="3">
        <v>162</v>
      </c>
      <c r="M679" s="3">
        <v>477</v>
      </c>
      <c r="N679" s="3">
        <v>396</v>
      </c>
      <c r="O679" s="3">
        <v>453</v>
      </c>
      <c r="P679" s="3">
        <v>402</v>
      </c>
      <c r="Q679" s="3">
        <v>249</v>
      </c>
      <c r="R679" s="3">
        <v>465</v>
      </c>
      <c r="S679" s="3">
        <v>333</v>
      </c>
      <c r="T679" s="3">
        <v>294</v>
      </c>
      <c r="U679" s="3">
        <v>210</v>
      </c>
      <c r="V679" s="3">
        <v>444</v>
      </c>
      <c r="W679" s="3">
        <v>243</v>
      </c>
      <c r="X679" s="3">
        <v>474</v>
      </c>
      <c r="Y679" s="3">
        <v>300</v>
      </c>
      <c r="Z679" s="3">
        <v>315</v>
      </c>
      <c r="AA679" s="3">
        <v>330</v>
      </c>
      <c r="AB679" s="3">
        <v>450</v>
      </c>
      <c r="AC679" s="3">
        <v>126</v>
      </c>
      <c r="AD679" s="3">
        <v>300</v>
      </c>
      <c r="AE679" s="3">
        <v>212</v>
      </c>
      <c r="AF679" s="3">
        <v>363</v>
      </c>
      <c r="AG679" s="3">
        <v>336</v>
      </c>
      <c r="AH679" s="3">
        <v>198</v>
      </c>
      <c r="AI679" s="3">
        <v>363</v>
      </c>
      <c r="AJ679" s="3">
        <v>282</v>
      </c>
      <c r="AK679" s="3">
        <v>315</v>
      </c>
      <c r="AL679" s="3">
        <v>366</v>
      </c>
      <c r="AM679" s="3">
        <v>279</v>
      </c>
      <c r="AN679" s="3">
        <v>300</v>
      </c>
      <c r="AO679" s="3">
        <v>312</v>
      </c>
      <c r="AP679" s="3">
        <v>363</v>
      </c>
      <c r="AQ679" s="3">
        <v>450</v>
      </c>
      <c r="AR679" s="3">
        <v>321</v>
      </c>
      <c r="AS679" s="3">
        <v>222</v>
      </c>
      <c r="AT679" s="3">
        <v>270</v>
      </c>
      <c r="AU679" s="3">
        <v>318</v>
      </c>
      <c r="AV679" s="3">
        <v>355</v>
      </c>
      <c r="AW679" s="3">
        <v>261</v>
      </c>
    </row>
    <row r="680" spans="1:49">
      <c r="A680" s="4" t="s">
        <v>35</v>
      </c>
      <c r="B680" s="4" t="str">
        <f t="shared" si="10"/>
        <v>Hair Color</v>
      </c>
      <c r="C680" s="4" t="s">
        <v>1786</v>
      </c>
      <c r="D680" s="4" t="s">
        <v>575</v>
      </c>
      <c r="E680" s="24" t="s">
        <v>44</v>
      </c>
      <c r="F680" s="12" t="s">
        <v>410</v>
      </c>
      <c r="G680" s="4" t="s">
        <v>1787</v>
      </c>
      <c r="H680" s="3">
        <v>228</v>
      </c>
      <c r="I680" s="3">
        <v>420</v>
      </c>
      <c r="J680" s="3">
        <v>216</v>
      </c>
      <c r="K680" s="3">
        <v>0</v>
      </c>
      <c r="L680" s="3">
        <v>327</v>
      </c>
      <c r="M680" s="3">
        <v>381</v>
      </c>
      <c r="N680" s="3">
        <v>264</v>
      </c>
      <c r="O680" s="3">
        <v>342</v>
      </c>
      <c r="P680" s="3">
        <v>252</v>
      </c>
      <c r="Q680" s="3">
        <v>213</v>
      </c>
      <c r="R680" s="3">
        <v>333</v>
      </c>
      <c r="S680" s="3">
        <v>255</v>
      </c>
      <c r="T680" s="3">
        <v>243</v>
      </c>
      <c r="U680" s="3">
        <v>162</v>
      </c>
      <c r="V680" s="3">
        <v>279</v>
      </c>
      <c r="W680" s="3">
        <v>201</v>
      </c>
      <c r="X680" s="3">
        <v>339</v>
      </c>
      <c r="Y680" s="3">
        <v>291</v>
      </c>
      <c r="Z680" s="3">
        <v>180</v>
      </c>
      <c r="AA680" s="3">
        <v>243</v>
      </c>
      <c r="AB680" s="3">
        <v>312</v>
      </c>
      <c r="AC680" s="3">
        <v>0</v>
      </c>
      <c r="AD680" s="3">
        <v>255</v>
      </c>
      <c r="AE680" s="3">
        <v>189</v>
      </c>
      <c r="AF680" s="3">
        <v>333</v>
      </c>
      <c r="AG680" s="3">
        <v>177</v>
      </c>
      <c r="AH680" s="3">
        <v>177</v>
      </c>
      <c r="AI680" s="3">
        <v>234</v>
      </c>
      <c r="AJ680" s="3">
        <v>142</v>
      </c>
      <c r="AK680" s="3">
        <v>204</v>
      </c>
      <c r="AL680" s="3">
        <v>215</v>
      </c>
      <c r="AM680" s="3">
        <v>213</v>
      </c>
      <c r="AN680" s="3">
        <v>171</v>
      </c>
      <c r="AO680" s="3">
        <v>264</v>
      </c>
      <c r="AP680" s="3">
        <v>246</v>
      </c>
      <c r="AQ680" s="3">
        <v>387</v>
      </c>
      <c r="AR680" s="3">
        <v>168</v>
      </c>
      <c r="AS680" s="3">
        <v>126</v>
      </c>
      <c r="AT680" s="3">
        <v>132</v>
      </c>
      <c r="AU680" s="3">
        <v>183</v>
      </c>
      <c r="AV680" s="3">
        <v>246</v>
      </c>
      <c r="AW680" s="3">
        <v>255</v>
      </c>
    </row>
    <row r="681" spans="1:49">
      <c r="A681" s="4" t="s">
        <v>35</v>
      </c>
      <c r="B681" s="4" t="str">
        <f t="shared" si="10"/>
        <v>Hair Color</v>
      </c>
      <c r="C681" s="4" t="s">
        <v>1786</v>
      </c>
      <c r="D681" s="4" t="s">
        <v>575</v>
      </c>
      <c r="E681" s="24" t="s">
        <v>44</v>
      </c>
      <c r="F681" s="12" t="s">
        <v>411</v>
      </c>
      <c r="G681" s="4" t="s">
        <v>1787</v>
      </c>
      <c r="H681" s="3">
        <v>96</v>
      </c>
      <c r="I681" s="3">
        <v>195</v>
      </c>
      <c r="J681" s="3">
        <v>57</v>
      </c>
      <c r="K681" s="3">
        <v>204</v>
      </c>
      <c r="L681" s="3">
        <v>36</v>
      </c>
      <c r="M681" s="3">
        <v>156</v>
      </c>
      <c r="N681" s="3">
        <v>66</v>
      </c>
      <c r="O681" s="3">
        <v>117</v>
      </c>
      <c r="P681" s="3">
        <v>117</v>
      </c>
      <c r="Q681" s="3">
        <v>54</v>
      </c>
      <c r="R681" s="3">
        <v>195</v>
      </c>
      <c r="S681" s="3">
        <v>132</v>
      </c>
      <c r="T681" s="3">
        <v>162</v>
      </c>
      <c r="U681" s="3">
        <v>30</v>
      </c>
      <c r="V681" s="3">
        <v>60</v>
      </c>
      <c r="W681" s="3">
        <v>51</v>
      </c>
      <c r="X681" s="3">
        <v>54</v>
      </c>
      <c r="Y681" s="3">
        <v>72</v>
      </c>
      <c r="Z681" s="3">
        <v>93</v>
      </c>
      <c r="AA681" s="3">
        <v>102</v>
      </c>
      <c r="AB681" s="3">
        <v>138</v>
      </c>
      <c r="AC681" s="3">
        <v>48</v>
      </c>
      <c r="AD681" s="3">
        <v>150</v>
      </c>
      <c r="AE681" s="3">
        <v>124</v>
      </c>
      <c r="AF681" s="3">
        <v>90</v>
      </c>
      <c r="AG681" s="3">
        <v>69</v>
      </c>
      <c r="AH681" s="3">
        <v>111</v>
      </c>
      <c r="AI681" s="3">
        <v>78</v>
      </c>
      <c r="AJ681" s="3">
        <v>84</v>
      </c>
      <c r="AK681" s="3">
        <v>105</v>
      </c>
      <c r="AL681" s="3">
        <v>123</v>
      </c>
      <c r="AM681" s="3">
        <v>78</v>
      </c>
      <c r="AN681" s="3">
        <v>93</v>
      </c>
      <c r="AO681" s="3">
        <v>111</v>
      </c>
      <c r="AP681" s="3">
        <v>117</v>
      </c>
      <c r="AQ681" s="3">
        <v>249</v>
      </c>
      <c r="AR681" s="3">
        <v>84</v>
      </c>
      <c r="AS681" s="3">
        <v>81</v>
      </c>
      <c r="AT681" s="3">
        <v>105</v>
      </c>
      <c r="AU681" s="3">
        <v>87</v>
      </c>
      <c r="AV681" s="3">
        <v>147</v>
      </c>
      <c r="AW681" s="3">
        <v>94</v>
      </c>
    </row>
    <row r="682" spans="1:49">
      <c r="A682" s="4" t="s">
        <v>35</v>
      </c>
      <c r="B682" s="4" t="str">
        <f t="shared" si="10"/>
        <v>Hair Color</v>
      </c>
      <c r="C682" s="4" t="s">
        <v>1786</v>
      </c>
      <c r="D682" s="4" t="s">
        <v>575</v>
      </c>
      <c r="E682" s="24" t="s">
        <v>44</v>
      </c>
      <c r="F682" s="12" t="s">
        <v>412</v>
      </c>
      <c r="G682" s="4" t="s">
        <v>1787</v>
      </c>
      <c r="H682" s="3">
        <v>0</v>
      </c>
      <c r="I682" s="3">
        <v>0</v>
      </c>
      <c r="J682" s="3">
        <v>9</v>
      </c>
      <c r="K682" s="3">
        <v>195</v>
      </c>
      <c r="L682" s="3">
        <v>81</v>
      </c>
      <c r="M682" s="3">
        <v>162</v>
      </c>
      <c r="N682" s="3">
        <v>207</v>
      </c>
      <c r="O682" s="3">
        <v>1</v>
      </c>
      <c r="P682" s="3">
        <v>246</v>
      </c>
      <c r="Q682" s="3">
        <v>72</v>
      </c>
      <c r="R682" s="3">
        <v>135</v>
      </c>
      <c r="S682" s="3">
        <v>216</v>
      </c>
      <c r="T682" s="3">
        <v>126</v>
      </c>
      <c r="U682" s="3">
        <v>72</v>
      </c>
      <c r="V682" s="3">
        <v>96</v>
      </c>
      <c r="W682" s="3">
        <v>54</v>
      </c>
      <c r="X682" s="3">
        <v>0</v>
      </c>
      <c r="Y682" s="3">
        <v>129</v>
      </c>
      <c r="Z682" s="3">
        <v>72</v>
      </c>
      <c r="AA682" s="3">
        <v>30</v>
      </c>
      <c r="AB682" s="3">
        <v>42</v>
      </c>
      <c r="AC682" s="3">
        <v>228</v>
      </c>
      <c r="AD682" s="3">
        <v>60</v>
      </c>
      <c r="AE682" s="3">
        <v>30</v>
      </c>
      <c r="AF682" s="3">
        <v>60</v>
      </c>
      <c r="AG682" s="3">
        <v>45</v>
      </c>
      <c r="AH682" s="3">
        <v>15</v>
      </c>
      <c r="AI682" s="3">
        <v>108</v>
      </c>
      <c r="AJ682" s="3">
        <v>69</v>
      </c>
      <c r="AK682" s="3">
        <v>102</v>
      </c>
      <c r="AL682" s="3">
        <v>27</v>
      </c>
      <c r="AM682" s="3">
        <v>39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138</v>
      </c>
      <c r="AV682" s="3">
        <v>159</v>
      </c>
      <c r="AW682" s="3">
        <v>45</v>
      </c>
    </row>
    <row r="683" spans="1:49">
      <c r="A683" s="4" t="s">
        <v>35</v>
      </c>
      <c r="B683" s="4" t="str">
        <f t="shared" si="10"/>
        <v>Hair Color</v>
      </c>
      <c r="C683" s="4" t="s">
        <v>1786</v>
      </c>
      <c r="D683" s="4" t="s">
        <v>575</v>
      </c>
      <c r="E683" s="24" t="s">
        <v>44</v>
      </c>
      <c r="F683" s="12" t="s">
        <v>413</v>
      </c>
      <c r="G683" s="4" t="s">
        <v>1787</v>
      </c>
      <c r="H683" s="3">
        <v>6</v>
      </c>
      <c r="I683" s="3">
        <v>75</v>
      </c>
      <c r="J683" s="3">
        <v>12</v>
      </c>
      <c r="K683" s="3">
        <v>27</v>
      </c>
      <c r="L683" s="3">
        <v>66</v>
      </c>
      <c r="M683" s="3">
        <v>39</v>
      </c>
      <c r="N683" s="3">
        <v>12</v>
      </c>
      <c r="O683" s="3">
        <v>27</v>
      </c>
      <c r="P683" s="3">
        <v>54</v>
      </c>
      <c r="Q683" s="3">
        <v>24</v>
      </c>
      <c r="R683" s="3">
        <v>84</v>
      </c>
      <c r="S683" s="3">
        <v>33</v>
      </c>
      <c r="T683" s="3">
        <v>24</v>
      </c>
      <c r="U683" s="3">
        <v>30</v>
      </c>
      <c r="V683" s="3">
        <v>42</v>
      </c>
      <c r="W683" s="3">
        <v>6</v>
      </c>
      <c r="X683" s="3">
        <v>9</v>
      </c>
      <c r="Y683" s="3">
        <v>27</v>
      </c>
      <c r="Z683" s="3">
        <v>0</v>
      </c>
      <c r="AA683" s="3">
        <v>12</v>
      </c>
      <c r="AB683" s="3">
        <v>48</v>
      </c>
      <c r="AC683" s="3">
        <v>0</v>
      </c>
      <c r="AD683" s="3">
        <v>48</v>
      </c>
      <c r="AE683" s="3">
        <v>75</v>
      </c>
      <c r="AF683" s="3">
        <v>12</v>
      </c>
      <c r="AG683" s="3">
        <v>108</v>
      </c>
      <c r="AH683" s="3">
        <v>18</v>
      </c>
      <c r="AI683" s="3">
        <v>48</v>
      </c>
      <c r="AJ683" s="3">
        <v>15</v>
      </c>
      <c r="AK683" s="3">
        <v>36</v>
      </c>
      <c r="AL683" s="3">
        <v>33</v>
      </c>
      <c r="AM683" s="3">
        <v>15</v>
      </c>
      <c r="AN683" s="3">
        <v>18</v>
      </c>
      <c r="AO683" s="3">
        <v>9</v>
      </c>
      <c r="AP683" s="3">
        <v>78</v>
      </c>
      <c r="AQ683" s="3">
        <v>180</v>
      </c>
      <c r="AR683" s="3">
        <v>36</v>
      </c>
      <c r="AS683" s="3">
        <v>27</v>
      </c>
      <c r="AT683" s="3">
        <v>21</v>
      </c>
      <c r="AU683" s="3">
        <v>45</v>
      </c>
      <c r="AV683" s="3">
        <v>48</v>
      </c>
      <c r="AW683" s="3">
        <v>114</v>
      </c>
    </row>
    <row r="684" spans="1:49">
      <c r="A684" s="4" t="s">
        <v>35</v>
      </c>
      <c r="B684" s="4" t="str">
        <f t="shared" si="10"/>
        <v>Hair Color</v>
      </c>
      <c r="C684" s="4" t="s">
        <v>1786</v>
      </c>
      <c r="D684" s="4" t="s">
        <v>575</v>
      </c>
      <c r="E684" s="24" t="s">
        <v>414</v>
      </c>
      <c r="F684" s="12" t="s">
        <v>415</v>
      </c>
      <c r="G684" s="4" t="s">
        <v>1787</v>
      </c>
      <c r="H684" s="3">
        <v>762</v>
      </c>
      <c r="I684" s="3">
        <v>966</v>
      </c>
      <c r="J684" s="3">
        <v>792</v>
      </c>
      <c r="K684" s="3">
        <v>222</v>
      </c>
      <c r="L684" s="3">
        <v>654</v>
      </c>
      <c r="M684" s="3">
        <v>708</v>
      </c>
      <c r="N684" s="3">
        <v>510</v>
      </c>
      <c r="O684" s="3">
        <v>780</v>
      </c>
      <c r="P684" s="3">
        <v>586</v>
      </c>
      <c r="Q684" s="3">
        <v>360</v>
      </c>
      <c r="R684" s="3">
        <v>552</v>
      </c>
      <c r="S684" s="3">
        <v>702</v>
      </c>
      <c r="T684" s="3">
        <v>630</v>
      </c>
      <c r="U684" s="3">
        <v>600</v>
      </c>
      <c r="V684" s="3">
        <v>456</v>
      </c>
      <c r="W684" s="3">
        <v>438</v>
      </c>
      <c r="X684" s="3">
        <v>479</v>
      </c>
      <c r="Y684" s="3">
        <v>870</v>
      </c>
      <c r="Z684" s="3">
        <v>222</v>
      </c>
      <c r="AA684" s="3">
        <v>606</v>
      </c>
      <c r="AB684" s="3">
        <v>606</v>
      </c>
      <c r="AC684" s="3">
        <v>108</v>
      </c>
      <c r="AD684" s="3">
        <v>414</v>
      </c>
      <c r="AE684" s="3">
        <v>378</v>
      </c>
      <c r="AF684" s="3">
        <v>798</v>
      </c>
      <c r="AG684" s="3">
        <v>126</v>
      </c>
      <c r="AH684" s="3">
        <v>0</v>
      </c>
      <c r="AI684" s="3">
        <v>1500</v>
      </c>
      <c r="AJ684" s="3">
        <v>54</v>
      </c>
      <c r="AK684" s="3">
        <v>378</v>
      </c>
      <c r="AL684" s="3">
        <v>366</v>
      </c>
      <c r="AM684" s="3">
        <v>396</v>
      </c>
      <c r="AN684" s="3">
        <v>384</v>
      </c>
      <c r="AO684" s="3">
        <v>648</v>
      </c>
      <c r="AP684" s="3">
        <v>522</v>
      </c>
      <c r="AQ684" s="3">
        <v>654</v>
      </c>
      <c r="AR684" s="3">
        <v>384</v>
      </c>
      <c r="AS684" s="3">
        <v>312</v>
      </c>
      <c r="AT684" s="3">
        <v>822</v>
      </c>
      <c r="AU684" s="3">
        <v>480</v>
      </c>
      <c r="AV684" s="3">
        <v>522</v>
      </c>
      <c r="AW684" s="3">
        <v>414</v>
      </c>
    </row>
    <row r="685" spans="1:49">
      <c r="A685" s="4" t="s">
        <v>35</v>
      </c>
      <c r="B685" s="4" t="str">
        <f t="shared" si="10"/>
        <v>Hair Color</v>
      </c>
      <c r="C685" s="4" t="s">
        <v>1786</v>
      </c>
      <c r="D685" s="4" t="s">
        <v>575</v>
      </c>
      <c r="E685" s="24" t="s">
        <v>414</v>
      </c>
      <c r="F685" s="12" t="s">
        <v>416</v>
      </c>
      <c r="G685" s="4" t="s">
        <v>1787</v>
      </c>
      <c r="H685" s="3">
        <v>390</v>
      </c>
      <c r="I685" s="3">
        <v>450</v>
      </c>
      <c r="J685" s="3">
        <v>390</v>
      </c>
      <c r="K685" s="3">
        <v>258</v>
      </c>
      <c r="L685" s="3">
        <v>294</v>
      </c>
      <c r="M685" s="3">
        <v>444</v>
      </c>
      <c r="N685" s="3">
        <v>208</v>
      </c>
      <c r="O685" s="3">
        <v>216</v>
      </c>
      <c r="P685" s="3">
        <v>330</v>
      </c>
      <c r="Q685" s="3">
        <v>168</v>
      </c>
      <c r="R685" s="3">
        <v>348</v>
      </c>
      <c r="S685" s="3">
        <v>312</v>
      </c>
      <c r="T685" s="3">
        <v>366</v>
      </c>
      <c r="U685" s="3">
        <v>270</v>
      </c>
      <c r="V685" s="3">
        <v>366</v>
      </c>
      <c r="W685" s="3">
        <v>186</v>
      </c>
      <c r="X685" s="3">
        <v>234</v>
      </c>
      <c r="Y685" s="3">
        <v>288</v>
      </c>
      <c r="Z685" s="3">
        <v>306</v>
      </c>
      <c r="AA685" s="3">
        <v>258</v>
      </c>
      <c r="AB685" s="3">
        <v>378</v>
      </c>
      <c r="AC685" s="3">
        <v>42</v>
      </c>
      <c r="AD685" s="3">
        <v>168</v>
      </c>
      <c r="AE685" s="3">
        <v>180</v>
      </c>
      <c r="AF685" s="3">
        <v>222</v>
      </c>
      <c r="AG685" s="3">
        <v>18</v>
      </c>
      <c r="AH685" s="3">
        <v>0</v>
      </c>
      <c r="AI685" s="3">
        <v>906</v>
      </c>
      <c r="AJ685" s="3">
        <v>102</v>
      </c>
      <c r="AK685" s="3">
        <v>120</v>
      </c>
      <c r="AL685" s="3">
        <v>306</v>
      </c>
      <c r="AM685" s="3">
        <v>234</v>
      </c>
      <c r="AN685" s="3">
        <v>306</v>
      </c>
      <c r="AO685" s="3">
        <v>312</v>
      </c>
      <c r="AP685" s="3">
        <v>258</v>
      </c>
      <c r="AQ685" s="3">
        <v>534</v>
      </c>
      <c r="AR685" s="3">
        <v>306</v>
      </c>
      <c r="AS685" s="3">
        <v>156</v>
      </c>
      <c r="AT685" s="3">
        <v>342</v>
      </c>
      <c r="AU685" s="3">
        <v>396</v>
      </c>
      <c r="AV685" s="3">
        <v>408</v>
      </c>
      <c r="AW685" s="3">
        <v>312</v>
      </c>
    </row>
    <row r="686" spans="1:49">
      <c r="A686" s="4" t="s">
        <v>35</v>
      </c>
      <c r="B686" s="4" t="str">
        <f t="shared" si="10"/>
        <v>Hair Color</v>
      </c>
      <c r="C686" s="4" t="s">
        <v>1786</v>
      </c>
      <c r="D686" s="4" t="s">
        <v>575</v>
      </c>
      <c r="E686" s="24" t="s">
        <v>414</v>
      </c>
      <c r="F686" s="12" t="s">
        <v>417</v>
      </c>
      <c r="G686" s="4" t="s">
        <v>1787</v>
      </c>
      <c r="H686" s="3">
        <v>990</v>
      </c>
      <c r="I686" s="3">
        <v>834</v>
      </c>
      <c r="J686" s="3">
        <v>1026</v>
      </c>
      <c r="K686" s="3">
        <v>270</v>
      </c>
      <c r="L686" s="3">
        <v>606</v>
      </c>
      <c r="M686" s="3">
        <v>714</v>
      </c>
      <c r="N686" s="3">
        <v>456</v>
      </c>
      <c r="O686" s="3">
        <v>726</v>
      </c>
      <c r="P686" s="3">
        <v>588</v>
      </c>
      <c r="Q686" s="3">
        <v>456</v>
      </c>
      <c r="R686" s="3">
        <v>792</v>
      </c>
      <c r="S686" s="3">
        <v>564</v>
      </c>
      <c r="T686" s="3">
        <v>570</v>
      </c>
      <c r="U686" s="3">
        <v>690</v>
      </c>
      <c r="V686" s="3">
        <v>624</v>
      </c>
      <c r="W686" s="3">
        <v>480</v>
      </c>
      <c r="X686" s="3">
        <v>720</v>
      </c>
      <c r="Y686" s="3">
        <v>894</v>
      </c>
      <c r="Z686" s="3">
        <v>282</v>
      </c>
      <c r="AA686" s="3">
        <v>510</v>
      </c>
      <c r="AB686" s="3">
        <v>912</v>
      </c>
      <c r="AC686" s="3">
        <v>132</v>
      </c>
      <c r="AD686" s="3">
        <v>408</v>
      </c>
      <c r="AE686" s="3">
        <v>354</v>
      </c>
      <c r="AF686" s="3">
        <v>636</v>
      </c>
      <c r="AG686" s="3">
        <v>42</v>
      </c>
      <c r="AH686" s="3">
        <v>0</v>
      </c>
      <c r="AI686" s="3">
        <v>1026</v>
      </c>
      <c r="AJ686" s="3">
        <v>648</v>
      </c>
      <c r="AK686" s="3">
        <v>450</v>
      </c>
      <c r="AL686" s="3">
        <v>510</v>
      </c>
      <c r="AM686" s="3">
        <v>558</v>
      </c>
      <c r="AN686" s="3">
        <v>462</v>
      </c>
      <c r="AO686" s="3">
        <v>762</v>
      </c>
      <c r="AP686" s="3">
        <v>474</v>
      </c>
      <c r="AQ686" s="3">
        <v>696</v>
      </c>
      <c r="AR686" s="3">
        <v>708</v>
      </c>
      <c r="AS686" s="3">
        <v>468</v>
      </c>
      <c r="AT686" s="3">
        <v>720</v>
      </c>
      <c r="AU686" s="3">
        <v>756</v>
      </c>
      <c r="AV686" s="3">
        <v>738</v>
      </c>
      <c r="AW686" s="3">
        <v>690</v>
      </c>
    </row>
    <row r="687" spans="1:49">
      <c r="A687" s="4" t="s">
        <v>35</v>
      </c>
      <c r="B687" s="4" t="str">
        <f t="shared" si="10"/>
        <v>Hair Color</v>
      </c>
      <c r="C687" s="4" t="s">
        <v>1786</v>
      </c>
      <c r="D687" s="4" t="s">
        <v>575</v>
      </c>
      <c r="E687" s="24" t="s">
        <v>414</v>
      </c>
      <c r="F687" s="12" t="s">
        <v>418</v>
      </c>
      <c r="G687" s="4" t="s">
        <v>1787</v>
      </c>
      <c r="H687" s="3">
        <v>330</v>
      </c>
      <c r="I687" s="3">
        <v>606</v>
      </c>
      <c r="J687" s="3">
        <v>516</v>
      </c>
      <c r="K687" s="3">
        <v>306</v>
      </c>
      <c r="L687" s="3">
        <v>378</v>
      </c>
      <c r="M687" s="3">
        <v>534</v>
      </c>
      <c r="N687" s="3">
        <v>204</v>
      </c>
      <c r="O687" s="3">
        <v>432</v>
      </c>
      <c r="P687" s="3">
        <v>288</v>
      </c>
      <c r="Q687" s="3">
        <v>270</v>
      </c>
      <c r="R687" s="3">
        <v>330</v>
      </c>
      <c r="S687" s="3">
        <v>372</v>
      </c>
      <c r="T687" s="3">
        <v>414</v>
      </c>
      <c r="U687" s="3">
        <v>390</v>
      </c>
      <c r="V687" s="3">
        <v>294</v>
      </c>
      <c r="W687" s="3">
        <v>234</v>
      </c>
      <c r="X687" s="3">
        <v>504</v>
      </c>
      <c r="Y687" s="3">
        <v>318</v>
      </c>
      <c r="Z687" s="3">
        <v>42</v>
      </c>
      <c r="AA687" s="3">
        <v>126</v>
      </c>
      <c r="AB687" s="3">
        <v>444</v>
      </c>
      <c r="AC687" s="3">
        <v>138</v>
      </c>
      <c r="AD687" s="3">
        <v>186</v>
      </c>
      <c r="AE687" s="3">
        <v>276</v>
      </c>
      <c r="AF687" s="3">
        <v>252</v>
      </c>
      <c r="AG687" s="3">
        <v>66</v>
      </c>
      <c r="AH687" s="3">
        <v>0</v>
      </c>
      <c r="AI687" s="3">
        <v>647</v>
      </c>
      <c r="AJ687" s="3">
        <v>162</v>
      </c>
      <c r="AK687" s="3">
        <v>192</v>
      </c>
      <c r="AL687" s="3">
        <v>186</v>
      </c>
      <c r="AM687" s="3">
        <v>186</v>
      </c>
      <c r="AN687" s="3">
        <v>294</v>
      </c>
      <c r="AO687" s="3">
        <v>252</v>
      </c>
      <c r="AP687" s="3">
        <v>264</v>
      </c>
      <c r="AQ687" s="3">
        <v>600</v>
      </c>
      <c r="AR687" s="3">
        <v>408</v>
      </c>
      <c r="AS687" s="3">
        <v>654</v>
      </c>
      <c r="AT687" s="3">
        <v>678</v>
      </c>
      <c r="AU687" s="3">
        <v>372</v>
      </c>
      <c r="AV687" s="3">
        <v>490</v>
      </c>
      <c r="AW687" s="3">
        <v>492</v>
      </c>
    </row>
    <row r="688" spans="1:49">
      <c r="A688" s="4" t="s">
        <v>35</v>
      </c>
      <c r="B688" s="4" t="str">
        <f t="shared" si="10"/>
        <v>Hair Color</v>
      </c>
      <c r="C688" s="4" t="s">
        <v>1786</v>
      </c>
      <c r="D688" s="4" t="s">
        <v>575</v>
      </c>
      <c r="E688" s="24" t="s">
        <v>414</v>
      </c>
      <c r="F688" s="12" t="s">
        <v>419</v>
      </c>
      <c r="G688" s="4" t="s">
        <v>1787</v>
      </c>
      <c r="H688" s="3">
        <v>690</v>
      </c>
      <c r="I688" s="3">
        <v>828</v>
      </c>
      <c r="J688" s="3">
        <v>714</v>
      </c>
      <c r="K688" s="3">
        <v>348</v>
      </c>
      <c r="L688" s="3">
        <v>630</v>
      </c>
      <c r="M688" s="3">
        <v>720</v>
      </c>
      <c r="N688" s="3">
        <v>462</v>
      </c>
      <c r="O688" s="3">
        <v>654</v>
      </c>
      <c r="P688" s="3">
        <v>504</v>
      </c>
      <c r="Q688" s="3">
        <v>372</v>
      </c>
      <c r="R688" s="3">
        <v>720</v>
      </c>
      <c r="S688" s="3">
        <v>582</v>
      </c>
      <c r="T688" s="3">
        <v>582</v>
      </c>
      <c r="U688" s="3">
        <v>558</v>
      </c>
      <c r="V688" s="3">
        <v>712</v>
      </c>
      <c r="W688" s="3">
        <v>426</v>
      </c>
      <c r="X688" s="3">
        <v>918</v>
      </c>
      <c r="Y688" s="3">
        <v>972</v>
      </c>
      <c r="Z688" s="3">
        <v>234</v>
      </c>
      <c r="AA688" s="3">
        <v>438</v>
      </c>
      <c r="AB688" s="3">
        <v>624</v>
      </c>
      <c r="AC688" s="3">
        <v>114</v>
      </c>
      <c r="AD688" s="3">
        <v>390</v>
      </c>
      <c r="AE688" s="3">
        <v>240</v>
      </c>
      <c r="AF688" s="3">
        <v>648</v>
      </c>
      <c r="AG688" s="3">
        <v>156</v>
      </c>
      <c r="AH688" s="3">
        <v>0</v>
      </c>
      <c r="AI688" s="3">
        <v>1032</v>
      </c>
      <c r="AJ688" s="3">
        <v>120</v>
      </c>
      <c r="AK688" s="3">
        <v>468</v>
      </c>
      <c r="AL688" s="3">
        <v>360</v>
      </c>
      <c r="AM688" s="3">
        <v>378</v>
      </c>
      <c r="AN688" s="3">
        <v>438</v>
      </c>
      <c r="AO688" s="3">
        <v>588</v>
      </c>
      <c r="AP688" s="3">
        <v>408</v>
      </c>
      <c r="AQ688" s="3">
        <v>684</v>
      </c>
      <c r="AR688" s="3">
        <v>660</v>
      </c>
      <c r="AS688" s="3">
        <v>348</v>
      </c>
      <c r="AT688" s="3">
        <v>696</v>
      </c>
      <c r="AU688" s="3">
        <v>504</v>
      </c>
      <c r="AV688" s="3">
        <v>594</v>
      </c>
      <c r="AW688" s="3">
        <v>432</v>
      </c>
    </row>
    <row r="689" spans="1:49">
      <c r="A689" s="4" t="s">
        <v>35</v>
      </c>
      <c r="B689" s="4" t="str">
        <f t="shared" si="10"/>
        <v>Hair Color</v>
      </c>
      <c r="C689" s="4" t="s">
        <v>1786</v>
      </c>
      <c r="D689" s="4" t="s">
        <v>575</v>
      </c>
      <c r="E689" s="24" t="s">
        <v>414</v>
      </c>
      <c r="F689" s="12" t="s">
        <v>420</v>
      </c>
      <c r="G689" s="4" t="s">
        <v>1787</v>
      </c>
      <c r="H689" s="3">
        <v>696</v>
      </c>
      <c r="I689" s="3">
        <v>726</v>
      </c>
      <c r="J689" s="3">
        <v>672</v>
      </c>
      <c r="K689" s="3">
        <v>294</v>
      </c>
      <c r="L689" s="3">
        <v>540</v>
      </c>
      <c r="M689" s="3">
        <v>564</v>
      </c>
      <c r="N689" s="3">
        <v>360</v>
      </c>
      <c r="O689" s="3">
        <v>498</v>
      </c>
      <c r="P689" s="3">
        <v>492</v>
      </c>
      <c r="Q689" s="3">
        <v>288</v>
      </c>
      <c r="R689" s="3">
        <v>498</v>
      </c>
      <c r="S689" s="3">
        <v>426</v>
      </c>
      <c r="T689" s="3">
        <v>510</v>
      </c>
      <c r="U689" s="3">
        <v>396</v>
      </c>
      <c r="V689" s="3">
        <v>504</v>
      </c>
      <c r="W689" s="3">
        <v>408</v>
      </c>
      <c r="X689" s="3">
        <v>606</v>
      </c>
      <c r="Y689" s="3">
        <v>624</v>
      </c>
      <c r="Z689" s="3">
        <v>216</v>
      </c>
      <c r="AA689" s="3">
        <v>324</v>
      </c>
      <c r="AB689" s="3">
        <v>660</v>
      </c>
      <c r="AC689" s="3">
        <v>12</v>
      </c>
      <c r="AD689" s="3">
        <v>444</v>
      </c>
      <c r="AE689" s="3">
        <v>354</v>
      </c>
      <c r="AF689" s="3">
        <v>444</v>
      </c>
      <c r="AG689" s="3">
        <v>0</v>
      </c>
      <c r="AH689" s="3">
        <v>0</v>
      </c>
      <c r="AI689" s="3">
        <v>1242</v>
      </c>
      <c r="AJ689" s="3">
        <v>138</v>
      </c>
      <c r="AK689" s="3">
        <v>294</v>
      </c>
      <c r="AL689" s="3">
        <v>312</v>
      </c>
      <c r="AM689" s="3">
        <v>366</v>
      </c>
      <c r="AN689" s="3">
        <v>300</v>
      </c>
      <c r="AO689" s="3">
        <v>504</v>
      </c>
      <c r="AP689" s="3">
        <v>396</v>
      </c>
      <c r="AQ689" s="3">
        <v>630</v>
      </c>
      <c r="AR689" s="3">
        <v>426</v>
      </c>
      <c r="AS689" s="3">
        <v>246</v>
      </c>
      <c r="AT689" s="3">
        <v>354</v>
      </c>
      <c r="AU689" s="3">
        <v>653</v>
      </c>
      <c r="AV689" s="3">
        <v>558</v>
      </c>
      <c r="AW689" s="3">
        <v>456</v>
      </c>
    </row>
    <row r="690" spans="1:49">
      <c r="A690" s="4" t="s">
        <v>35</v>
      </c>
      <c r="B690" s="4" t="str">
        <f t="shared" si="10"/>
        <v>Hair Color</v>
      </c>
      <c r="C690" s="4" t="s">
        <v>1786</v>
      </c>
      <c r="D690" s="4" t="s">
        <v>575</v>
      </c>
      <c r="E690" s="24" t="s">
        <v>414</v>
      </c>
      <c r="F690" s="12" t="s">
        <v>421</v>
      </c>
      <c r="G690" s="4" t="s">
        <v>1787</v>
      </c>
      <c r="H690" s="3">
        <v>384</v>
      </c>
      <c r="I690" s="3">
        <v>378</v>
      </c>
      <c r="J690" s="3">
        <v>252</v>
      </c>
      <c r="K690" s="3">
        <v>222</v>
      </c>
      <c r="L690" s="3">
        <v>360</v>
      </c>
      <c r="M690" s="3">
        <v>438</v>
      </c>
      <c r="N690" s="3">
        <v>222</v>
      </c>
      <c r="O690" s="3">
        <v>288</v>
      </c>
      <c r="P690" s="3">
        <v>330</v>
      </c>
      <c r="Q690" s="3">
        <v>180</v>
      </c>
      <c r="R690" s="3">
        <v>348</v>
      </c>
      <c r="S690" s="3">
        <v>252</v>
      </c>
      <c r="T690" s="3">
        <v>318</v>
      </c>
      <c r="U690" s="3">
        <v>258</v>
      </c>
      <c r="V690" s="3">
        <v>306</v>
      </c>
      <c r="W690" s="3">
        <v>216</v>
      </c>
      <c r="X690" s="3">
        <v>186</v>
      </c>
      <c r="Y690" s="3">
        <v>384</v>
      </c>
      <c r="Z690" s="3">
        <v>288</v>
      </c>
      <c r="AA690" s="3">
        <v>258</v>
      </c>
      <c r="AB690" s="3">
        <v>336</v>
      </c>
      <c r="AC690" s="3">
        <v>24</v>
      </c>
      <c r="AD690" s="3">
        <v>240</v>
      </c>
      <c r="AE690" s="3">
        <v>198</v>
      </c>
      <c r="AF690" s="3">
        <v>304</v>
      </c>
      <c r="AG690" s="3">
        <v>270</v>
      </c>
      <c r="AH690" s="3">
        <v>144</v>
      </c>
      <c r="AI690" s="3">
        <v>432</v>
      </c>
      <c r="AJ690" s="3">
        <v>264</v>
      </c>
      <c r="AK690" s="3">
        <v>204</v>
      </c>
      <c r="AL690" s="3">
        <v>234</v>
      </c>
      <c r="AM690" s="3">
        <v>288</v>
      </c>
      <c r="AN690" s="3">
        <v>312</v>
      </c>
      <c r="AO690" s="3">
        <v>204</v>
      </c>
      <c r="AP690" s="3">
        <v>354</v>
      </c>
      <c r="AQ690" s="3">
        <v>450</v>
      </c>
      <c r="AR690" s="3">
        <v>420</v>
      </c>
      <c r="AS690" s="3">
        <v>204</v>
      </c>
      <c r="AT690" s="3">
        <v>420</v>
      </c>
      <c r="AU690" s="3">
        <v>462</v>
      </c>
      <c r="AV690" s="3">
        <v>300</v>
      </c>
      <c r="AW690" s="3">
        <v>276</v>
      </c>
    </row>
    <row r="691" spans="1:49">
      <c r="A691" s="4" t="s">
        <v>35</v>
      </c>
      <c r="B691" s="4" t="str">
        <f t="shared" si="10"/>
        <v>Hair Color</v>
      </c>
      <c r="C691" s="4" t="s">
        <v>1786</v>
      </c>
      <c r="D691" s="4" t="s">
        <v>575</v>
      </c>
      <c r="E691" s="24" t="s">
        <v>414</v>
      </c>
      <c r="F691" s="12" t="s">
        <v>422</v>
      </c>
      <c r="G691" s="4" t="s">
        <v>1787</v>
      </c>
      <c r="H691" s="3">
        <v>606</v>
      </c>
      <c r="I691" s="3">
        <v>654</v>
      </c>
      <c r="J691" s="3">
        <v>384</v>
      </c>
      <c r="K691" s="3">
        <v>366</v>
      </c>
      <c r="L691" s="3">
        <v>540</v>
      </c>
      <c r="M691" s="3">
        <v>630</v>
      </c>
      <c r="N691" s="3">
        <v>396</v>
      </c>
      <c r="O691" s="3">
        <v>462</v>
      </c>
      <c r="P691" s="3">
        <v>402</v>
      </c>
      <c r="Q691" s="3">
        <v>324</v>
      </c>
      <c r="R691" s="3">
        <v>498</v>
      </c>
      <c r="S691" s="3">
        <v>402</v>
      </c>
      <c r="T691" s="3">
        <v>516</v>
      </c>
      <c r="U691" s="3">
        <v>504</v>
      </c>
      <c r="V691" s="3">
        <v>582</v>
      </c>
      <c r="W691" s="3">
        <v>276</v>
      </c>
      <c r="X691" s="3">
        <v>324</v>
      </c>
      <c r="Y691" s="3">
        <v>600</v>
      </c>
      <c r="Z691" s="3">
        <v>276</v>
      </c>
      <c r="AA691" s="3">
        <v>510</v>
      </c>
      <c r="AB691" s="3">
        <v>588</v>
      </c>
      <c r="AC691" s="3">
        <v>180</v>
      </c>
      <c r="AD691" s="3">
        <v>462</v>
      </c>
      <c r="AE691" s="3">
        <v>426</v>
      </c>
      <c r="AF691" s="3">
        <v>240</v>
      </c>
      <c r="AG691" s="3">
        <v>12</v>
      </c>
      <c r="AH691" s="3">
        <v>0</v>
      </c>
      <c r="AI691" s="3">
        <v>1578</v>
      </c>
      <c r="AJ691" s="3">
        <v>228</v>
      </c>
      <c r="AK691" s="3">
        <v>294</v>
      </c>
      <c r="AL691" s="3">
        <v>456</v>
      </c>
      <c r="AM691" s="3">
        <v>480</v>
      </c>
      <c r="AN691" s="3">
        <v>450</v>
      </c>
      <c r="AO691" s="3">
        <v>564</v>
      </c>
      <c r="AP691" s="3">
        <v>540</v>
      </c>
      <c r="AQ691" s="3">
        <v>594</v>
      </c>
      <c r="AR691" s="3">
        <v>552</v>
      </c>
      <c r="AS691" s="3">
        <v>390</v>
      </c>
      <c r="AT691" s="3">
        <v>690</v>
      </c>
      <c r="AU691" s="3">
        <v>624</v>
      </c>
      <c r="AV691" s="3">
        <v>714</v>
      </c>
      <c r="AW691" s="3">
        <v>486</v>
      </c>
    </row>
    <row r="692" spans="1:49">
      <c r="A692" s="4" t="s">
        <v>35</v>
      </c>
      <c r="B692" s="4" t="str">
        <f t="shared" si="10"/>
        <v>Hair Color</v>
      </c>
      <c r="C692" s="4" t="s">
        <v>1786</v>
      </c>
      <c r="D692" s="4" t="s">
        <v>575</v>
      </c>
      <c r="E692" s="24" t="s">
        <v>414</v>
      </c>
      <c r="F692" s="12" t="s">
        <v>423</v>
      </c>
      <c r="G692" s="4" t="s">
        <v>1787</v>
      </c>
      <c r="H692" s="3">
        <v>948</v>
      </c>
      <c r="I692" s="3">
        <v>1026</v>
      </c>
      <c r="J692" s="3">
        <v>1080</v>
      </c>
      <c r="K692" s="3">
        <v>294</v>
      </c>
      <c r="L692" s="3">
        <v>816</v>
      </c>
      <c r="M692" s="3">
        <v>1002</v>
      </c>
      <c r="N692" s="3">
        <v>558</v>
      </c>
      <c r="O692" s="3">
        <v>906</v>
      </c>
      <c r="P692" s="3">
        <v>714</v>
      </c>
      <c r="Q692" s="3">
        <v>576</v>
      </c>
      <c r="R692" s="3">
        <v>888</v>
      </c>
      <c r="S692" s="3">
        <v>672</v>
      </c>
      <c r="T692" s="3">
        <v>882</v>
      </c>
      <c r="U692" s="3">
        <v>618</v>
      </c>
      <c r="V692" s="3">
        <v>888</v>
      </c>
      <c r="W692" s="3">
        <v>492</v>
      </c>
      <c r="X692" s="3">
        <v>1104</v>
      </c>
      <c r="Y692" s="3">
        <v>936</v>
      </c>
      <c r="Z692" s="3">
        <v>300</v>
      </c>
      <c r="AA692" s="3">
        <v>534</v>
      </c>
      <c r="AB692" s="3">
        <v>786</v>
      </c>
      <c r="AC692" s="3">
        <v>108</v>
      </c>
      <c r="AD692" s="3">
        <v>318</v>
      </c>
      <c r="AE692" s="3">
        <v>474</v>
      </c>
      <c r="AF692" s="3">
        <v>744</v>
      </c>
      <c r="AG692" s="3">
        <v>48</v>
      </c>
      <c r="AH692" s="3">
        <v>0</v>
      </c>
      <c r="AI692" s="3">
        <v>1854</v>
      </c>
      <c r="AJ692" s="3">
        <v>324</v>
      </c>
      <c r="AK692" s="3">
        <v>372</v>
      </c>
      <c r="AL692" s="3">
        <v>504</v>
      </c>
      <c r="AM692" s="3">
        <v>600</v>
      </c>
      <c r="AN692" s="3">
        <v>564</v>
      </c>
      <c r="AO692" s="3">
        <v>684</v>
      </c>
      <c r="AP692" s="3">
        <v>528</v>
      </c>
      <c r="AQ692" s="3">
        <v>1080</v>
      </c>
      <c r="AR692" s="3">
        <v>618</v>
      </c>
      <c r="AS692" s="3">
        <v>504</v>
      </c>
      <c r="AT692" s="3">
        <v>762</v>
      </c>
      <c r="AU692" s="3">
        <v>660</v>
      </c>
      <c r="AV692" s="3">
        <v>574</v>
      </c>
      <c r="AW692" s="3">
        <v>636</v>
      </c>
    </row>
    <row r="693" spans="1:49">
      <c r="A693" s="4" t="s">
        <v>35</v>
      </c>
      <c r="B693" s="4" t="str">
        <f t="shared" si="10"/>
        <v>Hair Color</v>
      </c>
      <c r="C693" s="4" t="s">
        <v>1786</v>
      </c>
      <c r="D693" s="4" t="s">
        <v>575</v>
      </c>
      <c r="E693" s="24" t="s">
        <v>414</v>
      </c>
      <c r="F693" s="12" t="s">
        <v>424</v>
      </c>
      <c r="G693" s="4" t="s">
        <v>1787</v>
      </c>
      <c r="H693" s="3">
        <v>1500</v>
      </c>
      <c r="I693" s="3">
        <v>1410</v>
      </c>
      <c r="J693" s="3">
        <v>1746</v>
      </c>
      <c r="K693" s="3">
        <v>528</v>
      </c>
      <c r="L693" s="3">
        <v>1152</v>
      </c>
      <c r="M693" s="3">
        <v>1434</v>
      </c>
      <c r="N693" s="3">
        <v>774</v>
      </c>
      <c r="O693" s="3">
        <v>1176</v>
      </c>
      <c r="P693" s="3">
        <v>1104</v>
      </c>
      <c r="Q693" s="3">
        <v>726</v>
      </c>
      <c r="R693" s="3">
        <v>1212</v>
      </c>
      <c r="S693" s="3">
        <v>1176</v>
      </c>
      <c r="T693" s="3">
        <v>1170</v>
      </c>
      <c r="U693" s="3">
        <v>1056</v>
      </c>
      <c r="V693" s="3">
        <v>1536</v>
      </c>
      <c r="W693" s="3">
        <v>828</v>
      </c>
      <c r="X693" s="3">
        <v>1710</v>
      </c>
      <c r="Y693" s="3">
        <v>1644</v>
      </c>
      <c r="Z693" s="3">
        <v>504</v>
      </c>
      <c r="AA693" s="3">
        <v>1056</v>
      </c>
      <c r="AB693" s="3">
        <v>1518</v>
      </c>
      <c r="AC693" s="3">
        <v>90</v>
      </c>
      <c r="AD693" s="3">
        <v>786</v>
      </c>
      <c r="AE693" s="3">
        <v>558</v>
      </c>
      <c r="AF693" s="3">
        <v>1194</v>
      </c>
      <c r="AG693" s="3">
        <v>780</v>
      </c>
      <c r="AH693" s="3">
        <v>672</v>
      </c>
      <c r="AI693" s="3">
        <v>948</v>
      </c>
      <c r="AJ693" s="3">
        <v>810</v>
      </c>
      <c r="AK693" s="3">
        <v>972</v>
      </c>
      <c r="AL693" s="3">
        <v>618</v>
      </c>
      <c r="AM693" s="3">
        <v>1078</v>
      </c>
      <c r="AN693" s="3">
        <v>882</v>
      </c>
      <c r="AO693" s="3">
        <v>1080</v>
      </c>
      <c r="AP693" s="3">
        <v>822</v>
      </c>
      <c r="AQ693" s="3">
        <v>1506</v>
      </c>
      <c r="AR693" s="3">
        <v>960</v>
      </c>
      <c r="AS693" s="3">
        <v>738</v>
      </c>
      <c r="AT693" s="3">
        <v>1494</v>
      </c>
      <c r="AU693" s="3">
        <v>1158</v>
      </c>
      <c r="AV693" s="3">
        <v>1314</v>
      </c>
      <c r="AW693" s="3">
        <v>1110</v>
      </c>
    </row>
    <row r="694" spans="1:49">
      <c r="A694" s="4" t="s">
        <v>35</v>
      </c>
      <c r="B694" s="4" t="str">
        <f t="shared" si="10"/>
        <v>Hair Color</v>
      </c>
      <c r="C694" s="4" t="s">
        <v>1786</v>
      </c>
      <c r="D694" s="4" t="s">
        <v>575</v>
      </c>
      <c r="E694" s="24" t="s">
        <v>414</v>
      </c>
      <c r="F694" s="12" t="s">
        <v>425</v>
      </c>
      <c r="G694" s="4" t="s">
        <v>1787</v>
      </c>
      <c r="H694" s="3">
        <v>654</v>
      </c>
      <c r="I694" s="3">
        <v>834</v>
      </c>
      <c r="J694" s="3">
        <v>594</v>
      </c>
      <c r="K694" s="3">
        <v>336</v>
      </c>
      <c r="L694" s="3">
        <v>570</v>
      </c>
      <c r="M694" s="3">
        <v>737</v>
      </c>
      <c r="N694" s="3">
        <v>486</v>
      </c>
      <c r="O694" s="3">
        <v>564</v>
      </c>
      <c r="P694" s="3">
        <v>570</v>
      </c>
      <c r="Q694" s="3">
        <v>340</v>
      </c>
      <c r="R694" s="3">
        <v>558</v>
      </c>
      <c r="S694" s="3">
        <v>420</v>
      </c>
      <c r="T694" s="3">
        <v>504</v>
      </c>
      <c r="U694" s="3">
        <v>480</v>
      </c>
      <c r="V694" s="3">
        <v>480</v>
      </c>
      <c r="W694" s="3">
        <v>330</v>
      </c>
      <c r="X694" s="3">
        <v>354</v>
      </c>
      <c r="Y694" s="3">
        <v>660</v>
      </c>
      <c r="Z694" s="3">
        <v>228</v>
      </c>
      <c r="AA694" s="3">
        <v>420</v>
      </c>
      <c r="AB694" s="3">
        <v>642</v>
      </c>
      <c r="AC694" s="3">
        <v>72</v>
      </c>
      <c r="AD694" s="3">
        <v>420</v>
      </c>
      <c r="AE694" s="3">
        <v>270</v>
      </c>
      <c r="AF694" s="3">
        <v>384</v>
      </c>
      <c r="AG694" s="3">
        <v>408</v>
      </c>
      <c r="AH694" s="3">
        <v>360</v>
      </c>
      <c r="AI694" s="3">
        <v>648</v>
      </c>
      <c r="AJ694" s="3">
        <v>250</v>
      </c>
      <c r="AK694" s="3">
        <v>444</v>
      </c>
      <c r="AL694" s="3">
        <v>330</v>
      </c>
      <c r="AM694" s="3">
        <v>444</v>
      </c>
      <c r="AN694" s="3">
        <v>438</v>
      </c>
      <c r="AO694" s="3">
        <v>510</v>
      </c>
      <c r="AP694" s="3">
        <v>348</v>
      </c>
      <c r="AQ694" s="3">
        <v>612</v>
      </c>
      <c r="AR694" s="3">
        <v>576</v>
      </c>
      <c r="AS694" s="3">
        <v>312</v>
      </c>
      <c r="AT694" s="3">
        <v>684</v>
      </c>
      <c r="AU694" s="3">
        <v>504</v>
      </c>
      <c r="AV694" s="3">
        <v>684</v>
      </c>
      <c r="AW694" s="3">
        <v>540</v>
      </c>
    </row>
    <row r="695" spans="1:49">
      <c r="A695" s="4" t="s">
        <v>35</v>
      </c>
      <c r="B695" s="4" t="str">
        <f t="shared" si="10"/>
        <v>Hair Color</v>
      </c>
      <c r="C695" s="4" t="s">
        <v>1786</v>
      </c>
      <c r="D695" s="4" t="s">
        <v>575</v>
      </c>
      <c r="E695" s="24" t="s">
        <v>414</v>
      </c>
      <c r="F695" s="12" t="s">
        <v>426</v>
      </c>
      <c r="G695" s="4" t="s">
        <v>1787</v>
      </c>
      <c r="H695" s="3">
        <v>1020</v>
      </c>
      <c r="I695" s="3">
        <v>1074</v>
      </c>
      <c r="J695" s="3">
        <v>1242</v>
      </c>
      <c r="K695" s="3">
        <v>384</v>
      </c>
      <c r="L695" s="3">
        <v>912</v>
      </c>
      <c r="M695" s="3">
        <v>1182</v>
      </c>
      <c r="N695" s="3">
        <v>612</v>
      </c>
      <c r="O695" s="3">
        <v>744</v>
      </c>
      <c r="P695" s="3">
        <v>798</v>
      </c>
      <c r="Q695" s="3">
        <v>618</v>
      </c>
      <c r="R695" s="3">
        <v>924</v>
      </c>
      <c r="S695" s="3">
        <v>678</v>
      </c>
      <c r="T695" s="3">
        <v>828</v>
      </c>
      <c r="U695" s="3">
        <v>702</v>
      </c>
      <c r="V695" s="3">
        <v>876</v>
      </c>
      <c r="W695" s="3">
        <v>570</v>
      </c>
      <c r="X695" s="3">
        <v>1278</v>
      </c>
      <c r="Y695" s="3">
        <v>1278</v>
      </c>
      <c r="Z695" s="3">
        <v>420</v>
      </c>
      <c r="AA695" s="3">
        <v>738</v>
      </c>
      <c r="AB695" s="3">
        <v>1110</v>
      </c>
      <c r="AC695" s="3">
        <v>120</v>
      </c>
      <c r="AD695" s="3">
        <v>468</v>
      </c>
      <c r="AE695" s="3">
        <v>414</v>
      </c>
      <c r="AF695" s="3">
        <v>882</v>
      </c>
      <c r="AG695" s="3">
        <v>534</v>
      </c>
      <c r="AH695" s="3">
        <v>300</v>
      </c>
      <c r="AI695" s="3">
        <v>1092</v>
      </c>
      <c r="AJ695" s="3">
        <v>618</v>
      </c>
      <c r="AK695" s="3">
        <v>780</v>
      </c>
      <c r="AL695" s="3">
        <v>642</v>
      </c>
      <c r="AM695" s="3">
        <v>858</v>
      </c>
      <c r="AN695" s="3">
        <v>720</v>
      </c>
      <c r="AO695" s="3">
        <v>996</v>
      </c>
      <c r="AP695" s="3">
        <v>654</v>
      </c>
      <c r="AQ695" s="3">
        <v>516</v>
      </c>
      <c r="AR695" s="3">
        <v>1218</v>
      </c>
      <c r="AS695" s="3">
        <v>534</v>
      </c>
      <c r="AT695" s="3">
        <v>1062</v>
      </c>
      <c r="AU695" s="3">
        <v>948</v>
      </c>
      <c r="AV695" s="3">
        <v>1032</v>
      </c>
      <c r="AW695" s="3">
        <v>672</v>
      </c>
    </row>
    <row r="696" spans="1:49">
      <c r="A696" s="4" t="s">
        <v>35</v>
      </c>
      <c r="B696" s="4" t="str">
        <f t="shared" si="10"/>
        <v>Hair Color</v>
      </c>
      <c r="C696" s="4" t="s">
        <v>1786</v>
      </c>
      <c r="D696" s="4" t="s">
        <v>575</v>
      </c>
      <c r="E696" s="24" t="s">
        <v>414</v>
      </c>
      <c r="F696" s="12" t="s">
        <v>427</v>
      </c>
      <c r="G696" s="4" t="s">
        <v>1787</v>
      </c>
      <c r="H696" s="3">
        <v>186</v>
      </c>
      <c r="I696" s="3">
        <v>540</v>
      </c>
      <c r="J696" s="3">
        <v>0</v>
      </c>
      <c r="K696" s="3">
        <v>510</v>
      </c>
      <c r="L696" s="3">
        <v>396</v>
      </c>
      <c r="M696" s="3">
        <v>528</v>
      </c>
      <c r="N696" s="3">
        <v>276</v>
      </c>
      <c r="O696" s="3">
        <v>270</v>
      </c>
      <c r="P696" s="3">
        <v>486</v>
      </c>
      <c r="Q696" s="3">
        <v>222</v>
      </c>
      <c r="R696" s="3">
        <v>426</v>
      </c>
      <c r="S696" s="3">
        <v>276</v>
      </c>
      <c r="T696" s="3">
        <v>336</v>
      </c>
      <c r="U696" s="3">
        <v>282</v>
      </c>
      <c r="V696" s="3">
        <v>312</v>
      </c>
      <c r="W696" s="3">
        <v>234</v>
      </c>
      <c r="X696" s="3">
        <v>282</v>
      </c>
      <c r="Y696" s="3">
        <v>504</v>
      </c>
      <c r="Z696" s="3">
        <v>414</v>
      </c>
      <c r="AA696" s="3">
        <v>294</v>
      </c>
      <c r="AB696" s="3">
        <v>420</v>
      </c>
      <c r="AC696" s="3">
        <v>66</v>
      </c>
      <c r="AD696" s="3">
        <v>222</v>
      </c>
      <c r="AE696" s="3">
        <v>312</v>
      </c>
      <c r="AF696" s="3">
        <v>504</v>
      </c>
      <c r="AG696" s="3">
        <v>210</v>
      </c>
      <c r="AH696" s="3">
        <v>252</v>
      </c>
      <c r="AI696" s="3">
        <v>450</v>
      </c>
      <c r="AJ696" s="3">
        <v>184</v>
      </c>
      <c r="AK696" s="3">
        <v>384</v>
      </c>
      <c r="AL696" s="3">
        <v>264</v>
      </c>
      <c r="AM696" s="3">
        <v>348</v>
      </c>
      <c r="AN696" s="3">
        <v>288</v>
      </c>
      <c r="AO696" s="3">
        <v>498</v>
      </c>
      <c r="AP696" s="3">
        <v>366</v>
      </c>
      <c r="AQ696" s="3">
        <v>384</v>
      </c>
      <c r="AR696" s="3">
        <v>600</v>
      </c>
      <c r="AS696" s="3">
        <v>246</v>
      </c>
      <c r="AT696" s="3">
        <v>384</v>
      </c>
      <c r="AU696" s="3">
        <v>384</v>
      </c>
      <c r="AV696" s="3">
        <v>636</v>
      </c>
      <c r="AW696" s="3">
        <v>372</v>
      </c>
    </row>
    <row r="697" spans="1:49">
      <c r="A697" s="4" t="s">
        <v>35</v>
      </c>
      <c r="B697" s="4" t="str">
        <f t="shared" si="10"/>
        <v>Hair Color</v>
      </c>
      <c r="C697" s="4" t="s">
        <v>1786</v>
      </c>
      <c r="D697" s="4" t="s">
        <v>575</v>
      </c>
      <c r="E697" s="24" t="s">
        <v>414</v>
      </c>
      <c r="F697" s="12" t="s">
        <v>428</v>
      </c>
      <c r="G697" s="4" t="s">
        <v>1787</v>
      </c>
      <c r="H697" s="3">
        <v>1032</v>
      </c>
      <c r="I697" s="3">
        <v>1194</v>
      </c>
      <c r="J697" s="3">
        <v>1338</v>
      </c>
      <c r="K697" s="3">
        <v>354</v>
      </c>
      <c r="L697" s="3">
        <v>834</v>
      </c>
      <c r="M697" s="3">
        <v>1344</v>
      </c>
      <c r="N697" s="3">
        <v>630</v>
      </c>
      <c r="O697" s="3">
        <v>888</v>
      </c>
      <c r="P697" s="3">
        <v>774</v>
      </c>
      <c r="Q697" s="3">
        <v>588</v>
      </c>
      <c r="R697" s="3">
        <v>852</v>
      </c>
      <c r="S697" s="3">
        <v>678</v>
      </c>
      <c r="T697" s="3">
        <v>816</v>
      </c>
      <c r="U697" s="3">
        <v>780</v>
      </c>
      <c r="V697" s="3">
        <v>1002</v>
      </c>
      <c r="W697" s="3">
        <v>690</v>
      </c>
      <c r="X697" s="3">
        <v>1584</v>
      </c>
      <c r="Y697" s="3">
        <v>1272</v>
      </c>
      <c r="Z697" s="3">
        <v>330</v>
      </c>
      <c r="AA697" s="3">
        <v>654</v>
      </c>
      <c r="AB697" s="3">
        <v>1080</v>
      </c>
      <c r="AC697" s="3">
        <v>102</v>
      </c>
      <c r="AD697" s="3">
        <v>420</v>
      </c>
      <c r="AE697" s="3">
        <v>462</v>
      </c>
      <c r="AF697" s="3">
        <v>750</v>
      </c>
      <c r="AG697" s="3">
        <v>564</v>
      </c>
      <c r="AH697" s="3">
        <v>132</v>
      </c>
      <c r="AI697" s="3">
        <v>66</v>
      </c>
      <c r="AJ697" s="3">
        <v>1242</v>
      </c>
      <c r="AK697" s="3">
        <v>1014</v>
      </c>
      <c r="AL697" s="3">
        <v>252</v>
      </c>
      <c r="AM697" s="3">
        <v>1050</v>
      </c>
      <c r="AN697" s="3">
        <v>654</v>
      </c>
      <c r="AO697" s="3">
        <v>696</v>
      </c>
      <c r="AP697" s="3">
        <v>1014</v>
      </c>
      <c r="AQ697" s="3">
        <v>1284</v>
      </c>
      <c r="AR697" s="3">
        <v>936</v>
      </c>
      <c r="AS697" s="3">
        <v>660</v>
      </c>
      <c r="AT697" s="3">
        <v>876</v>
      </c>
      <c r="AU697" s="3">
        <v>930</v>
      </c>
      <c r="AV697" s="3">
        <v>1062</v>
      </c>
      <c r="AW697" s="3">
        <v>774</v>
      </c>
    </row>
    <row r="698" spans="1:49">
      <c r="A698" s="4" t="s">
        <v>35</v>
      </c>
      <c r="B698" s="4" t="str">
        <f t="shared" si="10"/>
        <v>Hair Color</v>
      </c>
      <c r="C698" s="4" t="s">
        <v>1786</v>
      </c>
      <c r="D698" s="4" t="s">
        <v>575</v>
      </c>
      <c r="E698" s="24" t="s">
        <v>414</v>
      </c>
      <c r="F698" s="12" t="s">
        <v>429</v>
      </c>
      <c r="G698" s="4" t="s">
        <v>1787</v>
      </c>
      <c r="H698" s="3">
        <v>408</v>
      </c>
      <c r="I698" s="3">
        <v>408</v>
      </c>
      <c r="J698" s="3">
        <v>306</v>
      </c>
      <c r="K698" s="3">
        <v>276</v>
      </c>
      <c r="L698" s="3">
        <v>294</v>
      </c>
      <c r="M698" s="3">
        <v>426</v>
      </c>
      <c r="N698" s="3">
        <v>246</v>
      </c>
      <c r="O698" s="3">
        <v>288</v>
      </c>
      <c r="P698" s="3">
        <v>354</v>
      </c>
      <c r="Q698" s="3">
        <v>204</v>
      </c>
      <c r="R698" s="3">
        <v>282</v>
      </c>
      <c r="S698" s="3">
        <v>270</v>
      </c>
      <c r="T698" s="3">
        <v>234</v>
      </c>
      <c r="U698" s="3">
        <v>216</v>
      </c>
      <c r="V698" s="3">
        <v>288</v>
      </c>
      <c r="W698" s="3">
        <v>138</v>
      </c>
      <c r="X698" s="3">
        <v>216</v>
      </c>
      <c r="Y698" s="3">
        <v>558</v>
      </c>
      <c r="Z698" s="3">
        <v>108</v>
      </c>
      <c r="AA698" s="3">
        <v>198</v>
      </c>
      <c r="AB698" s="3">
        <v>366</v>
      </c>
      <c r="AC698" s="3">
        <v>60</v>
      </c>
      <c r="AD698" s="3">
        <v>138</v>
      </c>
      <c r="AE698" s="3">
        <v>162</v>
      </c>
      <c r="AF698" s="3">
        <v>198</v>
      </c>
      <c r="AG698" s="3">
        <v>132</v>
      </c>
      <c r="AH698" s="3">
        <v>186</v>
      </c>
      <c r="AI698" s="3">
        <v>504</v>
      </c>
      <c r="AJ698" s="3">
        <v>190</v>
      </c>
      <c r="AK698" s="3">
        <v>216</v>
      </c>
      <c r="AL698" s="3">
        <v>234</v>
      </c>
      <c r="AM698" s="3">
        <v>276</v>
      </c>
      <c r="AN698" s="3">
        <v>228</v>
      </c>
      <c r="AO698" s="3">
        <v>330</v>
      </c>
      <c r="AP698" s="3">
        <v>354</v>
      </c>
      <c r="AQ698" s="3">
        <v>276</v>
      </c>
      <c r="AR698" s="3">
        <v>486</v>
      </c>
      <c r="AS698" s="3">
        <v>276</v>
      </c>
      <c r="AT698" s="3">
        <v>294</v>
      </c>
      <c r="AU698" s="3">
        <v>372</v>
      </c>
      <c r="AV698" s="3">
        <v>408</v>
      </c>
      <c r="AW698" s="3">
        <v>276</v>
      </c>
    </row>
    <row r="699" spans="1:49">
      <c r="A699" s="4" t="s">
        <v>35</v>
      </c>
      <c r="B699" s="4" t="str">
        <f t="shared" si="10"/>
        <v>Hair Color</v>
      </c>
      <c r="C699" s="4" t="s">
        <v>1786</v>
      </c>
      <c r="D699" s="4" t="s">
        <v>575</v>
      </c>
      <c r="E699" s="24" t="s">
        <v>414</v>
      </c>
      <c r="F699" s="12" t="s">
        <v>428</v>
      </c>
      <c r="G699" s="4" t="s">
        <v>1787</v>
      </c>
      <c r="H699" s="3">
        <v>342</v>
      </c>
      <c r="I699" s="3">
        <v>492</v>
      </c>
      <c r="J699" s="3">
        <v>276</v>
      </c>
      <c r="K699" s="3">
        <v>114</v>
      </c>
      <c r="L699" s="3">
        <v>312</v>
      </c>
      <c r="M699" s="3">
        <v>432</v>
      </c>
      <c r="N699" s="3">
        <v>108</v>
      </c>
      <c r="O699" s="3">
        <v>318</v>
      </c>
      <c r="P699" s="3">
        <v>246</v>
      </c>
      <c r="Q699" s="3">
        <v>138</v>
      </c>
      <c r="R699" s="3">
        <v>198</v>
      </c>
      <c r="S699" s="3">
        <v>276</v>
      </c>
      <c r="T699" s="3">
        <v>402</v>
      </c>
      <c r="U699" s="3">
        <v>246</v>
      </c>
      <c r="V699" s="3">
        <v>270</v>
      </c>
      <c r="W699" s="3">
        <v>84</v>
      </c>
      <c r="X699" s="3">
        <v>72</v>
      </c>
      <c r="Y699" s="3">
        <v>390</v>
      </c>
      <c r="Z699" s="3">
        <v>6</v>
      </c>
      <c r="AA699" s="3">
        <v>168</v>
      </c>
      <c r="AB699" s="3">
        <v>276</v>
      </c>
      <c r="AC699" s="3">
        <v>96</v>
      </c>
      <c r="AD699" s="3">
        <v>210</v>
      </c>
      <c r="AE699" s="3">
        <v>114</v>
      </c>
      <c r="AF699" s="3">
        <v>306</v>
      </c>
      <c r="AG699" s="3">
        <v>102</v>
      </c>
      <c r="AH699" s="3">
        <v>126</v>
      </c>
      <c r="AI699" s="3">
        <v>438</v>
      </c>
      <c r="AJ699" s="3">
        <v>72</v>
      </c>
      <c r="AK699" s="3">
        <v>138</v>
      </c>
      <c r="AL699" s="3">
        <v>114</v>
      </c>
      <c r="AM699" s="3">
        <v>162</v>
      </c>
      <c r="AN699" s="3">
        <v>210</v>
      </c>
      <c r="AO699" s="3">
        <v>270</v>
      </c>
      <c r="AP699" s="3">
        <v>210</v>
      </c>
      <c r="AQ699" s="3">
        <v>432</v>
      </c>
      <c r="AR699" s="3">
        <v>162</v>
      </c>
      <c r="AS699" s="3">
        <v>192</v>
      </c>
      <c r="AT699" s="3">
        <v>294</v>
      </c>
      <c r="AU699" s="3">
        <v>336</v>
      </c>
      <c r="AV699" s="3">
        <v>270</v>
      </c>
      <c r="AW699" s="3">
        <v>180</v>
      </c>
    </row>
    <row r="700" spans="1:49">
      <c r="A700" s="4" t="s">
        <v>35</v>
      </c>
      <c r="B700" s="4" t="str">
        <f t="shared" si="10"/>
        <v>Hair Color</v>
      </c>
      <c r="C700" s="4" t="s">
        <v>1786</v>
      </c>
      <c r="D700" s="4" t="s">
        <v>575</v>
      </c>
      <c r="E700" s="24" t="s">
        <v>414</v>
      </c>
      <c r="F700" s="12" t="s">
        <v>430</v>
      </c>
      <c r="G700" s="4" t="s">
        <v>1787</v>
      </c>
      <c r="H700" s="3">
        <v>1416</v>
      </c>
      <c r="I700" s="3">
        <v>1548</v>
      </c>
      <c r="J700" s="3">
        <v>1986</v>
      </c>
      <c r="K700" s="3">
        <v>444</v>
      </c>
      <c r="L700" s="3">
        <v>1194</v>
      </c>
      <c r="M700" s="3">
        <v>1584</v>
      </c>
      <c r="N700" s="3">
        <v>930</v>
      </c>
      <c r="O700" s="3">
        <v>1248</v>
      </c>
      <c r="P700" s="3">
        <v>1020</v>
      </c>
      <c r="Q700" s="3">
        <v>840</v>
      </c>
      <c r="R700" s="3">
        <v>1248</v>
      </c>
      <c r="S700" s="3">
        <v>996</v>
      </c>
      <c r="T700" s="3">
        <v>1194</v>
      </c>
      <c r="U700" s="3">
        <v>1032</v>
      </c>
      <c r="V700" s="3">
        <v>1668</v>
      </c>
      <c r="W700" s="3">
        <v>822</v>
      </c>
      <c r="X700" s="3">
        <v>1596</v>
      </c>
      <c r="Y700" s="3">
        <v>1458</v>
      </c>
      <c r="Z700" s="3">
        <v>462</v>
      </c>
      <c r="AA700" s="3">
        <v>930</v>
      </c>
      <c r="AB700" s="3">
        <v>1452</v>
      </c>
      <c r="AC700" s="3">
        <v>132</v>
      </c>
      <c r="AD700" s="3">
        <v>684</v>
      </c>
      <c r="AE700" s="3">
        <v>582</v>
      </c>
      <c r="AF700" s="3">
        <v>1458</v>
      </c>
      <c r="AG700" s="3">
        <v>336</v>
      </c>
      <c r="AH700" s="3">
        <v>0</v>
      </c>
      <c r="AI700" s="3">
        <v>2334</v>
      </c>
      <c r="AJ700" s="3">
        <v>660</v>
      </c>
      <c r="AK700" s="3">
        <v>1218</v>
      </c>
      <c r="AL700" s="3">
        <v>324</v>
      </c>
      <c r="AM700" s="3">
        <v>1224</v>
      </c>
      <c r="AN700" s="3">
        <v>936</v>
      </c>
      <c r="AO700" s="3">
        <v>1002</v>
      </c>
      <c r="AP700" s="3">
        <v>1092</v>
      </c>
      <c r="AQ700" s="3">
        <v>1554</v>
      </c>
      <c r="AR700" s="3">
        <v>1152</v>
      </c>
      <c r="AS700" s="3">
        <v>924</v>
      </c>
      <c r="AT700" s="3">
        <v>1476</v>
      </c>
      <c r="AU700" s="3">
        <v>1338</v>
      </c>
      <c r="AV700" s="3">
        <v>1134</v>
      </c>
      <c r="AW700" s="3">
        <v>1140</v>
      </c>
    </row>
    <row r="701" spans="1:49">
      <c r="A701" s="4" t="s">
        <v>35</v>
      </c>
      <c r="B701" s="4" t="str">
        <f t="shared" si="10"/>
        <v>Hair Color</v>
      </c>
      <c r="C701" s="4" t="s">
        <v>1786</v>
      </c>
      <c r="D701" s="4" t="s">
        <v>575</v>
      </c>
      <c r="E701" s="24" t="s">
        <v>414</v>
      </c>
      <c r="F701" s="12" t="s">
        <v>431</v>
      </c>
      <c r="G701" s="4" t="s">
        <v>1787</v>
      </c>
      <c r="H701" s="3">
        <v>797</v>
      </c>
      <c r="I701" s="3">
        <v>690</v>
      </c>
      <c r="J701" s="3">
        <v>882</v>
      </c>
      <c r="K701" s="3">
        <v>282</v>
      </c>
      <c r="L701" s="3">
        <v>660</v>
      </c>
      <c r="M701" s="3">
        <v>948</v>
      </c>
      <c r="N701" s="3">
        <v>384</v>
      </c>
      <c r="O701" s="3">
        <v>714</v>
      </c>
      <c r="P701" s="3">
        <v>564</v>
      </c>
      <c r="Q701" s="3">
        <v>324</v>
      </c>
      <c r="R701" s="3">
        <v>630</v>
      </c>
      <c r="S701" s="3">
        <v>438</v>
      </c>
      <c r="T701" s="3">
        <v>654</v>
      </c>
      <c r="U701" s="3">
        <v>510</v>
      </c>
      <c r="V701" s="3">
        <v>696</v>
      </c>
      <c r="W701" s="3">
        <v>384</v>
      </c>
      <c r="X701" s="3">
        <v>954</v>
      </c>
      <c r="Y701" s="3">
        <v>498</v>
      </c>
      <c r="Z701" s="3">
        <v>342</v>
      </c>
      <c r="AA701" s="3">
        <v>642</v>
      </c>
      <c r="AB701" s="3">
        <v>834</v>
      </c>
      <c r="AC701" s="3">
        <v>150</v>
      </c>
      <c r="AD701" s="3">
        <v>618</v>
      </c>
      <c r="AE701" s="3">
        <v>396</v>
      </c>
      <c r="AF701" s="3">
        <v>240</v>
      </c>
      <c r="AG701" s="3">
        <v>6</v>
      </c>
      <c r="AH701" s="3">
        <v>0</v>
      </c>
      <c r="AI701" s="3">
        <v>2052</v>
      </c>
      <c r="AJ701" s="3">
        <v>174</v>
      </c>
      <c r="AK701" s="3">
        <v>396</v>
      </c>
      <c r="AL701" s="3">
        <v>588</v>
      </c>
      <c r="AM701" s="3">
        <v>732</v>
      </c>
      <c r="AN701" s="3">
        <v>644</v>
      </c>
      <c r="AO701" s="3">
        <v>732</v>
      </c>
      <c r="AP701" s="3">
        <v>708</v>
      </c>
      <c r="AQ701" s="3">
        <v>810</v>
      </c>
      <c r="AR701" s="3">
        <v>672</v>
      </c>
      <c r="AS701" s="3">
        <v>492</v>
      </c>
      <c r="AT701" s="3">
        <v>828</v>
      </c>
      <c r="AU701" s="3">
        <v>738</v>
      </c>
      <c r="AV701" s="3">
        <v>780</v>
      </c>
      <c r="AW701" s="3">
        <v>642</v>
      </c>
    </row>
    <row r="702" spans="1:49">
      <c r="A702" s="4" t="s">
        <v>35</v>
      </c>
      <c r="B702" s="4" t="str">
        <f t="shared" si="10"/>
        <v>Hair Color</v>
      </c>
      <c r="C702" s="4" t="s">
        <v>1786</v>
      </c>
      <c r="D702" s="4" t="s">
        <v>575</v>
      </c>
      <c r="E702" s="24" t="s">
        <v>414</v>
      </c>
      <c r="F702" s="12" t="s">
        <v>432</v>
      </c>
      <c r="G702" s="4" t="s">
        <v>1787</v>
      </c>
      <c r="H702" s="3">
        <v>1404</v>
      </c>
      <c r="I702" s="3">
        <v>1866</v>
      </c>
      <c r="J702" s="3">
        <v>1944</v>
      </c>
      <c r="K702" s="3">
        <v>606</v>
      </c>
      <c r="L702" s="3">
        <v>1164</v>
      </c>
      <c r="M702" s="3">
        <v>1668</v>
      </c>
      <c r="N702" s="3">
        <v>978</v>
      </c>
      <c r="O702" s="3">
        <v>1290</v>
      </c>
      <c r="P702" s="3">
        <v>1104</v>
      </c>
      <c r="Q702" s="3">
        <v>900</v>
      </c>
      <c r="R702" s="3">
        <v>1068</v>
      </c>
      <c r="S702" s="3">
        <v>1008</v>
      </c>
      <c r="T702" s="3">
        <v>1152</v>
      </c>
      <c r="U702" s="3">
        <v>1044</v>
      </c>
      <c r="V702" s="3">
        <v>1440</v>
      </c>
      <c r="W702" s="3">
        <v>984</v>
      </c>
      <c r="X702" s="3">
        <v>1884</v>
      </c>
      <c r="Y702" s="3">
        <v>1638</v>
      </c>
      <c r="Z702" s="3">
        <v>588</v>
      </c>
      <c r="AA702" s="3">
        <v>876</v>
      </c>
      <c r="AB702" s="3">
        <v>1560</v>
      </c>
      <c r="AC702" s="3">
        <v>102</v>
      </c>
      <c r="AD702" s="3">
        <v>588</v>
      </c>
      <c r="AE702" s="3">
        <v>594</v>
      </c>
      <c r="AF702" s="3">
        <v>1224</v>
      </c>
      <c r="AG702" s="3">
        <v>318</v>
      </c>
      <c r="AH702" s="3">
        <v>0</v>
      </c>
      <c r="AI702" s="3">
        <v>2940</v>
      </c>
      <c r="AJ702" s="3">
        <v>402</v>
      </c>
      <c r="AK702" s="3">
        <v>1110</v>
      </c>
      <c r="AL702" s="3">
        <v>498</v>
      </c>
      <c r="AM702" s="3">
        <v>1158</v>
      </c>
      <c r="AN702" s="3">
        <v>1092</v>
      </c>
      <c r="AO702" s="3">
        <v>1014</v>
      </c>
      <c r="AP702" s="3">
        <v>1008</v>
      </c>
      <c r="AQ702" s="3">
        <v>1590</v>
      </c>
      <c r="AR702" s="3">
        <v>1290</v>
      </c>
      <c r="AS702" s="3">
        <v>834</v>
      </c>
      <c r="AT702" s="3">
        <v>1410</v>
      </c>
      <c r="AU702" s="3">
        <v>1224</v>
      </c>
      <c r="AV702" s="3">
        <v>1398</v>
      </c>
      <c r="AW702" s="3">
        <v>1122</v>
      </c>
    </row>
    <row r="703" spans="1:49">
      <c r="A703" s="4" t="s">
        <v>35</v>
      </c>
      <c r="B703" s="4" t="str">
        <f t="shared" si="10"/>
        <v>Hair Color</v>
      </c>
      <c r="C703" s="4" t="s">
        <v>1786</v>
      </c>
      <c r="D703" s="4" t="s">
        <v>575</v>
      </c>
      <c r="E703" s="24" t="s">
        <v>414</v>
      </c>
      <c r="F703" s="12" t="s">
        <v>433</v>
      </c>
      <c r="G703" s="4" t="s">
        <v>1787</v>
      </c>
      <c r="H703" s="3">
        <v>510</v>
      </c>
      <c r="I703" s="3">
        <v>540</v>
      </c>
      <c r="J703" s="3">
        <v>468</v>
      </c>
      <c r="K703" s="3">
        <v>270</v>
      </c>
      <c r="L703" s="3">
        <v>396</v>
      </c>
      <c r="M703" s="3">
        <v>774</v>
      </c>
      <c r="N703" s="3">
        <v>258</v>
      </c>
      <c r="O703" s="3">
        <v>426</v>
      </c>
      <c r="P703" s="3">
        <v>402</v>
      </c>
      <c r="Q703" s="3">
        <v>360</v>
      </c>
      <c r="R703" s="3">
        <v>420</v>
      </c>
      <c r="S703" s="3">
        <v>384</v>
      </c>
      <c r="T703" s="3">
        <v>450</v>
      </c>
      <c r="U703" s="3">
        <v>366</v>
      </c>
      <c r="V703" s="3">
        <v>426</v>
      </c>
      <c r="W703" s="3">
        <v>264</v>
      </c>
      <c r="X703" s="3">
        <v>702</v>
      </c>
      <c r="Y703" s="3">
        <v>504</v>
      </c>
      <c r="Z703" s="3">
        <v>144</v>
      </c>
      <c r="AA703" s="3">
        <v>312</v>
      </c>
      <c r="AB703" s="3">
        <v>540</v>
      </c>
      <c r="AC703" s="3">
        <v>42</v>
      </c>
      <c r="AD703" s="3">
        <v>324</v>
      </c>
      <c r="AE703" s="3">
        <v>306</v>
      </c>
      <c r="AF703" s="3">
        <v>444</v>
      </c>
      <c r="AG703" s="3">
        <v>198</v>
      </c>
      <c r="AH703" s="3">
        <v>0</v>
      </c>
      <c r="AI703" s="3">
        <v>984</v>
      </c>
      <c r="AJ703" s="3">
        <v>192</v>
      </c>
      <c r="AK703" s="3">
        <v>306</v>
      </c>
      <c r="AL703" s="3">
        <v>288</v>
      </c>
      <c r="AM703" s="3">
        <v>372</v>
      </c>
      <c r="AN703" s="3">
        <v>396</v>
      </c>
      <c r="AO703" s="3">
        <v>228</v>
      </c>
      <c r="AP703" s="3">
        <v>474</v>
      </c>
      <c r="AQ703" s="3">
        <v>504</v>
      </c>
      <c r="AR703" s="3">
        <v>510</v>
      </c>
      <c r="AS703" s="3">
        <v>342</v>
      </c>
      <c r="AT703" s="3">
        <v>450</v>
      </c>
      <c r="AU703" s="3">
        <v>486</v>
      </c>
      <c r="AV703" s="3">
        <v>444</v>
      </c>
      <c r="AW703" s="3">
        <v>396</v>
      </c>
    </row>
    <row r="704" spans="1:49">
      <c r="A704" s="4" t="s">
        <v>35</v>
      </c>
      <c r="B704" s="4" t="str">
        <f t="shared" si="10"/>
        <v>Hair Color</v>
      </c>
      <c r="C704" s="4" t="s">
        <v>1786</v>
      </c>
      <c r="D704" s="4" t="s">
        <v>575</v>
      </c>
      <c r="E704" s="24" t="s">
        <v>414</v>
      </c>
      <c r="F704" s="12" t="s">
        <v>434</v>
      </c>
      <c r="G704" s="4" t="s">
        <v>1787</v>
      </c>
      <c r="H704" s="3">
        <v>276</v>
      </c>
      <c r="I704" s="3">
        <v>684</v>
      </c>
      <c r="J704" s="3">
        <v>282</v>
      </c>
      <c r="K704" s="3">
        <v>246</v>
      </c>
      <c r="L704" s="3">
        <v>282</v>
      </c>
      <c r="M704" s="3">
        <v>678</v>
      </c>
      <c r="N704" s="3">
        <v>174</v>
      </c>
      <c r="O704" s="3">
        <v>480</v>
      </c>
      <c r="P704" s="3">
        <v>354</v>
      </c>
      <c r="Q704" s="3">
        <v>384</v>
      </c>
      <c r="R704" s="3">
        <v>312</v>
      </c>
      <c r="S704" s="3">
        <v>282</v>
      </c>
      <c r="T704" s="3">
        <v>552</v>
      </c>
      <c r="U704" s="3">
        <v>306</v>
      </c>
      <c r="V704" s="3">
        <v>528</v>
      </c>
      <c r="W704" s="3">
        <v>180</v>
      </c>
      <c r="X704" s="3">
        <v>480</v>
      </c>
      <c r="Y704" s="3">
        <v>450</v>
      </c>
      <c r="Z704" s="3">
        <v>336</v>
      </c>
      <c r="AA704" s="3">
        <v>216</v>
      </c>
      <c r="AB704" s="3">
        <v>462</v>
      </c>
      <c r="AC704" s="3">
        <v>42</v>
      </c>
      <c r="AD704" s="3">
        <v>210</v>
      </c>
      <c r="AE704" s="3">
        <v>282</v>
      </c>
      <c r="AF704" s="3">
        <v>402</v>
      </c>
      <c r="AG704" s="3">
        <v>72</v>
      </c>
      <c r="AH704" s="3">
        <v>0</v>
      </c>
      <c r="AI704" s="3">
        <v>606</v>
      </c>
      <c r="AJ704" s="3">
        <v>222</v>
      </c>
      <c r="AK704" s="3">
        <v>246</v>
      </c>
      <c r="AL704" s="3">
        <v>156</v>
      </c>
      <c r="AM704" s="3">
        <v>252</v>
      </c>
      <c r="AN704" s="3">
        <v>282</v>
      </c>
      <c r="AO704" s="3">
        <v>348</v>
      </c>
      <c r="AP704" s="3">
        <v>174</v>
      </c>
      <c r="AQ704" s="3">
        <v>654</v>
      </c>
      <c r="AR704" s="3">
        <v>246</v>
      </c>
      <c r="AS704" s="3">
        <v>216</v>
      </c>
      <c r="AT704" s="3">
        <v>450</v>
      </c>
      <c r="AU704" s="3">
        <v>198</v>
      </c>
      <c r="AV704" s="3">
        <v>276</v>
      </c>
      <c r="AW704" s="3">
        <v>216</v>
      </c>
    </row>
    <row r="705" spans="1:49">
      <c r="A705" s="4" t="s">
        <v>35</v>
      </c>
      <c r="B705" s="4" t="str">
        <f t="shared" si="10"/>
        <v>Hair Color</v>
      </c>
      <c r="C705" s="4" t="s">
        <v>1786</v>
      </c>
      <c r="D705" s="4" t="s">
        <v>575</v>
      </c>
      <c r="E705" s="24" t="s">
        <v>414</v>
      </c>
      <c r="F705" s="12" t="s">
        <v>435</v>
      </c>
      <c r="G705" s="4" t="s">
        <v>1787</v>
      </c>
      <c r="H705" s="3">
        <v>696</v>
      </c>
      <c r="I705" s="3">
        <v>1218</v>
      </c>
      <c r="J705" s="3">
        <v>696</v>
      </c>
      <c r="K705" s="3">
        <v>438</v>
      </c>
      <c r="L705" s="3">
        <v>702</v>
      </c>
      <c r="M705" s="3">
        <v>1020</v>
      </c>
      <c r="N705" s="3">
        <v>462</v>
      </c>
      <c r="O705" s="3">
        <v>990</v>
      </c>
      <c r="P705" s="3">
        <v>792</v>
      </c>
      <c r="Q705" s="3">
        <v>360</v>
      </c>
      <c r="R705" s="3">
        <v>654</v>
      </c>
      <c r="S705" s="3">
        <v>816</v>
      </c>
      <c r="T705" s="3">
        <v>1194</v>
      </c>
      <c r="U705" s="3">
        <v>618</v>
      </c>
      <c r="V705" s="3">
        <v>1080</v>
      </c>
      <c r="W705" s="3">
        <v>420</v>
      </c>
      <c r="X705" s="3">
        <v>1506</v>
      </c>
      <c r="Y705" s="3">
        <v>1182</v>
      </c>
      <c r="Z705" s="3">
        <v>156</v>
      </c>
      <c r="AA705" s="3">
        <v>276</v>
      </c>
      <c r="AB705" s="3">
        <v>360</v>
      </c>
      <c r="AC705" s="3">
        <v>150</v>
      </c>
      <c r="AD705" s="3">
        <v>288</v>
      </c>
      <c r="AE705" s="3">
        <v>420</v>
      </c>
      <c r="AF705" s="3">
        <v>888</v>
      </c>
      <c r="AG705" s="3">
        <v>666</v>
      </c>
      <c r="AH705" s="3">
        <v>48</v>
      </c>
      <c r="AI705" s="3">
        <v>684</v>
      </c>
      <c r="AJ705" s="3">
        <v>528</v>
      </c>
      <c r="AK705" s="3">
        <v>714</v>
      </c>
      <c r="AL705" s="3">
        <v>390</v>
      </c>
      <c r="AM705" s="3">
        <v>474</v>
      </c>
      <c r="AN705" s="3">
        <v>492</v>
      </c>
      <c r="AO705" s="3">
        <v>660</v>
      </c>
      <c r="AP705" s="3">
        <v>534</v>
      </c>
      <c r="AQ705" s="3">
        <v>1140</v>
      </c>
      <c r="AR705" s="3">
        <v>648</v>
      </c>
      <c r="AS705" s="3">
        <v>426</v>
      </c>
      <c r="AT705" s="3">
        <v>882</v>
      </c>
      <c r="AU705" s="3">
        <v>546</v>
      </c>
      <c r="AV705" s="3">
        <v>678</v>
      </c>
      <c r="AW705" s="3">
        <v>492</v>
      </c>
    </row>
    <row r="706" spans="1:49">
      <c r="A706" s="4" t="s">
        <v>35</v>
      </c>
      <c r="B706" s="4" t="str">
        <f t="shared" si="10"/>
        <v>Hair Color</v>
      </c>
      <c r="C706" s="4" t="s">
        <v>1786</v>
      </c>
      <c r="D706" s="4" t="s">
        <v>575</v>
      </c>
      <c r="E706" s="24" t="s">
        <v>414</v>
      </c>
      <c r="F706" s="12" t="s">
        <v>436</v>
      </c>
      <c r="G706" s="4" t="s">
        <v>1787</v>
      </c>
      <c r="H706" s="3">
        <v>1686</v>
      </c>
      <c r="I706" s="3">
        <v>2022</v>
      </c>
      <c r="J706" s="3">
        <v>2304</v>
      </c>
      <c r="K706" s="3">
        <v>642</v>
      </c>
      <c r="L706" s="3">
        <v>1326</v>
      </c>
      <c r="M706" s="3">
        <v>1878</v>
      </c>
      <c r="N706" s="3">
        <v>1002</v>
      </c>
      <c r="O706" s="3">
        <v>1470</v>
      </c>
      <c r="P706" s="3">
        <v>1290</v>
      </c>
      <c r="Q706" s="3">
        <v>1008</v>
      </c>
      <c r="R706" s="3">
        <v>1410</v>
      </c>
      <c r="S706" s="3">
        <v>1182</v>
      </c>
      <c r="T706" s="3">
        <v>1260</v>
      </c>
      <c r="U706" s="3">
        <v>1134</v>
      </c>
      <c r="V706" s="3">
        <v>2034</v>
      </c>
      <c r="W706" s="3">
        <v>1020</v>
      </c>
      <c r="X706" s="3">
        <v>1890</v>
      </c>
      <c r="Y706" s="3">
        <v>1962</v>
      </c>
      <c r="Z706" s="3">
        <v>618</v>
      </c>
      <c r="AA706" s="3">
        <v>1062</v>
      </c>
      <c r="AB706" s="3">
        <v>1728</v>
      </c>
      <c r="AC706" s="3">
        <v>258</v>
      </c>
      <c r="AD706" s="3">
        <v>858</v>
      </c>
      <c r="AE706" s="3">
        <v>684</v>
      </c>
      <c r="AF706" s="3">
        <v>1374</v>
      </c>
      <c r="AG706" s="3">
        <v>930</v>
      </c>
      <c r="AH706" s="3">
        <v>2400</v>
      </c>
      <c r="AI706" s="3">
        <v>681</v>
      </c>
      <c r="AJ706" s="3">
        <v>570</v>
      </c>
      <c r="AK706" s="3">
        <v>750</v>
      </c>
      <c r="AL706" s="3">
        <v>906</v>
      </c>
      <c r="AM706" s="3">
        <v>1158</v>
      </c>
      <c r="AN706" s="3">
        <v>1152</v>
      </c>
      <c r="AO706" s="3">
        <v>1404</v>
      </c>
      <c r="AP706" s="3">
        <v>1074</v>
      </c>
      <c r="AQ706" s="3">
        <v>1716</v>
      </c>
      <c r="AR706" s="3">
        <v>1356</v>
      </c>
      <c r="AS706" s="3">
        <v>954</v>
      </c>
      <c r="AT706" s="3">
        <v>1458</v>
      </c>
      <c r="AU706" s="3">
        <v>1206</v>
      </c>
      <c r="AV706" s="3">
        <v>1296</v>
      </c>
      <c r="AW706" s="3">
        <v>1146</v>
      </c>
    </row>
    <row r="707" spans="1:49">
      <c r="A707" s="4" t="s">
        <v>35</v>
      </c>
      <c r="B707" s="4" t="str">
        <f t="shared" ref="B707:B770" si="11">A707</f>
        <v>Hair Color</v>
      </c>
      <c r="C707" s="4" t="s">
        <v>1786</v>
      </c>
      <c r="D707" s="4" t="s">
        <v>575</v>
      </c>
      <c r="E707" s="24" t="s">
        <v>414</v>
      </c>
      <c r="F707" s="12" t="s">
        <v>437</v>
      </c>
      <c r="G707" s="4" t="s">
        <v>1787</v>
      </c>
      <c r="H707" s="3">
        <v>1290</v>
      </c>
      <c r="I707" s="3">
        <v>1968</v>
      </c>
      <c r="J707" s="3">
        <v>1824</v>
      </c>
      <c r="K707" s="3">
        <v>582</v>
      </c>
      <c r="L707" s="3">
        <v>1308</v>
      </c>
      <c r="M707" s="3">
        <v>1752</v>
      </c>
      <c r="N707" s="3">
        <v>843</v>
      </c>
      <c r="O707" s="3">
        <v>1464</v>
      </c>
      <c r="P707" s="3">
        <v>1290</v>
      </c>
      <c r="Q707" s="3">
        <v>834</v>
      </c>
      <c r="R707" s="3">
        <v>1356</v>
      </c>
      <c r="S707" s="3">
        <v>1170</v>
      </c>
      <c r="T707" s="3">
        <v>1368</v>
      </c>
      <c r="U707" s="3">
        <v>990</v>
      </c>
      <c r="V707" s="3">
        <v>1812</v>
      </c>
      <c r="W707" s="3">
        <v>780</v>
      </c>
      <c r="X707" s="3">
        <v>1842</v>
      </c>
      <c r="Y707" s="3">
        <v>1482</v>
      </c>
      <c r="Z707" s="3">
        <v>438</v>
      </c>
      <c r="AA707" s="3">
        <v>942</v>
      </c>
      <c r="AB707" s="3">
        <v>1536</v>
      </c>
      <c r="AC707" s="3">
        <v>246</v>
      </c>
      <c r="AD707" s="3">
        <v>630</v>
      </c>
      <c r="AE707" s="3">
        <v>438</v>
      </c>
      <c r="AF707" s="3">
        <v>1368</v>
      </c>
      <c r="AG707" s="3">
        <v>234</v>
      </c>
      <c r="AH707" s="3">
        <v>0</v>
      </c>
      <c r="AI707" s="3">
        <v>2832</v>
      </c>
      <c r="AJ707" s="3">
        <v>468</v>
      </c>
      <c r="AK707" s="3">
        <v>984</v>
      </c>
      <c r="AL707" s="3">
        <v>804</v>
      </c>
      <c r="AM707" s="3">
        <v>840</v>
      </c>
      <c r="AN707" s="3">
        <v>822</v>
      </c>
      <c r="AO707" s="3">
        <v>1032</v>
      </c>
      <c r="AP707" s="3">
        <v>864</v>
      </c>
      <c r="AQ707" s="3">
        <v>1506</v>
      </c>
      <c r="AR707" s="3">
        <v>1056</v>
      </c>
      <c r="AS707" s="3">
        <v>798</v>
      </c>
      <c r="AT707" s="3">
        <v>1524</v>
      </c>
      <c r="AU707" s="3">
        <v>1096</v>
      </c>
      <c r="AV707" s="3">
        <v>1200</v>
      </c>
      <c r="AW707" s="3">
        <v>1152</v>
      </c>
    </row>
    <row r="708" spans="1:49">
      <c r="A708" s="4" t="s">
        <v>35</v>
      </c>
      <c r="B708" s="4" t="str">
        <f t="shared" si="11"/>
        <v>Hair Color</v>
      </c>
      <c r="C708" s="4" t="s">
        <v>1786</v>
      </c>
      <c r="D708" s="4" t="s">
        <v>575</v>
      </c>
      <c r="E708" s="24" t="s">
        <v>414</v>
      </c>
      <c r="F708" s="12" t="s">
        <v>438</v>
      </c>
      <c r="G708" s="4" t="s">
        <v>1787</v>
      </c>
      <c r="H708" s="3">
        <v>498</v>
      </c>
      <c r="I708" s="3">
        <v>522</v>
      </c>
      <c r="J708" s="3">
        <v>510</v>
      </c>
      <c r="K708" s="3">
        <v>264</v>
      </c>
      <c r="L708" s="3">
        <v>372</v>
      </c>
      <c r="M708" s="3">
        <v>486</v>
      </c>
      <c r="N708" s="3">
        <v>288</v>
      </c>
      <c r="O708" s="3">
        <v>360</v>
      </c>
      <c r="P708" s="3">
        <v>330</v>
      </c>
      <c r="Q708" s="3">
        <v>168</v>
      </c>
      <c r="R708" s="3">
        <v>366</v>
      </c>
      <c r="S708" s="3">
        <v>234</v>
      </c>
      <c r="T708" s="3">
        <v>366</v>
      </c>
      <c r="U708" s="3">
        <v>342</v>
      </c>
      <c r="V708" s="3">
        <v>312</v>
      </c>
      <c r="W708" s="3">
        <v>198</v>
      </c>
      <c r="X708" s="3">
        <v>276</v>
      </c>
      <c r="Y708" s="3">
        <v>588</v>
      </c>
      <c r="Z708" s="3">
        <v>144</v>
      </c>
      <c r="AA708" s="3">
        <v>228</v>
      </c>
      <c r="AB708" s="3">
        <v>312</v>
      </c>
      <c r="AC708" s="3">
        <v>82</v>
      </c>
      <c r="AD708" s="3">
        <v>246</v>
      </c>
      <c r="AE708" s="3">
        <v>192</v>
      </c>
      <c r="AF708" s="3">
        <v>414</v>
      </c>
      <c r="AG708" s="3">
        <v>78</v>
      </c>
      <c r="AH708" s="3">
        <v>0</v>
      </c>
      <c r="AI708" s="3">
        <v>630</v>
      </c>
      <c r="AJ708" s="3">
        <v>150</v>
      </c>
      <c r="AK708" s="3">
        <v>186</v>
      </c>
      <c r="AL708" s="3">
        <v>198</v>
      </c>
      <c r="AM708" s="3">
        <v>246</v>
      </c>
      <c r="AN708" s="3">
        <v>258</v>
      </c>
      <c r="AO708" s="3">
        <v>360</v>
      </c>
      <c r="AP708" s="3">
        <v>300</v>
      </c>
      <c r="AQ708" s="3">
        <v>396</v>
      </c>
      <c r="AR708" s="3">
        <v>318</v>
      </c>
      <c r="AS708" s="3">
        <v>282</v>
      </c>
      <c r="AT708" s="3">
        <v>288</v>
      </c>
      <c r="AU708" s="3">
        <v>234</v>
      </c>
      <c r="AV708" s="3">
        <v>341</v>
      </c>
      <c r="AW708" s="3">
        <v>336</v>
      </c>
    </row>
    <row r="709" spans="1:49">
      <c r="A709" s="4" t="s">
        <v>35</v>
      </c>
      <c r="B709" s="4" t="str">
        <f t="shared" si="11"/>
        <v>Hair Color</v>
      </c>
      <c r="C709" s="4" t="s">
        <v>1786</v>
      </c>
      <c r="D709" s="4" t="s">
        <v>575</v>
      </c>
      <c r="E709" s="24" t="s">
        <v>414</v>
      </c>
      <c r="F709" s="12" t="s">
        <v>439</v>
      </c>
      <c r="G709" s="4" t="s">
        <v>1787</v>
      </c>
      <c r="H709" s="3">
        <v>558</v>
      </c>
      <c r="I709" s="3">
        <v>462</v>
      </c>
      <c r="J709" s="3">
        <v>546</v>
      </c>
      <c r="K709" s="3">
        <v>240</v>
      </c>
      <c r="L709" s="3">
        <v>390</v>
      </c>
      <c r="M709" s="3">
        <v>522</v>
      </c>
      <c r="N709" s="3">
        <v>210</v>
      </c>
      <c r="O709" s="3">
        <v>474</v>
      </c>
      <c r="P709" s="3">
        <v>366</v>
      </c>
      <c r="Q709" s="3">
        <v>198</v>
      </c>
      <c r="R709" s="3">
        <v>396</v>
      </c>
      <c r="S709" s="3">
        <v>288</v>
      </c>
      <c r="T709" s="3">
        <v>372</v>
      </c>
      <c r="U709" s="3">
        <v>294</v>
      </c>
      <c r="V709" s="3">
        <v>240</v>
      </c>
      <c r="W709" s="3">
        <v>198</v>
      </c>
      <c r="X709" s="3">
        <v>216</v>
      </c>
      <c r="Y709" s="3">
        <v>552</v>
      </c>
      <c r="Z709" s="3">
        <v>132</v>
      </c>
      <c r="AA709" s="3">
        <v>252</v>
      </c>
      <c r="AB709" s="3">
        <v>378</v>
      </c>
      <c r="AC709" s="3">
        <v>18</v>
      </c>
      <c r="AD709" s="3">
        <v>258</v>
      </c>
      <c r="AE709" s="3">
        <v>84</v>
      </c>
      <c r="AF709" s="3">
        <v>342</v>
      </c>
      <c r="AG709" s="3">
        <v>246</v>
      </c>
      <c r="AH709" s="3">
        <v>240</v>
      </c>
      <c r="AI709" s="3">
        <v>522</v>
      </c>
      <c r="AJ709" s="3">
        <v>198</v>
      </c>
      <c r="AK709" s="3">
        <v>138</v>
      </c>
      <c r="AL709" s="3">
        <v>174</v>
      </c>
      <c r="AM709" s="3">
        <v>246</v>
      </c>
      <c r="AN709" s="3">
        <v>192</v>
      </c>
      <c r="AO709" s="3">
        <v>276</v>
      </c>
      <c r="AP709" s="3">
        <v>210</v>
      </c>
      <c r="AQ709" s="3">
        <v>450</v>
      </c>
      <c r="AR709" s="3">
        <v>270</v>
      </c>
      <c r="AS709" s="3">
        <v>202</v>
      </c>
      <c r="AT709" s="3">
        <v>288</v>
      </c>
      <c r="AU709" s="3">
        <v>285</v>
      </c>
      <c r="AV709" s="3">
        <v>374</v>
      </c>
      <c r="AW709" s="3">
        <v>324</v>
      </c>
    </row>
    <row r="710" spans="1:49">
      <c r="A710" s="4" t="s">
        <v>35</v>
      </c>
      <c r="B710" s="4" t="str">
        <f t="shared" si="11"/>
        <v>Hair Color</v>
      </c>
      <c r="C710" s="4" t="s">
        <v>1786</v>
      </c>
      <c r="D710" s="4" t="s">
        <v>575</v>
      </c>
      <c r="E710" s="24" t="s">
        <v>414</v>
      </c>
      <c r="F710" s="12" t="s">
        <v>440</v>
      </c>
      <c r="G710" s="4" t="s">
        <v>1787</v>
      </c>
      <c r="H710" s="3">
        <v>948</v>
      </c>
      <c r="I710" s="3">
        <v>786</v>
      </c>
      <c r="J710" s="3">
        <v>780</v>
      </c>
      <c r="K710" s="3">
        <v>396</v>
      </c>
      <c r="L710" s="3">
        <v>618</v>
      </c>
      <c r="M710" s="3">
        <v>978</v>
      </c>
      <c r="N710" s="3">
        <v>390</v>
      </c>
      <c r="O710" s="3">
        <v>774</v>
      </c>
      <c r="P710" s="3">
        <v>654</v>
      </c>
      <c r="Q710" s="3">
        <v>390</v>
      </c>
      <c r="R710" s="3">
        <v>600</v>
      </c>
      <c r="S710" s="3">
        <v>480</v>
      </c>
      <c r="T710" s="3">
        <v>630</v>
      </c>
      <c r="U710" s="3">
        <v>503</v>
      </c>
      <c r="V710" s="3">
        <v>534</v>
      </c>
      <c r="W710" s="3">
        <v>306</v>
      </c>
      <c r="X710" s="3">
        <v>996</v>
      </c>
      <c r="Y710" s="3">
        <v>696</v>
      </c>
      <c r="Z710" s="3">
        <v>234</v>
      </c>
      <c r="AA710" s="3">
        <v>546</v>
      </c>
      <c r="AB710" s="3">
        <v>762</v>
      </c>
      <c r="AC710" s="3">
        <v>84</v>
      </c>
      <c r="AD710" s="3">
        <v>252</v>
      </c>
      <c r="AE710" s="3">
        <v>222</v>
      </c>
      <c r="AF710" s="3">
        <v>642</v>
      </c>
      <c r="AG710" s="3">
        <v>384</v>
      </c>
      <c r="AH710" s="3">
        <v>480</v>
      </c>
      <c r="AI710" s="3">
        <v>618</v>
      </c>
      <c r="AJ710" s="3">
        <v>330</v>
      </c>
      <c r="AK710" s="3">
        <v>378</v>
      </c>
      <c r="AL710" s="3">
        <v>330</v>
      </c>
      <c r="AM710" s="3">
        <v>462</v>
      </c>
      <c r="AN710" s="3">
        <v>390</v>
      </c>
      <c r="AO710" s="3">
        <v>552</v>
      </c>
      <c r="AP710" s="3">
        <v>516</v>
      </c>
      <c r="AQ710" s="3">
        <v>666</v>
      </c>
      <c r="AR710" s="3">
        <v>504</v>
      </c>
      <c r="AS710" s="3">
        <v>438</v>
      </c>
      <c r="AT710" s="3">
        <v>558</v>
      </c>
      <c r="AU710" s="3">
        <v>516</v>
      </c>
      <c r="AV710" s="3">
        <v>492</v>
      </c>
      <c r="AW710" s="3">
        <v>450</v>
      </c>
    </row>
    <row r="711" spans="1:49">
      <c r="A711" s="4" t="s">
        <v>35</v>
      </c>
      <c r="B711" s="4" t="str">
        <f t="shared" si="11"/>
        <v>Hair Color</v>
      </c>
      <c r="C711" s="4" t="s">
        <v>1786</v>
      </c>
      <c r="D711" s="4" t="s">
        <v>575</v>
      </c>
      <c r="E711" s="24" t="s">
        <v>441</v>
      </c>
      <c r="F711" s="12" t="s">
        <v>442</v>
      </c>
      <c r="G711" s="4" t="s">
        <v>1787</v>
      </c>
      <c r="H711" s="3">
        <v>261</v>
      </c>
      <c r="I711" s="3">
        <v>384</v>
      </c>
      <c r="J711" s="3">
        <v>201</v>
      </c>
      <c r="K711" s="3">
        <v>273</v>
      </c>
      <c r="L711" s="3">
        <v>354</v>
      </c>
      <c r="M711" s="3">
        <v>339</v>
      </c>
      <c r="N711" s="3">
        <v>216</v>
      </c>
      <c r="O711" s="3">
        <v>372</v>
      </c>
      <c r="P711" s="3">
        <v>276</v>
      </c>
      <c r="Q711" s="3">
        <v>174</v>
      </c>
      <c r="R711" s="3">
        <v>414</v>
      </c>
      <c r="S711" s="3">
        <v>231</v>
      </c>
      <c r="T711" s="3">
        <v>180</v>
      </c>
      <c r="U711" s="3">
        <v>351</v>
      </c>
      <c r="V711" s="3">
        <v>417</v>
      </c>
      <c r="W711" s="3">
        <v>213</v>
      </c>
      <c r="X711" s="3">
        <v>195</v>
      </c>
      <c r="Y711" s="3">
        <v>354</v>
      </c>
      <c r="Z711" s="3">
        <v>81</v>
      </c>
      <c r="AA711" s="3">
        <v>153</v>
      </c>
      <c r="AB711" s="3">
        <v>534</v>
      </c>
      <c r="AC711" s="3">
        <v>12</v>
      </c>
      <c r="AD711" s="3">
        <v>390</v>
      </c>
      <c r="AE711" s="3">
        <v>84</v>
      </c>
      <c r="AF711" s="3">
        <v>72</v>
      </c>
      <c r="AG711" s="3">
        <v>126</v>
      </c>
      <c r="AH711" s="3">
        <v>168</v>
      </c>
      <c r="AI711" s="3">
        <v>360</v>
      </c>
      <c r="AJ711" s="3">
        <v>129</v>
      </c>
      <c r="AK711" s="3">
        <v>321</v>
      </c>
      <c r="AL711" s="3">
        <v>108</v>
      </c>
      <c r="AM711" s="3">
        <v>0</v>
      </c>
      <c r="AN711" s="3">
        <v>306</v>
      </c>
      <c r="AO711" s="3">
        <v>300</v>
      </c>
      <c r="AP711" s="3">
        <v>456</v>
      </c>
      <c r="AQ711" s="3">
        <v>204</v>
      </c>
      <c r="AR711" s="3">
        <v>216</v>
      </c>
      <c r="AS711" s="3">
        <v>201</v>
      </c>
      <c r="AT711" s="3">
        <v>126</v>
      </c>
      <c r="AU711" s="3">
        <v>429</v>
      </c>
      <c r="AV711" s="3">
        <v>324</v>
      </c>
      <c r="AW711" s="3">
        <v>96</v>
      </c>
    </row>
    <row r="712" spans="1:49">
      <c r="A712" s="4" t="s">
        <v>35</v>
      </c>
      <c r="B712" s="4" t="str">
        <f t="shared" si="11"/>
        <v>Hair Color</v>
      </c>
      <c r="C712" s="4" t="s">
        <v>1786</v>
      </c>
      <c r="D712" s="4" t="s">
        <v>575</v>
      </c>
      <c r="E712" s="24" t="s">
        <v>441</v>
      </c>
      <c r="F712" s="12" t="s">
        <v>443</v>
      </c>
      <c r="G712" s="4" t="s">
        <v>1787</v>
      </c>
      <c r="H712" s="3">
        <v>126</v>
      </c>
      <c r="I712" s="3">
        <v>291</v>
      </c>
      <c r="J712" s="3">
        <v>186</v>
      </c>
      <c r="K712" s="3">
        <v>321</v>
      </c>
      <c r="L712" s="3">
        <v>135</v>
      </c>
      <c r="M712" s="3">
        <v>369</v>
      </c>
      <c r="N712" s="3">
        <v>138</v>
      </c>
      <c r="O712" s="3">
        <v>225</v>
      </c>
      <c r="P712" s="3">
        <v>252</v>
      </c>
      <c r="Q712" s="3">
        <v>153</v>
      </c>
      <c r="R712" s="3">
        <v>276</v>
      </c>
      <c r="S712" s="3">
        <v>183</v>
      </c>
      <c r="T712" s="3">
        <v>105</v>
      </c>
      <c r="U712" s="3">
        <v>207</v>
      </c>
      <c r="V712" s="3">
        <v>318</v>
      </c>
      <c r="W712" s="3">
        <v>168</v>
      </c>
      <c r="X712" s="3">
        <v>129</v>
      </c>
      <c r="Y712" s="3">
        <v>105</v>
      </c>
      <c r="Z712" s="3">
        <v>57</v>
      </c>
      <c r="AA712" s="3">
        <v>129</v>
      </c>
      <c r="AB712" s="3">
        <v>354</v>
      </c>
      <c r="AC712" s="3">
        <v>24</v>
      </c>
      <c r="AD712" s="3">
        <v>114</v>
      </c>
      <c r="AE712" s="3">
        <v>42</v>
      </c>
      <c r="AF712" s="3">
        <v>153</v>
      </c>
      <c r="AG712" s="3">
        <v>107</v>
      </c>
      <c r="AH712" s="3">
        <v>81</v>
      </c>
      <c r="AI712" s="3">
        <v>237</v>
      </c>
      <c r="AJ712" s="3">
        <v>210</v>
      </c>
      <c r="AK712" s="3">
        <v>204</v>
      </c>
      <c r="AL712" s="3">
        <v>0</v>
      </c>
      <c r="AM712" s="3">
        <v>54</v>
      </c>
      <c r="AN712" s="3">
        <v>0</v>
      </c>
      <c r="AO712" s="3">
        <v>108</v>
      </c>
      <c r="AP712" s="3">
        <v>249</v>
      </c>
      <c r="AQ712" s="3">
        <v>279</v>
      </c>
      <c r="AR712" s="3">
        <v>333</v>
      </c>
      <c r="AS712" s="3">
        <v>132</v>
      </c>
      <c r="AT712" s="3">
        <v>105</v>
      </c>
      <c r="AU712" s="3">
        <v>318</v>
      </c>
      <c r="AV712" s="3">
        <v>255</v>
      </c>
      <c r="AW712" s="3">
        <v>108</v>
      </c>
    </row>
    <row r="713" spans="1:49">
      <c r="A713" s="4" t="s">
        <v>35</v>
      </c>
      <c r="B713" s="4" t="str">
        <f t="shared" si="11"/>
        <v>Hair Color</v>
      </c>
      <c r="C713" s="4" t="s">
        <v>1786</v>
      </c>
      <c r="D713" s="4" t="s">
        <v>575</v>
      </c>
      <c r="E713" s="24" t="s">
        <v>441</v>
      </c>
      <c r="F713" s="12" t="s">
        <v>444</v>
      </c>
      <c r="G713" s="4" t="s">
        <v>1787</v>
      </c>
      <c r="H713" s="3">
        <v>396</v>
      </c>
      <c r="I713" s="3">
        <v>711</v>
      </c>
      <c r="J713" s="3">
        <v>627</v>
      </c>
      <c r="K713" s="3">
        <v>489</v>
      </c>
      <c r="L713" s="3">
        <v>381</v>
      </c>
      <c r="M713" s="3">
        <v>834</v>
      </c>
      <c r="N713" s="3">
        <v>417</v>
      </c>
      <c r="O713" s="3">
        <v>570</v>
      </c>
      <c r="P713" s="3">
        <v>630</v>
      </c>
      <c r="Q713" s="3">
        <v>344</v>
      </c>
      <c r="R713" s="3">
        <v>645</v>
      </c>
      <c r="S713" s="3">
        <v>324</v>
      </c>
      <c r="T713" s="3">
        <v>390</v>
      </c>
      <c r="U713" s="3">
        <v>570</v>
      </c>
      <c r="V713" s="3">
        <v>963</v>
      </c>
      <c r="W713" s="3">
        <v>603</v>
      </c>
      <c r="X713" s="3">
        <v>523</v>
      </c>
      <c r="Y713" s="3">
        <v>849</v>
      </c>
      <c r="Z713" s="3">
        <v>69</v>
      </c>
      <c r="AA713" s="3">
        <v>447</v>
      </c>
      <c r="AB713" s="3">
        <v>876</v>
      </c>
      <c r="AC713" s="3">
        <v>90</v>
      </c>
      <c r="AD713" s="3">
        <v>246</v>
      </c>
      <c r="AE713" s="3">
        <v>159</v>
      </c>
      <c r="AF713" s="3">
        <v>66</v>
      </c>
      <c r="AG713" s="3">
        <v>414</v>
      </c>
      <c r="AH713" s="3">
        <v>135</v>
      </c>
      <c r="AI713" s="3">
        <v>306</v>
      </c>
      <c r="AJ713" s="3">
        <v>141</v>
      </c>
      <c r="AK713" s="3">
        <v>0</v>
      </c>
      <c r="AL713" s="3">
        <v>567</v>
      </c>
      <c r="AM713" s="3">
        <v>300</v>
      </c>
      <c r="AN713" s="3">
        <v>276</v>
      </c>
      <c r="AO713" s="3">
        <v>579</v>
      </c>
      <c r="AP713" s="3">
        <v>333</v>
      </c>
      <c r="AQ713" s="3">
        <v>564</v>
      </c>
      <c r="AR713" s="3">
        <v>153</v>
      </c>
      <c r="AS713" s="3">
        <v>225</v>
      </c>
      <c r="AT713" s="3">
        <v>192</v>
      </c>
      <c r="AU713" s="3">
        <v>444</v>
      </c>
      <c r="AV713" s="3">
        <v>236</v>
      </c>
      <c r="AW713" s="3">
        <v>252</v>
      </c>
    </row>
    <row r="714" spans="1:49">
      <c r="A714" s="4" t="s">
        <v>35</v>
      </c>
      <c r="B714" s="4" t="str">
        <f t="shared" si="11"/>
        <v>Hair Color</v>
      </c>
      <c r="C714" s="4" t="s">
        <v>1786</v>
      </c>
      <c r="D714" s="4" t="s">
        <v>575</v>
      </c>
      <c r="E714" s="24" t="s">
        <v>441</v>
      </c>
      <c r="F714" s="12" t="s">
        <v>445</v>
      </c>
      <c r="G714" s="4" t="s">
        <v>1787</v>
      </c>
      <c r="H714" s="3">
        <v>480</v>
      </c>
      <c r="I714" s="3">
        <v>1122</v>
      </c>
      <c r="J714" s="3">
        <v>1062</v>
      </c>
      <c r="K714" s="3">
        <v>720</v>
      </c>
      <c r="L714" s="3">
        <v>501</v>
      </c>
      <c r="M714" s="3">
        <v>1050</v>
      </c>
      <c r="N714" s="3">
        <v>516</v>
      </c>
      <c r="O714" s="3">
        <v>594</v>
      </c>
      <c r="P714" s="3">
        <v>720</v>
      </c>
      <c r="Q714" s="3">
        <v>525</v>
      </c>
      <c r="R714" s="3">
        <v>933</v>
      </c>
      <c r="S714" s="3">
        <v>486</v>
      </c>
      <c r="T714" s="3">
        <v>600</v>
      </c>
      <c r="U714" s="3">
        <v>663</v>
      </c>
      <c r="V714" s="3">
        <v>1173</v>
      </c>
      <c r="W714" s="3">
        <v>783</v>
      </c>
      <c r="X714" s="3">
        <v>360</v>
      </c>
      <c r="Y714" s="3">
        <v>1413</v>
      </c>
      <c r="Z714" s="3">
        <v>150</v>
      </c>
      <c r="AA714" s="3">
        <v>612</v>
      </c>
      <c r="AB714" s="3">
        <v>1164</v>
      </c>
      <c r="AC714" s="3">
        <v>138</v>
      </c>
      <c r="AD714" s="3">
        <v>393</v>
      </c>
      <c r="AE714" s="3">
        <v>222</v>
      </c>
      <c r="AF714" s="3">
        <v>237</v>
      </c>
      <c r="AG714" s="3">
        <v>552</v>
      </c>
      <c r="AH714" s="3">
        <v>9</v>
      </c>
      <c r="AI714" s="3">
        <v>618</v>
      </c>
      <c r="AJ714" s="3">
        <v>312</v>
      </c>
      <c r="AK714" s="3">
        <v>720</v>
      </c>
      <c r="AL714" s="3">
        <v>246</v>
      </c>
      <c r="AM714" s="3">
        <v>261</v>
      </c>
      <c r="AN714" s="3">
        <v>0</v>
      </c>
      <c r="AO714" s="3">
        <v>690</v>
      </c>
      <c r="AP714" s="3">
        <v>813</v>
      </c>
      <c r="AQ714" s="3">
        <v>690</v>
      </c>
      <c r="AR714" s="3">
        <v>276</v>
      </c>
      <c r="AS714" s="3">
        <v>321</v>
      </c>
      <c r="AT714" s="3">
        <v>315</v>
      </c>
      <c r="AU714" s="3">
        <v>567</v>
      </c>
      <c r="AV714" s="3">
        <v>465</v>
      </c>
      <c r="AW714" s="3">
        <v>312</v>
      </c>
    </row>
    <row r="715" spans="1:49">
      <c r="A715" s="4" t="s">
        <v>35</v>
      </c>
      <c r="B715" s="4" t="str">
        <f t="shared" si="11"/>
        <v>Hair Color</v>
      </c>
      <c r="C715" s="4" t="s">
        <v>1786</v>
      </c>
      <c r="D715" s="4" t="s">
        <v>575</v>
      </c>
      <c r="E715" s="24" t="s">
        <v>441</v>
      </c>
      <c r="F715" s="12" t="s">
        <v>446</v>
      </c>
      <c r="G715" s="4" t="s">
        <v>1787</v>
      </c>
      <c r="H715" s="3">
        <v>285</v>
      </c>
      <c r="I715" s="3">
        <v>285</v>
      </c>
      <c r="J715" s="3">
        <v>306</v>
      </c>
      <c r="K715" s="3">
        <v>228</v>
      </c>
      <c r="L715" s="3">
        <v>291</v>
      </c>
      <c r="M715" s="3">
        <v>309</v>
      </c>
      <c r="N715" s="3">
        <v>264</v>
      </c>
      <c r="O715" s="3">
        <v>252</v>
      </c>
      <c r="P715" s="3">
        <v>249</v>
      </c>
      <c r="Q715" s="3">
        <v>165</v>
      </c>
      <c r="R715" s="3">
        <v>384</v>
      </c>
      <c r="S715" s="3">
        <v>207</v>
      </c>
      <c r="T715" s="3">
        <v>123</v>
      </c>
      <c r="U715" s="3">
        <v>333</v>
      </c>
      <c r="V715" s="3">
        <v>339</v>
      </c>
      <c r="W715" s="3">
        <v>207</v>
      </c>
      <c r="X715" s="3">
        <v>201</v>
      </c>
      <c r="Y715" s="3">
        <v>243</v>
      </c>
      <c r="Z715" s="3">
        <v>105</v>
      </c>
      <c r="AA715" s="3">
        <v>195</v>
      </c>
      <c r="AB715" s="3">
        <v>408</v>
      </c>
      <c r="AC715" s="3">
        <v>96</v>
      </c>
      <c r="AD715" s="3">
        <v>234</v>
      </c>
      <c r="AE715" s="3">
        <v>111</v>
      </c>
      <c r="AF715" s="3">
        <v>42</v>
      </c>
      <c r="AG715" s="3">
        <v>96</v>
      </c>
      <c r="AH715" s="3">
        <v>156</v>
      </c>
      <c r="AI715" s="3">
        <v>156</v>
      </c>
      <c r="AJ715" s="3">
        <v>87</v>
      </c>
      <c r="AK715" s="3">
        <v>258</v>
      </c>
      <c r="AL715" s="3">
        <v>72</v>
      </c>
      <c r="AM715" s="3">
        <v>165</v>
      </c>
      <c r="AN715" s="3">
        <v>108</v>
      </c>
      <c r="AO715" s="3">
        <v>177</v>
      </c>
      <c r="AP715" s="3">
        <v>294</v>
      </c>
      <c r="AQ715" s="3">
        <v>384</v>
      </c>
      <c r="AR715" s="3">
        <v>102</v>
      </c>
      <c r="AS715" s="3">
        <v>150</v>
      </c>
      <c r="AT715" s="3">
        <v>90</v>
      </c>
      <c r="AU715" s="3">
        <v>351</v>
      </c>
      <c r="AV715" s="3">
        <v>153</v>
      </c>
      <c r="AW715" s="3">
        <v>60</v>
      </c>
    </row>
    <row r="716" spans="1:49">
      <c r="A716" s="4" t="s">
        <v>35</v>
      </c>
      <c r="B716" s="4" t="str">
        <f t="shared" si="11"/>
        <v>Hair Color</v>
      </c>
      <c r="C716" s="4" t="s">
        <v>1786</v>
      </c>
      <c r="D716" s="4" t="s">
        <v>575</v>
      </c>
      <c r="E716" s="24" t="s">
        <v>441</v>
      </c>
      <c r="F716" s="12" t="s">
        <v>447</v>
      </c>
      <c r="G716" s="4" t="s">
        <v>1787</v>
      </c>
      <c r="H716" s="3">
        <v>594</v>
      </c>
      <c r="I716" s="3">
        <v>1140</v>
      </c>
      <c r="J716" s="3">
        <v>1152</v>
      </c>
      <c r="K716" s="3">
        <v>615</v>
      </c>
      <c r="L716" s="3">
        <v>516</v>
      </c>
      <c r="M716" s="3">
        <v>1008</v>
      </c>
      <c r="N716" s="3">
        <v>528</v>
      </c>
      <c r="O716" s="3">
        <v>708</v>
      </c>
      <c r="P716" s="3">
        <v>675</v>
      </c>
      <c r="Q716" s="3">
        <v>621</v>
      </c>
      <c r="R716" s="3">
        <v>957</v>
      </c>
      <c r="S716" s="3">
        <v>495</v>
      </c>
      <c r="T716" s="3">
        <v>531</v>
      </c>
      <c r="U716" s="3">
        <v>729</v>
      </c>
      <c r="V716" s="3">
        <v>1104</v>
      </c>
      <c r="W716" s="3">
        <v>1104</v>
      </c>
      <c r="X716" s="3">
        <v>342</v>
      </c>
      <c r="Y716" s="3">
        <v>1044</v>
      </c>
      <c r="Z716" s="3">
        <v>306</v>
      </c>
      <c r="AA716" s="3">
        <v>639</v>
      </c>
      <c r="AB716" s="3">
        <v>1239</v>
      </c>
      <c r="AC716" s="3">
        <v>186</v>
      </c>
      <c r="AD716" s="3">
        <v>387</v>
      </c>
      <c r="AE716" s="3">
        <v>369</v>
      </c>
      <c r="AF716" s="3">
        <v>207</v>
      </c>
      <c r="AG716" s="3">
        <v>636</v>
      </c>
      <c r="AH716" s="3">
        <v>360</v>
      </c>
      <c r="AI716" s="3">
        <v>513</v>
      </c>
      <c r="AJ716" s="3">
        <v>546</v>
      </c>
      <c r="AK716" s="3">
        <v>1035</v>
      </c>
      <c r="AL716" s="3">
        <v>403</v>
      </c>
      <c r="AM716" s="3">
        <v>222</v>
      </c>
      <c r="AN716" s="3">
        <v>0</v>
      </c>
      <c r="AO716" s="3">
        <v>966</v>
      </c>
      <c r="AP716" s="3">
        <v>645</v>
      </c>
      <c r="AQ716" s="3">
        <v>987</v>
      </c>
      <c r="AR716" s="3">
        <v>246</v>
      </c>
      <c r="AS716" s="3">
        <v>309</v>
      </c>
      <c r="AT716" s="3">
        <v>465</v>
      </c>
      <c r="AU716" s="3">
        <v>738</v>
      </c>
      <c r="AV716" s="3">
        <v>369</v>
      </c>
      <c r="AW716" s="3">
        <v>330</v>
      </c>
    </row>
    <row r="717" spans="1:49">
      <c r="A717" s="4" t="s">
        <v>35</v>
      </c>
      <c r="B717" s="4" t="str">
        <f t="shared" si="11"/>
        <v>Hair Color</v>
      </c>
      <c r="C717" s="4" t="s">
        <v>1786</v>
      </c>
      <c r="D717" s="4" t="s">
        <v>575</v>
      </c>
      <c r="E717" s="24" t="s">
        <v>441</v>
      </c>
      <c r="F717" s="12" t="s">
        <v>448</v>
      </c>
      <c r="G717" s="4" t="s">
        <v>1787</v>
      </c>
      <c r="H717" s="3">
        <v>249</v>
      </c>
      <c r="I717" s="3">
        <v>417</v>
      </c>
      <c r="J717" s="3">
        <v>267</v>
      </c>
      <c r="K717" s="3">
        <v>363</v>
      </c>
      <c r="L717" s="3">
        <v>210</v>
      </c>
      <c r="M717" s="3">
        <v>462</v>
      </c>
      <c r="N717" s="3">
        <v>213</v>
      </c>
      <c r="O717" s="3">
        <v>264</v>
      </c>
      <c r="P717" s="3">
        <v>294</v>
      </c>
      <c r="Q717" s="3">
        <v>186</v>
      </c>
      <c r="R717" s="3">
        <v>444</v>
      </c>
      <c r="S717" s="3">
        <v>216</v>
      </c>
      <c r="T717" s="3">
        <v>174</v>
      </c>
      <c r="U717" s="3">
        <v>306</v>
      </c>
      <c r="V717" s="3">
        <v>465</v>
      </c>
      <c r="W717" s="3">
        <v>255</v>
      </c>
      <c r="X717" s="3">
        <v>219</v>
      </c>
      <c r="Y717" s="3">
        <v>318</v>
      </c>
      <c r="Z717" s="3">
        <v>111</v>
      </c>
      <c r="AA717" s="3">
        <v>126</v>
      </c>
      <c r="AB717" s="3">
        <v>471</v>
      </c>
      <c r="AC717" s="3">
        <v>123</v>
      </c>
      <c r="AD717" s="3">
        <v>282</v>
      </c>
      <c r="AE717" s="3">
        <v>186</v>
      </c>
      <c r="AF717" s="3">
        <v>132</v>
      </c>
      <c r="AG717" s="3">
        <v>252</v>
      </c>
      <c r="AH717" s="3">
        <v>60</v>
      </c>
      <c r="AI717" s="3">
        <v>255</v>
      </c>
      <c r="AJ717" s="3">
        <v>162</v>
      </c>
      <c r="AK717" s="3">
        <v>246</v>
      </c>
      <c r="AL717" s="3">
        <v>147</v>
      </c>
      <c r="AM717" s="3">
        <v>144</v>
      </c>
      <c r="AN717" s="3">
        <v>255</v>
      </c>
      <c r="AO717" s="3">
        <v>414</v>
      </c>
      <c r="AP717" s="3">
        <v>174</v>
      </c>
      <c r="AQ717" s="3">
        <v>165</v>
      </c>
      <c r="AR717" s="3">
        <v>423</v>
      </c>
      <c r="AS717" s="3">
        <v>279</v>
      </c>
      <c r="AT717" s="3">
        <v>129</v>
      </c>
      <c r="AU717" s="3">
        <v>327</v>
      </c>
      <c r="AV717" s="3">
        <v>273</v>
      </c>
      <c r="AW717" s="3">
        <v>96</v>
      </c>
    </row>
    <row r="718" spans="1:49">
      <c r="A718" s="4" t="s">
        <v>35</v>
      </c>
      <c r="B718" s="4" t="str">
        <f t="shared" si="11"/>
        <v>Hair Color</v>
      </c>
      <c r="C718" s="4" t="s">
        <v>1786</v>
      </c>
      <c r="D718" s="4" t="s">
        <v>575</v>
      </c>
      <c r="E718" s="24" t="s">
        <v>441</v>
      </c>
      <c r="F718" s="12" t="s">
        <v>449</v>
      </c>
      <c r="G718" s="4" t="s">
        <v>1787</v>
      </c>
      <c r="H718" s="3">
        <v>303</v>
      </c>
      <c r="I718" s="3">
        <v>510</v>
      </c>
      <c r="J718" s="3">
        <v>504</v>
      </c>
      <c r="K718" s="3">
        <v>237</v>
      </c>
      <c r="L718" s="3">
        <v>393</v>
      </c>
      <c r="M718" s="3">
        <v>519</v>
      </c>
      <c r="N718" s="3">
        <v>267</v>
      </c>
      <c r="O718" s="3">
        <v>399</v>
      </c>
      <c r="P718" s="3">
        <v>396</v>
      </c>
      <c r="Q718" s="3">
        <v>195</v>
      </c>
      <c r="R718" s="3">
        <v>474</v>
      </c>
      <c r="S718" s="3">
        <v>345</v>
      </c>
      <c r="T718" s="3">
        <v>327</v>
      </c>
      <c r="U718" s="3">
        <v>378</v>
      </c>
      <c r="V718" s="3">
        <v>417</v>
      </c>
      <c r="W718" s="3">
        <v>354</v>
      </c>
      <c r="X718" s="3">
        <v>174</v>
      </c>
      <c r="Y718" s="3">
        <v>549</v>
      </c>
      <c r="Z718" s="3">
        <v>150</v>
      </c>
      <c r="AA718" s="3">
        <v>192</v>
      </c>
      <c r="AB718" s="3">
        <v>516</v>
      </c>
      <c r="AC718" s="3">
        <v>315</v>
      </c>
      <c r="AD718" s="3">
        <v>216</v>
      </c>
      <c r="AE718" s="3">
        <v>105</v>
      </c>
      <c r="AF718" s="3">
        <v>54</v>
      </c>
      <c r="AG718" s="3">
        <v>279</v>
      </c>
      <c r="AH718" s="3">
        <v>165</v>
      </c>
      <c r="AI718" s="3">
        <v>374</v>
      </c>
      <c r="AJ718" s="3">
        <v>162</v>
      </c>
      <c r="AK718" s="3">
        <v>354</v>
      </c>
      <c r="AL718" s="3">
        <v>112</v>
      </c>
      <c r="AM718" s="3">
        <v>276</v>
      </c>
      <c r="AN718" s="3">
        <v>138</v>
      </c>
      <c r="AO718" s="3">
        <v>0</v>
      </c>
      <c r="AP718" s="3">
        <v>747</v>
      </c>
      <c r="AQ718" s="3">
        <v>468</v>
      </c>
      <c r="AR718" s="3">
        <v>153</v>
      </c>
      <c r="AS718" s="3">
        <v>372</v>
      </c>
      <c r="AT718" s="3">
        <v>189</v>
      </c>
      <c r="AU718" s="3">
        <v>486</v>
      </c>
      <c r="AV718" s="3">
        <v>123</v>
      </c>
      <c r="AW718" s="3">
        <v>204</v>
      </c>
    </row>
    <row r="719" spans="1:49">
      <c r="A719" s="4" t="s">
        <v>35</v>
      </c>
      <c r="B719" s="4" t="str">
        <f t="shared" si="11"/>
        <v>Hair Color</v>
      </c>
      <c r="C719" s="4" t="s">
        <v>1786</v>
      </c>
      <c r="D719" s="4" t="s">
        <v>575</v>
      </c>
      <c r="E719" s="24" t="s">
        <v>441</v>
      </c>
      <c r="F719" s="12" t="s">
        <v>450</v>
      </c>
      <c r="G719" s="4" t="s">
        <v>1787</v>
      </c>
      <c r="H719" s="3">
        <v>270</v>
      </c>
      <c r="I719" s="3">
        <v>411</v>
      </c>
      <c r="J719" s="3">
        <v>363</v>
      </c>
      <c r="K719" s="3">
        <v>300</v>
      </c>
      <c r="L719" s="3">
        <v>342</v>
      </c>
      <c r="M719" s="3">
        <v>444</v>
      </c>
      <c r="N719" s="3">
        <v>204</v>
      </c>
      <c r="O719" s="3">
        <v>372</v>
      </c>
      <c r="P719" s="3">
        <v>324</v>
      </c>
      <c r="Q719" s="3">
        <v>177</v>
      </c>
      <c r="R719" s="3">
        <v>459</v>
      </c>
      <c r="S719" s="3">
        <v>234</v>
      </c>
      <c r="T719" s="3">
        <v>237</v>
      </c>
      <c r="U719" s="3">
        <v>417</v>
      </c>
      <c r="V719" s="3">
        <v>915</v>
      </c>
      <c r="W719" s="3">
        <v>486</v>
      </c>
      <c r="X719" s="3">
        <v>525</v>
      </c>
      <c r="Y719" s="3">
        <v>930</v>
      </c>
      <c r="Z719" s="3">
        <v>81</v>
      </c>
      <c r="AA719" s="3">
        <v>336</v>
      </c>
      <c r="AB719" s="3">
        <v>543</v>
      </c>
      <c r="AC719" s="3">
        <v>87</v>
      </c>
      <c r="AD719" s="3">
        <v>288</v>
      </c>
      <c r="AE719" s="3">
        <v>147</v>
      </c>
      <c r="AF719" s="3">
        <v>42</v>
      </c>
      <c r="AG719" s="3">
        <v>210</v>
      </c>
      <c r="AH719" s="3">
        <v>198</v>
      </c>
      <c r="AI719" s="3">
        <v>372</v>
      </c>
      <c r="AJ719" s="3">
        <v>69</v>
      </c>
      <c r="AK719" s="3">
        <v>462</v>
      </c>
      <c r="AL719" s="3">
        <v>138</v>
      </c>
      <c r="AM719" s="3">
        <v>318</v>
      </c>
      <c r="AN719" s="3">
        <v>147</v>
      </c>
      <c r="AO719" s="3">
        <v>255</v>
      </c>
      <c r="AP719" s="3">
        <v>429</v>
      </c>
      <c r="AQ719" s="3">
        <v>456</v>
      </c>
      <c r="AR719" s="3">
        <v>186</v>
      </c>
      <c r="AS719" s="3">
        <v>228</v>
      </c>
      <c r="AT719" s="3">
        <v>165</v>
      </c>
      <c r="AU719" s="3">
        <v>528</v>
      </c>
      <c r="AV719" s="3">
        <v>201</v>
      </c>
      <c r="AW719" s="3">
        <v>219</v>
      </c>
    </row>
    <row r="720" spans="1:49">
      <c r="A720" s="4" t="s">
        <v>35</v>
      </c>
      <c r="B720" s="4" t="str">
        <f t="shared" si="11"/>
        <v>Hair Color</v>
      </c>
      <c r="C720" s="4" t="s">
        <v>1786</v>
      </c>
      <c r="D720" s="4" t="s">
        <v>575</v>
      </c>
      <c r="E720" s="24" t="s">
        <v>441</v>
      </c>
      <c r="F720" s="12" t="s">
        <v>451</v>
      </c>
      <c r="G720" s="4" t="s">
        <v>1787</v>
      </c>
      <c r="H720" s="3">
        <v>189</v>
      </c>
      <c r="I720" s="3">
        <v>333</v>
      </c>
      <c r="J720" s="3">
        <v>171</v>
      </c>
      <c r="K720" s="3">
        <v>342</v>
      </c>
      <c r="L720" s="3">
        <v>147</v>
      </c>
      <c r="M720" s="3">
        <v>372</v>
      </c>
      <c r="N720" s="3">
        <v>153</v>
      </c>
      <c r="O720" s="3">
        <v>216</v>
      </c>
      <c r="P720" s="3">
        <v>240</v>
      </c>
      <c r="Q720" s="3">
        <v>219</v>
      </c>
      <c r="R720" s="3">
        <v>414</v>
      </c>
      <c r="S720" s="3">
        <v>270</v>
      </c>
      <c r="T720" s="3">
        <v>51</v>
      </c>
      <c r="U720" s="3">
        <v>198</v>
      </c>
      <c r="V720" s="3">
        <v>333</v>
      </c>
      <c r="W720" s="3">
        <v>156</v>
      </c>
      <c r="X720" s="3">
        <v>102</v>
      </c>
      <c r="Y720" s="3">
        <v>267</v>
      </c>
      <c r="Z720" s="3">
        <v>102</v>
      </c>
      <c r="AA720" s="3">
        <v>78</v>
      </c>
      <c r="AB720" s="3">
        <v>309</v>
      </c>
      <c r="AC720" s="3">
        <v>27</v>
      </c>
      <c r="AD720" s="3">
        <v>66</v>
      </c>
      <c r="AE720" s="3">
        <v>66</v>
      </c>
      <c r="AF720" s="3">
        <v>141</v>
      </c>
      <c r="AG720" s="3">
        <v>186</v>
      </c>
      <c r="AH720" s="3">
        <v>0</v>
      </c>
      <c r="AI720" s="3">
        <v>33</v>
      </c>
      <c r="AJ720" s="3">
        <v>219</v>
      </c>
      <c r="AK720" s="3">
        <v>283</v>
      </c>
      <c r="AL720" s="3">
        <v>57</v>
      </c>
      <c r="AM720" s="3">
        <v>141</v>
      </c>
      <c r="AN720" s="3">
        <v>60</v>
      </c>
      <c r="AO720" s="3">
        <v>84</v>
      </c>
      <c r="AP720" s="3">
        <v>228</v>
      </c>
      <c r="AQ720" s="3">
        <v>195</v>
      </c>
      <c r="AR720" s="3">
        <v>114</v>
      </c>
      <c r="AS720" s="3">
        <v>132</v>
      </c>
      <c r="AT720" s="3">
        <v>57</v>
      </c>
      <c r="AU720" s="3">
        <v>302</v>
      </c>
      <c r="AV720" s="3">
        <v>183</v>
      </c>
      <c r="AW720" s="3">
        <v>108</v>
      </c>
    </row>
    <row r="721" spans="1:49">
      <c r="A721" s="4" t="s">
        <v>35</v>
      </c>
      <c r="B721" s="4" t="str">
        <f t="shared" si="11"/>
        <v>Hair Color</v>
      </c>
      <c r="C721" s="4" t="s">
        <v>1786</v>
      </c>
      <c r="D721" s="4" t="s">
        <v>575</v>
      </c>
      <c r="E721" s="24" t="s">
        <v>441</v>
      </c>
      <c r="F721" s="12" t="s">
        <v>452</v>
      </c>
      <c r="G721" s="4" t="s">
        <v>1787</v>
      </c>
      <c r="H721" s="3">
        <v>1026</v>
      </c>
      <c r="I721" s="3">
        <v>1260</v>
      </c>
      <c r="J721" s="3">
        <v>1956</v>
      </c>
      <c r="K721" s="3">
        <v>777</v>
      </c>
      <c r="L721" s="3">
        <v>759</v>
      </c>
      <c r="M721" s="3">
        <v>1218</v>
      </c>
      <c r="N721" s="3">
        <v>864</v>
      </c>
      <c r="O721" s="3">
        <v>1122</v>
      </c>
      <c r="P721" s="3">
        <v>972</v>
      </c>
      <c r="Q721" s="3">
        <v>807</v>
      </c>
      <c r="R721" s="3">
        <v>1308</v>
      </c>
      <c r="S721" s="3">
        <v>747</v>
      </c>
      <c r="T721" s="3">
        <v>906</v>
      </c>
      <c r="U721" s="3">
        <v>1005</v>
      </c>
      <c r="V721" s="3">
        <v>1791</v>
      </c>
      <c r="W721" s="3">
        <v>1377</v>
      </c>
      <c r="X721" s="3">
        <v>381</v>
      </c>
      <c r="Y721" s="3">
        <v>1389</v>
      </c>
      <c r="Z721" s="3">
        <v>576</v>
      </c>
      <c r="AA721" s="3">
        <v>747</v>
      </c>
      <c r="AB721" s="3">
        <v>1726</v>
      </c>
      <c r="AC721" s="3">
        <v>240</v>
      </c>
      <c r="AD721" s="3">
        <v>675</v>
      </c>
      <c r="AE721" s="3">
        <v>348</v>
      </c>
      <c r="AF721" s="3">
        <v>360</v>
      </c>
      <c r="AG721" s="3">
        <v>711</v>
      </c>
      <c r="AH721" s="3">
        <v>462</v>
      </c>
      <c r="AI721" s="3">
        <v>393</v>
      </c>
      <c r="AJ721" s="3">
        <v>885</v>
      </c>
      <c r="AK721" s="3">
        <v>1179</v>
      </c>
      <c r="AL721" s="3">
        <v>306</v>
      </c>
      <c r="AM721" s="3">
        <v>45</v>
      </c>
      <c r="AN721" s="3">
        <v>774</v>
      </c>
      <c r="AO721" s="3">
        <v>372</v>
      </c>
      <c r="AP721" s="3">
        <v>894</v>
      </c>
      <c r="AQ721" s="3">
        <v>1002</v>
      </c>
      <c r="AR721" s="3">
        <v>915</v>
      </c>
      <c r="AS721" s="3">
        <v>640</v>
      </c>
      <c r="AT721" s="3">
        <v>696</v>
      </c>
      <c r="AU721" s="3">
        <v>1173</v>
      </c>
      <c r="AV721" s="3">
        <v>657</v>
      </c>
      <c r="AW721" s="3">
        <v>543</v>
      </c>
    </row>
    <row r="722" spans="1:49">
      <c r="A722" s="4" t="s">
        <v>35</v>
      </c>
      <c r="B722" s="4" t="str">
        <f t="shared" si="11"/>
        <v>Hair Color</v>
      </c>
      <c r="C722" s="4" t="s">
        <v>1786</v>
      </c>
      <c r="D722" s="4" t="s">
        <v>575</v>
      </c>
      <c r="E722" s="24" t="s">
        <v>441</v>
      </c>
      <c r="F722" s="12" t="s">
        <v>453</v>
      </c>
      <c r="G722" s="4" t="s">
        <v>1787</v>
      </c>
      <c r="H722" s="3">
        <v>171</v>
      </c>
      <c r="I722" s="3">
        <v>204</v>
      </c>
      <c r="J722" s="3">
        <v>201</v>
      </c>
      <c r="K722" s="3">
        <v>111</v>
      </c>
      <c r="L722" s="3">
        <v>141</v>
      </c>
      <c r="M722" s="3">
        <v>288</v>
      </c>
      <c r="N722" s="3">
        <v>138</v>
      </c>
      <c r="O722" s="3">
        <v>132</v>
      </c>
      <c r="P722" s="3">
        <v>174</v>
      </c>
      <c r="Q722" s="3">
        <v>135</v>
      </c>
      <c r="R722" s="3">
        <v>102</v>
      </c>
      <c r="S722" s="3">
        <v>207</v>
      </c>
      <c r="T722" s="3">
        <v>129</v>
      </c>
      <c r="U722" s="3">
        <v>102</v>
      </c>
      <c r="V722" s="3">
        <v>261</v>
      </c>
      <c r="W722" s="3">
        <v>48</v>
      </c>
      <c r="X722" s="3">
        <v>51</v>
      </c>
      <c r="Y722" s="3">
        <v>279</v>
      </c>
      <c r="Z722" s="3">
        <v>12</v>
      </c>
      <c r="AA722" s="3">
        <v>63</v>
      </c>
      <c r="AB722" s="3">
        <v>180</v>
      </c>
      <c r="AC722" s="3">
        <v>123</v>
      </c>
      <c r="AD722" s="3">
        <v>39</v>
      </c>
      <c r="AE722" s="3">
        <v>90</v>
      </c>
      <c r="AF722" s="3">
        <v>54</v>
      </c>
      <c r="AG722" s="3">
        <v>117</v>
      </c>
      <c r="AH722" s="3">
        <v>141</v>
      </c>
      <c r="AI722" s="3">
        <v>0</v>
      </c>
      <c r="AJ722" s="3">
        <v>0</v>
      </c>
      <c r="AK722" s="3">
        <v>231</v>
      </c>
      <c r="AL722" s="3">
        <v>0</v>
      </c>
      <c r="AM722" s="3">
        <v>135</v>
      </c>
      <c r="AN722" s="3">
        <v>132</v>
      </c>
      <c r="AO722" s="3">
        <v>138</v>
      </c>
      <c r="AP722" s="3">
        <v>174</v>
      </c>
      <c r="AQ722" s="3">
        <v>243</v>
      </c>
      <c r="AR722" s="3">
        <v>63</v>
      </c>
      <c r="AS722" s="3">
        <v>90</v>
      </c>
      <c r="AT722" s="3">
        <v>45</v>
      </c>
      <c r="AU722" s="3">
        <v>99</v>
      </c>
      <c r="AV722" s="3">
        <v>276</v>
      </c>
      <c r="AW722" s="3">
        <v>120</v>
      </c>
    </row>
    <row r="723" spans="1:49">
      <c r="A723" s="4" t="s">
        <v>35</v>
      </c>
      <c r="B723" s="4" t="str">
        <f t="shared" si="11"/>
        <v>Hair Color</v>
      </c>
      <c r="C723" s="4" t="s">
        <v>1786</v>
      </c>
      <c r="D723" s="4" t="s">
        <v>575</v>
      </c>
      <c r="E723" s="24" t="s">
        <v>441</v>
      </c>
      <c r="F723" s="12" t="s">
        <v>454</v>
      </c>
      <c r="G723" s="4" t="s">
        <v>1787</v>
      </c>
      <c r="H723" s="3">
        <v>330</v>
      </c>
      <c r="I723" s="3">
        <v>375</v>
      </c>
      <c r="J723" s="3">
        <v>342</v>
      </c>
      <c r="K723" s="3">
        <v>408</v>
      </c>
      <c r="L723" s="3">
        <v>192</v>
      </c>
      <c r="M723" s="3">
        <v>378</v>
      </c>
      <c r="N723" s="3">
        <v>324</v>
      </c>
      <c r="O723" s="3">
        <v>369</v>
      </c>
      <c r="P723" s="3">
        <v>260</v>
      </c>
      <c r="Q723" s="3">
        <v>132</v>
      </c>
      <c r="R723" s="3">
        <v>396</v>
      </c>
      <c r="S723" s="3">
        <v>222</v>
      </c>
      <c r="T723" s="3">
        <v>165</v>
      </c>
      <c r="U723" s="3">
        <v>291</v>
      </c>
      <c r="V723" s="3">
        <v>459</v>
      </c>
      <c r="W723" s="3">
        <v>264</v>
      </c>
      <c r="X723" s="3">
        <v>366</v>
      </c>
      <c r="Y723" s="3">
        <v>486</v>
      </c>
      <c r="Z723" s="3">
        <v>168</v>
      </c>
      <c r="AA723" s="3">
        <v>63</v>
      </c>
      <c r="AB723" s="3">
        <v>342</v>
      </c>
      <c r="AC723" s="3">
        <v>0</v>
      </c>
      <c r="AD723" s="3">
        <v>468</v>
      </c>
      <c r="AE723" s="3">
        <v>66</v>
      </c>
      <c r="AF723" s="3">
        <v>120</v>
      </c>
      <c r="AG723" s="3">
        <v>0</v>
      </c>
      <c r="AH723" s="3">
        <v>276</v>
      </c>
      <c r="AI723" s="3">
        <v>383</v>
      </c>
      <c r="AJ723" s="3">
        <v>288</v>
      </c>
      <c r="AK723" s="3">
        <v>481</v>
      </c>
      <c r="AL723" s="3">
        <v>108</v>
      </c>
      <c r="AM723" s="3">
        <v>300</v>
      </c>
      <c r="AN723" s="3">
        <v>222</v>
      </c>
      <c r="AO723" s="3">
        <v>351</v>
      </c>
      <c r="AP723" s="3">
        <v>333</v>
      </c>
      <c r="AQ723" s="3">
        <v>432</v>
      </c>
      <c r="AR723" s="3">
        <v>39</v>
      </c>
      <c r="AS723" s="3">
        <v>99</v>
      </c>
      <c r="AT723" s="3">
        <v>198</v>
      </c>
      <c r="AU723" s="3">
        <v>525</v>
      </c>
      <c r="AV723" s="3">
        <v>228</v>
      </c>
      <c r="AW723" s="3">
        <v>174</v>
      </c>
    </row>
    <row r="724" spans="1:49">
      <c r="A724" s="4" t="s">
        <v>35</v>
      </c>
      <c r="B724" s="4" t="str">
        <f t="shared" si="11"/>
        <v>Hair Color</v>
      </c>
      <c r="C724" s="4" t="s">
        <v>1786</v>
      </c>
      <c r="D724" s="4" t="s">
        <v>575</v>
      </c>
      <c r="E724" s="24" t="s">
        <v>441</v>
      </c>
      <c r="F724" s="12" t="s">
        <v>455</v>
      </c>
      <c r="G724" s="4" t="s">
        <v>1787</v>
      </c>
      <c r="H724" s="3">
        <v>294</v>
      </c>
      <c r="I724" s="3">
        <v>390</v>
      </c>
      <c r="J724" s="3">
        <v>342</v>
      </c>
      <c r="K724" s="3">
        <v>255</v>
      </c>
      <c r="L724" s="3">
        <v>357</v>
      </c>
      <c r="M724" s="3">
        <v>435</v>
      </c>
      <c r="N724" s="3">
        <v>336</v>
      </c>
      <c r="O724" s="3">
        <v>327</v>
      </c>
      <c r="P724" s="3">
        <v>336</v>
      </c>
      <c r="Q724" s="3">
        <v>150</v>
      </c>
      <c r="R724" s="3">
        <v>498</v>
      </c>
      <c r="S724" s="3">
        <v>222</v>
      </c>
      <c r="T724" s="3">
        <v>183</v>
      </c>
      <c r="U724" s="3">
        <v>387</v>
      </c>
      <c r="V724" s="3">
        <v>690</v>
      </c>
      <c r="W724" s="3">
        <v>534</v>
      </c>
      <c r="X724" s="3">
        <v>168</v>
      </c>
      <c r="Y724" s="3">
        <v>549</v>
      </c>
      <c r="Z724" s="3">
        <v>33</v>
      </c>
      <c r="AA724" s="3">
        <v>222</v>
      </c>
      <c r="AB724" s="3">
        <v>453</v>
      </c>
      <c r="AC724" s="3">
        <v>21</v>
      </c>
      <c r="AD724" s="3">
        <v>267</v>
      </c>
      <c r="AE724" s="3">
        <v>189</v>
      </c>
      <c r="AF724" s="3">
        <v>90</v>
      </c>
      <c r="AG724" s="3">
        <v>135</v>
      </c>
      <c r="AH724" s="3">
        <v>102</v>
      </c>
      <c r="AI724" s="3">
        <v>270</v>
      </c>
      <c r="AJ724" s="3">
        <v>144</v>
      </c>
      <c r="AK724" s="3">
        <v>261</v>
      </c>
      <c r="AL724" s="3">
        <v>123</v>
      </c>
      <c r="AM724" s="3">
        <v>150</v>
      </c>
      <c r="AN724" s="3">
        <v>192</v>
      </c>
      <c r="AO724" s="3">
        <v>207</v>
      </c>
      <c r="AP724" s="3">
        <v>357</v>
      </c>
      <c r="AQ724" s="3">
        <v>480</v>
      </c>
      <c r="AR724" s="3">
        <v>141</v>
      </c>
      <c r="AS724" s="3">
        <v>123</v>
      </c>
      <c r="AT724" s="3">
        <v>132</v>
      </c>
      <c r="AU724" s="3">
        <v>351</v>
      </c>
      <c r="AV724" s="3">
        <v>294</v>
      </c>
      <c r="AW724" s="3">
        <v>117</v>
      </c>
    </row>
    <row r="725" spans="1:49">
      <c r="A725" s="4" t="s">
        <v>35</v>
      </c>
      <c r="B725" s="4" t="str">
        <f t="shared" si="11"/>
        <v>Hair Color</v>
      </c>
      <c r="C725" s="4" t="s">
        <v>1786</v>
      </c>
      <c r="D725" s="4" t="s">
        <v>575</v>
      </c>
      <c r="E725" s="24" t="s">
        <v>441</v>
      </c>
      <c r="F725" s="12" t="s">
        <v>456</v>
      </c>
      <c r="G725" s="4" t="s">
        <v>1787</v>
      </c>
      <c r="H725" s="3">
        <v>252</v>
      </c>
      <c r="I725" s="3">
        <v>405</v>
      </c>
      <c r="J725" s="3">
        <v>432</v>
      </c>
      <c r="K725" s="3">
        <v>387</v>
      </c>
      <c r="L725" s="3">
        <v>240</v>
      </c>
      <c r="M725" s="3">
        <v>462</v>
      </c>
      <c r="N725" s="3">
        <v>336</v>
      </c>
      <c r="O725" s="3">
        <v>429</v>
      </c>
      <c r="P725" s="3">
        <v>315</v>
      </c>
      <c r="Q725" s="3">
        <v>177</v>
      </c>
      <c r="R725" s="3">
        <v>408</v>
      </c>
      <c r="S725" s="3">
        <v>228</v>
      </c>
      <c r="T725" s="3">
        <v>210</v>
      </c>
      <c r="U725" s="3">
        <v>345</v>
      </c>
      <c r="V725" s="3">
        <v>684</v>
      </c>
      <c r="W725" s="3">
        <v>522</v>
      </c>
      <c r="X725" s="3">
        <v>42</v>
      </c>
      <c r="Y725" s="3">
        <v>687</v>
      </c>
      <c r="Z725" s="3">
        <v>27</v>
      </c>
      <c r="AA725" s="3">
        <v>315</v>
      </c>
      <c r="AB725" s="3">
        <v>447</v>
      </c>
      <c r="AC725" s="3">
        <v>21</v>
      </c>
      <c r="AD725" s="3">
        <v>222</v>
      </c>
      <c r="AE725" s="3">
        <v>189</v>
      </c>
      <c r="AF725" s="3">
        <v>57</v>
      </c>
      <c r="AG725" s="3">
        <v>123</v>
      </c>
      <c r="AH725" s="3">
        <v>83</v>
      </c>
      <c r="AI725" s="3">
        <v>255</v>
      </c>
      <c r="AJ725" s="3">
        <v>117</v>
      </c>
      <c r="AK725" s="3">
        <v>216</v>
      </c>
      <c r="AL725" s="3">
        <v>60</v>
      </c>
      <c r="AM725" s="3">
        <v>162</v>
      </c>
      <c r="AN725" s="3">
        <v>135</v>
      </c>
      <c r="AO725" s="3">
        <v>267</v>
      </c>
      <c r="AP725" s="3">
        <v>270</v>
      </c>
      <c r="AQ725" s="3">
        <v>66</v>
      </c>
      <c r="AR725" s="3">
        <v>231</v>
      </c>
      <c r="AS725" s="3">
        <v>142</v>
      </c>
      <c r="AT725" s="3">
        <v>75</v>
      </c>
      <c r="AU725" s="3">
        <v>285</v>
      </c>
      <c r="AV725" s="3">
        <v>279</v>
      </c>
      <c r="AW725" s="3">
        <v>75</v>
      </c>
    </row>
    <row r="726" spans="1:49">
      <c r="A726" s="4" t="s">
        <v>35</v>
      </c>
      <c r="B726" s="4" t="str">
        <f t="shared" si="11"/>
        <v>Hair Color</v>
      </c>
      <c r="C726" s="4" t="s">
        <v>1786</v>
      </c>
      <c r="D726" s="4" t="s">
        <v>575</v>
      </c>
      <c r="E726" s="24" t="s">
        <v>441</v>
      </c>
      <c r="F726" s="12" t="s">
        <v>457</v>
      </c>
      <c r="G726" s="4" t="s">
        <v>1787</v>
      </c>
      <c r="H726" s="3">
        <v>321</v>
      </c>
      <c r="I726" s="3">
        <v>534</v>
      </c>
      <c r="J726" s="3">
        <v>351</v>
      </c>
      <c r="K726" s="3">
        <v>402</v>
      </c>
      <c r="L726" s="3">
        <v>270</v>
      </c>
      <c r="M726" s="3">
        <v>540</v>
      </c>
      <c r="N726" s="3">
        <v>396</v>
      </c>
      <c r="O726" s="3">
        <v>417</v>
      </c>
      <c r="P726" s="3">
        <v>447</v>
      </c>
      <c r="Q726" s="3">
        <v>204</v>
      </c>
      <c r="R726" s="3">
        <v>639</v>
      </c>
      <c r="S726" s="3">
        <v>333</v>
      </c>
      <c r="T726" s="3">
        <v>153</v>
      </c>
      <c r="U726" s="3">
        <v>411</v>
      </c>
      <c r="V726" s="3">
        <v>897</v>
      </c>
      <c r="W726" s="3">
        <v>474</v>
      </c>
      <c r="X726" s="3">
        <v>498</v>
      </c>
      <c r="Y726" s="3">
        <v>1203</v>
      </c>
      <c r="Z726" s="3">
        <v>36</v>
      </c>
      <c r="AA726" s="3">
        <v>288</v>
      </c>
      <c r="AB726" s="3">
        <v>570</v>
      </c>
      <c r="AC726" s="3">
        <v>105</v>
      </c>
      <c r="AD726" s="3">
        <v>219</v>
      </c>
      <c r="AE726" s="3">
        <v>144</v>
      </c>
      <c r="AF726" s="3">
        <v>204</v>
      </c>
      <c r="AG726" s="3">
        <v>318</v>
      </c>
      <c r="AH726" s="3">
        <v>216</v>
      </c>
      <c r="AI726" s="3">
        <v>300</v>
      </c>
      <c r="AJ726" s="3">
        <v>183</v>
      </c>
      <c r="AK726" s="3">
        <v>324</v>
      </c>
      <c r="AL726" s="3">
        <v>126</v>
      </c>
      <c r="AM726" s="3">
        <v>210</v>
      </c>
      <c r="AN726" s="3">
        <v>291</v>
      </c>
      <c r="AO726" s="3">
        <v>285</v>
      </c>
      <c r="AP726" s="3">
        <v>414</v>
      </c>
      <c r="AQ726" s="3">
        <v>480</v>
      </c>
      <c r="AR726" s="3">
        <v>153</v>
      </c>
      <c r="AS726" s="3">
        <v>201</v>
      </c>
      <c r="AT726" s="3">
        <v>165</v>
      </c>
      <c r="AU726" s="3">
        <v>444</v>
      </c>
      <c r="AV726" s="3">
        <v>243</v>
      </c>
      <c r="AW726" s="3">
        <v>117</v>
      </c>
    </row>
    <row r="727" spans="1:49">
      <c r="A727" s="4" t="s">
        <v>35</v>
      </c>
      <c r="B727" s="4" t="str">
        <f t="shared" si="11"/>
        <v>Hair Color</v>
      </c>
      <c r="C727" s="4" t="s">
        <v>1786</v>
      </c>
      <c r="D727" s="4" t="s">
        <v>575</v>
      </c>
      <c r="E727" s="24" t="s">
        <v>441</v>
      </c>
      <c r="F727" s="12" t="s">
        <v>458</v>
      </c>
      <c r="G727" s="4" t="s">
        <v>1787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9</v>
      </c>
      <c r="P727" s="3">
        <v>6</v>
      </c>
      <c r="Q727" s="3">
        <v>246</v>
      </c>
      <c r="R727" s="3">
        <v>468</v>
      </c>
      <c r="S727" s="3">
        <v>57</v>
      </c>
      <c r="T727" s="3">
        <v>51</v>
      </c>
      <c r="U727" s="3">
        <v>57</v>
      </c>
      <c r="V727" s="3">
        <v>150</v>
      </c>
      <c r="W727" s="3">
        <v>18</v>
      </c>
      <c r="X727" s="3">
        <v>90</v>
      </c>
      <c r="Y727" s="3">
        <v>63</v>
      </c>
      <c r="Z727" s="3">
        <v>27</v>
      </c>
      <c r="AA727" s="3">
        <v>18</v>
      </c>
      <c r="AB727" s="3">
        <v>96</v>
      </c>
      <c r="AC727" s="3">
        <v>30</v>
      </c>
      <c r="AD727" s="3">
        <v>54</v>
      </c>
      <c r="AE727" s="3">
        <v>12</v>
      </c>
      <c r="AF727" s="3">
        <v>102</v>
      </c>
      <c r="AG727" s="3">
        <v>33</v>
      </c>
      <c r="AH727" s="3">
        <v>3</v>
      </c>
      <c r="AI727" s="3">
        <v>0</v>
      </c>
      <c r="AJ727" s="3">
        <v>0</v>
      </c>
      <c r="AK727" s="3">
        <v>3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</row>
    <row r="728" spans="1:49">
      <c r="A728" s="4" t="s">
        <v>35</v>
      </c>
      <c r="B728" s="4" t="str">
        <f t="shared" si="11"/>
        <v>Hair Color</v>
      </c>
      <c r="C728" s="4" t="s">
        <v>1786</v>
      </c>
      <c r="D728" s="4" t="s">
        <v>575</v>
      </c>
      <c r="E728" s="24" t="s">
        <v>441</v>
      </c>
      <c r="F728" s="12" t="s">
        <v>459</v>
      </c>
      <c r="G728" s="4" t="s">
        <v>1787</v>
      </c>
      <c r="H728" s="3">
        <v>42</v>
      </c>
      <c r="I728" s="3">
        <v>117</v>
      </c>
      <c r="J728" s="3">
        <v>42</v>
      </c>
      <c r="K728" s="3">
        <v>48</v>
      </c>
      <c r="L728" s="3">
        <v>36</v>
      </c>
      <c r="M728" s="3">
        <v>156</v>
      </c>
      <c r="N728" s="3">
        <v>42</v>
      </c>
      <c r="O728" s="3">
        <v>51</v>
      </c>
      <c r="P728" s="3">
        <v>33</v>
      </c>
      <c r="Q728" s="3">
        <v>21</v>
      </c>
      <c r="R728" s="3">
        <v>69</v>
      </c>
      <c r="S728" s="3">
        <v>57</v>
      </c>
      <c r="T728" s="3">
        <v>66</v>
      </c>
      <c r="U728" s="3">
        <v>36</v>
      </c>
      <c r="V728" s="3">
        <v>48</v>
      </c>
      <c r="W728" s="3">
        <v>9</v>
      </c>
      <c r="X728" s="3">
        <v>3</v>
      </c>
      <c r="Y728" s="3">
        <v>72</v>
      </c>
      <c r="Z728" s="3">
        <v>24</v>
      </c>
      <c r="AA728" s="3">
        <v>9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</row>
    <row r="729" spans="1:49">
      <c r="A729" s="4" t="s">
        <v>35</v>
      </c>
      <c r="B729" s="4" t="str">
        <f t="shared" si="11"/>
        <v>Hair Color</v>
      </c>
      <c r="C729" s="4" t="s">
        <v>1786</v>
      </c>
      <c r="D729" s="4" t="s">
        <v>575</v>
      </c>
      <c r="E729" s="24" t="s">
        <v>441</v>
      </c>
      <c r="F729" s="12" t="s">
        <v>460</v>
      </c>
      <c r="G729" s="4" t="s">
        <v>1787</v>
      </c>
      <c r="H729" s="3">
        <v>228</v>
      </c>
      <c r="I729" s="3">
        <v>174</v>
      </c>
      <c r="J729" s="3">
        <v>180</v>
      </c>
      <c r="K729" s="3">
        <v>204</v>
      </c>
      <c r="L729" s="3">
        <v>141</v>
      </c>
      <c r="M729" s="3">
        <v>228</v>
      </c>
      <c r="N729" s="3">
        <v>42</v>
      </c>
      <c r="O729" s="3">
        <v>111</v>
      </c>
      <c r="P729" s="3">
        <v>222</v>
      </c>
      <c r="Q729" s="3">
        <v>72</v>
      </c>
      <c r="R729" s="3">
        <v>138</v>
      </c>
      <c r="S729" s="3">
        <v>78</v>
      </c>
      <c r="T729" s="3">
        <v>30</v>
      </c>
      <c r="U729" s="3">
        <v>144</v>
      </c>
      <c r="V729" s="3">
        <v>138</v>
      </c>
      <c r="W729" s="3">
        <v>84</v>
      </c>
      <c r="X729" s="3">
        <v>72</v>
      </c>
      <c r="Y729" s="3">
        <v>48</v>
      </c>
      <c r="Z729" s="3">
        <v>39</v>
      </c>
      <c r="AA729" s="3">
        <v>3</v>
      </c>
      <c r="AB729" s="3">
        <v>120</v>
      </c>
      <c r="AC729" s="3">
        <v>105</v>
      </c>
      <c r="AD729" s="3">
        <v>27</v>
      </c>
      <c r="AE729" s="3">
        <v>120</v>
      </c>
      <c r="AF729" s="3">
        <v>12</v>
      </c>
      <c r="AG729" s="3">
        <v>111</v>
      </c>
      <c r="AH729" s="3">
        <v>57</v>
      </c>
      <c r="AI729" s="3">
        <v>60</v>
      </c>
      <c r="AJ729" s="3">
        <v>51</v>
      </c>
      <c r="AK729" s="3">
        <v>72</v>
      </c>
      <c r="AL729" s="3">
        <v>123</v>
      </c>
      <c r="AM729" s="3">
        <v>45</v>
      </c>
      <c r="AN729" s="3">
        <v>48</v>
      </c>
      <c r="AO729" s="3">
        <v>78</v>
      </c>
      <c r="AP729" s="3">
        <v>36</v>
      </c>
      <c r="AQ729" s="3">
        <v>12</v>
      </c>
      <c r="AR729" s="3">
        <v>9</v>
      </c>
      <c r="AS729" s="3">
        <v>18</v>
      </c>
      <c r="AT729" s="3">
        <v>30</v>
      </c>
      <c r="AU729" s="3">
        <v>24</v>
      </c>
      <c r="AV729" s="3">
        <v>39</v>
      </c>
      <c r="AW729" s="3">
        <v>0</v>
      </c>
    </row>
    <row r="730" spans="1:49">
      <c r="A730" s="4" t="s">
        <v>35</v>
      </c>
      <c r="B730" s="4" t="str">
        <f t="shared" si="11"/>
        <v>Hair Color</v>
      </c>
      <c r="C730" s="4" t="s">
        <v>1786</v>
      </c>
      <c r="D730" s="4" t="s">
        <v>575</v>
      </c>
      <c r="E730" s="24" t="s">
        <v>441</v>
      </c>
      <c r="F730" s="12" t="s">
        <v>461</v>
      </c>
      <c r="G730" s="4" t="s">
        <v>1787</v>
      </c>
      <c r="H730" s="3">
        <v>234</v>
      </c>
      <c r="I730" s="3">
        <v>306</v>
      </c>
      <c r="J730" s="3">
        <v>303</v>
      </c>
      <c r="K730" s="3">
        <v>93</v>
      </c>
      <c r="L730" s="3">
        <v>231</v>
      </c>
      <c r="M730" s="3">
        <v>186</v>
      </c>
      <c r="N730" s="3">
        <v>117</v>
      </c>
      <c r="O730" s="3">
        <v>162</v>
      </c>
      <c r="P730" s="3">
        <v>198</v>
      </c>
      <c r="Q730" s="3">
        <v>57</v>
      </c>
      <c r="R730" s="3">
        <v>135</v>
      </c>
      <c r="S730" s="3">
        <v>63</v>
      </c>
      <c r="T730" s="3">
        <v>39</v>
      </c>
      <c r="U730" s="3">
        <v>144</v>
      </c>
      <c r="V730" s="3">
        <v>189</v>
      </c>
      <c r="W730" s="3">
        <v>123</v>
      </c>
      <c r="X730" s="3">
        <v>6</v>
      </c>
      <c r="Y730" s="3">
        <v>96</v>
      </c>
      <c r="Z730" s="3">
        <v>48</v>
      </c>
      <c r="AA730" s="3">
        <v>111</v>
      </c>
      <c r="AB730" s="3">
        <v>168</v>
      </c>
      <c r="AC730" s="3">
        <v>0</v>
      </c>
      <c r="AD730" s="3">
        <v>84</v>
      </c>
      <c r="AE730" s="3">
        <v>96</v>
      </c>
      <c r="AF730" s="3">
        <v>78</v>
      </c>
      <c r="AG730" s="3">
        <v>96</v>
      </c>
      <c r="AH730" s="3">
        <v>57</v>
      </c>
      <c r="AI730" s="3">
        <v>141</v>
      </c>
      <c r="AJ730" s="3">
        <v>42</v>
      </c>
      <c r="AK730" s="3">
        <v>123</v>
      </c>
      <c r="AL730" s="3">
        <v>69</v>
      </c>
      <c r="AM730" s="3">
        <v>66</v>
      </c>
      <c r="AN730" s="3">
        <v>48</v>
      </c>
      <c r="AO730" s="3">
        <v>60</v>
      </c>
      <c r="AP730" s="3">
        <v>99</v>
      </c>
      <c r="AQ730" s="3">
        <v>258</v>
      </c>
      <c r="AR730" s="3">
        <v>54</v>
      </c>
      <c r="AS730" s="3">
        <v>78</v>
      </c>
      <c r="AT730" s="3">
        <v>66</v>
      </c>
      <c r="AU730" s="3">
        <v>189</v>
      </c>
      <c r="AV730" s="3">
        <v>105</v>
      </c>
      <c r="AW730" s="3">
        <v>69</v>
      </c>
    </row>
    <row r="731" spans="1:49">
      <c r="A731" s="4" t="s">
        <v>35</v>
      </c>
      <c r="B731" s="4" t="str">
        <f t="shared" si="11"/>
        <v>Hair Color</v>
      </c>
      <c r="C731" s="4" t="s">
        <v>1786</v>
      </c>
      <c r="D731" s="4" t="s">
        <v>575</v>
      </c>
      <c r="E731" s="24" t="s">
        <v>441</v>
      </c>
      <c r="F731" s="12" t="s">
        <v>462</v>
      </c>
      <c r="G731" s="4" t="s">
        <v>1787</v>
      </c>
      <c r="H731" s="3">
        <v>249</v>
      </c>
      <c r="I731" s="3">
        <v>210</v>
      </c>
      <c r="J731" s="3">
        <v>237</v>
      </c>
      <c r="K731" s="3">
        <v>102</v>
      </c>
      <c r="L731" s="3">
        <v>225</v>
      </c>
      <c r="M731" s="3">
        <v>186</v>
      </c>
      <c r="N731" s="3">
        <v>81</v>
      </c>
      <c r="O731" s="3">
        <v>120</v>
      </c>
      <c r="P731" s="3">
        <v>174</v>
      </c>
      <c r="Q731" s="3">
        <v>51</v>
      </c>
      <c r="R731" s="3">
        <v>174</v>
      </c>
      <c r="S731" s="3">
        <v>72</v>
      </c>
      <c r="T731" s="3">
        <v>84</v>
      </c>
      <c r="U731" s="3">
        <v>150</v>
      </c>
      <c r="V731" s="3">
        <v>189</v>
      </c>
      <c r="W731" s="3">
        <v>96</v>
      </c>
      <c r="X731" s="3">
        <v>66</v>
      </c>
      <c r="Y731" s="3">
        <v>144</v>
      </c>
      <c r="Z731" s="3">
        <v>66</v>
      </c>
      <c r="AA731" s="3">
        <v>135</v>
      </c>
      <c r="AB731" s="3">
        <v>222</v>
      </c>
      <c r="AC731" s="3">
        <v>15</v>
      </c>
      <c r="AD731" s="3">
        <v>66</v>
      </c>
      <c r="AE731" s="3">
        <v>51</v>
      </c>
      <c r="AF731" s="3">
        <v>90</v>
      </c>
      <c r="AG731" s="3">
        <v>90</v>
      </c>
      <c r="AH731" s="3">
        <v>60</v>
      </c>
      <c r="AI731" s="3">
        <v>114</v>
      </c>
      <c r="AJ731" s="3">
        <v>57</v>
      </c>
      <c r="AK731" s="3">
        <v>108</v>
      </c>
      <c r="AL731" s="3">
        <v>60</v>
      </c>
      <c r="AM731" s="3">
        <v>72</v>
      </c>
      <c r="AN731" s="3">
        <v>69</v>
      </c>
      <c r="AO731" s="3">
        <v>111</v>
      </c>
      <c r="AP731" s="3">
        <v>159</v>
      </c>
      <c r="AQ731" s="3">
        <v>0</v>
      </c>
      <c r="AR731" s="3">
        <v>204</v>
      </c>
      <c r="AS731" s="3">
        <v>90</v>
      </c>
      <c r="AT731" s="3">
        <v>120</v>
      </c>
      <c r="AU731" s="3">
        <v>159</v>
      </c>
      <c r="AV731" s="3">
        <v>45</v>
      </c>
      <c r="AW731" s="3">
        <v>69</v>
      </c>
    </row>
    <row r="732" spans="1:49">
      <c r="A732" s="4" t="s">
        <v>35</v>
      </c>
      <c r="B732" s="4" t="str">
        <f t="shared" si="11"/>
        <v>Hair Color</v>
      </c>
      <c r="C732" s="4" t="s">
        <v>1786</v>
      </c>
      <c r="D732" s="4" t="s">
        <v>575</v>
      </c>
      <c r="E732" s="24" t="s">
        <v>441</v>
      </c>
      <c r="F732" s="12" t="s">
        <v>463</v>
      </c>
      <c r="G732" s="4" t="s">
        <v>1787</v>
      </c>
      <c r="H732" s="3">
        <v>153</v>
      </c>
      <c r="I732" s="3">
        <v>204</v>
      </c>
      <c r="J732" s="3">
        <v>234</v>
      </c>
      <c r="K732" s="3">
        <v>126</v>
      </c>
      <c r="L732" s="3">
        <v>216</v>
      </c>
      <c r="M732" s="3">
        <v>159</v>
      </c>
      <c r="N732" s="3">
        <v>99</v>
      </c>
      <c r="O732" s="3">
        <v>177</v>
      </c>
      <c r="P732" s="3">
        <v>165</v>
      </c>
      <c r="Q732" s="3">
        <v>48</v>
      </c>
      <c r="R732" s="3">
        <v>135</v>
      </c>
      <c r="S732" s="3">
        <v>69</v>
      </c>
      <c r="T732" s="3">
        <v>30</v>
      </c>
      <c r="U732" s="3">
        <v>114</v>
      </c>
      <c r="V732" s="3">
        <v>162</v>
      </c>
      <c r="W732" s="3">
        <v>90</v>
      </c>
      <c r="X732" s="3">
        <v>60</v>
      </c>
      <c r="Y732" s="3">
        <v>96</v>
      </c>
      <c r="Z732" s="3">
        <v>60</v>
      </c>
      <c r="AA732" s="3">
        <v>120</v>
      </c>
      <c r="AB732" s="3">
        <v>129</v>
      </c>
      <c r="AC732" s="3">
        <v>3</v>
      </c>
      <c r="AD732" s="3">
        <v>30</v>
      </c>
      <c r="AE732" s="3">
        <v>51</v>
      </c>
      <c r="AF732" s="3">
        <v>102</v>
      </c>
      <c r="AG732" s="3">
        <v>75</v>
      </c>
      <c r="AH732" s="3">
        <v>78</v>
      </c>
      <c r="AI732" s="3">
        <v>189</v>
      </c>
      <c r="AJ732" s="3">
        <v>15</v>
      </c>
      <c r="AK732" s="3">
        <v>171</v>
      </c>
      <c r="AL732" s="3">
        <v>39</v>
      </c>
      <c r="AM732" s="3">
        <v>60</v>
      </c>
      <c r="AN732" s="3">
        <v>0</v>
      </c>
      <c r="AO732" s="3">
        <v>3</v>
      </c>
      <c r="AP732" s="3">
        <v>192</v>
      </c>
      <c r="AQ732" s="3">
        <v>33</v>
      </c>
      <c r="AR732" s="3">
        <v>237</v>
      </c>
      <c r="AS732" s="3">
        <v>99</v>
      </c>
      <c r="AT732" s="3">
        <v>96</v>
      </c>
      <c r="AU732" s="3">
        <v>156</v>
      </c>
      <c r="AV732" s="3">
        <v>120</v>
      </c>
      <c r="AW732" s="3">
        <v>99</v>
      </c>
    </row>
    <row r="733" spans="1:49">
      <c r="A733" s="4" t="s">
        <v>35</v>
      </c>
      <c r="B733" s="4" t="str">
        <f t="shared" si="11"/>
        <v>Hair Color</v>
      </c>
      <c r="C733" s="4" t="s">
        <v>1786</v>
      </c>
      <c r="D733" s="4" t="s">
        <v>575</v>
      </c>
      <c r="E733" s="24" t="s">
        <v>441</v>
      </c>
      <c r="F733" s="12" t="s">
        <v>464</v>
      </c>
      <c r="G733" s="4" t="s">
        <v>1787</v>
      </c>
      <c r="H733" s="3">
        <v>240</v>
      </c>
      <c r="I733" s="3">
        <v>225</v>
      </c>
      <c r="J733" s="3">
        <v>198</v>
      </c>
      <c r="K733" s="3">
        <v>186</v>
      </c>
      <c r="L733" s="3">
        <v>264</v>
      </c>
      <c r="M733" s="3">
        <v>177</v>
      </c>
      <c r="N733" s="3">
        <v>117</v>
      </c>
      <c r="O733" s="3">
        <v>204</v>
      </c>
      <c r="P733" s="3">
        <v>177</v>
      </c>
      <c r="Q733" s="3">
        <v>69</v>
      </c>
      <c r="R733" s="3">
        <v>201</v>
      </c>
      <c r="S733" s="3">
        <v>114</v>
      </c>
      <c r="T733" s="3">
        <v>36</v>
      </c>
      <c r="U733" s="3">
        <v>168</v>
      </c>
      <c r="V733" s="3">
        <v>213</v>
      </c>
      <c r="W733" s="3">
        <v>96</v>
      </c>
      <c r="X733" s="3">
        <v>108</v>
      </c>
      <c r="Y733" s="3">
        <v>162</v>
      </c>
      <c r="Z733" s="3">
        <v>66</v>
      </c>
      <c r="AA733" s="3">
        <v>96</v>
      </c>
      <c r="AB733" s="3">
        <v>231</v>
      </c>
      <c r="AC733" s="3">
        <v>27</v>
      </c>
      <c r="AD733" s="3">
        <v>129</v>
      </c>
      <c r="AE733" s="3">
        <v>165</v>
      </c>
      <c r="AF733" s="3">
        <v>3</v>
      </c>
      <c r="AG733" s="3">
        <v>132</v>
      </c>
      <c r="AH733" s="3">
        <v>51</v>
      </c>
      <c r="AI733" s="3">
        <v>126</v>
      </c>
      <c r="AJ733" s="3">
        <v>57</v>
      </c>
      <c r="AK733" s="3">
        <v>120</v>
      </c>
      <c r="AL733" s="3">
        <v>42</v>
      </c>
      <c r="AM733" s="3">
        <v>81</v>
      </c>
      <c r="AN733" s="3">
        <v>96</v>
      </c>
      <c r="AO733" s="3">
        <v>66</v>
      </c>
      <c r="AP733" s="3">
        <v>102</v>
      </c>
      <c r="AQ733" s="3">
        <v>9</v>
      </c>
      <c r="AR733" s="3">
        <v>117</v>
      </c>
      <c r="AS733" s="3">
        <v>96</v>
      </c>
      <c r="AT733" s="3">
        <v>84</v>
      </c>
      <c r="AU733" s="3">
        <v>123</v>
      </c>
      <c r="AV733" s="3">
        <v>153</v>
      </c>
      <c r="AW733" s="3">
        <v>114</v>
      </c>
    </row>
    <row r="734" spans="1:49">
      <c r="A734" s="4" t="s">
        <v>35</v>
      </c>
      <c r="B734" s="4" t="str">
        <f t="shared" si="11"/>
        <v>Hair Color</v>
      </c>
      <c r="C734" s="4" t="s">
        <v>1786</v>
      </c>
      <c r="D734" s="4" t="s">
        <v>575</v>
      </c>
      <c r="E734" s="24" t="s">
        <v>441</v>
      </c>
      <c r="F734" s="12" t="s">
        <v>465</v>
      </c>
      <c r="G734" s="4" t="s">
        <v>1787</v>
      </c>
      <c r="H734" s="3">
        <v>195</v>
      </c>
      <c r="I734" s="3">
        <v>63</v>
      </c>
      <c r="J734" s="3">
        <v>0</v>
      </c>
      <c r="K734" s="3">
        <v>498</v>
      </c>
      <c r="L734" s="3">
        <v>291</v>
      </c>
      <c r="M734" s="3">
        <v>228</v>
      </c>
      <c r="N734" s="3">
        <v>150</v>
      </c>
      <c r="O734" s="3">
        <v>213</v>
      </c>
      <c r="P734" s="3">
        <v>222</v>
      </c>
      <c r="Q734" s="3">
        <v>81</v>
      </c>
      <c r="R734" s="3">
        <v>225</v>
      </c>
      <c r="S734" s="3">
        <v>138</v>
      </c>
      <c r="T734" s="3">
        <v>75</v>
      </c>
      <c r="U734" s="3">
        <v>144</v>
      </c>
      <c r="V734" s="3">
        <v>216</v>
      </c>
      <c r="W734" s="3">
        <v>75</v>
      </c>
      <c r="X734" s="3">
        <v>102</v>
      </c>
      <c r="Y734" s="3">
        <v>177</v>
      </c>
      <c r="Z734" s="3">
        <v>105</v>
      </c>
      <c r="AA734" s="3">
        <v>96</v>
      </c>
      <c r="AB734" s="3">
        <v>219</v>
      </c>
      <c r="AC734" s="3">
        <v>54</v>
      </c>
      <c r="AD734" s="3">
        <v>99</v>
      </c>
      <c r="AE734" s="3">
        <v>159</v>
      </c>
      <c r="AF734" s="3">
        <v>78</v>
      </c>
      <c r="AG734" s="3">
        <v>165</v>
      </c>
      <c r="AH734" s="3">
        <v>54</v>
      </c>
      <c r="AI734" s="3">
        <v>144</v>
      </c>
      <c r="AJ734" s="3">
        <v>124</v>
      </c>
      <c r="AK734" s="3">
        <v>147</v>
      </c>
      <c r="AL734" s="3">
        <v>39</v>
      </c>
      <c r="AM734" s="3">
        <v>72</v>
      </c>
      <c r="AN734" s="3">
        <v>60</v>
      </c>
      <c r="AO734" s="3">
        <v>75</v>
      </c>
      <c r="AP734" s="3">
        <v>135</v>
      </c>
      <c r="AQ734" s="3">
        <v>156</v>
      </c>
      <c r="AR734" s="3">
        <v>120</v>
      </c>
      <c r="AS734" s="3">
        <v>111</v>
      </c>
      <c r="AT734" s="3">
        <v>111</v>
      </c>
      <c r="AU734" s="3">
        <v>228</v>
      </c>
      <c r="AV734" s="3">
        <v>75</v>
      </c>
      <c r="AW734" s="3">
        <v>39</v>
      </c>
    </row>
    <row r="735" spans="1:49">
      <c r="A735" s="4" t="s">
        <v>35</v>
      </c>
      <c r="B735" s="4" t="str">
        <f t="shared" si="11"/>
        <v>Hair Color</v>
      </c>
      <c r="C735" s="4" t="s">
        <v>1786</v>
      </c>
      <c r="D735" s="4" t="s">
        <v>575</v>
      </c>
      <c r="E735" s="24" t="s">
        <v>441</v>
      </c>
      <c r="F735" s="12" t="s">
        <v>466</v>
      </c>
      <c r="G735" s="4" t="s">
        <v>1787</v>
      </c>
      <c r="H735" s="3">
        <v>258</v>
      </c>
      <c r="I735" s="3">
        <v>0</v>
      </c>
      <c r="J735" s="3">
        <v>909</v>
      </c>
      <c r="K735" s="3">
        <v>264</v>
      </c>
      <c r="L735" s="3">
        <v>201</v>
      </c>
      <c r="M735" s="3">
        <v>390</v>
      </c>
      <c r="N735" s="3">
        <v>282</v>
      </c>
      <c r="O735" s="3">
        <v>138</v>
      </c>
      <c r="P735" s="3">
        <v>489</v>
      </c>
      <c r="Q735" s="3">
        <v>246</v>
      </c>
      <c r="R735" s="3">
        <v>429</v>
      </c>
      <c r="S735" s="3">
        <v>174</v>
      </c>
      <c r="T735" s="3">
        <v>213</v>
      </c>
      <c r="U735" s="3">
        <v>288</v>
      </c>
      <c r="V735" s="3">
        <v>363</v>
      </c>
      <c r="W735" s="3">
        <v>183</v>
      </c>
      <c r="X735" s="3">
        <v>207</v>
      </c>
      <c r="Y735" s="3">
        <v>309</v>
      </c>
      <c r="Z735" s="3">
        <v>144</v>
      </c>
      <c r="AA735" s="3">
        <v>207</v>
      </c>
      <c r="AB735" s="3">
        <v>372</v>
      </c>
      <c r="AC735" s="3">
        <v>57</v>
      </c>
      <c r="AD735" s="3">
        <v>144</v>
      </c>
      <c r="AE735" s="3">
        <v>177</v>
      </c>
      <c r="AF735" s="3">
        <v>108</v>
      </c>
      <c r="AG735" s="3">
        <v>0</v>
      </c>
      <c r="AH735" s="3">
        <v>195</v>
      </c>
      <c r="AI735" s="3">
        <v>378</v>
      </c>
      <c r="AJ735" s="3">
        <v>117</v>
      </c>
      <c r="AK735" s="3">
        <v>266</v>
      </c>
      <c r="AL735" s="3">
        <v>135</v>
      </c>
      <c r="AM735" s="3">
        <v>150</v>
      </c>
      <c r="AN735" s="3">
        <v>114</v>
      </c>
      <c r="AO735" s="3">
        <v>243</v>
      </c>
      <c r="AP735" s="3">
        <v>234</v>
      </c>
      <c r="AQ735" s="3">
        <v>282</v>
      </c>
      <c r="AR735" s="3">
        <v>135</v>
      </c>
      <c r="AS735" s="3">
        <v>198</v>
      </c>
      <c r="AT735" s="3">
        <v>174</v>
      </c>
      <c r="AU735" s="3">
        <v>384</v>
      </c>
      <c r="AV735" s="3">
        <v>222</v>
      </c>
      <c r="AW735" s="3">
        <v>153</v>
      </c>
    </row>
    <row r="736" spans="1:49">
      <c r="A736" s="4" t="s">
        <v>35</v>
      </c>
      <c r="B736" s="4" t="str">
        <f t="shared" si="11"/>
        <v>Hair Color</v>
      </c>
      <c r="C736" s="4" t="s">
        <v>1786</v>
      </c>
      <c r="D736" s="4" t="s">
        <v>575</v>
      </c>
      <c r="E736" s="24" t="s">
        <v>441</v>
      </c>
      <c r="F736" s="12" t="s">
        <v>467</v>
      </c>
      <c r="G736" s="4" t="s">
        <v>1787</v>
      </c>
      <c r="H736" s="3">
        <v>525</v>
      </c>
      <c r="I736" s="3">
        <v>483</v>
      </c>
      <c r="J736" s="3">
        <v>72</v>
      </c>
      <c r="K736" s="3">
        <v>67</v>
      </c>
      <c r="L736" s="3">
        <v>35</v>
      </c>
      <c r="M736" s="3">
        <v>156</v>
      </c>
      <c r="N736" s="3">
        <v>18</v>
      </c>
      <c r="O736" s="3">
        <v>609</v>
      </c>
      <c r="P736" s="3">
        <v>255</v>
      </c>
      <c r="Q736" s="3">
        <v>99</v>
      </c>
      <c r="R736" s="3">
        <v>210</v>
      </c>
      <c r="S736" s="3">
        <v>144</v>
      </c>
      <c r="T736" s="3">
        <v>129</v>
      </c>
      <c r="U736" s="3">
        <v>144</v>
      </c>
      <c r="V736" s="3">
        <v>132</v>
      </c>
      <c r="W736" s="3">
        <v>78</v>
      </c>
      <c r="X736" s="3">
        <v>102</v>
      </c>
      <c r="Y736" s="3">
        <v>93</v>
      </c>
      <c r="Z736" s="3">
        <v>90</v>
      </c>
      <c r="AA736" s="3">
        <v>105</v>
      </c>
      <c r="AB736" s="3">
        <v>30</v>
      </c>
      <c r="AC736" s="3">
        <v>9</v>
      </c>
      <c r="AD736" s="3">
        <v>66</v>
      </c>
      <c r="AE736" s="3">
        <v>180</v>
      </c>
      <c r="AF736" s="3">
        <v>63</v>
      </c>
      <c r="AG736" s="3">
        <v>36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36</v>
      </c>
      <c r="AN736" s="3">
        <v>0</v>
      </c>
      <c r="AO736" s="3">
        <v>0</v>
      </c>
      <c r="AP736" s="3">
        <v>108</v>
      </c>
      <c r="AQ736" s="3">
        <v>243</v>
      </c>
      <c r="AR736" s="3">
        <v>54</v>
      </c>
      <c r="AS736" s="3">
        <v>45</v>
      </c>
      <c r="AT736" s="3">
        <v>15</v>
      </c>
      <c r="AU736" s="3">
        <v>15</v>
      </c>
      <c r="AV736" s="3">
        <v>48</v>
      </c>
      <c r="AW736" s="3">
        <v>15</v>
      </c>
    </row>
    <row r="737" spans="1:49">
      <c r="A737" s="4" t="s">
        <v>35</v>
      </c>
      <c r="B737" s="4" t="str">
        <f t="shared" si="11"/>
        <v>Hair Color</v>
      </c>
      <c r="C737" s="4" t="s">
        <v>1786</v>
      </c>
      <c r="D737" s="4" t="s">
        <v>575</v>
      </c>
      <c r="E737" s="24" t="s">
        <v>441</v>
      </c>
      <c r="F737" s="12" t="s">
        <v>468</v>
      </c>
      <c r="G737" s="4" t="s">
        <v>1787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1154</v>
      </c>
      <c r="AA737" s="3">
        <v>27</v>
      </c>
      <c r="AB737" s="3">
        <v>234</v>
      </c>
      <c r="AC737" s="3">
        <v>47</v>
      </c>
      <c r="AD737" s="3">
        <v>133</v>
      </c>
      <c r="AE737" s="3">
        <v>111</v>
      </c>
      <c r="AF737" s="3">
        <v>105</v>
      </c>
      <c r="AG737" s="3">
        <v>111</v>
      </c>
      <c r="AH737" s="3">
        <v>52</v>
      </c>
      <c r="AI737" s="3">
        <v>78</v>
      </c>
      <c r="AJ737" s="3">
        <v>69</v>
      </c>
      <c r="AK737" s="3">
        <v>198</v>
      </c>
      <c r="AL737" s="3">
        <v>36</v>
      </c>
      <c r="AM737" s="3">
        <v>87</v>
      </c>
      <c r="AN737" s="3">
        <v>48</v>
      </c>
      <c r="AO737" s="3">
        <v>213</v>
      </c>
      <c r="AP737" s="3">
        <v>33</v>
      </c>
      <c r="AQ737" s="3">
        <v>126</v>
      </c>
      <c r="AR737" s="3">
        <v>39</v>
      </c>
      <c r="AS737" s="3">
        <v>63</v>
      </c>
      <c r="AT737" s="3">
        <v>168</v>
      </c>
      <c r="AU737" s="3">
        <v>183</v>
      </c>
      <c r="AV737" s="3">
        <v>102</v>
      </c>
      <c r="AW737" s="3">
        <v>39</v>
      </c>
    </row>
    <row r="738" spans="1:49">
      <c r="A738" s="4" t="s">
        <v>35</v>
      </c>
      <c r="B738" s="4" t="str">
        <f t="shared" si="11"/>
        <v>Hair Color</v>
      </c>
      <c r="C738" s="4" t="s">
        <v>1786</v>
      </c>
      <c r="D738" s="4" t="s">
        <v>575</v>
      </c>
      <c r="E738" s="24" t="s">
        <v>441</v>
      </c>
      <c r="F738" s="12" t="s">
        <v>469</v>
      </c>
      <c r="G738" s="4" t="s">
        <v>1787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1379</v>
      </c>
      <c r="AA738" s="3">
        <v>60</v>
      </c>
      <c r="AB738" s="3">
        <v>483</v>
      </c>
      <c r="AC738" s="3">
        <v>233</v>
      </c>
      <c r="AD738" s="3">
        <v>582</v>
      </c>
      <c r="AE738" s="3">
        <v>241</v>
      </c>
      <c r="AF738" s="3">
        <v>226</v>
      </c>
      <c r="AG738" s="3">
        <v>312</v>
      </c>
      <c r="AH738" s="3">
        <v>401</v>
      </c>
      <c r="AI738" s="3">
        <v>519</v>
      </c>
      <c r="AJ738" s="3">
        <v>268</v>
      </c>
      <c r="AK738" s="3">
        <v>861</v>
      </c>
      <c r="AL738" s="3">
        <v>522</v>
      </c>
      <c r="AM738" s="3">
        <v>84</v>
      </c>
      <c r="AN738" s="3">
        <v>0</v>
      </c>
      <c r="AO738" s="3">
        <v>276</v>
      </c>
      <c r="AP738" s="3">
        <v>949</v>
      </c>
      <c r="AQ738" s="3">
        <v>116</v>
      </c>
      <c r="AR738" s="3">
        <v>576</v>
      </c>
      <c r="AS738" s="3">
        <v>504</v>
      </c>
      <c r="AT738" s="3">
        <v>660</v>
      </c>
      <c r="AU738" s="3">
        <v>702</v>
      </c>
      <c r="AV738" s="3">
        <v>385</v>
      </c>
      <c r="AW738" s="3">
        <v>406</v>
      </c>
    </row>
    <row r="739" spans="1:49">
      <c r="A739" s="4" t="s">
        <v>35</v>
      </c>
      <c r="B739" s="4" t="str">
        <f t="shared" si="11"/>
        <v>Hair Color</v>
      </c>
      <c r="C739" s="4" t="s">
        <v>1786</v>
      </c>
      <c r="D739" s="4" t="s">
        <v>575</v>
      </c>
      <c r="E739" s="24" t="s">
        <v>441</v>
      </c>
      <c r="F739" s="12" t="s">
        <v>470</v>
      </c>
      <c r="G739" s="4" t="s">
        <v>1787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1277</v>
      </c>
      <c r="AA739" s="3">
        <v>27</v>
      </c>
      <c r="AB739" s="3">
        <v>345</v>
      </c>
      <c r="AC739" s="3">
        <v>104</v>
      </c>
      <c r="AD739" s="3">
        <v>219</v>
      </c>
      <c r="AE739" s="3">
        <v>129</v>
      </c>
      <c r="AF739" s="3">
        <v>209</v>
      </c>
      <c r="AG739" s="3">
        <v>216</v>
      </c>
      <c r="AH739" s="3">
        <v>162</v>
      </c>
      <c r="AI739" s="3">
        <v>327</v>
      </c>
      <c r="AJ739" s="3">
        <v>157</v>
      </c>
      <c r="AK739" s="3">
        <v>621</v>
      </c>
      <c r="AL739" s="3">
        <v>174</v>
      </c>
      <c r="AM739" s="3">
        <v>117</v>
      </c>
      <c r="AN739" s="3">
        <v>246</v>
      </c>
      <c r="AO739" s="3">
        <v>196</v>
      </c>
      <c r="AP739" s="3">
        <v>394</v>
      </c>
      <c r="AQ739" s="3">
        <v>413</v>
      </c>
      <c r="AR739" s="3">
        <v>156</v>
      </c>
      <c r="AS739" s="3">
        <v>273</v>
      </c>
      <c r="AT739" s="3">
        <v>202</v>
      </c>
      <c r="AU739" s="3">
        <v>448</v>
      </c>
      <c r="AV739" s="3">
        <v>242</v>
      </c>
      <c r="AW739" s="3">
        <v>272</v>
      </c>
    </row>
    <row r="740" spans="1:49">
      <c r="A740" s="4" t="s">
        <v>35</v>
      </c>
      <c r="B740" s="4" t="str">
        <f t="shared" si="11"/>
        <v>Hair Color</v>
      </c>
      <c r="C740" s="4" t="s">
        <v>1786</v>
      </c>
      <c r="D740" s="4" t="s">
        <v>575</v>
      </c>
      <c r="E740" s="24" t="s">
        <v>441</v>
      </c>
      <c r="F740" s="12" t="s">
        <v>471</v>
      </c>
      <c r="G740" s="4" t="s">
        <v>1787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1054</v>
      </c>
      <c r="AB740" s="3">
        <v>216</v>
      </c>
      <c r="AC740" s="3">
        <v>110</v>
      </c>
      <c r="AD740" s="3">
        <v>24</v>
      </c>
      <c r="AE740" s="3">
        <v>36</v>
      </c>
      <c r="AF740" s="3">
        <v>39</v>
      </c>
      <c r="AG740" s="3">
        <v>48</v>
      </c>
      <c r="AH740" s="3">
        <v>27</v>
      </c>
      <c r="AI740" s="3">
        <v>10</v>
      </c>
      <c r="AJ740" s="3">
        <v>0</v>
      </c>
      <c r="AK740" s="3">
        <v>57</v>
      </c>
      <c r="AL740" s="3">
        <v>18</v>
      </c>
      <c r="AM740" s="3">
        <v>9</v>
      </c>
      <c r="AN740" s="3">
        <v>6</v>
      </c>
      <c r="AO740" s="3">
        <v>15</v>
      </c>
      <c r="AP740" s="3">
        <v>15</v>
      </c>
      <c r="AQ740" s="3">
        <v>27</v>
      </c>
      <c r="AR740" s="3">
        <v>12</v>
      </c>
      <c r="AS740" s="3">
        <v>21</v>
      </c>
      <c r="AT740" s="3">
        <v>12</v>
      </c>
      <c r="AU740" s="3">
        <v>90</v>
      </c>
      <c r="AV740" s="3">
        <v>3</v>
      </c>
      <c r="AW740" s="3">
        <v>0</v>
      </c>
    </row>
    <row r="741" spans="1:49">
      <c r="A741" s="4" t="s">
        <v>35</v>
      </c>
      <c r="B741" s="4" t="str">
        <f t="shared" si="11"/>
        <v>Hair Color</v>
      </c>
      <c r="C741" s="4" t="s">
        <v>1786</v>
      </c>
      <c r="D741" s="4" t="s">
        <v>575</v>
      </c>
      <c r="E741" s="24" t="s">
        <v>441</v>
      </c>
      <c r="F741" s="12" t="s">
        <v>472</v>
      </c>
      <c r="G741" s="4" t="s">
        <v>1787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1223</v>
      </c>
      <c r="AA741" s="3">
        <v>96</v>
      </c>
      <c r="AB741" s="3">
        <v>497</v>
      </c>
      <c r="AC741" s="3">
        <v>269</v>
      </c>
      <c r="AD741" s="3">
        <v>435</v>
      </c>
      <c r="AE741" s="3">
        <v>265</v>
      </c>
      <c r="AF741" s="3">
        <v>375</v>
      </c>
      <c r="AG741" s="3">
        <v>379</v>
      </c>
      <c r="AH741" s="3">
        <v>-12</v>
      </c>
      <c r="AI741" s="3">
        <v>0</v>
      </c>
      <c r="AJ741" s="3">
        <v>0</v>
      </c>
      <c r="AK741" s="3">
        <v>408</v>
      </c>
      <c r="AL741" s="3">
        <v>1050</v>
      </c>
      <c r="AM741" s="3">
        <v>213</v>
      </c>
      <c r="AN741" s="3">
        <v>195</v>
      </c>
      <c r="AO741" s="3">
        <v>243</v>
      </c>
      <c r="AP741" s="3">
        <v>562</v>
      </c>
      <c r="AQ741" s="3">
        <v>749</v>
      </c>
      <c r="AR741" s="3">
        <v>213</v>
      </c>
      <c r="AS741" s="3">
        <v>402</v>
      </c>
      <c r="AT741" s="3">
        <v>327</v>
      </c>
      <c r="AU741" s="3">
        <v>663</v>
      </c>
      <c r="AV741" s="3">
        <v>391</v>
      </c>
      <c r="AW741" s="3">
        <v>420</v>
      </c>
    </row>
    <row r="742" spans="1:49">
      <c r="A742" s="4" t="s">
        <v>35</v>
      </c>
      <c r="B742" s="4" t="str">
        <f t="shared" si="11"/>
        <v>Hair Color</v>
      </c>
      <c r="C742" s="4" t="s">
        <v>1786</v>
      </c>
      <c r="D742" s="4" t="s">
        <v>575</v>
      </c>
      <c r="E742" s="24" t="s">
        <v>441</v>
      </c>
      <c r="F742" s="12" t="s">
        <v>473</v>
      </c>
      <c r="G742" s="4" t="s">
        <v>1787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1208</v>
      </c>
      <c r="AA742" s="3">
        <v>24</v>
      </c>
      <c r="AB742" s="3">
        <v>252</v>
      </c>
      <c r="AC742" s="3">
        <v>53</v>
      </c>
      <c r="AD742" s="3">
        <v>180</v>
      </c>
      <c r="AE742" s="3">
        <v>114</v>
      </c>
      <c r="AF742" s="3">
        <v>123</v>
      </c>
      <c r="AG742" s="3">
        <v>98</v>
      </c>
      <c r="AH742" s="3">
        <v>116</v>
      </c>
      <c r="AI742" s="3">
        <v>177</v>
      </c>
      <c r="AJ742" s="3">
        <v>75</v>
      </c>
      <c r="AK742" s="3">
        <v>347</v>
      </c>
      <c r="AL742" s="3">
        <v>66</v>
      </c>
      <c r="AM742" s="3">
        <v>80</v>
      </c>
      <c r="AN742" s="3">
        <v>93</v>
      </c>
      <c r="AO742" s="3">
        <v>249</v>
      </c>
      <c r="AP742" s="3">
        <v>147</v>
      </c>
      <c r="AQ742" s="3">
        <v>243</v>
      </c>
      <c r="AR742" s="3">
        <v>36</v>
      </c>
      <c r="AS742" s="3">
        <v>141</v>
      </c>
      <c r="AT742" s="3">
        <v>135</v>
      </c>
      <c r="AU742" s="3">
        <v>270</v>
      </c>
      <c r="AV742" s="3">
        <v>152</v>
      </c>
      <c r="AW742" s="3">
        <v>90</v>
      </c>
    </row>
    <row r="743" spans="1:49">
      <c r="A743" s="4" t="s">
        <v>35</v>
      </c>
      <c r="B743" s="4" t="str">
        <f t="shared" si="11"/>
        <v>Hair Color</v>
      </c>
      <c r="C743" s="4" t="s">
        <v>1786</v>
      </c>
      <c r="D743" s="4" t="s">
        <v>575</v>
      </c>
      <c r="E743" s="24" t="s">
        <v>441</v>
      </c>
      <c r="F743" s="12" t="s">
        <v>474</v>
      </c>
      <c r="G743" s="4" t="s">
        <v>1787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1295</v>
      </c>
      <c r="AA743" s="3">
        <v>60</v>
      </c>
      <c r="AB743" s="3">
        <v>465</v>
      </c>
      <c r="AC743" s="3">
        <v>188</v>
      </c>
      <c r="AD743" s="3">
        <v>342</v>
      </c>
      <c r="AE743" s="3">
        <v>192</v>
      </c>
      <c r="AF743" s="3">
        <v>300</v>
      </c>
      <c r="AG743" s="3">
        <v>276</v>
      </c>
      <c r="AH743" s="3">
        <v>250</v>
      </c>
      <c r="AI743" s="3">
        <v>261</v>
      </c>
      <c r="AJ743" s="3">
        <v>186</v>
      </c>
      <c r="AK743" s="3">
        <v>747</v>
      </c>
      <c r="AL743" s="3">
        <v>228</v>
      </c>
      <c r="AM743" s="3">
        <v>265</v>
      </c>
      <c r="AN743" s="3">
        <v>128</v>
      </c>
      <c r="AO743" s="3">
        <v>270</v>
      </c>
      <c r="AP743" s="3">
        <v>516</v>
      </c>
      <c r="AQ743" s="3">
        <v>513</v>
      </c>
      <c r="AR743" s="3">
        <v>276</v>
      </c>
      <c r="AS743" s="3">
        <v>417</v>
      </c>
      <c r="AT743" s="3">
        <v>483</v>
      </c>
      <c r="AU743" s="3">
        <v>622</v>
      </c>
      <c r="AV743" s="3">
        <v>307</v>
      </c>
      <c r="AW743" s="3">
        <v>256</v>
      </c>
    </row>
    <row r="744" spans="1:49">
      <c r="A744" s="4" t="s">
        <v>35</v>
      </c>
      <c r="B744" s="4" t="str">
        <f t="shared" si="11"/>
        <v>Hair Color</v>
      </c>
      <c r="C744" s="4" t="s">
        <v>1786</v>
      </c>
      <c r="D744" s="4" t="s">
        <v>575</v>
      </c>
      <c r="E744" s="24" t="s">
        <v>441</v>
      </c>
      <c r="F744" s="12" t="s">
        <v>475</v>
      </c>
      <c r="G744" s="4" t="s">
        <v>1787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1232</v>
      </c>
      <c r="AA744" s="3">
        <v>96</v>
      </c>
      <c r="AB744" s="3">
        <v>441</v>
      </c>
      <c r="AC744" s="3">
        <v>497</v>
      </c>
      <c r="AD744" s="3">
        <v>81</v>
      </c>
      <c r="AE744" s="3">
        <v>87</v>
      </c>
      <c r="AF744" s="3">
        <v>381</v>
      </c>
      <c r="AG744" s="3">
        <v>247</v>
      </c>
      <c r="AH744" s="3">
        <v>246</v>
      </c>
      <c r="AI744" s="3">
        <v>348</v>
      </c>
      <c r="AJ744" s="3">
        <v>193</v>
      </c>
      <c r="AK744" s="3">
        <v>777</v>
      </c>
      <c r="AL744" s="3">
        <v>237</v>
      </c>
      <c r="AM744" s="3">
        <v>168</v>
      </c>
      <c r="AN744" s="3">
        <v>302</v>
      </c>
      <c r="AO744" s="3">
        <v>345</v>
      </c>
      <c r="AP744" s="3">
        <v>231</v>
      </c>
      <c r="AQ744" s="3">
        <v>228</v>
      </c>
      <c r="AR744" s="3">
        <v>511</v>
      </c>
      <c r="AS744" s="3">
        <v>309</v>
      </c>
      <c r="AT744" s="3">
        <v>249</v>
      </c>
      <c r="AU744" s="3">
        <v>432</v>
      </c>
      <c r="AV744" s="3">
        <v>366</v>
      </c>
      <c r="AW744" s="3">
        <v>281</v>
      </c>
    </row>
    <row r="745" spans="1:49">
      <c r="A745" s="4" t="s">
        <v>35</v>
      </c>
      <c r="B745" s="4" t="str">
        <f t="shared" si="11"/>
        <v>Hair Color</v>
      </c>
      <c r="C745" s="4" t="s">
        <v>1786</v>
      </c>
      <c r="D745" s="4" t="s">
        <v>575</v>
      </c>
      <c r="E745" s="24" t="s">
        <v>441</v>
      </c>
      <c r="F745" s="12" t="s">
        <v>476</v>
      </c>
      <c r="G745" s="4" t="s">
        <v>1787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613</v>
      </c>
      <c r="AA745" s="3">
        <v>552</v>
      </c>
      <c r="AB745" s="3">
        <v>375</v>
      </c>
      <c r="AC745" s="3">
        <v>596</v>
      </c>
      <c r="AD745" s="3">
        <v>60</v>
      </c>
      <c r="AE745" s="3">
        <v>57</v>
      </c>
      <c r="AF745" s="3">
        <v>49</v>
      </c>
      <c r="AG745" s="3">
        <v>156</v>
      </c>
      <c r="AH745" s="3">
        <v>132</v>
      </c>
      <c r="AI745" s="3">
        <v>222</v>
      </c>
      <c r="AJ745" s="3">
        <v>150</v>
      </c>
      <c r="AK745" s="3">
        <v>395</v>
      </c>
      <c r="AL745" s="3">
        <v>141</v>
      </c>
      <c r="AM745" s="3">
        <v>180</v>
      </c>
      <c r="AN745" s="3">
        <v>191</v>
      </c>
      <c r="AO745" s="3">
        <v>243</v>
      </c>
      <c r="AP745" s="3">
        <v>237</v>
      </c>
      <c r="AQ745" s="3">
        <v>282</v>
      </c>
      <c r="AR745" s="3">
        <v>136</v>
      </c>
      <c r="AS745" s="3">
        <v>267</v>
      </c>
      <c r="AT745" s="3">
        <v>243</v>
      </c>
      <c r="AU745" s="3">
        <v>345</v>
      </c>
      <c r="AV745" s="3">
        <v>257</v>
      </c>
      <c r="AW745" s="3">
        <v>71</v>
      </c>
    </row>
    <row r="746" spans="1:49">
      <c r="A746" s="4" t="s">
        <v>35</v>
      </c>
      <c r="B746" s="4" t="str">
        <f t="shared" si="11"/>
        <v>Hair Color</v>
      </c>
      <c r="C746" s="4" t="s">
        <v>1786</v>
      </c>
      <c r="D746" s="4" t="s">
        <v>575</v>
      </c>
      <c r="E746" s="24" t="s">
        <v>441</v>
      </c>
      <c r="F746" s="12" t="s">
        <v>477</v>
      </c>
      <c r="G746" s="4" t="s">
        <v>1787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210</v>
      </c>
      <c r="AI746" s="3">
        <v>402</v>
      </c>
      <c r="AJ746" s="3">
        <v>49</v>
      </c>
      <c r="AK746" s="3">
        <v>474</v>
      </c>
      <c r="AL746" s="3">
        <v>75</v>
      </c>
      <c r="AM746" s="3">
        <v>243</v>
      </c>
      <c r="AN746" s="3">
        <v>177</v>
      </c>
      <c r="AO746" s="3">
        <v>348</v>
      </c>
      <c r="AP746" s="3">
        <v>279</v>
      </c>
      <c r="AQ746" s="3">
        <v>216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</row>
    <row r="747" spans="1:49">
      <c r="A747" s="4" t="s">
        <v>35</v>
      </c>
      <c r="B747" s="4" t="str">
        <f t="shared" si="11"/>
        <v>Hair Color</v>
      </c>
      <c r="C747" s="4" t="s">
        <v>1786</v>
      </c>
      <c r="D747" s="4" t="s">
        <v>575</v>
      </c>
      <c r="E747" s="24" t="s">
        <v>441</v>
      </c>
      <c r="F747" s="12" t="s">
        <v>478</v>
      </c>
      <c r="G747" s="4" t="s">
        <v>1787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147</v>
      </c>
      <c r="AK747" s="3">
        <v>822</v>
      </c>
      <c r="AL747" s="3">
        <v>87</v>
      </c>
      <c r="AM747" s="3">
        <v>111</v>
      </c>
      <c r="AN747" s="3">
        <v>112</v>
      </c>
      <c r="AO747" s="3">
        <v>238</v>
      </c>
      <c r="AP747" s="3">
        <v>180</v>
      </c>
      <c r="AQ747" s="3">
        <v>204</v>
      </c>
      <c r="AR747" s="3">
        <v>231</v>
      </c>
      <c r="AS747" s="3">
        <v>75</v>
      </c>
      <c r="AT747" s="3">
        <v>60</v>
      </c>
      <c r="AU747" s="3">
        <v>76</v>
      </c>
      <c r="AV747" s="3">
        <v>0</v>
      </c>
      <c r="AW747" s="3">
        <v>0</v>
      </c>
    </row>
    <row r="748" spans="1:49">
      <c r="A748" s="4" t="s">
        <v>35</v>
      </c>
      <c r="B748" s="4" t="str">
        <f t="shared" si="11"/>
        <v>Hair Color</v>
      </c>
      <c r="C748" s="4" t="s">
        <v>1786</v>
      </c>
      <c r="D748" s="4" t="s">
        <v>575</v>
      </c>
      <c r="E748" s="24" t="s">
        <v>441</v>
      </c>
      <c r="F748" s="12" t="s">
        <v>479</v>
      </c>
      <c r="G748" s="4" t="s">
        <v>1787</v>
      </c>
      <c r="H748" s="3">
        <v>30</v>
      </c>
      <c r="I748" s="3">
        <v>96</v>
      </c>
      <c r="J748" s="3">
        <v>30</v>
      </c>
      <c r="K748" s="3">
        <v>111</v>
      </c>
      <c r="L748" s="3">
        <v>93</v>
      </c>
      <c r="M748" s="3">
        <v>93</v>
      </c>
      <c r="N748" s="3">
        <v>54</v>
      </c>
      <c r="O748" s="3">
        <v>102</v>
      </c>
      <c r="P748" s="3">
        <v>75</v>
      </c>
      <c r="Q748" s="3">
        <v>51</v>
      </c>
      <c r="R748" s="3">
        <v>96</v>
      </c>
      <c r="S748" s="3">
        <v>48</v>
      </c>
      <c r="T748" s="3">
        <v>66</v>
      </c>
      <c r="U748" s="3">
        <v>63</v>
      </c>
      <c r="V748" s="3">
        <v>90</v>
      </c>
      <c r="W748" s="3">
        <v>36</v>
      </c>
      <c r="X748" s="3">
        <v>27</v>
      </c>
      <c r="Y748" s="3">
        <v>36</v>
      </c>
      <c r="Z748" s="3">
        <v>24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</row>
    <row r="749" spans="1:49">
      <c r="A749" s="4" t="s">
        <v>35</v>
      </c>
      <c r="B749" s="4" t="str">
        <f t="shared" si="11"/>
        <v>Hair Color</v>
      </c>
      <c r="C749" s="4" t="s">
        <v>1786</v>
      </c>
      <c r="D749" s="4" t="s">
        <v>575</v>
      </c>
      <c r="E749" s="24" t="s">
        <v>441</v>
      </c>
      <c r="F749" s="12" t="s">
        <v>480</v>
      </c>
      <c r="G749" s="4" t="s">
        <v>1787</v>
      </c>
      <c r="H749" s="3">
        <v>45</v>
      </c>
      <c r="I749" s="3">
        <v>159</v>
      </c>
      <c r="J749" s="3">
        <v>30</v>
      </c>
      <c r="K749" s="3">
        <v>138</v>
      </c>
      <c r="L749" s="3">
        <v>27</v>
      </c>
      <c r="M749" s="3">
        <v>192</v>
      </c>
      <c r="N749" s="3">
        <v>99</v>
      </c>
      <c r="O749" s="3">
        <v>117</v>
      </c>
      <c r="P749" s="3">
        <v>81</v>
      </c>
      <c r="Q749" s="3">
        <v>33</v>
      </c>
      <c r="R749" s="3">
        <v>102</v>
      </c>
      <c r="S749" s="3">
        <v>39</v>
      </c>
      <c r="T749" s="3">
        <v>54</v>
      </c>
      <c r="U749" s="3">
        <v>93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</row>
    <row r="750" spans="1:49">
      <c r="A750" s="4" t="s">
        <v>35</v>
      </c>
      <c r="B750" s="4" t="str">
        <f t="shared" si="11"/>
        <v>Hair Color</v>
      </c>
      <c r="C750" s="4" t="s">
        <v>1786</v>
      </c>
      <c r="D750" s="4" t="s">
        <v>575</v>
      </c>
      <c r="E750" s="24" t="s">
        <v>441</v>
      </c>
      <c r="F750" s="12" t="s">
        <v>481</v>
      </c>
      <c r="G750" s="4" t="s">
        <v>1787</v>
      </c>
      <c r="H750" s="3">
        <v>48</v>
      </c>
      <c r="I750" s="3">
        <v>102</v>
      </c>
      <c r="J750" s="3">
        <v>57</v>
      </c>
      <c r="K750" s="3">
        <v>123</v>
      </c>
      <c r="L750" s="3">
        <v>72</v>
      </c>
      <c r="M750" s="3">
        <v>138</v>
      </c>
      <c r="N750" s="3">
        <v>60</v>
      </c>
      <c r="O750" s="3">
        <v>75</v>
      </c>
      <c r="P750" s="3">
        <v>111</v>
      </c>
      <c r="Q750" s="3">
        <v>51</v>
      </c>
      <c r="R750" s="3">
        <v>96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</row>
    <row r="751" spans="1:49">
      <c r="A751" s="4" t="s">
        <v>35</v>
      </c>
      <c r="B751" s="4" t="str">
        <f t="shared" si="11"/>
        <v>Hair Color</v>
      </c>
      <c r="C751" s="4" t="s">
        <v>1786</v>
      </c>
      <c r="D751" s="4" t="s">
        <v>575</v>
      </c>
      <c r="E751" s="24" t="s">
        <v>441</v>
      </c>
      <c r="F751" s="12" t="s">
        <v>482</v>
      </c>
      <c r="G751" s="4" t="s">
        <v>1787</v>
      </c>
      <c r="H751" s="3">
        <v>60</v>
      </c>
      <c r="I751" s="3">
        <v>108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</row>
    <row r="752" spans="1:49">
      <c r="A752" s="4" t="s">
        <v>35</v>
      </c>
      <c r="B752" s="4" t="str">
        <f t="shared" si="11"/>
        <v>Hair Color</v>
      </c>
      <c r="C752" s="4" t="s">
        <v>1786</v>
      </c>
      <c r="D752" s="4" t="s">
        <v>575</v>
      </c>
      <c r="E752" s="24" t="s">
        <v>441</v>
      </c>
      <c r="F752" s="12" t="s">
        <v>483</v>
      </c>
      <c r="G752" s="4" t="s">
        <v>1787</v>
      </c>
      <c r="H752" s="3">
        <v>132</v>
      </c>
      <c r="I752" s="3">
        <v>273</v>
      </c>
      <c r="J752" s="3">
        <v>93</v>
      </c>
      <c r="K752" s="3">
        <v>189</v>
      </c>
      <c r="L752" s="3">
        <v>207</v>
      </c>
      <c r="M752" s="3">
        <v>273</v>
      </c>
      <c r="N752" s="3">
        <v>114</v>
      </c>
      <c r="O752" s="3">
        <v>201</v>
      </c>
      <c r="P752" s="3">
        <v>234</v>
      </c>
      <c r="Q752" s="3">
        <v>117</v>
      </c>
      <c r="R752" s="3">
        <v>321</v>
      </c>
      <c r="S752" s="3">
        <v>109</v>
      </c>
      <c r="T752" s="3">
        <v>96</v>
      </c>
      <c r="U752" s="3">
        <v>177</v>
      </c>
      <c r="V752" s="3">
        <v>276</v>
      </c>
      <c r="W752" s="3">
        <v>132</v>
      </c>
      <c r="X752" s="3">
        <v>39</v>
      </c>
      <c r="Y752" s="3">
        <v>93</v>
      </c>
      <c r="Z752" s="3">
        <v>90</v>
      </c>
      <c r="AA752" s="3">
        <v>126</v>
      </c>
      <c r="AB752" s="3">
        <v>285</v>
      </c>
      <c r="AC752" s="3">
        <v>99</v>
      </c>
      <c r="AD752" s="3">
        <v>141</v>
      </c>
      <c r="AE752" s="3">
        <v>42</v>
      </c>
      <c r="AF752" s="3">
        <v>123</v>
      </c>
      <c r="AG752" s="3">
        <v>138</v>
      </c>
      <c r="AH752" s="3">
        <v>117</v>
      </c>
      <c r="AI752" s="3">
        <v>243</v>
      </c>
      <c r="AJ752" s="3">
        <v>84</v>
      </c>
      <c r="AK752" s="3">
        <v>231</v>
      </c>
      <c r="AL752" s="3">
        <v>129</v>
      </c>
      <c r="AM752" s="3">
        <v>123</v>
      </c>
      <c r="AN752" s="3">
        <v>165</v>
      </c>
      <c r="AO752" s="3">
        <v>240</v>
      </c>
      <c r="AP752" s="3">
        <v>153</v>
      </c>
      <c r="AQ752" s="3">
        <v>183</v>
      </c>
      <c r="AR752" s="3">
        <v>60</v>
      </c>
      <c r="AS752" s="3">
        <v>99</v>
      </c>
      <c r="AT752" s="3">
        <v>117</v>
      </c>
      <c r="AU752" s="3">
        <v>267</v>
      </c>
      <c r="AV752" s="3">
        <v>216</v>
      </c>
      <c r="AW752" s="3">
        <v>81</v>
      </c>
    </row>
    <row r="753" spans="1:49">
      <c r="A753" s="4" t="s">
        <v>35</v>
      </c>
      <c r="B753" s="4" t="str">
        <f t="shared" si="11"/>
        <v>Hair Color</v>
      </c>
      <c r="C753" s="4" t="s">
        <v>1786</v>
      </c>
      <c r="D753" s="4" t="s">
        <v>575</v>
      </c>
      <c r="E753" s="24" t="s">
        <v>441</v>
      </c>
      <c r="F753" s="12" t="s">
        <v>484</v>
      </c>
      <c r="G753" s="4" t="s">
        <v>1787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39</v>
      </c>
      <c r="AH753" s="3">
        <v>750</v>
      </c>
      <c r="AI753" s="3">
        <v>249</v>
      </c>
      <c r="AJ753" s="3">
        <v>528</v>
      </c>
      <c r="AK753" s="3">
        <v>420</v>
      </c>
      <c r="AL753" s="3">
        <v>171</v>
      </c>
      <c r="AM753" s="3">
        <v>352</v>
      </c>
      <c r="AN753" s="3">
        <v>378</v>
      </c>
      <c r="AO753" s="3">
        <v>348</v>
      </c>
      <c r="AP753" s="3">
        <v>525</v>
      </c>
      <c r="AQ753" s="3">
        <v>486</v>
      </c>
      <c r="AR753" s="3">
        <v>327</v>
      </c>
      <c r="AS753" s="3">
        <v>219</v>
      </c>
      <c r="AT753" s="3">
        <v>78</v>
      </c>
      <c r="AU753" s="3">
        <v>0</v>
      </c>
      <c r="AV753" s="3">
        <v>0</v>
      </c>
      <c r="AW753" s="3">
        <v>0</v>
      </c>
    </row>
    <row r="754" spans="1:49">
      <c r="A754" s="4" t="s">
        <v>35</v>
      </c>
      <c r="B754" s="4" t="str">
        <f t="shared" si="11"/>
        <v>Hair Color</v>
      </c>
      <c r="C754" s="4" t="s">
        <v>1786</v>
      </c>
      <c r="D754" s="4" t="s">
        <v>575</v>
      </c>
      <c r="E754" s="24" t="s">
        <v>441</v>
      </c>
      <c r="F754" s="12" t="s">
        <v>485</v>
      </c>
      <c r="G754" s="4" t="s">
        <v>1787</v>
      </c>
      <c r="H754" s="3">
        <v>186</v>
      </c>
      <c r="I754" s="3">
        <v>291</v>
      </c>
      <c r="J754" s="3">
        <v>210</v>
      </c>
      <c r="K754" s="3">
        <v>318</v>
      </c>
      <c r="L754" s="3">
        <v>150</v>
      </c>
      <c r="M754" s="3">
        <v>408</v>
      </c>
      <c r="N754" s="3">
        <v>129</v>
      </c>
      <c r="O754" s="3">
        <v>228</v>
      </c>
      <c r="P754" s="3">
        <v>177</v>
      </c>
      <c r="Q754" s="3">
        <v>141</v>
      </c>
      <c r="R754" s="3">
        <v>372</v>
      </c>
      <c r="S754" s="3">
        <v>189</v>
      </c>
      <c r="T754" s="3">
        <v>171</v>
      </c>
      <c r="U754" s="3">
        <v>264</v>
      </c>
      <c r="V754" s="3">
        <v>318</v>
      </c>
      <c r="W754" s="3">
        <v>156</v>
      </c>
      <c r="X754" s="3">
        <v>189</v>
      </c>
      <c r="Y754" s="3">
        <v>198</v>
      </c>
      <c r="Z754" s="3">
        <v>120</v>
      </c>
      <c r="AA754" s="3">
        <v>189</v>
      </c>
      <c r="AB754" s="3">
        <v>450</v>
      </c>
      <c r="AC754" s="3">
        <v>120</v>
      </c>
      <c r="AD754" s="3">
        <v>57</v>
      </c>
      <c r="AE754" s="3">
        <v>129</v>
      </c>
      <c r="AF754" s="3">
        <v>156</v>
      </c>
      <c r="AG754" s="3">
        <v>300</v>
      </c>
      <c r="AH754" s="3">
        <v>77</v>
      </c>
      <c r="AI754" s="3">
        <v>228</v>
      </c>
      <c r="AJ754" s="3">
        <v>147</v>
      </c>
      <c r="AK754" s="3">
        <v>327</v>
      </c>
      <c r="AL754" s="3">
        <v>93</v>
      </c>
      <c r="AM754" s="3">
        <v>174</v>
      </c>
      <c r="AN754" s="3">
        <v>0</v>
      </c>
      <c r="AO754" s="3">
        <v>255</v>
      </c>
      <c r="AP754" s="3">
        <v>348</v>
      </c>
      <c r="AQ754" s="3">
        <v>62</v>
      </c>
      <c r="AR754" s="3">
        <v>273</v>
      </c>
      <c r="AS754" s="3">
        <v>144</v>
      </c>
      <c r="AT754" s="3">
        <v>171</v>
      </c>
      <c r="AU754" s="3">
        <v>474</v>
      </c>
      <c r="AV754" s="3">
        <v>213</v>
      </c>
      <c r="AW754" s="3">
        <v>78</v>
      </c>
    </row>
    <row r="755" spans="1:49">
      <c r="A755" s="4" t="s">
        <v>35</v>
      </c>
      <c r="B755" s="4" t="str">
        <f t="shared" si="11"/>
        <v>Hair Color</v>
      </c>
      <c r="C755" s="4" t="s">
        <v>1786</v>
      </c>
      <c r="D755" s="4" t="s">
        <v>575</v>
      </c>
      <c r="E755" s="24" t="s">
        <v>441</v>
      </c>
      <c r="F755" s="12" t="s">
        <v>486</v>
      </c>
      <c r="G755" s="4" t="s">
        <v>1787</v>
      </c>
      <c r="H755" s="3">
        <v>1404</v>
      </c>
      <c r="I755" s="3">
        <v>1446</v>
      </c>
      <c r="J755" s="3">
        <v>1752</v>
      </c>
      <c r="K755" s="3">
        <v>645</v>
      </c>
      <c r="L755" s="3">
        <v>645</v>
      </c>
      <c r="M755" s="3">
        <v>1245</v>
      </c>
      <c r="N755" s="3">
        <v>738</v>
      </c>
      <c r="O755" s="3">
        <v>936</v>
      </c>
      <c r="P755" s="3">
        <v>918</v>
      </c>
      <c r="Q755" s="3">
        <v>663</v>
      </c>
      <c r="R755" s="3">
        <v>1158</v>
      </c>
      <c r="S755" s="3">
        <v>558</v>
      </c>
      <c r="T755" s="3">
        <v>657</v>
      </c>
      <c r="U755" s="3">
        <v>735</v>
      </c>
      <c r="V755" s="3">
        <v>1779</v>
      </c>
      <c r="W755" s="3">
        <v>1080</v>
      </c>
      <c r="X755" s="3">
        <v>840</v>
      </c>
      <c r="Y755" s="3">
        <v>948</v>
      </c>
      <c r="Z755" s="3">
        <v>225</v>
      </c>
      <c r="AA755" s="3">
        <v>963</v>
      </c>
      <c r="AB755" s="3">
        <v>1551</v>
      </c>
      <c r="AC755" s="3">
        <v>141</v>
      </c>
      <c r="AD755" s="3">
        <v>426</v>
      </c>
      <c r="AE755" s="3">
        <v>237</v>
      </c>
      <c r="AF755" s="3">
        <v>396</v>
      </c>
      <c r="AG755" s="3">
        <v>672</v>
      </c>
      <c r="AH755" s="3">
        <v>462</v>
      </c>
      <c r="AI755" s="3">
        <v>561</v>
      </c>
      <c r="AJ755" s="3">
        <v>540</v>
      </c>
      <c r="AK755" s="3">
        <v>960</v>
      </c>
      <c r="AL755" s="3">
        <v>351</v>
      </c>
      <c r="AM755" s="3">
        <v>519</v>
      </c>
      <c r="AN755" s="3">
        <v>543</v>
      </c>
      <c r="AO755" s="3">
        <v>699</v>
      </c>
      <c r="AP755" s="3">
        <v>678</v>
      </c>
      <c r="AQ755" s="3">
        <v>300</v>
      </c>
      <c r="AR755" s="3">
        <v>915</v>
      </c>
      <c r="AS755" s="3">
        <v>435</v>
      </c>
      <c r="AT755" s="3">
        <v>690</v>
      </c>
      <c r="AU755" s="3">
        <v>957</v>
      </c>
      <c r="AV755" s="3">
        <v>558</v>
      </c>
      <c r="AW755" s="3">
        <v>351</v>
      </c>
    </row>
    <row r="756" spans="1:49">
      <c r="A756" s="4" t="s">
        <v>35</v>
      </c>
      <c r="B756" s="4" t="str">
        <f t="shared" si="11"/>
        <v>Hair Color</v>
      </c>
      <c r="C756" s="4" t="s">
        <v>1786</v>
      </c>
      <c r="D756" s="4" t="s">
        <v>575</v>
      </c>
      <c r="E756" s="24" t="s">
        <v>441</v>
      </c>
      <c r="F756" s="12" t="s">
        <v>487</v>
      </c>
      <c r="G756" s="4" t="s">
        <v>1787</v>
      </c>
      <c r="H756" s="3">
        <v>615</v>
      </c>
      <c r="I756" s="3">
        <v>987</v>
      </c>
      <c r="J756" s="3">
        <v>771</v>
      </c>
      <c r="K756" s="3">
        <v>627</v>
      </c>
      <c r="L756" s="3">
        <v>423</v>
      </c>
      <c r="M756" s="3">
        <v>930</v>
      </c>
      <c r="N756" s="3">
        <v>543</v>
      </c>
      <c r="O756" s="3">
        <v>729</v>
      </c>
      <c r="P756" s="3">
        <v>630</v>
      </c>
      <c r="Q756" s="3">
        <v>462</v>
      </c>
      <c r="R756" s="3">
        <v>861</v>
      </c>
      <c r="S756" s="3">
        <v>501</v>
      </c>
      <c r="T756" s="3">
        <v>459</v>
      </c>
      <c r="U756" s="3">
        <v>591</v>
      </c>
      <c r="V756" s="3">
        <v>1251</v>
      </c>
      <c r="W756" s="3">
        <v>759</v>
      </c>
      <c r="X756" s="3">
        <v>603</v>
      </c>
      <c r="Y756" s="3">
        <v>1110</v>
      </c>
      <c r="Z756" s="3">
        <v>117</v>
      </c>
      <c r="AA756" s="3">
        <v>579</v>
      </c>
      <c r="AB756" s="3">
        <v>816</v>
      </c>
      <c r="AC756" s="3">
        <v>366</v>
      </c>
      <c r="AD756" s="3">
        <v>102</v>
      </c>
      <c r="AE756" s="3">
        <v>201</v>
      </c>
      <c r="AF756" s="3">
        <v>357</v>
      </c>
      <c r="AG756" s="3">
        <v>471</v>
      </c>
      <c r="AH756" s="3">
        <v>366</v>
      </c>
      <c r="AI756" s="3">
        <v>510</v>
      </c>
      <c r="AJ756" s="3">
        <v>174</v>
      </c>
      <c r="AK756" s="3">
        <v>537</v>
      </c>
      <c r="AL756" s="3">
        <v>321</v>
      </c>
      <c r="AM756" s="3">
        <v>405</v>
      </c>
      <c r="AN756" s="3">
        <v>372</v>
      </c>
      <c r="AO756" s="3">
        <v>486</v>
      </c>
      <c r="AP756" s="3">
        <v>546</v>
      </c>
      <c r="AQ756" s="3">
        <v>756</v>
      </c>
      <c r="AR756" s="3">
        <v>219</v>
      </c>
      <c r="AS756" s="3">
        <v>312</v>
      </c>
      <c r="AT756" s="3">
        <v>240</v>
      </c>
      <c r="AU756" s="3">
        <v>570</v>
      </c>
      <c r="AV756" s="3">
        <v>300</v>
      </c>
      <c r="AW756" s="3">
        <v>249</v>
      </c>
    </row>
    <row r="757" spans="1:49">
      <c r="A757" s="4" t="s">
        <v>35</v>
      </c>
      <c r="B757" s="4" t="str">
        <f t="shared" si="11"/>
        <v>Hair Color</v>
      </c>
      <c r="C757" s="4" t="s">
        <v>1786</v>
      </c>
      <c r="D757" s="4" t="s">
        <v>575</v>
      </c>
      <c r="E757" s="24" t="s">
        <v>441</v>
      </c>
      <c r="F757" s="12" t="s">
        <v>488</v>
      </c>
      <c r="G757" s="4" t="s">
        <v>1787</v>
      </c>
      <c r="H757" s="3">
        <v>90</v>
      </c>
      <c r="I757" s="3">
        <v>246</v>
      </c>
      <c r="J757" s="3">
        <v>201</v>
      </c>
      <c r="K757" s="3">
        <v>321</v>
      </c>
      <c r="L757" s="3">
        <v>102</v>
      </c>
      <c r="M757" s="3">
        <v>279</v>
      </c>
      <c r="N757" s="3">
        <v>165</v>
      </c>
      <c r="O757" s="3">
        <v>273</v>
      </c>
      <c r="P757" s="3">
        <v>186</v>
      </c>
      <c r="Q757" s="3">
        <v>114</v>
      </c>
      <c r="R757" s="3">
        <v>237</v>
      </c>
      <c r="S757" s="3">
        <v>138</v>
      </c>
      <c r="T757" s="3">
        <v>123</v>
      </c>
      <c r="U757" s="3">
        <v>165</v>
      </c>
      <c r="V757" s="3">
        <v>282</v>
      </c>
      <c r="W757" s="3">
        <v>146</v>
      </c>
      <c r="X757" s="3">
        <v>195</v>
      </c>
      <c r="Y757" s="3">
        <v>174</v>
      </c>
      <c r="Z757" s="3">
        <v>66</v>
      </c>
      <c r="AA757" s="3">
        <v>102</v>
      </c>
      <c r="AB757" s="3">
        <v>270</v>
      </c>
      <c r="AC757" s="3">
        <v>87</v>
      </c>
      <c r="AD757" s="3">
        <v>39</v>
      </c>
      <c r="AE757" s="3">
        <v>111</v>
      </c>
      <c r="AF757" s="3">
        <v>141</v>
      </c>
      <c r="AG757" s="3">
        <v>174</v>
      </c>
      <c r="AH757" s="3">
        <v>126</v>
      </c>
      <c r="AI757" s="3">
        <v>156</v>
      </c>
      <c r="AJ757" s="3">
        <v>0</v>
      </c>
      <c r="AK757" s="3">
        <v>300</v>
      </c>
      <c r="AL757" s="3">
        <v>30</v>
      </c>
      <c r="AM757" s="3">
        <v>156</v>
      </c>
      <c r="AN757" s="3">
        <v>108</v>
      </c>
      <c r="AO757" s="3">
        <v>60</v>
      </c>
      <c r="AP757" s="3">
        <v>297</v>
      </c>
      <c r="AQ757" s="3">
        <v>204</v>
      </c>
      <c r="AR757" s="3">
        <v>126</v>
      </c>
      <c r="AS757" s="3">
        <v>87</v>
      </c>
      <c r="AT757" s="3">
        <v>87</v>
      </c>
      <c r="AU757" s="3">
        <v>276</v>
      </c>
      <c r="AV757" s="3">
        <v>165</v>
      </c>
      <c r="AW757" s="3">
        <v>102</v>
      </c>
    </row>
    <row r="758" spans="1:49">
      <c r="A758" s="4" t="s">
        <v>35</v>
      </c>
      <c r="B758" s="4" t="str">
        <f t="shared" si="11"/>
        <v>Hair Color</v>
      </c>
      <c r="C758" s="4" t="s">
        <v>1786</v>
      </c>
      <c r="D758" s="4" t="s">
        <v>575</v>
      </c>
      <c r="E758" s="24" t="s">
        <v>441</v>
      </c>
      <c r="F758" s="12" t="s">
        <v>489</v>
      </c>
      <c r="G758" s="4" t="s">
        <v>1787</v>
      </c>
      <c r="H758" s="3">
        <v>312</v>
      </c>
      <c r="I758" s="3">
        <v>345</v>
      </c>
      <c r="J758" s="3">
        <v>162</v>
      </c>
      <c r="K758" s="3">
        <v>162</v>
      </c>
      <c r="L758" s="3">
        <v>129</v>
      </c>
      <c r="M758" s="3">
        <v>348</v>
      </c>
      <c r="N758" s="3">
        <v>672</v>
      </c>
      <c r="O758" s="3">
        <v>324</v>
      </c>
      <c r="P758" s="3">
        <v>261</v>
      </c>
      <c r="Q758" s="3">
        <v>309</v>
      </c>
      <c r="R758" s="3">
        <v>324</v>
      </c>
      <c r="S758" s="3">
        <v>408</v>
      </c>
      <c r="T758" s="3">
        <v>225</v>
      </c>
      <c r="U758" s="3">
        <v>360</v>
      </c>
      <c r="V758" s="3">
        <v>741</v>
      </c>
      <c r="W758" s="3">
        <v>525</v>
      </c>
      <c r="X758" s="3">
        <v>501</v>
      </c>
      <c r="Y758" s="3">
        <v>501</v>
      </c>
      <c r="Z758" s="3">
        <v>57</v>
      </c>
      <c r="AA758" s="3">
        <v>348</v>
      </c>
      <c r="AB758" s="3">
        <v>333</v>
      </c>
      <c r="AC758" s="3">
        <v>51</v>
      </c>
      <c r="AD758" s="3">
        <v>309</v>
      </c>
      <c r="AE758" s="3">
        <v>90</v>
      </c>
      <c r="AF758" s="3">
        <v>72</v>
      </c>
      <c r="AG758" s="3">
        <v>279</v>
      </c>
      <c r="AH758" s="3">
        <v>135</v>
      </c>
      <c r="AI758" s="3">
        <v>216</v>
      </c>
      <c r="AJ758" s="3">
        <v>135</v>
      </c>
      <c r="AK758" s="3">
        <v>225</v>
      </c>
      <c r="AL758" s="3">
        <v>183</v>
      </c>
      <c r="AM758" s="3">
        <v>249</v>
      </c>
      <c r="AN758" s="3">
        <v>168</v>
      </c>
      <c r="AO758" s="3">
        <v>351</v>
      </c>
      <c r="AP758" s="3">
        <v>297</v>
      </c>
      <c r="AQ758" s="3">
        <v>369</v>
      </c>
      <c r="AR758" s="3">
        <v>201</v>
      </c>
      <c r="AS758" s="3">
        <v>138</v>
      </c>
      <c r="AT758" s="3">
        <v>150</v>
      </c>
      <c r="AU758" s="3">
        <v>405</v>
      </c>
      <c r="AV758" s="3">
        <v>249</v>
      </c>
      <c r="AW758" s="3">
        <v>162</v>
      </c>
    </row>
    <row r="759" spans="1:49">
      <c r="A759" s="4" t="s">
        <v>35</v>
      </c>
      <c r="B759" s="4" t="str">
        <f t="shared" si="11"/>
        <v>Hair Color</v>
      </c>
      <c r="C759" s="4" t="s">
        <v>1786</v>
      </c>
      <c r="D759" s="4" t="s">
        <v>575</v>
      </c>
      <c r="E759" s="24" t="s">
        <v>441</v>
      </c>
      <c r="F759" s="12" t="s">
        <v>478</v>
      </c>
      <c r="G759" s="4" t="s">
        <v>1787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9</v>
      </c>
      <c r="AV759" s="3">
        <v>225</v>
      </c>
      <c r="AW759" s="3">
        <v>75</v>
      </c>
    </row>
    <row r="760" spans="1:49">
      <c r="A760" s="4" t="s">
        <v>35</v>
      </c>
      <c r="B760" s="4" t="str">
        <f t="shared" si="11"/>
        <v>Hair Color</v>
      </c>
      <c r="C760" s="4" t="s">
        <v>1786</v>
      </c>
      <c r="D760" s="4" t="s">
        <v>575</v>
      </c>
      <c r="E760" s="24" t="s">
        <v>441</v>
      </c>
      <c r="F760" s="12" t="s">
        <v>477</v>
      </c>
      <c r="G760" s="4" t="s">
        <v>1787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36</v>
      </c>
      <c r="AR760" s="3">
        <v>168</v>
      </c>
      <c r="AS760" s="3">
        <v>192</v>
      </c>
      <c r="AT760" s="3">
        <v>204</v>
      </c>
      <c r="AU760" s="3">
        <v>336</v>
      </c>
      <c r="AV760" s="3">
        <v>228</v>
      </c>
      <c r="AW760" s="3">
        <v>33</v>
      </c>
    </row>
    <row r="761" spans="1:49">
      <c r="A761" s="4" t="s">
        <v>35</v>
      </c>
      <c r="B761" s="4" t="str">
        <f t="shared" si="11"/>
        <v>Hair Color</v>
      </c>
      <c r="C761" s="4" t="s">
        <v>1786</v>
      </c>
      <c r="D761" s="4" t="s">
        <v>575</v>
      </c>
      <c r="E761" s="24" t="s">
        <v>441</v>
      </c>
      <c r="F761" s="12" t="s">
        <v>490</v>
      </c>
      <c r="G761" s="4" t="s">
        <v>1787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42</v>
      </c>
      <c r="AU761" s="3">
        <v>561</v>
      </c>
      <c r="AV761" s="3">
        <v>208</v>
      </c>
      <c r="AW761" s="3">
        <v>241</v>
      </c>
    </row>
    <row r="762" spans="1:49">
      <c r="A762" s="4" t="s">
        <v>35</v>
      </c>
      <c r="B762" s="4" t="str">
        <f t="shared" si="11"/>
        <v>Hair Color</v>
      </c>
      <c r="C762" s="4" t="s">
        <v>1786</v>
      </c>
      <c r="D762" s="4" t="s">
        <v>575</v>
      </c>
      <c r="E762" s="24" t="s">
        <v>441</v>
      </c>
      <c r="F762" s="12" t="s">
        <v>491</v>
      </c>
      <c r="G762" s="4" t="s">
        <v>1787</v>
      </c>
      <c r="H762" s="3">
        <v>543</v>
      </c>
      <c r="I762" s="3">
        <v>513</v>
      </c>
      <c r="J762" s="3">
        <v>507</v>
      </c>
      <c r="K762" s="3">
        <v>448</v>
      </c>
      <c r="L762" s="3">
        <v>285</v>
      </c>
      <c r="M762" s="3">
        <v>691</v>
      </c>
      <c r="N762" s="3">
        <v>312</v>
      </c>
      <c r="O762" s="3">
        <v>456</v>
      </c>
      <c r="P762" s="3">
        <v>591</v>
      </c>
      <c r="Q762" s="3">
        <v>267</v>
      </c>
      <c r="R762" s="3">
        <v>519</v>
      </c>
      <c r="S762" s="3">
        <v>435</v>
      </c>
      <c r="T762" s="3">
        <v>429</v>
      </c>
      <c r="U762" s="3">
        <v>495</v>
      </c>
      <c r="V762" s="3">
        <v>933</v>
      </c>
      <c r="W762" s="3">
        <v>576</v>
      </c>
      <c r="X762" s="3">
        <v>645</v>
      </c>
      <c r="Y762" s="3">
        <v>659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</row>
    <row r="763" spans="1:49">
      <c r="A763" s="4" t="s">
        <v>35</v>
      </c>
      <c r="B763" s="4" t="str">
        <f t="shared" si="11"/>
        <v>Hair Color</v>
      </c>
      <c r="C763" s="4" t="s">
        <v>1786</v>
      </c>
      <c r="D763" s="4" t="s">
        <v>575</v>
      </c>
      <c r="E763" s="24" t="s">
        <v>441</v>
      </c>
      <c r="F763" s="12" t="s">
        <v>492</v>
      </c>
      <c r="G763" s="4" t="s">
        <v>1787</v>
      </c>
      <c r="H763" s="3">
        <v>210</v>
      </c>
      <c r="I763" s="3">
        <v>234</v>
      </c>
      <c r="J763" s="3">
        <v>252</v>
      </c>
      <c r="K763" s="3">
        <v>231</v>
      </c>
      <c r="L763" s="3">
        <v>255</v>
      </c>
      <c r="M763" s="3">
        <v>269</v>
      </c>
      <c r="N763" s="3">
        <v>204</v>
      </c>
      <c r="O763" s="3">
        <v>255</v>
      </c>
      <c r="P763" s="3">
        <v>234</v>
      </c>
      <c r="Q763" s="3">
        <v>111</v>
      </c>
      <c r="R763" s="3">
        <v>366</v>
      </c>
      <c r="S763" s="3">
        <v>213</v>
      </c>
      <c r="T763" s="3">
        <v>108</v>
      </c>
      <c r="U763" s="3">
        <v>0</v>
      </c>
      <c r="V763" s="3">
        <v>513</v>
      </c>
      <c r="W763" s="3">
        <v>144</v>
      </c>
      <c r="X763" s="3">
        <v>54</v>
      </c>
      <c r="Y763" s="3">
        <v>288</v>
      </c>
      <c r="Z763" s="3">
        <v>3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</row>
    <row r="764" spans="1:49">
      <c r="A764" s="4" t="s">
        <v>35</v>
      </c>
      <c r="B764" s="4" t="str">
        <f t="shared" si="11"/>
        <v>Hair Color</v>
      </c>
      <c r="C764" s="4" t="s">
        <v>1786</v>
      </c>
      <c r="D764" s="4" t="s">
        <v>575</v>
      </c>
      <c r="E764" s="24" t="s">
        <v>441</v>
      </c>
      <c r="F764" s="12" t="s">
        <v>493</v>
      </c>
      <c r="G764" s="4" t="s">
        <v>1787</v>
      </c>
      <c r="H764" s="3">
        <v>111</v>
      </c>
      <c r="I764" s="3">
        <v>275</v>
      </c>
      <c r="J764" s="3">
        <v>42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</row>
    <row r="765" spans="1:49">
      <c r="A765" s="4" t="s">
        <v>35</v>
      </c>
      <c r="B765" s="4" t="str">
        <f t="shared" si="11"/>
        <v>Hair Color</v>
      </c>
      <c r="C765" s="4" t="s">
        <v>1786</v>
      </c>
      <c r="D765" s="4" t="s">
        <v>575</v>
      </c>
      <c r="E765" s="24" t="s">
        <v>441</v>
      </c>
      <c r="F765" s="12" t="s">
        <v>494</v>
      </c>
      <c r="G765" s="4" t="s">
        <v>1787</v>
      </c>
      <c r="H765" s="3">
        <v>354</v>
      </c>
      <c r="I765" s="3">
        <v>327</v>
      </c>
      <c r="J765" s="3">
        <v>354</v>
      </c>
      <c r="K765" s="3">
        <v>321</v>
      </c>
      <c r="L765" s="3">
        <v>138</v>
      </c>
      <c r="M765" s="3">
        <v>381</v>
      </c>
      <c r="N765" s="3">
        <v>209</v>
      </c>
      <c r="O765" s="3">
        <v>339</v>
      </c>
      <c r="P765" s="3">
        <v>369</v>
      </c>
      <c r="Q765" s="3">
        <v>156</v>
      </c>
      <c r="R765" s="3">
        <v>336</v>
      </c>
      <c r="S765" s="3">
        <v>291</v>
      </c>
      <c r="T765" s="3">
        <v>228</v>
      </c>
      <c r="U765" s="3">
        <v>276</v>
      </c>
      <c r="V765" s="3">
        <v>438</v>
      </c>
      <c r="W765" s="3">
        <v>195</v>
      </c>
      <c r="X765" s="3">
        <v>207</v>
      </c>
      <c r="Y765" s="3">
        <v>321</v>
      </c>
      <c r="Z765" s="3">
        <v>102</v>
      </c>
      <c r="AA765" s="3">
        <v>168</v>
      </c>
      <c r="AB765" s="3">
        <v>408</v>
      </c>
      <c r="AC765" s="3">
        <v>135</v>
      </c>
      <c r="AD765" s="3">
        <v>312</v>
      </c>
      <c r="AE765" s="3">
        <v>132</v>
      </c>
      <c r="AF765" s="3">
        <v>15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</row>
    <row r="766" spans="1:49">
      <c r="A766" s="4" t="s">
        <v>35</v>
      </c>
      <c r="B766" s="4" t="str">
        <f t="shared" si="11"/>
        <v>Hair Color</v>
      </c>
      <c r="C766" s="4" t="s">
        <v>1786</v>
      </c>
      <c r="D766" s="4" t="s">
        <v>575</v>
      </c>
      <c r="E766" s="24" t="s">
        <v>441</v>
      </c>
      <c r="F766" s="12" t="s">
        <v>495</v>
      </c>
      <c r="G766" s="4" t="s">
        <v>1787</v>
      </c>
      <c r="H766" s="3">
        <v>78</v>
      </c>
      <c r="I766" s="3">
        <v>72</v>
      </c>
      <c r="J766" s="3">
        <v>60</v>
      </c>
      <c r="K766" s="3">
        <v>45</v>
      </c>
      <c r="L766" s="3">
        <v>30</v>
      </c>
      <c r="M766" s="3">
        <v>117</v>
      </c>
      <c r="N766" s="3">
        <v>75</v>
      </c>
      <c r="O766" s="3">
        <v>117</v>
      </c>
      <c r="P766" s="3">
        <v>72</v>
      </c>
      <c r="Q766" s="3">
        <v>75</v>
      </c>
      <c r="R766" s="3">
        <v>120</v>
      </c>
      <c r="S766" s="3">
        <v>117</v>
      </c>
      <c r="T766" s="3">
        <v>63</v>
      </c>
      <c r="U766" s="3">
        <v>51</v>
      </c>
      <c r="V766" s="3">
        <v>57</v>
      </c>
      <c r="W766" s="3">
        <v>42</v>
      </c>
      <c r="X766" s="3">
        <v>66</v>
      </c>
      <c r="Y766" s="3">
        <v>126</v>
      </c>
      <c r="Z766" s="3">
        <v>15</v>
      </c>
      <c r="AA766" s="3">
        <v>36</v>
      </c>
      <c r="AB766" s="3">
        <v>63</v>
      </c>
      <c r="AC766" s="3">
        <v>39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</row>
    <row r="767" spans="1:49">
      <c r="A767" s="4" t="s">
        <v>35</v>
      </c>
      <c r="B767" s="4" t="str">
        <f t="shared" si="11"/>
        <v>Hair Color</v>
      </c>
      <c r="C767" s="4" t="s">
        <v>1786</v>
      </c>
      <c r="D767" s="4" t="s">
        <v>575</v>
      </c>
      <c r="E767" s="24" t="s">
        <v>36</v>
      </c>
      <c r="F767" s="12" t="s">
        <v>496</v>
      </c>
      <c r="G767" s="4" t="s">
        <v>1787</v>
      </c>
      <c r="H767" s="3">
        <v>66</v>
      </c>
      <c r="I767" s="3">
        <v>102</v>
      </c>
      <c r="J767" s="3">
        <v>36</v>
      </c>
      <c r="K767" s="3">
        <v>18</v>
      </c>
      <c r="L767" s="3">
        <v>66</v>
      </c>
      <c r="M767" s="3">
        <v>138</v>
      </c>
      <c r="N767" s="3">
        <v>6</v>
      </c>
      <c r="O767" s="3">
        <v>0</v>
      </c>
      <c r="P767" s="3">
        <v>0</v>
      </c>
      <c r="Q767" s="3">
        <v>288</v>
      </c>
      <c r="R767" s="3">
        <v>102</v>
      </c>
      <c r="S767" s="3">
        <v>66</v>
      </c>
      <c r="T767" s="3">
        <v>90</v>
      </c>
      <c r="U767" s="3">
        <v>78</v>
      </c>
      <c r="V767" s="3">
        <v>144</v>
      </c>
      <c r="W767" s="3">
        <v>54</v>
      </c>
      <c r="X767" s="3">
        <v>120</v>
      </c>
      <c r="Y767" s="3">
        <v>54</v>
      </c>
      <c r="Z767" s="3">
        <v>144</v>
      </c>
      <c r="AA767" s="3">
        <v>90</v>
      </c>
      <c r="AB767" s="3">
        <v>132</v>
      </c>
      <c r="AC767" s="3">
        <v>18</v>
      </c>
      <c r="AD767" s="3">
        <v>90</v>
      </c>
      <c r="AE767" s="3">
        <v>96</v>
      </c>
      <c r="AF767" s="3">
        <v>90</v>
      </c>
      <c r="AG767" s="3">
        <v>150</v>
      </c>
      <c r="AH767" s="3">
        <v>90</v>
      </c>
      <c r="AI767" s="3">
        <v>216</v>
      </c>
      <c r="AJ767" s="3">
        <v>36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366</v>
      </c>
      <c r="AQ767" s="3">
        <v>162</v>
      </c>
      <c r="AR767" s="3">
        <v>126</v>
      </c>
      <c r="AS767" s="3">
        <v>96</v>
      </c>
      <c r="AT767" s="3">
        <v>72</v>
      </c>
      <c r="AU767" s="3">
        <v>66</v>
      </c>
      <c r="AV767" s="3">
        <v>240</v>
      </c>
      <c r="AW767" s="3">
        <v>186</v>
      </c>
    </row>
    <row r="768" spans="1:49">
      <c r="A768" s="4" t="s">
        <v>35</v>
      </c>
      <c r="B768" s="4" t="str">
        <f t="shared" si="11"/>
        <v>Hair Color</v>
      </c>
      <c r="C768" s="4" t="s">
        <v>1786</v>
      </c>
      <c r="D768" s="4" t="s">
        <v>575</v>
      </c>
      <c r="E768" s="24" t="s">
        <v>36</v>
      </c>
      <c r="F768" s="12" t="s">
        <v>497</v>
      </c>
      <c r="G768" s="4" t="s">
        <v>1787</v>
      </c>
      <c r="H768" s="3">
        <v>150</v>
      </c>
      <c r="I768" s="3">
        <v>228</v>
      </c>
      <c r="J768" s="3">
        <v>132</v>
      </c>
      <c r="K768" s="3">
        <v>96</v>
      </c>
      <c r="L768" s="3">
        <v>96</v>
      </c>
      <c r="M768" s="3">
        <v>150</v>
      </c>
      <c r="N768" s="3">
        <v>30</v>
      </c>
      <c r="O768" s="3">
        <v>354</v>
      </c>
      <c r="P768" s="3">
        <v>168</v>
      </c>
      <c r="Q768" s="3">
        <v>114</v>
      </c>
      <c r="R768" s="3">
        <v>144</v>
      </c>
      <c r="S768" s="3">
        <v>90</v>
      </c>
      <c r="T768" s="3">
        <v>120</v>
      </c>
      <c r="U768" s="3">
        <v>114</v>
      </c>
      <c r="V768" s="3">
        <v>186</v>
      </c>
      <c r="W768" s="3">
        <v>66</v>
      </c>
      <c r="X768" s="3">
        <v>180</v>
      </c>
      <c r="Y768" s="3">
        <v>126</v>
      </c>
      <c r="Z768" s="3">
        <v>186</v>
      </c>
      <c r="AA768" s="3">
        <v>114</v>
      </c>
      <c r="AB768" s="3">
        <v>0</v>
      </c>
      <c r="AC768" s="3">
        <v>0</v>
      </c>
      <c r="AD768" s="3">
        <v>330</v>
      </c>
      <c r="AE768" s="3">
        <v>174</v>
      </c>
      <c r="AF768" s="3">
        <v>102</v>
      </c>
      <c r="AG768" s="3">
        <v>0</v>
      </c>
      <c r="AH768" s="3">
        <v>0</v>
      </c>
      <c r="AI768" s="3">
        <v>78</v>
      </c>
      <c r="AJ768" s="3">
        <v>336</v>
      </c>
      <c r="AK768" s="3">
        <v>216</v>
      </c>
      <c r="AL768" s="3">
        <v>0</v>
      </c>
      <c r="AM768" s="3">
        <v>180</v>
      </c>
      <c r="AN768" s="3">
        <v>288</v>
      </c>
      <c r="AO768" s="3">
        <v>138</v>
      </c>
      <c r="AP768" s="3">
        <v>0</v>
      </c>
      <c r="AQ768" s="3">
        <v>12</v>
      </c>
      <c r="AR768" s="3">
        <v>360</v>
      </c>
      <c r="AS768" s="3">
        <v>198</v>
      </c>
      <c r="AT768" s="3">
        <v>114</v>
      </c>
      <c r="AU768" s="3">
        <v>78</v>
      </c>
      <c r="AV768" s="3">
        <v>324</v>
      </c>
      <c r="AW768" s="3">
        <v>150</v>
      </c>
    </row>
    <row r="769" spans="1:49">
      <c r="A769" s="4" t="s">
        <v>35</v>
      </c>
      <c r="B769" s="4" t="str">
        <f t="shared" si="11"/>
        <v>Hair Color</v>
      </c>
      <c r="C769" s="4" t="s">
        <v>1786</v>
      </c>
      <c r="D769" s="4" t="s">
        <v>575</v>
      </c>
      <c r="E769" s="24" t="s">
        <v>36</v>
      </c>
      <c r="F769" s="12" t="s">
        <v>497</v>
      </c>
      <c r="G769" s="4" t="s">
        <v>1787</v>
      </c>
      <c r="H769" s="3">
        <v>72</v>
      </c>
      <c r="I769" s="3">
        <v>66</v>
      </c>
      <c r="J769" s="3">
        <v>204</v>
      </c>
      <c r="K769" s="3">
        <v>366</v>
      </c>
      <c r="L769" s="3">
        <v>234</v>
      </c>
      <c r="M769" s="3">
        <v>282</v>
      </c>
      <c r="N769" s="3">
        <v>180</v>
      </c>
      <c r="O769" s="3">
        <v>156</v>
      </c>
      <c r="P769" s="3">
        <v>198</v>
      </c>
      <c r="Q769" s="3">
        <v>156</v>
      </c>
      <c r="R769" s="3">
        <v>210</v>
      </c>
      <c r="S769" s="3">
        <v>126</v>
      </c>
      <c r="T769" s="3">
        <v>144</v>
      </c>
      <c r="U769" s="3">
        <v>126</v>
      </c>
      <c r="V769" s="3">
        <v>234</v>
      </c>
      <c r="W769" s="3">
        <v>108</v>
      </c>
      <c r="X769" s="3">
        <v>174</v>
      </c>
      <c r="Y769" s="3">
        <v>180</v>
      </c>
      <c r="Z769" s="3">
        <v>234</v>
      </c>
      <c r="AA769" s="3">
        <v>36</v>
      </c>
      <c r="AB769" s="3">
        <v>0</v>
      </c>
      <c r="AC769" s="3">
        <v>312</v>
      </c>
      <c r="AD769" s="3">
        <v>252</v>
      </c>
      <c r="AE769" s="3">
        <v>222</v>
      </c>
      <c r="AF769" s="3">
        <v>270</v>
      </c>
      <c r="AG769" s="3">
        <v>150</v>
      </c>
      <c r="AH769" s="3">
        <v>72</v>
      </c>
      <c r="AI769" s="3">
        <v>228</v>
      </c>
      <c r="AJ769" s="3">
        <v>156</v>
      </c>
      <c r="AK769" s="3">
        <v>180</v>
      </c>
      <c r="AL769" s="3">
        <v>120</v>
      </c>
      <c r="AM769" s="3">
        <v>246</v>
      </c>
      <c r="AN769" s="3">
        <v>168</v>
      </c>
      <c r="AO769" s="3">
        <v>6</v>
      </c>
      <c r="AP769" s="3">
        <v>336</v>
      </c>
      <c r="AQ769" s="3">
        <v>336</v>
      </c>
      <c r="AR769" s="3">
        <v>330</v>
      </c>
      <c r="AS769" s="3">
        <v>186</v>
      </c>
      <c r="AT769" s="3">
        <v>30</v>
      </c>
      <c r="AU769" s="3">
        <v>378</v>
      </c>
      <c r="AV769" s="3">
        <v>426</v>
      </c>
      <c r="AW769" s="3">
        <v>150</v>
      </c>
    </row>
    <row r="770" spans="1:49">
      <c r="A770" s="4" t="s">
        <v>35</v>
      </c>
      <c r="B770" s="4" t="str">
        <f t="shared" si="11"/>
        <v>Hair Color</v>
      </c>
      <c r="C770" s="4" t="s">
        <v>1786</v>
      </c>
      <c r="D770" s="4" t="s">
        <v>575</v>
      </c>
      <c r="E770" s="24" t="s">
        <v>36</v>
      </c>
      <c r="F770" s="12" t="s">
        <v>498</v>
      </c>
      <c r="G770" s="4" t="s">
        <v>1787</v>
      </c>
      <c r="H770" s="3">
        <v>0</v>
      </c>
      <c r="I770" s="3">
        <v>0</v>
      </c>
      <c r="J770" s="3">
        <v>1662</v>
      </c>
      <c r="K770" s="3">
        <v>426</v>
      </c>
      <c r="L770" s="3">
        <v>0</v>
      </c>
      <c r="M770" s="3">
        <v>1038</v>
      </c>
      <c r="N770" s="3">
        <v>408</v>
      </c>
      <c r="O770" s="3">
        <v>252</v>
      </c>
      <c r="P770" s="3">
        <v>726</v>
      </c>
      <c r="Q770" s="3">
        <v>372</v>
      </c>
      <c r="R770" s="3">
        <v>378</v>
      </c>
      <c r="S770" s="3">
        <v>300</v>
      </c>
      <c r="T770" s="3">
        <v>348</v>
      </c>
      <c r="U770" s="3">
        <v>258</v>
      </c>
      <c r="V770" s="3">
        <v>606</v>
      </c>
      <c r="W770" s="3">
        <v>378</v>
      </c>
      <c r="X770" s="3">
        <v>696</v>
      </c>
      <c r="Y770" s="3">
        <v>456</v>
      </c>
      <c r="Z770" s="3">
        <v>522</v>
      </c>
      <c r="AA770" s="3">
        <v>417</v>
      </c>
      <c r="AB770" s="3">
        <v>888</v>
      </c>
      <c r="AC770" s="3">
        <v>180</v>
      </c>
      <c r="AD770" s="3">
        <v>438</v>
      </c>
      <c r="AE770" s="3">
        <v>624</v>
      </c>
      <c r="AF770" s="3">
        <v>612</v>
      </c>
      <c r="AG770" s="3">
        <v>606</v>
      </c>
      <c r="AH770" s="3">
        <v>264</v>
      </c>
      <c r="AI770" s="3">
        <v>612</v>
      </c>
      <c r="AJ770" s="3">
        <v>528</v>
      </c>
      <c r="AK770" s="3">
        <v>198</v>
      </c>
      <c r="AL770" s="3">
        <v>522</v>
      </c>
      <c r="AM770" s="3">
        <v>762</v>
      </c>
      <c r="AN770" s="3">
        <v>480</v>
      </c>
      <c r="AO770" s="3">
        <v>0</v>
      </c>
      <c r="AP770" s="3">
        <v>1098</v>
      </c>
      <c r="AQ770" s="3">
        <v>696</v>
      </c>
      <c r="AR770" s="3">
        <v>888</v>
      </c>
      <c r="AS770" s="3">
        <v>570</v>
      </c>
      <c r="AT770" s="3">
        <v>534</v>
      </c>
      <c r="AU770" s="3">
        <v>624</v>
      </c>
      <c r="AV770" s="3">
        <v>900</v>
      </c>
      <c r="AW770" s="3">
        <v>630</v>
      </c>
    </row>
    <row r="771" spans="1:49">
      <c r="A771" s="4" t="s">
        <v>35</v>
      </c>
      <c r="B771" s="4" t="str">
        <f t="shared" ref="B771:B834" si="12">A771</f>
        <v>Hair Color</v>
      </c>
      <c r="C771" s="4" t="s">
        <v>1786</v>
      </c>
      <c r="D771" s="4" t="s">
        <v>575</v>
      </c>
      <c r="E771" s="24" t="s">
        <v>36</v>
      </c>
      <c r="F771" s="12" t="s">
        <v>499</v>
      </c>
      <c r="G771" s="4" t="s">
        <v>1787</v>
      </c>
      <c r="H771" s="3">
        <v>54</v>
      </c>
      <c r="I771" s="3">
        <v>54</v>
      </c>
      <c r="J771" s="3">
        <v>78</v>
      </c>
      <c r="K771" s="3">
        <v>522</v>
      </c>
      <c r="L771" s="3">
        <v>294</v>
      </c>
      <c r="M771" s="3">
        <v>414</v>
      </c>
      <c r="N771" s="3">
        <v>186</v>
      </c>
      <c r="O771" s="3">
        <v>132</v>
      </c>
      <c r="P771" s="3">
        <v>174</v>
      </c>
      <c r="Q771" s="3">
        <v>84</v>
      </c>
      <c r="R771" s="3">
        <v>204</v>
      </c>
      <c r="S771" s="3">
        <v>60</v>
      </c>
      <c r="T771" s="3">
        <v>108</v>
      </c>
      <c r="U771" s="3">
        <v>108</v>
      </c>
      <c r="V771" s="3">
        <v>204</v>
      </c>
      <c r="W771" s="3">
        <v>96</v>
      </c>
      <c r="X771" s="3">
        <v>222</v>
      </c>
      <c r="Y771" s="3">
        <v>72</v>
      </c>
      <c r="Z771" s="3">
        <v>108</v>
      </c>
      <c r="AA771" s="3">
        <v>150</v>
      </c>
      <c r="AB771" s="3">
        <v>60</v>
      </c>
      <c r="AC771" s="3">
        <v>0</v>
      </c>
      <c r="AD771" s="3">
        <v>354</v>
      </c>
      <c r="AE771" s="3">
        <v>156</v>
      </c>
      <c r="AF771" s="3">
        <v>96</v>
      </c>
      <c r="AG771" s="3">
        <v>0</v>
      </c>
      <c r="AH771" s="3">
        <v>0</v>
      </c>
      <c r="AI771" s="3">
        <v>474</v>
      </c>
      <c r="AJ771" s="3">
        <v>18</v>
      </c>
      <c r="AK771" s="3">
        <v>126</v>
      </c>
      <c r="AL771" s="3">
        <v>186</v>
      </c>
      <c r="AM771" s="3">
        <v>120</v>
      </c>
      <c r="AN771" s="3">
        <v>276</v>
      </c>
      <c r="AO771" s="3">
        <v>0</v>
      </c>
      <c r="AP771" s="3">
        <v>420</v>
      </c>
      <c r="AQ771" s="3">
        <v>288</v>
      </c>
      <c r="AR771" s="3">
        <v>162</v>
      </c>
      <c r="AS771" s="3">
        <v>156</v>
      </c>
      <c r="AT771" s="3">
        <v>144</v>
      </c>
      <c r="AU771" s="3">
        <v>84</v>
      </c>
      <c r="AV771" s="3">
        <v>366</v>
      </c>
      <c r="AW771" s="3">
        <v>144</v>
      </c>
    </row>
    <row r="772" spans="1:49">
      <c r="A772" s="4" t="s">
        <v>35</v>
      </c>
      <c r="B772" s="4" t="str">
        <f t="shared" si="12"/>
        <v>Hair Color</v>
      </c>
      <c r="C772" s="4" t="s">
        <v>1786</v>
      </c>
      <c r="D772" s="4" t="s">
        <v>575</v>
      </c>
      <c r="E772" s="24" t="s">
        <v>36</v>
      </c>
      <c r="F772" s="12" t="s">
        <v>500</v>
      </c>
      <c r="G772" s="4" t="s">
        <v>1787</v>
      </c>
      <c r="H772" s="3">
        <v>48</v>
      </c>
      <c r="I772" s="3">
        <v>0</v>
      </c>
      <c r="J772" s="3">
        <v>786</v>
      </c>
      <c r="K772" s="3">
        <v>162</v>
      </c>
      <c r="L772" s="3">
        <v>0</v>
      </c>
      <c r="M772" s="3">
        <v>966</v>
      </c>
      <c r="N772" s="3">
        <v>390</v>
      </c>
      <c r="O772" s="3">
        <v>96</v>
      </c>
      <c r="P772" s="3">
        <v>432</v>
      </c>
      <c r="Q772" s="3">
        <v>324</v>
      </c>
      <c r="R772" s="3">
        <v>300</v>
      </c>
      <c r="S772" s="3">
        <v>186</v>
      </c>
      <c r="T772" s="3">
        <v>294</v>
      </c>
      <c r="U772" s="3">
        <v>234</v>
      </c>
      <c r="V772" s="3">
        <v>402</v>
      </c>
      <c r="W772" s="3">
        <v>246</v>
      </c>
      <c r="X772" s="3">
        <v>522</v>
      </c>
      <c r="Y772" s="3">
        <v>276</v>
      </c>
      <c r="Z772" s="3">
        <v>0</v>
      </c>
      <c r="AA772" s="3">
        <v>672</v>
      </c>
      <c r="AB772" s="3">
        <v>486</v>
      </c>
      <c r="AC772" s="3">
        <v>150</v>
      </c>
      <c r="AD772" s="3">
        <v>528</v>
      </c>
      <c r="AE772" s="3">
        <v>336</v>
      </c>
      <c r="AF772" s="3">
        <v>498</v>
      </c>
      <c r="AG772" s="3">
        <v>552</v>
      </c>
      <c r="AH772" s="3">
        <v>108</v>
      </c>
      <c r="AI772" s="3">
        <v>126</v>
      </c>
      <c r="AJ772" s="3">
        <v>990</v>
      </c>
      <c r="AK772" s="3">
        <v>216</v>
      </c>
      <c r="AL772" s="3">
        <v>576</v>
      </c>
      <c r="AM772" s="3">
        <v>360</v>
      </c>
      <c r="AN772" s="3">
        <v>666</v>
      </c>
      <c r="AO772" s="3">
        <v>186</v>
      </c>
      <c r="AP772" s="3">
        <v>654</v>
      </c>
      <c r="AQ772" s="3">
        <v>492</v>
      </c>
      <c r="AR772" s="3">
        <v>642</v>
      </c>
      <c r="AS772" s="3">
        <v>516</v>
      </c>
      <c r="AT772" s="3">
        <v>438</v>
      </c>
      <c r="AU772" s="3">
        <v>414</v>
      </c>
      <c r="AV772" s="3">
        <v>600</v>
      </c>
      <c r="AW772" s="3">
        <v>288</v>
      </c>
    </row>
    <row r="773" spans="1:49">
      <c r="A773" s="4" t="s">
        <v>35</v>
      </c>
      <c r="B773" s="4" t="str">
        <f t="shared" si="12"/>
        <v>Hair Color</v>
      </c>
      <c r="C773" s="4" t="s">
        <v>1786</v>
      </c>
      <c r="D773" s="4" t="s">
        <v>575</v>
      </c>
      <c r="E773" s="24" t="s">
        <v>36</v>
      </c>
      <c r="F773" s="12" t="s">
        <v>501</v>
      </c>
      <c r="G773" s="4" t="s">
        <v>1787</v>
      </c>
      <c r="H773" s="3">
        <v>192</v>
      </c>
      <c r="I773" s="3">
        <v>0</v>
      </c>
      <c r="J773" s="3">
        <v>834</v>
      </c>
      <c r="K773" s="3">
        <v>174</v>
      </c>
      <c r="L773" s="3">
        <v>612</v>
      </c>
      <c r="M773" s="3">
        <v>774</v>
      </c>
      <c r="N773" s="3">
        <v>288</v>
      </c>
      <c r="O773" s="3">
        <v>456</v>
      </c>
      <c r="P773" s="3">
        <v>852</v>
      </c>
      <c r="Q773" s="3">
        <v>396</v>
      </c>
      <c r="R773" s="3">
        <v>408</v>
      </c>
      <c r="S773" s="3">
        <v>354</v>
      </c>
      <c r="T773" s="3">
        <v>378</v>
      </c>
      <c r="U773" s="3">
        <v>282</v>
      </c>
      <c r="V773" s="3">
        <v>516</v>
      </c>
      <c r="W773" s="3">
        <v>336</v>
      </c>
      <c r="X773" s="3">
        <v>642</v>
      </c>
      <c r="Y773" s="3">
        <v>486</v>
      </c>
      <c r="Z773" s="3">
        <v>504</v>
      </c>
      <c r="AA773" s="3">
        <v>726</v>
      </c>
      <c r="AB773" s="3">
        <v>870</v>
      </c>
      <c r="AC773" s="3">
        <v>216</v>
      </c>
      <c r="AD773" s="3">
        <v>492</v>
      </c>
      <c r="AE773" s="3">
        <v>426</v>
      </c>
      <c r="AF773" s="3">
        <v>744</v>
      </c>
      <c r="AG773" s="3">
        <v>258</v>
      </c>
      <c r="AH773" s="3">
        <v>0</v>
      </c>
      <c r="AI773" s="3">
        <v>906</v>
      </c>
      <c r="AJ773" s="3">
        <v>294</v>
      </c>
      <c r="AK773" s="3">
        <v>378</v>
      </c>
      <c r="AL773" s="3">
        <v>780</v>
      </c>
      <c r="AM773" s="3">
        <v>648</v>
      </c>
      <c r="AN773" s="3">
        <v>324</v>
      </c>
      <c r="AO773" s="3">
        <v>24</v>
      </c>
      <c r="AP773" s="3">
        <v>1308</v>
      </c>
      <c r="AQ773" s="3">
        <v>744</v>
      </c>
      <c r="AR773" s="3">
        <v>828</v>
      </c>
      <c r="AS773" s="3">
        <v>456</v>
      </c>
      <c r="AT773" s="3">
        <v>474</v>
      </c>
      <c r="AU773" s="3">
        <v>882</v>
      </c>
      <c r="AV773" s="3">
        <v>798</v>
      </c>
      <c r="AW773" s="3">
        <v>480</v>
      </c>
    </row>
    <row r="774" spans="1:49">
      <c r="A774" s="4" t="s">
        <v>35</v>
      </c>
      <c r="B774" s="4" t="str">
        <f t="shared" si="12"/>
        <v>Hair Color</v>
      </c>
      <c r="C774" s="4" t="s">
        <v>1786</v>
      </c>
      <c r="D774" s="4" t="s">
        <v>575</v>
      </c>
      <c r="E774" s="24" t="s">
        <v>36</v>
      </c>
      <c r="F774" s="12" t="s">
        <v>502</v>
      </c>
      <c r="G774" s="4" t="s">
        <v>1787</v>
      </c>
      <c r="H774" s="3">
        <v>48</v>
      </c>
      <c r="I774" s="3">
        <v>66</v>
      </c>
      <c r="J774" s="3">
        <v>36</v>
      </c>
      <c r="K774" s="3">
        <v>30</v>
      </c>
      <c r="L774" s="3">
        <v>30</v>
      </c>
      <c r="M774" s="3">
        <v>36</v>
      </c>
      <c r="N774" s="3">
        <v>18</v>
      </c>
      <c r="O774" s="3">
        <v>0</v>
      </c>
      <c r="P774" s="3">
        <v>6</v>
      </c>
      <c r="Q774" s="3">
        <v>18</v>
      </c>
      <c r="R774" s="3">
        <v>174</v>
      </c>
      <c r="S774" s="3">
        <v>0</v>
      </c>
      <c r="T774" s="3">
        <v>12</v>
      </c>
      <c r="U774" s="3">
        <v>42</v>
      </c>
      <c r="V774" s="3">
        <v>48</v>
      </c>
      <c r="W774" s="3">
        <v>0</v>
      </c>
      <c r="X774" s="3">
        <v>264</v>
      </c>
      <c r="Y774" s="3">
        <v>36</v>
      </c>
      <c r="Z774" s="3">
        <v>126</v>
      </c>
      <c r="AA774" s="3">
        <v>24</v>
      </c>
      <c r="AB774" s="3">
        <v>60</v>
      </c>
      <c r="AC774" s="3">
        <v>6</v>
      </c>
      <c r="AD774" s="3">
        <v>60</v>
      </c>
      <c r="AE774" s="3">
        <v>66</v>
      </c>
      <c r="AF774" s="3">
        <v>54</v>
      </c>
      <c r="AG774" s="3">
        <v>24</v>
      </c>
      <c r="AH774" s="3">
        <v>48</v>
      </c>
      <c r="AI774" s="3">
        <v>78</v>
      </c>
      <c r="AJ774" s="3">
        <v>90</v>
      </c>
      <c r="AK774" s="3">
        <v>30</v>
      </c>
      <c r="AL774" s="3">
        <v>48</v>
      </c>
      <c r="AM774" s="3">
        <v>6</v>
      </c>
      <c r="AN774" s="3">
        <v>18</v>
      </c>
      <c r="AO774" s="3">
        <v>6</v>
      </c>
      <c r="AP774" s="3">
        <v>18</v>
      </c>
      <c r="AQ774" s="3">
        <v>120</v>
      </c>
      <c r="AR774" s="3">
        <v>18</v>
      </c>
      <c r="AS774" s="3">
        <v>6</v>
      </c>
      <c r="AT774" s="3">
        <v>0</v>
      </c>
      <c r="AU774" s="3">
        <v>0</v>
      </c>
      <c r="AV774" s="3">
        <v>0</v>
      </c>
      <c r="AW774" s="3">
        <v>0</v>
      </c>
    </row>
    <row r="775" spans="1:49">
      <c r="A775" s="4" t="s">
        <v>35</v>
      </c>
      <c r="B775" s="4" t="str">
        <f t="shared" si="12"/>
        <v>Hair Color</v>
      </c>
      <c r="C775" s="4" t="s">
        <v>1786</v>
      </c>
      <c r="D775" s="4" t="s">
        <v>575</v>
      </c>
      <c r="E775" s="24" t="s">
        <v>503</v>
      </c>
      <c r="F775" s="12" t="s">
        <v>504</v>
      </c>
      <c r="G775" s="4" t="s">
        <v>1787</v>
      </c>
      <c r="H775" s="3">
        <v>120</v>
      </c>
      <c r="I775" s="3">
        <v>156</v>
      </c>
      <c r="J775" s="3">
        <v>63</v>
      </c>
      <c r="K775" s="3">
        <v>120</v>
      </c>
      <c r="L775" s="3">
        <v>84</v>
      </c>
      <c r="M775" s="3">
        <v>141</v>
      </c>
      <c r="N775" s="3">
        <v>93</v>
      </c>
      <c r="O775" s="3">
        <v>99</v>
      </c>
      <c r="P775" s="3">
        <v>147</v>
      </c>
      <c r="Q775" s="3">
        <v>51</v>
      </c>
      <c r="R775" s="3">
        <v>180</v>
      </c>
      <c r="S775" s="3">
        <v>69</v>
      </c>
      <c r="T775" s="3">
        <v>45</v>
      </c>
      <c r="U775" s="3">
        <v>123</v>
      </c>
      <c r="V775" s="3">
        <v>159</v>
      </c>
      <c r="W775" s="3">
        <v>117</v>
      </c>
      <c r="X775" s="3">
        <v>105</v>
      </c>
      <c r="Y775" s="3">
        <v>75</v>
      </c>
      <c r="Z775" s="3">
        <v>63</v>
      </c>
      <c r="AA775" s="3">
        <v>90</v>
      </c>
      <c r="AB775" s="3">
        <v>192</v>
      </c>
      <c r="AC775" s="3">
        <v>0</v>
      </c>
      <c r="AD775" s="3">
        <v>15</v>
      </c>
      <c r="AE775" s="3">
        <v>69</v>
      </c>
      <c r="AF775" s="3">
        <v>75</v>
      </c>
      <c r="AG775" s="3">
        <v>12</v>
      </c>
      <c r="AH775" s="3">
        <v>12</v>
      </c>
      <c r="AI775" s="3">
        <v>0</v>
      </c>
      <c r="AJ775" s="3">
        <v>36</v>
      </c>
      <c r="AK775" s="3">
        <v>306</v>
      </c>
      <c r="AL775" s="3">
        <v>0</v>
      </c>
      <c r="AM775" s="3">
        <v>264</v>
      </c>
      <c r="AN775" s="3">
        <v>54</v>
      </c>
      <c r="AO775" s="3">
        <v>327</v>
      </c>
      <c r="AP775" s="3">
        <v>3</v>
      </c>
      <c r="AQ775" s="3">
        <v>0</v>
      </c>
      <c r="AR775" s="3">
        <v>306</v>
      </c>
      <c r="AS775" s="3">
        <v>81</v>
      </c>
      <c r="AT775" s="3">
        <v>69</v>
      </c>
      <c r="AU775" s="3">
        <v>240</v>
      </c>
      <c r="AV775" s="3">
        <v>39</v>
      </c>
      <c r="AW775" s="3">
        <v>48</v>
      </c>
    </row>
    <row r="776" spans="1:49">
      <c r="A776" s="4" t="s">
        <v>35</v>
      </c>
      <c r="B776" s="4" t="str">
        <f t="shared" si="12"/>
        <v>Hair Color</v>
      </c>
      <c r="C776" s="4" t="s">
        <v>1786</v>
      </c>
      <c r="D776" s="4" t="s">
        <v>575</v>
      </c>
      <c r="E776" s="24" t="s">
        <v>503</v>
      </c>
      <c r="F776" s="12" t="s">
        <v>505</v>
      </c>
      <c r="G776" s="4" t="s">
        <v>1787</v>
      </c>
      <c r="H776" s="3">
        <v>15</v>
      </c>
      <c r="I776" s="3">
        <v>90</v>
      </c>
      <c r="J776" s="3">
        <v>36</v>
      </c>
      <c r="K776" s="3">
        <v>42</v>
      </c>
      <c r="L776" s="3">
        <v>45</v>
      </c>
      <c r="M776" s="3">
        <v>96</v>
      </c>
      <c r="N776" s="3">
        <v>54</v>
      </c>
      <c r="O776" s="3">
        <v>39</v>
      </c>
      <c r="P776" s="3">
        <v>69</v>
      </c>
      <c r="Q776" s="3">
        <v>81</v>
      </c>
      <c r="R776" s="3">
        <v>36</v>
      </c>
      <c r="S776" s="3">
        <v>51</v>
      </c>
      <c r="T776" s="3">
        <v>48</v>
      </c>
      <c r="U776" s="3">
        <v>15</v>
      </c>
      <c r="V776" s="3">
        <v>45</v>
      </c>
      <c r="W776" s="3">
        <v>24</v>
      </c>
      <c r="X776" s="3">
        <v>9</v>
      </c>
      <c r="Y776" s="3">
        <v>33</v>
      </c>
      <c r="Z776" s="3">
        <v>12</v>
      </c>
      <c r="AA776" s="3">
        <v>9</v>
      </c>
      <c r="AB776" s="3">
        <v>15</v>
      </c>
      <c r="AC776" s="3">
        <v>0</v>
      </c>
      <c r="AD776" s="3">
        <v>36</v>
      </c>
      <c r="AE776" s="3">
        <v>69</v>
      </c>
      <c r="AF776" s="3">
        <v>54</v>
      </c>
      <c r="AG776" s="3">
        <v>36</v>
      </c>
      <c r="AH776" s="3">
        <v>12</v>
      </c>
      <c r="AI776" s="3">
        <v>48</v>
      </c>
      <c r="AJ776" s="3">
        <v>18</v>
      </c>
      <c r="AK776" s="3">
        <v>27</v>
      </c>
      <c r="AL776" s="3">
        <v>21</v>
      </c>
      <c r="AM776" s="3">
        <v>75</v>
      </c>
      <c r="AN776" s="3">
        <v>3</v>
      </c>
      <c r="AO776" s="3">
        <v>0</v>
      </c>
      <c r="AP776" s="3">
        <v>135</v>
      </c>
      <c r="AQ776" s="3">
        <v>198</v>
      </c>
      <c r="AR776" s="3">
        <v>30</v>
      </c>
      <c r="AS776" s="3">
        <v>27</v>
      </c>
      <c r="AT776" s="3">
        <v>3</v>
      </c>
      <c r="AU776" s="3">
        <v>36</v>
      </c>
      <c r="AV776" s="3">
        <v>9</v>
      </c>
      <c r="AW776" s="3">
        <v>54</v>
      </c>
    </row>
    <row r="777" spans="1:49">
      <c r="A777" s="4" t="s">
        <v>35</v>
      </c>
      <c r="B777" s="4" t="str">
        <f t="shared" si="12"/>
        <v>Hair Color</v>
      </c>
      <c r="C777" s="4" t="s">
        <v>1786</v>
      </c>
      <c r="D777" s="4" t="s">
        <v>575</v>
      </c>
      <c r="E777" s="24" t="s">
        <v>503</v>
      </c>
      <c r="F777" s="12" t="s">
        <v>506</v>
      </c>
      <c r="G777" s="4" t="s">
        <v>1787</v>
      </c>
      <c r="H777" s="3">
        <v>225</v>
      </c>
      <c r="I777" s="3">
        <v>228</v>
      </c>
      <c r="J777" s="3">
        <v>108</v>
      </c>
      <c r="K777" s="3">
        <v>189</v>
      </c>
      <c r="L777" s="3">
        <v>111</v>
      </c>
      <c r="M777" s="3">
        <v>276</v>
      </c>
      <c r="N777" s="3">
        <v>132</v>
      </c>
      <c r="O777" s="3">
        <v>144</v>
      </c>
      <c r="P777" s="3">
        <v>225</v>
      </c>
      <c r="Q777" s="3">
        <v>78</v>
      </c>
      <c r="R777" s="3">
        <v>276</v>
      </c>
      <c r="S777" s="3">
        <v>135</v>
      </c>
      <c r="T777" s="3">
        <v>141</v>
      </c>
      <c r="U777" s="3">
        <v>129</v>
      </c>
      <c r="V777" s="3">
        <v>267</v>
      </c>
      <c r="W777" s="3">
        <v>42</v>
      </c>
      <c r="X777" s="3">
        <v>162</v>
      </c>
      <c r="Y777" s="3">
        <v>147</v>
      </c>
      <c r="Z777" s="3">
        <v>96</v>
      </c>
      <c r="AA777" s="3">
        <v>174</v>
      </c>
      <c r="AB777" s="3">
        <v>234</v>
      </c>
      <c r="AC777" s="3">
        <v>96</v>
      </c>
      <c r="AD777" s="3">
        <v>12</v>
      </c>
      <c r="AE777" s="3">
        <v>264</v>
      </c>
      <c r="AF777" s="3">
        <v>228</v>
      </c>
      <c r="AG777" s="3">
        <v>174</v>
      </c>
      <c r="AH777" s="3">
        <v>126</v>
      </c>
      <c r="AI777" s="3">
        <v>144</v>
      </c>
      <c r="AJ777" s="3">
        <v>171</v>
      </c>
      <c r="AK777" s="3">
        <v>321</v>
      </c>
      <c r="AL777" s="3">
        <v>54</v>
      </c>
      <c r="AM777" s="3">
        <v>162</v>
      </c>
      <c r="AN777" s="3">
        <v>0</v>
      </c>
      <c r="AO777" s="3">
        <v>0</v>
      </c>
      <c r="AP777" s="3">
        <v>477</v>
      </c>
      <c r="AQ777" s="3">
        <v>270</v>
      </c>
      <c r="AR777" s="3">
        <v>207</v>
      </c>
      <c r="AS777" s="3">
        <v>192</v>
      </c>
      <c r="AT777" s="3">
        <v>153</v>
      </c>
      <c r="AU777" s="3">
        <v>402</v>
      </c>
      <c r="AV777" s="3">
        <v>78</v>
      </c>
      <c r="AW777" s="3">
        <v>144</v>
      </c>
    </row>
    <row r="778" spans="1:49">
      <c r="A778" s="4" t="s">
        <v>35</v>
      </c>
      <c r="B778" s="4" t="str">
        <f t="shared" si="12"/>
        <v>Hair Color</v>
      </c>
      <c r="C778" s="4" t="s">
        <v>1786</v>
      </c>
      <c r="D778" s="4" t="s">
        <v>575</v>
      </c>
      <c r="E778" s="24" t="s">
        <v>503</v>
      </c>
      <c r="F778" s="12" t="s">
        <v>507</v>
      </c>
      <c r="G778" s="4" t="s">
        <v>1787</v>
      </c>
      <c r="H778" s="3">
        <v>312</v>
      </c>
      <c r="I778" s="3">
        <v>504</v>
      </c>
      <c r="J778" s="3">
        <v>300</v>
      </c>
      <c r="K778" s="3">
        <v>381</v>
      </c>
      <c r="L778" s="3">
        <v>336</v>
      </c>
      <c r="M778" s="3">
        <v>534</v>
      </c>
      <c r="N778" s="3">
        <v>348</v>
      </c>
      <c r="O778" s="3">
        <v>327</v>
      </c>
      <c r="P778" s="3">
        <v>435</v>
      </c>
      <c r="Q778" s="3">
        <v>249</v>
      </c>
      <c r="R778" s="3">
        <v>459</v>
      </c>
      <c r="S778" s="3">
        <v>315</v>
      </c>
      <c r="T778" s="3">
        <v>477</v>
      </c>
      <c r="U778" s="3">
        <v>285</v>
      </c>
      <c r="V778" s="3">
        <v>432</v>
      </c>
      <c r="W778" s="3">
        <v>345</v>
      </c>
      <c r="X778" s="3">
        <v>360</v>
      </c>
      <c r="Y778" s="3">
        <v>252</v>
      </c>
      <c r="Z778" s="3">
        <v>399</v>
      </c>
      <c r="AA778" s="3">
        <v>381</v>
      </c>
      <c r="AB778" s="3">
        <v>651</v>
      </c>
      <c r="AC778" s="3">
        <v>36</v>
      </c>
      <c r="AD778" s="3">
        <v>324</v>
      </c>
      <c r="AE778" s="3">
        <v>246</v>
      </c>
      <c r="AF778" s="3">
        <v>510</v>
      </c>
      <c r="AG778" s="3">
        <v>321</v>
      </c>
      <c r="AH778" s="3">
        <v>129</v>
      </c>
      <c r="AI778" s="3">
        <v>501</v>
      </c>
      <c r="AJ778" s="3">
        <v>210</v>
      </c>
      <c r="AK778" s="3">
        <v>6</v>
      </c>
      <c r="AL778" s="3">
        <v>639</v>
      </c>
      <c r="AM778" s="3">
        <v>12</v>
      </c>
      <c r="AN778" s="3">
        <v>0</v>
      </c>
      <c r="AO778" s="3">
        <v>0</v>
      </c>
      <c r="AP778" s="3">
        <v>852</v>
      </c>
      <c r="AQ778" s="3">
        <v>0</v>
      </c>
      <c r="AR778" s="3">
        <v>999</v>
      </c>
      <c r="AS778" s="3">
        <v>423</v>
      </c>
      <c r="AT778" s="3">
        <v>375</v>
      </c>
      <c r="AU778" s="3">
        <v>552</v>
      </c>
      <c r="AV778" s="3">
        <v>246</v>
      </c>
      <c r="AW778" s="3">
        <v>156</v>
      </c>
    </row>
    <row r="779" spans="1:49">
      <c r="A779" s="4" t="s">
        <v>35</v>
      </c>
      <c r="B779" s="4" t="str">
        <f t="shared" si="12"/>
        <v>Hair Color</v>
      </c>
      <c r="C779" s="4" t="s">
        <v>1786</v>
      </c>
      <c r="D779" s="4" t="s">
        <v>575</v>
      </c>
      <c r="E779" s="24" t="s">
        <v>47</v>
      </c>
      <c r="F779" s="12" t="s">
        <v>508</v>
      </c>
      <c r="G779" s="4" t="s">
        <v>1787</v>
      </c>
      <c r="H779" s="3">
        <v>510</v>
      </c>
      <c r="I779" s="3">
        <v>561</v>
      </c>
      <c r="J779" s="3">
        <v>861</v>
      </c>
      <c r="K779" s="3">
        <v>561</v>
      </c>
      <c r="L779" s="3">
        <v>423</v>
      </c>
      <c r="M779" s="3">
        <v>876</v>
      </c>
      <c r="N779" s="3">
        <v>423</v>
      </c>
      <c r="O779" s="3">
        <v>747</v>
      </c>
      <c r="P779" s="3">
        <v>681</v>
      </c>
      <c r="Q779" s="3">
        <v>366</v>
      </c>
      <c r="R779" s="3">
        <v>738</v>
      </c>
      <c r="S779" s="3">
        <v>459</v>
      </c>
      <c r="T779" s="3">
        <v>486</v>
      </c>
      <c r="U779" s="3">
        <v>576</v>
      </c>
      <c r="V779" s="3">
        <v>357</v>
      </c>
      <c r="W779" s="3">
        <v>420</v>
      </c>
      <c r="X779" s="3">
        <v>225</v>
      </c>
      <c r="Y779" s="3">
        <v>498</v>
      </c>
      <c r="Z779" s="3">
        <v>192</v>
      </c>
      <c r="AA779" s="3">
        <v>369</v>
      </c>
      <c r="AB779" s="3">
        <v>633</v>
      </c>
      <c r="AC779" s="3">
        <v>141</v>
      </c>
      <c r="AD779" s="3">
        <v>543</v>
      </c>
      <c r="AE779" s="3">
        <v>225</v>
      </c>
      <c r="AF779" s="3">
        <v>6</v>
      </c>
      <c r="AG779" s="3">
        <v>0</v>
      </c>
      <c r="AH779" s="3">
        <v>303</v>
      </c>
      <c r="AI779" s="3">
        <v>477</v>
      </c>
      <c r="AJ779" s="3">
        <v>390</v>
      </c>
      <c r="AK779" s="3">
        <v>276</v>
      </c>
      <c r="AL779" s="3">
        <v>242</v>
      </c>
      <c r="AM779" s="3">
        <v>324</v>
      </c>
      <c r="AN779" s="3">
        <v>273</v>
      </c>
      <c r="AO779" s="3">
        <v>275</v>
      </c>
      <c r="AP779" s="3">
        <v>381</v>
      </c>
      <c r="AQ779" s="3">
        <v>534</v>
      </c>
      <c r="AR779" s="3">
        <v>345</v>
      </c>
      <c r="AS779" s="3">
        <v>267</v>
      </c>
      <c r="AT779" s="3">
        <v>204</v>
      </c>
      <c r="AU779" s="3">
        <v>171</v>
      </c>
      <c r="AV779" s="3">
        <v>363</v>
      </c>
      <c r="AW779" s="3">
        <v>207</v>
      </c>
    </row>
    <row r="780" spans="1:49">
      <c r="A780" s="4" t="s">
        <v>35</v>
      </c>
      <c r="B780" s="4" t="str">
        <f t="shared" si="12"/>
        <v>Hair Color</v>
      </c>
      <c r="C780" s="4" t="s">
        <v>1786</v>
      </c>
      <c r="D780" s="4" t="s">
        <v>575</v>
      </c>
      <c r="E780" s="24" t="s">
        <v>47</v>
      </c>
      <c r="F780" s="12" t="s">
        <v>509</v>
      </c>
      <c r="G780" s="4" t="s">
        <v>1787</v>
      </c>
      <c r="H780" s="3">
        <v>405</v>
      </c>
      <c r="I780" s="3">
        <v>459</v>
      </c>
      <c r="J780" s="3">
        <v>369</v>
      </c>
      <c r="K780" s="3">
        <v>498</v>
      </c>
      <c r="L780" s="3">
        <v>285</v>
      </c>
      <c r="M780" s="3">
        <v>615</v>
      </c>
      <c r="N780" s="3">
        <v>324</v>
      </c>
      <c r="O780" s="3">
        <v>483</v>
      </c>
      <c r="P780" s="3">
        <v>459</v>
      </c>
      <c r="Q780" s="3">
        <v>249</v>
      </c>
      <c r="R780" s="3">
        <v>579</v>
      </c>
      <c r="S780" s="3">
        <v>375</v>
      </c>
      <c r="T780" s="3">
        <v>243</v>
      </c>
      <c r="U780" s="3">
        <v>441</v>
      </c>
      <c r="V780" s="3">
        <v>318</v>
      </c>
      <c r="W780" s="3">
        <v>315</v>
      </c>
      <c r="X780" s="3">
        <v>342</v>
      </c>
      <c r="Y780" s="3">
        <v>270</v>
      </c>
      <c r="Z780" s="3">
        <v>129</v>
      </c>
      <c r="AA780" s="3">
        <v>282</v>
      </c>
      <c r="AB780" s="3">
        <v>513</v>
      </c>
      <c r="AC780" s="3">
        <v>27</v>
      </c>
      <c r="AD780" s="3">
        <v>453</v>
      </c>
      <c r="AE780" s="3">
        <v>291</v>
      </c>
      <c r="AF780" s="3">
        <v>75</v>
      </c>
      <c r="AG780" s="3">
        <v>3</v>
      </c>
      <c r="AH780" s="3">
        <v>219</v>
      </c>
      <c r="AI780" s="3">
        <v>384</v>
      </c>
      <c r="AJ780" s="3">
        <v>240</v>
      </c>
      <c r="AK780" s="3">
        <v>276</v>
      </c>
      <c r="AL780" s="3">
        <v>168</v>
      </c>
      <c r="AM780" s="3">
        <v>273</v>
      </c>
      <c r="AN780" s="3">
        <v>138</v>
      </c>
      <c r="AO780" s="3">
        <v>276</v>
      </c>
      <c r="AP780" s="3">
        <v>189</v>
      </c>
      <c r="AQ780" s="3">
        <v>324</v>
      </c>
      <c r="AR780" s="3">
        <v>258</v>
      </c>
      <c r="AS780" s="3">
        <v>153</v>
      </c>
      <c r="AT780" s="3">
        <v>153</v>
      </c>
      <c r="AU780" s="3">
        <v>186</v>
      </c>
      <c r="AV780" s="3">
        <v>294</v>
      </c>
      <c r="AW780" s="3">
        <v>210</v>
      </c>
    </row>
    <row r="781" spans="1:49">
      <c r="A781" s="4" t="s">
        <v>35</v>
      </c>
      <c r="B781" s="4" t="str">
        <f t="shared" si="12"/>
        <v>Hair Color</v>
      </c>
      <c r="C781" s="4" t="s">
        <v>1786</v>
      </c>
      <c r="D781" s="4" t="s">
        <v>575</v>
      </c>
      <c r="E781" s="24" t="s">
        <v>47</v>
      </c>
      <c r="F781" s="12" t="s">
        <v>510</v>
      </c>
      <c r="G781" s="4" t="s">
        <v>1787</v>
      </c>
      <c r="H781" s="3">
        <v>504</v>
      </c>
      <c r="I781" s="3">
        <v>474</v>
      </c>
      <c r="J781" s="3">
        <v>621</v>
      </c>
      <c r="K781" s="3">
        <v>444</v>
      </c>
      <c r="L781" s="3">
        <v>600</v>
      </c>
      <c r="M781" s="3">
        <v>834</v>
      </c>
      <c r="N781" s="3">
        <v>321</v>
      </c>
      <c r="O781" s="3">
        <v>567</v>
      </c>
      <c r="P781" s="3">
        <v>744</v>
      </c>
      <c r="Q781" s="3">
        <v>285</v>
      </c>
      <c r="R781" s="3">
        <v>579</v>
      </c>
      <c r="S781" s="3">
        <v>420</v>
      </c>
      <c r="T781" s="3">
        <v>453</v>
      </c>
      <c r="U781" s="3">
        <v>579</v>
      </c>
      <c r="V781" s="3">
        <v>534</v>
      </c>
      <c r="W781" s="3">
        <v>390</v>
      </c>
      <c r="X781" s="3">
        <v>189</v>
      </c>
      <c r="Y781" s="3">
        <v>534</v>
      </c>
      <c r="Z781" s="3">
        <v>309</v>
      </c>
      <c r="AA781" s="3">
        <v>477</v>
      </c>
      <c r="AB781" s="3">
        <v>630</v>
      </c>
      <c r="AC781" s="3">
        <v>87</v>
      </c>
      <c r="AD781" s="3">
        <v>639</v>
      </c>
      <c r="AE781" s="3">
        <v>144</v>
      </c>
      <c r="AF781" s="3">
        <v>243</v>
      </c>
      <c r="AG781" s="3">
        <v>150</v>
      </c>
      <c r="AH781" s="3">
        <v>0</v>
      </c>
      <c r="AI781" s="3">
        <v>510</v>
      </c>
      <c r="AJ781" s="3">
        <v>0</v>
      </c>
      <c r="AK781" s="3">
        <v>462</v>
      </c>
      <c r="AL781" s="3">
        <v>369</v>
      </c>
      <c r="AM781" s="3">
        <v>375</v>
      </c>
      <c r="AN781" s="3">
        <v>324</v>
      </c>
      <c r="AO781" s="3">
        <v>318</v>
      </c>
      <c r="AP781" s="3">
        <v>492</v>
      </c>
      <c r="AQ781" s="3">
        <v>624</v>
      </c>
      <c r="AR781" s="3">
        <v>315</v>
      </c>
      <c r="AS781" s="3">
        <v>249</v>
      </c>
      <c r="AT781" s="3">
        <v>276</v>
      </c>
      <c r="AU781" s="3">
        <v>249</v>
      </c>
      <c r="AV781" s="3">
        <v>474</v>
      </c>
      <c r="AW781" s="3">
        <v>282</v>
      </c>
    </row>
    <row r="782" spans="1:49">
      <c r="A782" s="4" t="s">
        <v>35</v>
      </c>
      <c r="B782" s="4" t="str">
        <f t="shared" si="12"/>
        <v>Hair Color</v>
      </c>
      <c r="C782" s="4" t="s">
        <v>1786</v>
      </c>
      <c r="D782" s="4" t="s">
        <v>575</v>
      </c>
      <c r="E782" s="24" t="s">
        <v>47</v>
      </c>
      <c r="F782" s="12" t="s">
        <v>511</v>
      </c>
      <c r="G782" s="4" t="s">
        <v>1787</v>
      </c>
      <c r="H782" s="3">
        <v>336</v>
      </c>
      <c r="I782" s="3">
        <v>384</v>
      </c>
      <c r="J782" s="3">
        <v>501</v>
      </c>
      <c r="K782" s="3">
        <v>483</v>
      </c>
      <c r="L782" s="3">
        <v>288</v>
      </c>
      <c r="M782" s="3">
        <v>510</v>
      </c>
      <c r="N782" s="3">
        <v>330</v>
      </c>
      <c r="O782" s="3">
        <v>588</v>
      </c>
      <c r="P782" s="3">
        <v>468</v>
      </c>
      <c r="Q782" s="3">
        <v>270</v>
      </c>
      <c r="R782" s="3">
        <v>594</v>
      </c>
      <c r="S782" s="3">
        <v>279</v>
      </c>
      <c r="T782" s="3">
        <v>228</v>
      </c>
      <c r="U782" s="3">
        <v>459</v>
      </c>
      <c r="V782" s="3">
        <v>336</v>
      </c>
      <c r="W782" s="3">
        <v>426</v>
      </c>
      <c r="X782" s="3">
        <v>354</v>
      </c>
      <c r="Y782" s="3">
        <v>300</v>
      </c>
      <c r="Z782" s="3">
        <v>213</v>
      </c>
      <c r="AA782" s="3">
        <v>348</v>
      </c>
      <c r="AB782" s="3">
        <v>630</v>
      </c>
      <c r="AC782" s="3">
        <v>129</v>
      </c>
      <c r="AD782" s="3">
        <v>456</v>
      </c>
      <c r="AE782" s="3">
        <v>330</v>
      </c>
      <c r="AF782" s="3">
        <v>225</v>
      </c>
      <c r="AG782" s="3">
        <v>114</v>
      </c>
      <c r="AH782" s="3">
        <v>246</v>
      </c>
      <c r="AI782" s="3">
        <v>471</v>
      </c>
      <c r="AJ782" s="3">
        <v>264</v>
      </c>
      <c r="AK782" s="3">
        <v>297</v>
      </c>
      <c r="AL782" s="3">
        <v>252</v>
      </c>
      <c r="AM782" s="3">
        <v>297</v>
      </c>
      <c r="AN782" s="3">
        <v>201</v>
      </c>
      <c r="AO782" s="3">
        <v>336</v>
      </c>
      <c r="AP782" s="3">
        <v>337</v>
      </c>
      <c r="AQ782" s="3">
        <v>561</v>
      </c>
      <c r="AR782" s="3">
        <v>294</v>
      </c>
      <c r="AS782" s="3">
        <v>189</v>
      </c>
      <c r="AT782" s="3">
        <v>243</v>
      </c>
      <c r="AU782" s="3">
        <v>213</v>
      </c>
      <c r="AV782" s="3">
        <v>348</v>
      </c>
      <c r="AW782" s="3">
        <v>261</v>
      </c>
    </row>
    <row r="783" spans="1:49">
      <c r="A783" s="4" t="s">
        <v>35</v>
      </c>
      <c r="B783" s="4" t="str">
        <f t="shared" si="12"/>
        <v>Hair Color</v>
      </c>
      <c r="C783" s="4" t="s">
        <v>1786</v>
      </c>
      <c r="D783" s="4" t="s">
        <v>575</v>
      </c>
      <c r="E783" s="24" t="s">
        <v>47</v>
      </c>
      <c r="F783" s="12" t="s">
        <v>512</v>
      </c>
      <c r="G783" s="4" t="s">
        <v>1787</v>
      </c>
      <c r="H783" s="3">
        <v>165</v>
      </c>
      <c r="I783" s="3">
        <v>141</v>
      </c>
      <c r="J783" s="3">
        <v>198</v>
      </c>
      <c r="K783" s="3">
        <v>231</v>
      </c>
      <c r="L783" s="3">
        <v>96</v>
      </c>
      <c r="M783" s="3">
        <v>150</v>
      </c>
      <c r="N783" s="3">
        <v>96</v>
      </c>
      <c r="O783" s="3">
        <v>174</v>
      </c>
      <c r="P783" s="3">
        <v>150</v>
      </c>
      <c r="Q783" s="3">
        <v>114</v>
      </c>
      <c r="R783" s="3">
        <v>240</v>
      </c>
      <c r="S783" s="3">
        <v>162</v>
      </c>
      <c r="T783" s="3">
        <v>30</v>
      </c>
      <c r="U783" s="3">
        <v>210</v>
      </c>
      <c r="V783" s="3">
        <v>180</v>
      </c>
      <c r="W783" s="3">
        <v>168</v>
      </c>
      <c r="X783" s="3">
        <v>129</v>
      </c>
      <c r="Y783" s="3">
        <v>138</v>
      </c>
      <c r="Z783" s="3">
        <v>57</v>
      </c>
      <c r="AA783" s="3">
        <v>258</v>
      </c>
      <c r="AB783" s="3">
        <v>222</v>
      </c>
      <c r="AC783" s="3">
        <v>75</v>
      </c>
      <c r="AD783" s="3">
        <v>234</v>
      </c>
      <c r="AE783" s="3">
        <v>153</v>
      </c>
      <c r="AF783" s="3">
        <v>144</v>
      </c>
      <c r="AG783" s="3">
        <v>141</v>
      </c>
      <c r="AH783" s="3">
        <v>57</v>
      </c>
      <c r="AI783" s="3">
        <v>75</v>
      </c>
      <c r="AJ783" s="3">
        <v>183</v>
      </c>
      <c r="AK783" s="3">
        <v>51</v>
      </c>
      <c r="AL783" s="3">
        <v>108</v>
      </c>
      <c r="AM783" s="3">
        <v>189</v>
      </c>
      <c r="AN783" s="3">
        <v>63</v>
      </c>
      <c r="AO783" s="3">
        <v>60</v>
      </c>
      <c r="AP783" s="3">
        <v>189</v>
      </c>
      <c r="AQ783" s="3">
        <v>144</v>
      </c>
      <c r="AR783" s="3">
        <v>222</v>
      </c>
      <c r="AS783" s="3">
        <v>87</v>
      </c>
      <c r="AT783" s="3">
        <v>159</v>
      </c>
      <c r="AU783" s="3">
        <v>138</v>
      </c>
      <c r="AV783" s="3">
        <v>192</v>
      </c>
      <c r="AW783" s="3">
        <v>111</v>
      </c>
    </row>
    <row r="784" spans="1:49">
      <c r="A784" s="4" t="s">
        <v>35</v>
      </c>
      <c r="B784" s="4" t="str">
        <f t="shared" si="12"/>
        <v>Hair Color</v>
      </c>
      <c r="C784" s="4" t="s">
        <v>1786</v>
      </c>
      <c r="D784" s="4" t="s">
        <v>575</v>
      </c>
      <c r="E784" s="24" t="s">
        <v>47</v>
      </c>
      <c r="F784" s="12" t="s">
        <v>513</v>
      </c>
      <c r="G784" s="4" t="s">
        <v>1787</v>
      </c>
      <c r="H784" s="3">
        <v>381</v>
      </c>
      <c r="I784" s="3">
        <v>417</v>
      </c>
      <c r="J784" s="3">
        <v>291</v>
      </c>
      <c r="K784" s="3">
        <v>303</v>
      </c>
      <c r="L784" s="3">
        <v>387</v>
      </c>
      <c r="M784" s="3">
        <v>414</v>
      </c>
      <c r="N784" s="3">
        <v>195</v>
      </c>
      <c r="O784" s="3">
        <v>390</v>
      </c>
      <c r="P784" s="3">
        <v>384</v>
      </c>
      <c r="Q784" s="3">
        <v>183</v>
      </c>
      <c r="R784" s="3">
        <v>384</v>
      </c>
      <c r="S784" s="3">
        <v>198</v>
      </c>
      <c r="T784" s="3">
        <v>234</v>
      </c>
      <c r="U784" s="3">
        <v>294</v>
      </c>
      <c r="V784" s="3">
        <v>333</v>
      </c>
      <c r="W784" s="3">
        <v>111</v>
      </c>
      <c r="X784" s="3">
        <v>150</v>
      </c>
      <c r="Y784" s="3">
        <v>204</v>
      </c>
      <c r="Z784" s="3">
        <v>237</v>
      </c>
      <c r="AA784" s="3">
        <v>228</v>
      </c>
      <c r="AB784" s="3">
        <v>294</v>
      </c>
      <c r="AC784" s="3">
        <v>18</v>
      </c>
      <c r="AD784" s="3">
        <v>447</v>
      </c>
      <c r="AE784" s="3">
        <v>183</v>
      </c>
      <c r="AF784" s="3">
        <v>153</v>
      </c>
      <c r="AG784" s="3">
        <v>138</v>
      </c>
      <c r="AH784" s="3">
        <v>129</v>
      </c>
      <c r="AI784" s="3">
        <v>186</v>
      </c>
      <c r="AJ784" s="3">
        <v>117</v>
      </c>
      <c r="AK784" s="3">
        <v>48</v>
      </c>
      <c r="AL784" s="3">
        <v>183</v>
      </c>
      <c r="AM784" s="3">
        <v>180</v>
      </c>
      <c r="AN784" s="3">
        <v>36</v>
      </c>
      <c r="AO784" s="3">
        <v>0</v>
      </c>
      <c r="AP784" s="3">
        <v>234</v>
      </c>
      <c r="AQ784" s="3">
        <v>441</v>
      </c>
      <c r="AR784" s="3">
        <v>249</v>
      </c>
      <c r="AS784" s="3">
        <v>132</v>
      </c>
      <c r="AT784" s="3">
        <v>195</v>
      </c>
      <c r="AU784" s="3">
        <v>156</v>
      </c>
      <c r="AV784" s="3">
        <v>222</v>
      </c>
      <c r="AW784" s="3">
        <v>228</v>
      </c>
    </row>
    <row r="785" spans="1:49">
      <c r="A785" s="4" t="s">
        <v>35</v>
      </c>
      <c r="B785" s="4" t="str">
        <f t="shared" si="12"/>
        <v>Hair Color</v>
      </c>
      <c r="C785" s="4" t="s">
        <v>1786</v>
      </c>
      <c r="D785" s="4" t="s">
        <v>575</v>
      </c>
      <c r="E785" s="24" t="s">
        <v>47</v>
      </c>
      <c r="F785" s="12" t="s">
        <v>514</v>
      </c>
      <c r="G785" s="4" t="s">
        <v>1787</v>
      </c>
      <c r="H785" s="3">
        <v>228</v>
      </c>
      <c r="I785" s="3">
        <v>309</v>
      </c>
      <c r="J785" s="3">
        <v>306</v>
      </c>
      <c r="K785" s="3">
        <v>258</v>
      </c>
      <c r="L785" s="3">
        <v>312</v>
      </c>
      <c r="M785" s="3">
        <v>381</v>
      </c>
      <c r="N785" s="3">
        <v>267</v>
      </c>
      <c r="O785" s="3">
        <v>336</v>
      </c>
      <c r="P785" s="3">
        <v>246</v>
      </c>
      <c r="Q785" s="3">
        <v>201</v>
      </c>
      <c r="R785" s="3">
        <v>333</v>
      </c>
      <c r="S785" s="3">
        <v>195</v>
      </c>
      <c r="T785" s="3">
        <v>144</v>
      </c>
      <c r="U785" s="3">
        <v>222</v>
      </c>
      <c r="V785" s="3">
        <v>219</v>
      </c>
      <c r="W785" s="3">
        <v>222</v>
      </c>
      <c r="X785" s="3">
        <v>63</v>
      </c>
      <c r="Y785" s="3">
        <v>396</v>
      </c>
      <c r="Z785" s="3">
        <v>120</v>
      </c>
      <c r="AA785" s="3">
        <v>183</v>
      </c>
      <c r="AB785" s="3">
        <v>255</v>
      </c>
      <c r="AC785" s="3">
        <v>39</v>
      </c>
      <c r="AD785" s="3">
        <v>105</v>
      </c>
      <c r="AE785" s="3">
        <v>84</v>
      </c>
      <c r="AF785" s="3">
        <v>264</v>
      </c>
      <c r="AG785" s="3">
        <v>30</v>
      </c>
      <c r="AH785" s="3">
        <v>108</v>
      </c>
      <c r="AI785" s="3">
        <v>237</v>
      </c>
      <c r="AJ785" s="3">
        <v>128</v>
      </c>
      <c r="AK785" s="3">
        <v>210</v>
      </c>
      <c r="AL785" s="3">
        <v>129</v>
      </c>
      <c r="AM785" s="3">
        <v>105</v>
      </c>
      <c r="AN785" s="3">
        <v>78</v>
      </c>
      <c r="AO785" s="3">
        <v>156</v>
      </c>
      <c r="AP785" s="3">
        <v>227</v>
      </c>
      <c r="AQ785" s="3">
        <v>159</v>
      </c>
      <c r="AR785" s="3">
        <v>183</v>
      </c>
      <c r="AS785" s="3">
        <v>180</v>
      </c>
      <c r="AT785" s="3">
        <v>66</v>
      </c>
      <c r="AU785" s="3">
        <v>117</v>
      </c>
      <c r="AV785" s="3">
        <v>171</v>
      </c>
      <c r="AW785" s="3">
        <v>105</v>
      </c>
    </row>
    <row r="786" spans="1:49">
      <c r="A786" s="4" t="s">
        <v>35</v>
      </c>
      <c r="B786" s="4" t="str">
        <f t="shared" si="12"/>
        <v>Hair Color</v>
      </c>
      <c r="C786" s="4" t="s">
        <v>1786</v>
      </c>
      <c r="D786" s="4" t="s">
        <v>575</v>
      </c>
      <c r="E786" s="24" t="s">
        <v>47</v>
      </c>
      <c r="F786" s="12" t="s">
        <v>515</v>
      </c>
      <c r="G786" s="4" t="s">
        <v>1787</v>
      </c>
      <c r="H786" s="3">
        <v>360</v>
      </c>
      <c r="I786" s="3">
        <v>462</v>
      </c>
      <c r="J786" s="3">
        <v>252</v>
      </c>
      <c r="K786" s="3">
        <v>354</v>
      </c>
      <c r="L786" s="3">
        <v>291</v>
      </c>
      <c r="M786" s="3">
        <v>384</v>
      </c>
      <c r="N786" s="3">
        <v>210</v>
      </c>
      <c r="O786" s="3">
        <v>426</v>
      </c>
      <c r="P786" s="3">
        <v>396</v>
      </c>
      <c r="Q786" s="3">
        <v>180</v>
      </c>
      <c r="R786" s="3">
        <v>462</v>
      </c>
      <c r="S786" s="3">
        <v>231</v>
      </c>
      <c r="T786" s="3">
        <v>252</v>
      </c>
      <c r="U786" s="3">
        <v>390</v>
      </c>
      <c r="V786" s="3">
        <v>267</v>
      </c>
      <c r="W786" s="3">
        <v>258</v>
      </c>
      <c r="X786" s="3">
        <v>174</v>
      </c>
      <c r="Y786" s="3">
        <v>372</v>
      </c>
      <c r="Z786" s="3">
        <v>87</v>
      </c>
      <c r="AA786" s="3">
        <v>210</v>
      </c>
      <c r="AB786" s="3">
        <v>471</v>
      </c>
      <c r="AC786" s="3">
        <v>27</v>
      </c>
      <c r="AD786" s="3">
        <v>195</v>
      </c>
      <c r="AE786" s="3">
        <v>366</v>
      </c>
      <c r="AF786" s="3">
        <v>96</v>
      </c>
      <c r="AG786" s="3">
        <v>0</v>
      </c>
      <c r="AH786" s="3">
        <v>150</v>
      </c>
      <c r="AI786" s="3">
        <v>348</v>
      </c>
      <c r="AJ786" s="3">
        <v>153</v>
      </c>
      <c r="AK786" s="3">
        <v>363</v>
      </c>
      <c r="AL786" s="3">
        <v>162</v>
      </c>
      <c r="AM786" s="3">
        <v>159</v>
      </c>
      <c r="AN786" s="3">
        <v>144</v>
      </c>
      <c r="AO786" s="3">
        <v>129</v>
      </c>
      <c r="AP786" s="3">
        <v>228</v>
      </c>
      <c r="AQ786" s="3">
        <v>507</v>
      </c>
      <c r="AR786" s="3">
        <v>180</v>
      </c>
      <c r="AS786" s="3">
        <v>168</v>
      </c>
      <c r="AT786" s="3">
        <v>180</v>
      </c>
      <c r="AU786" s="3">
        <v>189</v>
      </c>
      <c r="AV786" s="3">
        <v>210</v>
      </c>
      <c r="AW786" s="3">
        <v>229</v>
      </c>
    </row>
    <row r="787" spans="1:49">
      <c r="A787" s="4" t="s">
        <v>35</v>
      </c>
      <c r="B787" s="4" t="str">
        <f t="shared" si="12"/>
        <v>Hair Color</v>
      </c>
      <c r="C787" s="4" t="s">
        <v>1786</v>
      </c>
      <c r="D787" s="4" t="s">
        <v>575</v>
      </c>
      <c r="E787" s="24" t="s">
        <v>47</v>
      </c>
      <c r="F787" s="12" t="s">
        <v>516</v>
      </c>
      <c r="G787" s="4" t="s">
        <v>1787</v>
      </c>
      <c r="H787" s="3">
        <v>399</v>
      </c>
      <c r="I787" s="3">
        <v>309</v>
      </c>
      <c r="J787" s="3">
        <v>339</v>
      </c>
      <c r="K787" s="3">
        <v>300</v>
      </c>
      <c r="L787" s="3">
        <v>357</v>
      </c>
      <c r="M787" s="3">
        <v>318</v>
      </c>
      <c r="N787" s="3">
        <v>330</v>
      </c>
      <c r="O787" s="3">
        <v>441</v>
      </c>
      <c r="P787" s="3">
        <v>315</v>
      </c>
      <c r="Q787" s="3">
        <v>252</v>
      </c>
      <c r="R787" s="3">
        <v>543</v>
      </c>
      <c r="S787" s="3">
        <v>252</v>
      </c>
      <c r="T787" s="3">
        <v>147</v>
      </c>
      <c r="U787" s="3">
        <v>315</v>
      </c>
      <c r="V787" s="3">
        <v>210</v>
      </c>
      <c r="W787" s="3">
        <v>282</v>
      </c>
      <c r="X787" s="3">
        <v>105</v>
      </c>
      <c r="Y787" s="3">
        <v>387</v>
      </c>
      <c r="Z787" s="3">
        <v>138</v>
      </c>
      <c r="AA787" s="3">
        <v>288</v>
      </c>
      <c r="AB787" s="3">
        <v>456</v>
      </c>
      <c r="AC787" s="3">
        <v>75</v>
      </c>
      <c r="AD787" s="3">
        <v>387</v>
      </c>
      <c r="AE787" s="3">
        <v>159</v>
      </c>
      <c r="AF787" s="3">
        <v>99</v>
      </c>
      <c r="AG787" s="3">
        <v>150</v>
      </c>
      <c r="AH787" s="3">
        <v>93</v>
      </c>
      <c r="AI787" s="3">
        <v>252</v>
      </c>
      <c r="AJ787" s="3">
        <v>249</v>
      </c>
      <c r="AK787" s="3">
        <v>210</v>
      </c>
      <c r="AL787" s="3">
        <v>168</v>
      </c>
      <c r="AM787" s="3">
        <v>189</v>
      </c>
      <c r="AN787" s="3">
        <v>96</v>
      </c>
      <c r="AO787" s="3">
        <v>129</v>
      </c>
      <c r="AP787" s="3">
        <v>282</v>
      </c>
      <c r="AQ787" s="3">
        <v>177</v>
      </c>
      <c r="AR787" s="3">
        <v>360</v>
      </c>
      <c r="AS787" s="3">
        <v>102</v>
      </c>
      <c r="AT787" s="3">
        <v>159</v>
      </c>
      <c r="AU787" s="3">
        <v>237</v>
      </c>
      <c r="AV787" s="3">
        <v>228</v>
      </c>
      <c r="AW787" s="3">
        <v>168</v>
      </c>
    </row>
    <row r="788" spans="1:49">
      <c r="A788" s="4" t="s">
        <v>35</v>
      </c>
      <c r="B788" s="4" t="str">
        <f t="shared" si="12"/>
        <v>Hair Color</v>
      </c>
      <c r="C788" s="4" t="s">
        <v>1786</v>
      </c>
      <c r="D788" s="4" t="s">
        <v>575</v>
      </c>
      <c r="E788" s="24" t="s">
        <v>47</v>
      </c>
      <c r="F788" s="12" t="s">
        <v>517</v>
      </c>
      <c r="G788" s="4" t="s">
        <v>1787</v>
      </c>
      <c r="H788" s="3">
        <v>255</v>
      </c>
      <c r="I788" s="3">
        <v>321</v>
      </c>
      <c r="J788" s="3">
        <v>258</v>
      </c>
      <c r="K788" s="3">
        <v>384</v>
      </c>
      <c r="L788" s="3">
        <v>165</v>
      </c>
      <c r="M788" s="3">
        <v>399</v>
      </c>
      <c r="N788" s="3">
        <v>177</v>
      </c>
      <c r="O788" s="3">
        <v>300</v>
      </c>
      <c r="P788" s="3">
        <v>267</v>
      </c>
      <c r="Q788" s="3">
        <v>186</v>
      </c>
      <c r="R788" s="3">
        <v>504</v>
      </c>
      <c r="S788" s="3">
        <v>207</v>
      </c>
      <c r="T788" s="3">
        <v>156</v>
      </c>
      <c r="U788" s="3">
        <v>354</v>
      </c>
      <c r="V788" s="3">
        <v>285</v>
      </c>
      <c r="W788" s="3">
        <v>243</v>
      </c>
      <c r="X788" s="3">
        <v>156</v>
      </c>
      <c r="Y788" s="3">
        <v>231</v>
      </c>
      <c r="Z788" s="3">
        <v>78</v>
      </c>
      <c r="AA788" s="3">
        <v>279</v>
      </c>
      <c r="AB788" s="3">
        <v>450</v>
      </c>
      <c r="AC788" s="3">
        <v>30</v>
      </c>
      <c r="AD788" s="3">
        <v>297</v>
      </c>
      <c r="AE788" s="3">
        <v>243</v>
      </c>
      <c r="AF788" s="3">
        <v>165</v>
      </c>
      <c r="AG788" s="3">
        <v>24</v>
      </c>
      <c r="AH788" s="3">
        <v>144</v>
      </c>
      <c r="AI788" s="3">
        <v>456</v>
      </c>
      <c r="AJ788" s="3">
        <v>156</v>
      </c>
      <c r="AK788" s="3">
        <v>174</v>
      </c>
      <c r="AL788" s="3">
        <v>138</v>
      </c>
      <c r="AM788" s="3">
        <v>228</v>
      </c>
      <c r="AN788" s="3">
        <v>123</v>
      </c>
      <c r="AO788" s="3">
        <v>123</v>
      </c>
      <c r="AP788" s="3">
        <v>180</v>
      </c>
      <c r="AQ788" s="3">
        <v>314</v>
      </c>
      <c r="AR788" s="3">
        <v>228</v>
      </c>
      <c r="AS788" s="3">
        <v>201</v>
      </c>
      <c r="AT788" s="3">
        <v>189</v>
      </c>
      <c r="AU788" s="3">
        <v>204</v>
      </c>
      <c r="AV788" s="3">
        <v>270</v>
      </c>
      <c r="AW788" s="3">
        <v>159</v>
      </c>
    </row>
    <row r="789" spans="1:49">
      <c r="A789" s="4" t="s">
        <v>35</v>
      </c>
      <c r="B789" s="4" t="str">
        <f t="shared" si="12"/>
        <v>Hair Color</v>
      </c>
      <c r="C789" s="4" t="s">
        <v>1786</v>
      </c>
      <c r="D789" s="4" t="s">
        <v>575</v>
      </c>
      <c r="E789" s="24" t="s">
        <v>47</v>
      </c>
      <c r="F789" s="12" t="s">
        <v>518</v>
      </c>
      <c r="G789" s="4" t="s">
        <v>1787</v>
      </c>
      <c r="H789" s="3">
        <v>585</v>
      </c>
      <c r="I789" s="3">
        <v>528</v>
      </c>
      <c r="J789" s="3">
        <v>480</v>
      </c>
      <c r="K789" s="3">
        <v>450</v>
      </c>
      <c r="L789" s="3">
        <v>312</v>
      </c>
      <c r="M789" s="3">
        <v>258</v>
      </c>
      <c r="N789" s="3">
        <v>459</v>
      </c>
      <c r="O789" s="3">
        <v>606</v>
      </c>
      <c r="P789" s="3">
        <v>609</v>
      </c>
      <c r="Q789" s="3">
        <v>375</v>
      </c>
      <c r="R789" s="3">
        <v>399</v>
      </c>
      <c r="S789" s="3">
        <v>387</v>
      </c>
      <c r="T789" s="3">
        <v>531</v>
      </c>
      <c r="U789" s="3">
        <v>570</v>
      </c>
      <c r="V789" s="3">
        <v>342</v>
      </c>
      <c r="W789" s="3">
        <v>321</v>
      </c>
      <c r="X789" s="3">
        <v>426</v>
      </c>
      <c r="Y789" s="3">
        <v>432</v>
      </c>
      <c r="Z789" s="3">
        <v>216</v>
      </c>
      <c r="AA789" s="3">
        <v>414</v>
      </c>
      <c r="AB789" s="3">
        <v>765</v>
      </c>
      <c r="AC789" s="3">
        <v>51</v>
      </c>
      <c r="AD789" s="3">
        <v>504</v>
      </c>
      <c r="AE789" s="3">
        <v>81</v>
      </c>
      <c r="AF789" s="3">
        <v>516</v>
      </c>
      <c r="AG789" s="3">
        <v>102</v>
      </c>
      <c r="AH789" s="3">
        <v>69</v>
      </c>
      <c r="AI789" s="3">
        <v>978</v>
      </c>
      <c r="AJ789" s="3">
        <v>262</v>
      </c>
      <c r="AK789" s="3">
        <v>321</v>
      </c>
      <c r="AL789" s="3">
        <v>318</v>
      </c>
      <c r="AM789" s="3">
        <v>348</v>
      </c>
      <c r="AN789" s="3">
        <v>225</v>
      </c>
      <c r="AO789" s="3">
        <v>375</v>
      </c>
      <c r="AP789" s="3">
        <v>411</v>
      </c>
      <c r="AQ789" s="3">
        <v>420</v>
      </c>
      <c r="AR789" s="3">
        <v>303</v>
      </c>
      <c r="AS789" s="3">
        <v>285</v>
      </c>
      <c r="AT789" s="3">
        <v>201</v>
      </c>
      <c r="AU789" s="3">
        <v>213</v>
      </c>
      <c r="AV789" s="3">
        <v>480</v>
      </c>
      <c r="AW789" s="3">
        <v>324</v>
      </c>
    </row>
    <row r="790" spans="1:49">
      <c r="A790" s="4" t="s">
        <v>35</v>
      </c>
      <c r="B790" s="4" t="str">
        <f t="shared" si="12"/>
        <v>Hair Color</v>
      </c>
      <c r="C790" s="4" t="s">
        <v>1786</v>
      </c>
      <c r="D790" s="4" t="s">
        <v>575</v>
      </c>
      <c r="E790" s="24" t="s">
        <v>47</v>
      </c>
      <c r="F790" s="12" t="s">
        <v>519</v>
      </c>
      <c r="G790" s="4" t="s">
        <v>1787</v>
      </c>
      <c r="H790" s="3">
        <v>219</v>
      </c>
      <c r="I790" s="3">
        <v>225</v>
      </c>
      <c r="J790" s="3">
        <v>144</v>
      </c>
      <c r="K790" s="3">
        <v>162</v>
      </c>
      <c r="L790" s="3">
        <v>162</v>
      </c>
      <c r="M790" s="3">
        <v>318</v>
      </c>
      <c r="N790" s="3">
        <v>87</v>
      </c>
      <c r="O790" s="3">
        <v>177</v>
      </c>
      <c r="P790" s="3">
        <v>108</v>
      </c>
      <c r="Q790" s="3">
        <v>114</v>
      </c>
      <c r="R790" s="3">
        <v>153</v>
      </c>
      <c r="S790" s="3">
        <v>180</v>
      </c>
      <c r="T790" s="3">
        <v>312</v>
      </c>
      <c r="U790" s="3">
        <v>168</v>
      </c>
      <c r="V790" s="3">
        <v>150</v>
      </c>
      <c r="W790" s="3">
        <v>33</v>
      </c>
      <c r="X790" s="3">
        <v>237</v>
      </c>
      <c r="Y790" s="3">
        <v>177</v>
      </c>
      <c r="Z790" s="3">
        <v>33</v>
      </c>
      <c r="AA790" s="3">
        <v>189</v>
      </c>
      <c r="AB790" s="3">
        <v>165</v>
      </c>
      <c r="AC790" s="3">
        <v>78</v>
      </c>
      <c r="AD790" s="3">
        <v>90</v>
      </c>
      <c r="AE790" s="3">
        <v>123</v>
      </c>
      <c r="AF790" s="3">
        <v>147</v>
      </c>
      <c r="AG790" s="3">
        <v>201</v>
      </c>
      <c r="AH790" s="3">
        <v>0</v>
      </c>
      <c r="AI790" s="3">
        <v>117</v>
      </c>
      <c r="AJ790" s="3">
        <v>90</v>
      </c>
      <c r="AK790" s="3">
        <v>18</v>
      </c>
      <c r="AL790" s="3">
        <v>87</v>
      </c>
      <c r="AM790" s="3">
        <v>108</v>
      </c>
      <c r="AN790" s="3">
        <v>111</v>
      </c>
      <c r="AO790" s="3">
        <v>81</v>
      </c>
      <c r="AP790" s="3">
        <v>165</v>
      </c>
      <c r="AQ790" s="3">
        <v>0</v>
      </c>
      <c r="AR790" s="3">
        <v>228</v>
      </c>
      <c r="AS790" s="3">
        <v>189</v>
      </c>
      <c r="AT790" s="3">
        <v>0</v>
      </c>
      <c r="AU790" s="3">
        <v>63</v>
      </c>
      <c r="AV790" s="3">
        <v>153</v>
      </c>
      <c r="AW790" s="3">
        <v>75</v>
      </c>
    </row>
    <row r="791" spans="1:49">
      <c r="A791" s="4" t="s">
        <v>35</v>
      </c>
      <c r="B791" s="4" t="str">
        <f t="shared" si="12"/>
        <v>Hair Color</v>
      </c>
      <c r="C791" s="4" t="s">
        <v>1786</v>
      </c>
      <c r="D791" s="4" t="s">
        <v>575</v>
      </c>
      <c r="E791" s="24" t="s">
        <v>47</v>
      </c>
      <c r="F791" s="12" t="s">
        <v>520</v>
      </c>
      <c r="G791" s="4" t="s">
        <v>1787</v>
      </c>
      <c r="H791" s="3">
        <v>738</v>
      </c>
      <c r="I791" s="3">
        <v>612</v>
      </c>
      <c r="J791" s="3">
        <v>912</v>
      </c>
      <c r="K791" s="3">
        <v>294</v>
      </c>
      <c r="L791" s="3">
        <v>717</v>
      </c>
      <c r="M791" s="3">
        <v>717</v>
      </c>
      <c r="N791" s="3">
        <v>537</v>
      </c>
      <c r="O791" s="3">
        <v>585</v>
      </c>
      <c r="P791" s="3">
        <v>768</v>
      </c>
      <c r="Q791" s="3">
        <v>375</v>
      </c>
      <c r="R791" s="3">
        <v>1044</v>
      </c>
      <c r="S791" s="3">
        <v>453</v>
      </c>
      <c r="T791" s="3">
        <v>372</v>
      </c>
      <c r="U791" s="3">
        <v>861</v>
      </c>
      <c r="V791" s="3">
        <v>603</v>
      </c>
      <c r="W791" s="3">
        <v>558</v>
      </c>
      <c r="X791" s="3">
        <v>783</v>
      </c>
      <c r="Y791" s="3">
        <v>456</v>
      </c>
      <c r="Z791" s="3">
        <v>327</v>
      </c>
      <c r="AA791" s="3">
        <v>525</v>
      </c>
      <c r="AB791" s="3">
        <v>870</v>
      </c>
      <c r="AC791" s="3">
        <v>9</v>
      </c>
      <c r="AD791" s="3">
        <v>555</v>
      </c>
      <c r="AE791" s="3">
        <v>231</v>
      </c>
      <c r="AF791" s="3">
        <v>399</v>
      </c>
      <c r="AG791" s="3">
        <v>0</v>
      </c>
      <c r="AH791" s="3">
        <v>0</v>
      </c>
      <c r="AI791" s="3">
        <v>870</v>
      </c>
      <c r="AJ791" s="3">
        <v>366</v>
      </c>
      <c r="AK791" s="3">
        <v>321</v>
      </c>
      <c r="AL791" s="3">
        <v>438</v>
      </c>
      <c r="AM791" s="3">
        <v>531</v>
      </c>
      <c r="AN791" s="3">
        <v>423</v>
      </c>
      <c r="AO791" s="3">
        <v>501</v>
      </c>
      <c r="AP791" s="3">
        <v>564</v>
      </c>
      <c r="AQ791" s="3">
        <v>618</v>
      </c>
      <c r="AR791" s="3">
        <v>387</v>
      </c>
      <c r="AS791" s="3">
        <v>358</v>
      </c>
      <c r="AT791" s="3">
        <v>288</v>
      </c>
      <c r="AU791" s="3">
        <v>375</v>
      </c>
      <c r="AV791" s="3">
        <v>554</v>
      </c>
      <c r="AW791" s="3">
        <v>645</v>
      </c>
    </row>
    <row r="792" spans="1:49">
      <c r="A792" s="4" t="s">
        <v>35</v>
      </c>
      <c r="B792" s="4" t="str">
        <f t="shared" si="12"/>
        <v>Hair Color</v>
      </c>
      <c r="C792" s="4" t="s">
        <v>1786</v>
      </c>
      <c r="D792" s="4" t="s">
        <v>575</v>
      </c>
      <c r="E792" s="24" t="s">
        <v>47</v>
      </c>
      <c r="F792" s="12" t="s">
        <v>521</v>
      </c>
      <c r="G792" s="4" t="s">
        <v>1787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30</v>
      </c>
      <c r="U792" s="3">
        <v>300</v>
      </c>
      <c r="V792" s="3">
        <v>214</v>
      </c>
      <c r="W792" s="3">
        <v>243</v>
      </c>
      <c r="X792" s="3">
        <v>66</v>
      </c>
      <c r="Y792" s="3">
        <v>310</v>
      </c>
      <c r="Z792" s="3">
        <v>115</v>
      </c>
      <c r="AA792" s="3">
        <v>267</v>
      </c>
      <c r="AB792" s="3">
        <v>397</v>
      </c>
      <c r="AC792" s="3">
        <v>354</v>
      </c>
      <c r="AD792" s="3">
        <v>153</v>
      </c>
      <c r="AE792" s="3">
        <v>65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</row>
    <row r="793" spans="1:49">
      <c r="A793" s="4" t="s">
        <v>35</v>
      </c>
      <c r="B793" s="4" t="str">
        <f t="shared" si="12"/>
        <v>Hair Color</v>
      </c>
      <c r="C793" s="4" t="s">
        <v>1786</v>
      </c>
      <c r="D793" s="4" t="s">
        <v>575</v>
      </c>
      <c r="E793" s="24" t="s">
        <v>47</v>
      </c>
      <c r="F793" s="12" t="s">
        <v>522</v>
      </c>
      <c r="G793" s="4" t="s">
        <v>1787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36</v>
      </c>
      <c r="U793" s="3">
        <v>123</v>
      </c>
      <c r="V793" s="3">
        <v>204</v>
      </c>
      <c r="W793" s="3">
        <v>78</v>
      </c>
      <c r="X793" s="3">
        <v>284</v>
      </c>
      <c r="Y793" s="3">
        <v>138</v>
      </c>
      <c r="Z793" s="3">
        <v>45</v>
      </c>
      <c r="AA793" s="3">
        <v>93</v>
      </c>
      <c r="AB793" s="3">
        <v>219</v>
      </c>
      <c r="AC793" s="3">
        <v>156</v>
      </c>
      <c r="AD793" s="3">
        <v>51</v>
      </c>
      <c r="AE793" s="3">
        <v>24</v>
      </c>
      <c r="AF793" s="3">
        <v>192</v>
      </c>
      <c r="AG793" s="3">
        <v>42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</row>
    <row r="794" spans="1:49">
      <c r="A794" s="4" t="s">
        <v>35</v>
      </c>
      <c r="B794" s="4" t="str">
        <f t="shared" si="12"/>
        <v>Hair Color</v>
      </c>
      <c r="C794" s="4" t="s">
        <v>1786</v>
      </c>
      <c r="D794" s="4" t="s">
        <v>575</v>
      </c>
      <c r="E794" s="24" t="s">
        <v>47</v>
      </c>
      <c r="F794" s="12" t="s">
        <v>523</v>
      </c>
      <c r="G794" s="4" t="s">
        <v>1787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279</v>
      </c>
      <c r="U794" s="3">
        <v>371</v>
      </c>
      <c r="V794" s="3">
        <v>228</v>
      </c>
      <c r="W794" s="3">
        <v>210</v>
      </c>
      <c r="X794" s="3">
        <v>105</v>
      </c>
      <c r="Y794" s="3">
        <v>186</v>
      </c>
      <c r="Z794" s="3">
        <v>234</v>
      </c>
      <c r="AA794" s="3">
        <v>6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630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</row>
    <row r="795" spans="1:49">
      <c r="A795" s="4" t="s">
        <v>35</v>
      </c>
      <c r="B795" s="4" t="str">
        <f t="shared" si="12"/>
        <v>Hair Color</v>
      </c>
      <c r="C795" s="4" t="s">
        <v>1786</v>
      </c>
      <c r="D795" s="4" t="s">
        <v>575</v>
      </c>
      <c r="E795" s="24" t="s">
        <v>47</v>
      </c>
      <c r="F795" s="12" t="s">
        <v>524</v>
      </c>
      <c r="G795" s="4" t="s">
        <v>1787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258</v>
      </c>
      <c r="U795" s="3">
        <v>285</v>
      </c>
      <c r="V795" s="3">
        <v>237</v>
      </c>
      <c r="W795" s="3">
        <v>281</v>
      </c>
      <c r="X795" s="3">
        <v>183</v>
      </c>
      <c r="Y795" s="3">
        <v>165</v>
      </c>
      <c r="Z795" s="3">
        <v>199</v>
      </c>
      <c r="AA795" s="3">
        <v>246</v>
      </c>
      <c r="AB795" s="3">
        <v>113</v>
      </c>
      <c r="AC795" s="3">
        <v>0</v>
      </c>
      <c r="AD795" s="3">
        <v>0</v>
      </c>
      <c r="AE795" s="3">
        <v>363</v>
      </c>
      <c r="AF795" s="3">
        <v>138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</row>
    <row r="796" spans="1:49">
      <c r="A796" s="4" t="s">
        <v>35</v>
      </c>
      <c r="B796" s="4" t="str">
        <f t="shared" si="12"/>
        <v>Hair Color</v>
      </c>
      <c r="C796" s="4" t="s">
        <v>1786</v>
      </c>
      <c r="D796" s="4" t="s">
        <v>575</v>
      </c>
      <c r="E796" s="24" t="s">
        <v>47</v>
      </c>
      <c r="F796" s="12" t="s">
        <v>525</v>
      </c>
      <c r="G796" s="4" t="s">
        <v>1787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75</v>
      </c>
      <c r="R796" s="3">
        <v>42</v>
      </c>
      <c r="S796" s="3">
        <v>42</v>
      </c>
      <c r="T796" s="3">
        <v>201</v>
      </c>
      <c r="U796" s="3">
        <v>303</v>
      </c>
      <c r="V796" s="3">
        <v>179</v>
      </c>
      <c r="W796" s="3">
        <v>219</v>
      </c>
      <c r="X796" s="3">
        <v>100</v>
      </c>
      <c r="Y796" s="3">
        <v>241</v>
      </c>
      <c r="Z796" s="3">
        <v>159</v>
      </c>
      <c r="AA796" s="3">
        <v>162</v>
      </c>
      <c r="AB796" s="3">
        <v>282</v>
      </c>
      <c r="AC796" s="3">
        <v>15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</row>
    <row r="797" spans="1:49">
      <c r="A797" s="4" t="s">
        <v>35</v>
      </c>
      <c r="B797" s="4" t="str">
        <f t="shared" si="12"/>
        <v>Hair Color</v>
      </c>
      <c r="C797" s="4" t="s">
        <v>1786</v>
      </c>
      <c r="D797" s="4" t="s">
        <v>575</v>
      </c>
      <c r="E797" s="24" t="s">
        <v>47</v>
      </c>
      <c r="F797" s="12" t="s">
        <v>526</v>
      </c>
      <c r="G797" s="4" t="s">
        <v>1787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204</v>
      </c>
      <c r="Q797" s="3">
        <v>669</v>
      </c>
      <c r="R797" s="3">
        <v>606</v>
      </c>
      <c r="S797" s="3">
        <v>351</v>
      </c>
      <c r="T797" s="3">
        <v>437</v>
      </c>
      <c r="U797" s="3">
        <v>350</v>
      </c>
      <c r="V797" s="3">
        <v>471</v>
      </c>
      <c r="W797" s="3">
        <v>258</v>
      </c>
      <c r="X797" s="3">
        <v>609</v>
      </c>
      <c r="Y797" s="3">
        <v>447</v>
      </c>
      <c r="Z797" s="3">
        <v>198</v>
      </c>
      <c r="AA797" s="3">
        <v>399</v>
      </c>
      <c r="AB797" s="3">
        <v>120</v>
      </c>
      <c r="AC797" s="3">
        <v>0</v>
      </c>
      <c r="AD797" s="3">
        <v>0</v>
      </c>
      <c r="AE797" s="3">
        <v>0</v>
      </c>
      <c r="AF797" s="3">
        <v>0</v>
      </c>
      <c r="AG797" s="3">
        <v>690</v>
      </c>
      <c r="AH797" s="3">
        <v>0</v>
      </c>
      <c r="AI797" s="3">
        <v>0</v>
      </c>
      <c r="AJ797" s="3">
        <v>42</v>
      </c>
      <c r="AK797" s="3">
        <v>6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</row>
    <row r="798" spans="1:49">
      <c r="A798" s="4" t="s">
        <v>35</v>
      </c>
      <c r="B798" s="4" t="str">
        <f t="shared" si="12"/>
        <v>Hair Color</v>
      </c>
      <c r="C798" s="4" t="s">
        <v>1786</v>
      </c>
      <c r="D798" s="4" t="s">
        <v>575</v>
      </c>
      <c r="E798" s="24" t="s">
        <v>47</v>
      </c>
      <c r="F798" s="12" t="s">
        <v>527</v>
      </c>
      <c r="G798" s="4" t="s">
        <v>1787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120</v>
      </c>
      <c r="Q798" s="3">
        <v>356</v>
      </c>
      <c r="R798" s="3">
        <v>469</v>
      </c>
      <c r="S798" s="3">
        <v>276</v>
      </c>
      <c r="T798" s="3">
        <v>216</v>
      </c>
      <c r="U798" s="3">
        <v>410</v>
      </c>
      <c r="V798" s="3">
        <v>257</v>
      </c>
      <c r="W798" s="3">
        <v>201</v>
      </c>
      <c r="X798" s="3">
        <v>170</v>
      </c>
      <c r="Y798" s="3">
        <v>280</v>
      </c>
      <c r="Z798" s="3">
        <v>88</v>
      </c>
      <c r="AA798" s="3">
        <v>267</v>
      </c>
      <c r="AB798" s="3">
        <v>360</v>
      </c>
      <c r="AC798" s="3">
        <v>111</v>
      </c>
      <c r="AD798" s="3">
        <v>348</v>
      </c>
      <c r="AE798" s="3">
        <v>198</v>
      </c>
      <c r="AF798" s="3">
        <v>132</v>
      </c>
      <c r="AG798" s="3">
        <v>258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</row>
    <row r="799" spans="1:49">
      <c r="A799" s="4" t="s">
        <v>35</v>
      </c>
      <c r="B799" s="4" t="str">
        <f t="shared" si="12"/>
        <v>Hair Color</v>
      </c>
      <c r="C799" s="4" t="s">
        <v>1786</v>
      </c>
      <c r="D799" s="4" t="s">
        <v>575</v>
      </c>
      <c r="E799" s="24" t="s">
        <v>47</v>
      </c>
      <c r="F799" s="12" t="s">
        <v>528</v>
      </c>
      <c r="G799" s="4" t="s">
        <v>1787</v>
      </c>
      <c r="H799" s="3">
        <v>171</v>
      </c>
      <c r="I799" s="3">
        <v>213</v>
      </c>
      <c r="J799" s="3">
        <v>144</v>
      </c>
      <c r="K799" s="3">
        <v>129</v>
      </c>
      <c r="L799" s="3">
        <v>171</v>
      </c>
      <c r="M799" s="3">
        <v>252</v>
      </c>
      <c r="N799" s="3">
        <v>108</v>
      </c>
      <c r="O799" s="3">
        <v>123</v>
      </c>
      <c r="P799" s="3">
        <v>174</v>
      </c>
      <c r="Q799" s="3">
        <v>183</v>
      </c>
      <c r="R799" s="3">
        <v>183</v>
      </c>
      <c r="S799" s="3">
        <v>159</v>
      </c>
      <c r="T799" s="3">
        <v>210</v>
      </c>
      <c r="U799" s="3">
        <v>90</v>
      </c>
      <c r="V799" s="3">
        <v>219</v>
      </c>
      <c r="W799" s="3">
        <v>114</v>
      </c>
      <c r="X799" s="3">
        <v>267</v>
      </c>
      <c r="Y799" s="3">
        <v>129</v>
      </c>
      <c r="Z799" s="3">
        <v>54</v>
      </c>
      <c r="AA799" s="3">
        <v>66</v>
      </c>
      <c r="AB799" s="3">
        <v>351</v>
      </c>
      <c r="AC799" s="3">
        <v>21</v>
      </c>
      <c r="AD799" s="3">
        <v>114</v>
      </c>
      <c r="AE799" s="3">
        <v>141</v>
      </c>
      <c r="AF799" s="3">
        <v>147</v>
      </c>
      <c r="AG799" s="3">
        <v>228</v>
      </c>
      <c r="AH799" s="3">
        <v>144</v>
      </c>
      <c r="AI799" s="3">
        <v>30</v>
      </c>
      <c r="AJ799" s="3">
        <v>102</v>
      </c>
      <c r="AK799" s="3">
        <v>12</v>
      </c>
      <c r="AL799" s="3">
        <v>144</v>
      </c>
      <c r="AM799" s="3">
        <v>147</v>
      </c>
      <c r="AN799" s="3">
        <v>138</v>
      </c>
      <c r="AO799" s="3">
        <v>117</v>
      </c>
      <c r="AP799" s="3">
        <v>90</v>
      </c>
      <c r="AQ799" s="3">
        <v>0</v>
      </c>
      <c r="AR799" s="3">
        <v>195</v>
      </c>
      <c r="AS799" s="3">
        <v>213</v>
      </c>
      <c r="AT799" s="3">
        <v>45</v>
      </c>
      <c r="AU799" s="3">
        <v>105</v>
      </c>
      <c r="AV799" s="3">
        <v>99</v>
      </c>
      <c r="AW799" s="3">
        <v>162</v>
      </c>
    </row>
    <row r="800" spans="1:49">
      <c r="A800" s="4" t="s">
        <v>35</v>
      </c>
      <c r="B800" s="4" t="str">
        <f t="shared" si="12"/>
        <v>Hair Color</v>
      </c>
      <c r="C800" s="4" t="s">
        <v>1786</v>
      </c>
      <c r="D800" s="4" t="s">
        <v>575</v>
      </c>
      <c r="E800" s="24" t="s">
        <v>47</v>
      </c>
      <c r="F800" s="12" t="s">
        <v>529</v>
      </c>
      <c r="G800" s="4" t="s">
        <v>1787</v>
      </c>
      <c r="H800" s="3">
        <v>249</v>
      </c>
      <c r="I800" s="3">
        <v>285</v>
      </c>
      <c r="J800" s="3">
        <v>144</v>
      </c>
      <c r="K800" s="3">
        <v>270</v>
      </c>
      <c r="L800" s="3">
        <v>210</v>
      </c>
      <c r="M800" s="3">
        <v>327</v>
      </c>
      <c r="N800" s="3">
        <v>153</v>
      </c>
      <c r="O800" s="3">
        <v>228</v>
      </c>
      <c r="P800" s="3">
        <v>282</v>
      </c>
      <c r="Q800" s="3">
        <v>168</v>
      </c>
      <c r="R800" s="3">
        <v>204</v>
      </c>
      <c r="S800" s="3">
        <v>57</v>
      </c>
      <c r="T800" s="3">
        <v>102</v>
      </c>
      <c r="U800" s="3">
        <v>411</v>
      </c>
      <c r="V800" s="3">
        <v>291</v>
      </c>
      <c r="W800" s="3">
        <v>264</v>
      </c>
      <c r="X800" s="3">
        <v>18</v>
      </c>
      <c r="Y800" s="3">
        <v>246</v>
      </c>
      <c r="Z800" s="3">
        <v>138</v>
      </c>
      <c r="AA800" s="3">
        <v>168</v>
      </c>
      <c r="AB800" s="3">
        <v>264</v>
      </c>
      <c r="AC800" s="3">
        <v>45</v>
      </c>
      <c r="AD800" s="3">
        <v>237</v>
      </c>
      <c r="AE800" s="3">
        <v>192</v>
      </c>
      <c r="AF800" s="3">
        <v>129</v>
      </c>
      <c r="AG800" s="3">
        <v>261</v>
      </c>
      <c r="AH800" s="3">
        <v>69</v>
      </c>
      <c r="AI800" s="3">
        <v>207</v>
      </c>
      <c r="AJ800" s="3">
        <v>123</v>
      </c>
      <c r="AK800" s="3">
        <v>72</v>
      </c>
      <c r="AL800" s="3">
        <v>159</v>
      </c>
      <c r="AM800" s="3">
        <v>84</v>
      </c>
      <c r="AN800" s="3">
        <v>171</v>
      </c>
      <c r="AO800" s="3">
        <v>36</v>
      </c>
      <c r="AP800" s="3">
        <v>126</v>
      </c>
      <c r="AQ800" s="3">
        <v>156</v>
      </c>
      <c r="AR800" s="3">
        <v>246</v>
      </c>
      <c r="AS800" s="3">
        <v>105</v>
      </c>
      <c r="AT800" s="3">
        <v>114</v>
      </c>
      <c r="AU800" s="3">
        <v>9</v>
      </c>
      <c r="AV800" s="3">
        <v>171</v>
      </c>
      <c r="AW800" s="3">
        <v>246</v>
      </c>
    </row>
    <row r="801" spans="1:49">
      <c r="A801" s="4" t="s">
        <v>35</v>
      </c>
      <c r="B801" s="4" t="str">
        <f t="shared" si="12"/>
        <v>Hair Color</v>
      </c>
      <c r="C801" s="4" t="s">
        <v>1786</v>
      </c>
      <c r="D801" s="4" t="s">
        <v>575</v>
      </c>
      <c r="E801" s="24" t="s">
        <v>47</v>
      </c>
      <c r="F801" s="12" t="s">
        <v>530</v>
      </c>
      <c r="G801" s="4" t="s">
        <v>1787</v>
      </c>
      <c r="H801" s="3">
        <v>348</v>
      </c>
      <c r="I801" s="3">
        <v>315</v>
      </c>
      <c r="J801" s="3">
        <v>345</v>
      </c>
      <c r="K801" s="3">
        <v>246</v>
      </c>
      <c r="L801" s="3">
        <v>309</v>
      </c>
      <c r="M801" s="3">
        <v>348</v>
      </c>
      <c r="N801" s="3">
        <v>210</v>
      </c>
      <c r="O801" s="3">
        <v>219</v>
      </c>
      <c r="P801" s="3">
        <v>381</v>
      </c>
      <c r="Q801" s="3">
        <v>228</v>
      </c>
      <c r="R801" s="3">
        <v>420</v>
      </c>
      <c r="S801" s="3">
        <v>96</v>
      </c>
      <c r="T801" s="3">
        <v>114</v>
      </c>
      <c r="U801" s="3">
        <v>525</v>
      </c>
      <c r="V801" s="3">
        <v>222</v>
      </c>
      <c r="W801" s="3">
        <v>255</v>
      </c>
      <c r="X801" s="3">
        <v>231</v>
      </c>
      <c r="Y801" s="3">
        <v>255</v>
      </c>
      <c r="Z801" s="3">
        <v>180</v>
      </c>
      <c r="AA801" s="3">
        <v>297</v>
      </c>
      <c r="AB801" s="3">
        <v>495</v>
      </c>
      <c r="AC801" s="3">
        <v>42</v>
      </c>
      <c r="AD801" s="3">
        <v>318</v>
      </c>
      <c r="AE801" s="3">
        <v>243</v>
      </c>
      <c r="AF801" s="3">
        <v>234</v>
      </c>
      <c r="AG801" s="3">
        <v>138</v>
      </c>
      <c r="AH801" s="3">
        <v>162</v>
      </c>
      <c r="AI801" s="3">
        <v>360</v>
      </c>
      <c r="AJ801" s="3">
        <v>186</v>
      </c>
      <c r="AK801" s="3">
        <v>243</v>
      </c>
      <c r="AL801" s="3">
        <v>213</v>
      </c>
      <c r="AM801" s="3">
        <v>240</v>
      </c>
      <c r="AN801" s="3">
        <v>177</v>
      </c>
      <c r="AO801" s="3">
        <v>54</v>
      </c>
      <c r="AP801" s="3">
        <v>324</v>
      </c>
      <c r="AQ801" s="3">
        <v>225</v>
      </c>
      <c r="AR801" s="3">
        <v>288</v>
      </c>
      <c r="AS801" s="3">
        <v>168</v>
      </c>
      <c r="AT801" s="3">
        <v>180</v>
      </c>
      <c r="AU801" s="3">
        <v>204</v>
      </c>
      <c r="AV801" s="3">
        <v>285</v>
      </c>
      <c r="AW801" s="3">
        <v>285</v>
      </c>
    </row>
    <row r="802" spans="1:49">
      <c r="A802" s="4" t="s">
        <v>35</v>
      </c>
      <c r="B802" s="4" t="str">
        <f t="shared" si="12"/>
        <v>Hair Color</v>
      </c>
      <c r="C802" s="4" t="s">
        <v>1786</v>
      </c>
      <c r="D802" s="4" t="s">
        <v>575</v>
      </c>
      <c r="E802" s="24" t="s">
        <v>47</v>
      </c>
      <c r="F802" s="12" t="s">
        <v>531</v>
      </c>
      <c r="G802" s="4" t="s">
        <v>1787</v>
      </c>
      <c r="H802" s="3">
        <v>171</v>
      </c>
      <c r="I802" s="3">
        <v>168</v>
      </c>
      <c r="J802" s="3">
        <v>165</v>
      </c>
      <c r="K802" s="3">
        <v>123</v>
      </c>
      <c r="L802" s="3">
        <v>126</v>
      </c>
      <c r="M802" s="3">
        <v>174</v>
      </c>
      <c r="N802" s="3">
        <v>90</v>
      </c>
      <c r="O802" s="3">
        <v>138</v>
      </c>
      <c r="P802" s="3">
        <v>189</v>
      </c>
      <c r="Q802" s="3">
        <v>27</v>
      </c>
      <c r="R802" s="3">
        <v>153</v>
      </c>
      <c r="S802" s="3">
        <v>99</v>
      </c>
      <c r="T802" s="3">
        <v>186</v>
      </c>
      <c r="U802" s="3">
        <v>225</v>
      </c>
      <c r="V802" s="3">
        <v>99</v>
      </c>
      <c r="W802" s="3">
        <v>192</v>
      </c>
      <c r="X802" s="3">
        <v>3</v>
      </c>
      <c r="Y802" s="3">
        <v>81</v>
      </c>
      <c r="Z802" s="3">
        <v>87</v>
      </c>
      <c r="AA802" s="3">
        <v>147</v>
      </c>
      <c r="AB802" s="3">
        <v>222</v>
      </c>
      <c r="AC802" s="3">
        <v>15</v>
      </c>
      <c r="AD802" s="3">
        <v>228</v>
      </c>
      <c r="AE802" s="3">
        <v>117</v>
      </c>
      <c r="AF802" s="3">
        <v>90</v>
      </c>
      <c r="AG802" s="3">
        <v>120</v>
      </c>
      <c r="AH802" s="3">
        <v>51</v>
      </c>
      <c r="AI802" s="3">
        <v>120</v>
      </c>
      <c r="AJ802" s="3">
        <v>111</v>
      </c>
      <c r="AK802" s="3">
        <v>54</v>
      </c>
      <c r="AL802" s="3">
        <v>69</v>
      </c>
      <c r="AM802" s="3">
        <v>66</v>
      </c>
      <c r="AN802" s="3">
        <v>45</v>
      </c>
      <c r="AO802" s="3">
        <v>54</v>
      </c>
      <c r="AP802" s="3">
        <v>105</v>
      </c>
      <c r="AQ802" s="3">
        <v>171</v>
      </c>
      <c r="AR802" s="3">
        <v>30</v>
      </c>
      <c r="AS802" s="3">
        <v>51</v>
      </c>
      <c r="AT802" s="3">
        <v>9</v>
      </c>
      <c r="AU802" s="3">
        <v>0</v>
      </c>
      <c r="AV802" s="3">
        <v>159</v>
      </c>
      <c r="AW802" s="3">
        <v>69</v>
      </c>
    </row>
    <row r="803" spans="1:49">
      <c r="A803" s="4" t="s">
        <v>35</v>
      </c>
      <c r="B803" s="4" t="str">
        <f t="shared" si="12"/>
        <v>Hair Color</v>
      </c>
      <c r="C803" s="4" t="s">
        <v>1786</v>
      </c>
      <c r="D803" s="4" t="s">
        <v>575</v>
      </c>
      <c r="E803" s="24" t="s">
        <v>47</v>
      </c>
      <c r="F803" s="12" t="s">
        <v>532</v>
      </c>
      <c r="G803" s="4" t="s">
        <v>1787</v>
      </c>
      <c r="H803" s="3">
        <v>132</v>
      </c>
      <c r="I803" s="3">
        <v>168</v>
      </c>
      <c r="J803" s="3">
        <v>117</v>
      </c>
      <c r="K803" s="3">
        <v>153</v>
      </c>
      <c r="L803" s="3">
        <v>147</v>
      </c>
      <c r="M803" s="3">
        <v>123</v>
      </c>
      <c r="N803" s="3">
        <v>158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</row>
    <row r="804" spans="1:49">
      <c r="A804" s="4" t="s">
        <v>35</v>
      </c>
      <c r="B804" s="4" t="str">
        <f t="shared" si="12"/>
        <v>Hair Color</v>
      </c>
      <c r="C804" s="4" t="s">
        <v>1786</v>
      </c>
      <c r="D804" s="4" t="s">
        <v>575</v>
      </c>
      <c r="E804" s="24" t="s">
        <v>47</v>
      </c>
      <c r="F804" s="12" t="s">
        <v>533</v>
      </c>
      <c r="G804" s="4" t="s">
        <v>1787</v>
      </c>
      <c r="H804" s="3">
        <v>174</v>
      </c>
      <c r="I804" s="3">
        <v>216</v>
      </c>
      <c r="J804" s="3">
        <v>3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</row>
    <row r="805" spans="1:49">
      <c r="A805" s="4" t="s">
        <v>35</v>
      </c>
      <c r="B805" s="4" t="str">
        <f t="shared" si="12"/>
        <v>Hair Color</v>
      </c>
      <c r="C805" s="4" t="s">
        <v>1786</v>
      </c>
      <c r="D805" s="4" t="s">
        <v>575</v>
      </c>
      <c r="E805" s="24" t="s">
        <v>47</v>
      </c>
      <c r="F805" s="12" t="s">
        <v>577</v>
      </c>
      <c r="G805" s="4" t="s">
        <v>1787</v>
      </c>
      <c r="H805" s="3">
        <v>27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</row>
    <row r="806" spans="1:49">
      <c r="A806" s="4" t="s">
        <v>35</v>
      </c>
      <c r="B806" s="4" t="str">
        <f t="shared" si="12"/>
        <v>Hair Color</v>
      </c>
      <c r="C806" s="4" t="s">
        <v>1786</v>
      </c>
      <c r="D806" s="4" t="s">
        <v>575</v>
      </c>
      <c r="E806" s="24" t="s">
        <v>47</v>
      </c>
      <c r="F806" s="12" t="s">
        <v>534</v>
      </c>
      <c r="G806" s="4" t="s">
        <v>1787</v>
      </c>
      <c r="H806" s="3">
        <v>72</v>
      </c>
      <c r="I806" s="3">
        <v>0</v>
      </c>
      <c r="J806" s="3">
        <v>0</v>
      </c>
      <c r="K806" s="3">
        <v>132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</row>
    <row r="807" spans="1:49">
      <c r="A807" s="4" t="s">
        <v>35</v>
      </c>
      <c r="B807" s="4" t="str">
        <f t="shared" si="12"/>
        <v>Hair Color</v>
      </c>
      <c r="C807" s="4" t="s">
        <v>1786</v>
      </c>
      <c r="D807" s="4" t="s">
        <v>575</v>
      </c>
      <c r="E807" s="24" t="s">
        <v>47</v>
      </c>
      <c r="F807" s="12" t="s">
        <v>535</v>
      </c>
      <c r="G807" s="4" t="s">
        <v>1787</v>
      </c>
      <c r="H807" s="3">
        <v>153</v>
      </c>
      <c r="I807" s="3">
        <v>222</v>
      </c>
      <c r="J807" s="3">
        <v>84</v>
      </c>
      <c r="K807" s="3">
        <v>189</v>
      </c>
      <c r="L807" s="3">
        <v>159</v>
      </c>
      <c r="M807" s="3">
        <v>240</v>
      </c>
      <c r="N807" s="3">
        <v>114</v>
      </c>
      <c r="O807" s="3">
        <v>153</v>
      </c>
      <c r="P807" s="3">
        <v>147</v>
      </c>
      <c r="Q807" s="3">
        <v>72</v>
      </c>
      <c r="R807" s="3">
        <v>282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</row>
    <row r="808" spans="1:49">
      <c r="A808" s="4" t="s">
        <v>35</v>
      </c>
      <c r="B808" s="4" t="str">
        <f t="shared" si="12"/>
        <v>Hair Color</v>
      </c>
      <c r="C808" s="4" t="s">
        <v>1786</v>
      </c>
      <c r="D808" s="4" t="s">
        <v>575</v>
      </c>
      <c r="E808" s="24" t="s">
        <v>47</v>
      </c>
      <c r="F808" s="12" t="s">
        <v>536</v>
      </c>
      <c r="G808" s="4" t="s">
        <v>1787</v>
      </c>
      <c r="H808" s="3">
        <v>147</v>
      </c>
      <c r="I808" s="3">
        <v>120</v>
      </c>
      <c r="J808" s="3">
        <v>9</v>
      </c>
      <c r="K808" s="3">
        <v>90</v>
      </c>
      <c r="L808" s="3">
        <v>93</v>
      </c>
      <c r="M808" s="3">
        <v>228</v>
      </c>
      <c r="N808" s="3">
        <v>0</v>
      </c>
      <c r="O808" s="3">
        <v>51</v>
      </c>
      <c r="P808" s="3">
        <v>129</v>
      </c>
      <c r="Q808" s="3">
        <v>102</v>
      </c>
      <c r="R808" s="3">
        <v>78</v>
      </c>
      <c r="S808" s="3">
        <v>78</v>
      </c>
      <c r="T808" s="3">
        <v>84</v>
      </c>
      <c r="U808" s="3">
        <v>24</v>
      </c>
      <c r="V808" s="3">
        <v>105</v>
      </c>
      <c r="W808" s="3">
        <v>42</v>
      </c>
      <c r="X808" s="3">
        <v>21</v>
      </c>
      <c r="Y808" s="3">
        <v>48</v>
      </c>
      <c r="Z808" s="3">
        <v>99</v>
      </c>
      <c r="AA808" s="3">
        <v>21</v>
      </c>
      <c r="AB808" s="3">
        <v>162</v>
      </c>
      <c r="AC808" s="3">
        <v>12</v>
      </c>
      <c r="AD808" s="3">
        <v>0</v>
      </c>
      <c r="AE808" s="3">
        <v>51</v>
      </c>
      <c r="AF808" s="3">
        <v>72</v>
      </c>
      <c r="AG808" s="3">
        <v>12</v>
      </c>
      <c r="AH808" s="3">
        <v>9</v>
      </c>
      <c r="AI808" s="3">
        <v>0</v>
      </c>
      <c r="AJ808" s="3">
        <v>0</v>
      </c>
      <c r="AK808" s="3">
        <v>0</v>
      </c>
      <c r="AL808" s="3">
        <v>0</v>
      </c>
      <c r="AM808" s="3">
        <v>15</v>
      </c>
      <c r="AN808" s="3">
        <v>18</v>
      </c>
      <c r="AO808" s="3">
        <v>27</v>
      </c>
      <c r="AP808" s="3">
        <v>0</v>
      </c>
      <c r="AQ808" s="3">
        <v>84</v>
      </c>
      <c r="AR808" s="3">
        <v>39</v>
      </c>
      <c r="AS808" s="3">
        <v>75</v>
      </c>
      <c r="AT808" s="3">
        <v>24</v>
      </c>
      <c r="AU808" s="3">
        <v>12</v>
      </c>
      <c r="AV808" s="3">
        <v>114</v>
      </c>
      <c r="AW808" s="3">
        <v>45</v>
      </c>
    </row>
    <row r="809" spans="1:49">
      <c r="A809" s="4" t="s">
        <v>35</v>
      </c>
      <c r="B809" s="4" t="str">
        <f t="shared" si="12"/>
        <v>Hair Color</v>
      </c>
      <c r="C809" s="4" t="s">
        <v>1786</v>
      </c>
      <c r="D809" s="4" t="s">
        <v>575</v>
      </c>
      <c r="E809" s="24" t="s">
        <v>47</v>
      </c>
      <c r="F809" s="12" t="s">
        <v>537</v>
      </c>
      <c r="G809" s="4" t="s">
        <v>1787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940</v>
      </c>
      <c r="AH809" s="3">
        <v>219</v>
      </c>
      <c r="AI809" s="3">
        <v>5</v>
      </c>
      <c r="AJ809" s="3">
        <v>0</v>
      </c>
      <c r="AK809" s="3">
        <v>30</v>
      </c>
      <c r="AL809" s="3">
        <v>138</v>
      </c>
      <c r="AM809" s="3">
        <v>57</v>
      </c>
      <c r="AN809" s="3">
        <v>45</v>
      </c>
      <c r="AO809" s="3">
        <v>63</v>
      </c>
      <c r="AP809" s="3">
        <v>72</v>
      </c>
      <c r="AQ809" s="3">
        <v>198</v>
      </c>
      <c r="AR809" s="3">
        <v>66</v>
      </c>
      <c r="AS809" s="3">
        <v>135</v>
      </c>
      <c r="AT809" s="3">
        <v>78</v>
      </c>
      <c r="AU809" s="3">
        <v>186</v>
      </c>
      <c r="AV809" s="3">
        <v>78</v>
      </c>
      <c r="AW809" s="3">
        <v>90</v>
      </c>
    </row>
    <row r="810" spans="1:49">
      <c r="A810" s="4" t="s">
        <v>35</v>
      </c>
      <c r="B810" s="4" t="str">
        <f t="shared" si="12"/>
        <v>Hair Color</v>
      </c>
      <c r="C810" s="4" t="s">
        <v>1786</v>
      </c>
      <c r="D810" s="4" t="s">
        <v>575</v>
      </c>
      <c r="E810" s="24" t="s">
        <v>47</v>
      </c>
      <c r="F810" s="12" t="s">
        <v>538</v>
      </c>
      <c r="G810" s="4" t="s">
        <v>1787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897</v>
      </c>
      <c r="AH810" s="3">
        <v>45</v>
      </c>
      <c r="AI810" s="3">
        <v>51</v>
      </c>
      <c r="AJ810" s="3">
        <v>48</v>
      </c>
      <c r="AK810" s="3">
        <v>121</v>
      </c>
      <c r="AL810" s="3">
        <v>165</v>
      </c>
      <c r="AM810" s="3">
        <v>81</v>
      </c>
      <c r="AN810" s="3">
        <v>81</v>
      </c>
      <c r="AO810" s="3">
        <v>108</v>
      </c>
      <c r="AP810" s="3">
        <v>138</v>
      </c>
      <c r="AQ810" s="3">
        <v>261</v>
      </c>
      <c r="AR810" s="3">
        <v>69</v>
      </c>
      <c r="AS810" s="3">
        <v>96</v>
      </c>
      <c r="AT810" s="3">
        <v>102</v>
      </c>
      <c r="AU810" s="3">
        <v>291</v>
      </c>
      <c r="AV810" s="3">
        <v>157</v>
      </c>
      <c r="AW810" s="3">
        <v>99</v>
      </c>
    </row>
    <row r="811" spans="1:49">
      <c r="A811" s="4" t="s">
        <v>35</v>
      </c>
      <c r="B811" s="4" t="str">
        <f t="shared" si="12"/>
        <v>Hair Color</v>
      </c>
      <c r="C811" s="4" t="s">
        <v>1786</v>
      </c>
      <c r="D811" s="4" t="s">
        <v>575</v>
      </c>
      <c r="E811" s="24" t="s">
        <v>47</v>
      </c>
      <c r="F811" s="12" t="s">
        <v>539</v>
      </c>
      <c r="G811" s="4" t="s">
        <v>1787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890</v>
      </c>
      <c r="AH811" s="3">
        <v>264</v>
      </c>
      <c r="AI811" s="3">
        <v>0</v>
      </c>
      <c r="AJ811" s="3">
        <v>18</v>
      </c>
      <c r="AK811" s="3">
        <v>51</v>
      </c>
      <c r="AL811" s="3">
        <v>135</v>
      </c>
      <c r="AM811" s="3">
        <v>66</v>
      </c>
      <c r="AN811" s="3">
        <v>45</v>
      </c>
      <c r="AO811" s="3">
        <v>87</v>
      </c>
      <c r="AP811" s="3">
        <v>84</v>
      </c>
      <c r="AQ811" s="3">
        <v>228</v>
      </c>
      <c r="AR811" s="3">
        <v>45</v>
      </c>
      <c r="AS811" s="3">
        <v>90</v>
      </c>
      <c r="AT811" s="3">
        <v>86</v>
      </c>
      <c r="AU811" s="3">
        <v>204</v>
      </c>
      <c r="AV811" s="3">
        <v>93</v>
      </c>
      <c r="AW811" s="3">
        <v>78</v>
      </c>
    </row>
    <row r="812" spans="1:49">
      <c r="A812" s="4" t="s">
        <v>35</v>
      </c>
      <c r="B812" s="4" t="str">
        <f t="shared" si="12"/>
        <v>Hair Color</v>
      </c>
      <c r="C812" s="4" t="s">
        <v>1786</v>
      </c>
      <c r="D812" s="4" t="s">
        <v>575</v>
      </c>
      <c r="E812" s="24" t="s">
        <v>47</v>
      </c>
      <c r="F812" s="12" t="s">
        <v>540</v>
      </c>
      <c r="G812" s="4" t="s">
        <v>1787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480</v>
      </c>
      <c r="AJ812" s="3">
        <v>303</v>
      </c>
      <c r="AK812" s="3">
        <v>510</v>
      </c>
      <c r="AL812" s="3">
        <v>57</v>
      </c>
      <c r="AM812" s="3">
        <v>60</v>
      </c>
      <c r="AN812" s="3">
        <v>96</v>
      </c>
      <c r="AO812" s="3">
        <v>99</v>
      </c>
      <c r="AP812" s="3">
        <v>114</v>
      </c>
      <c r="AQ812" s="3">
        <v>243</v>
      </c>
      <c r="AR812" s="3">
        <v>48</v>
      </c>
      <c r="AS812" s="3">
        <v>141</v>
      </c>
      <c r="AT812" s="3">
        <v>72</v>
      </c>
      <c r="AU812" s="3">
        <v>171</v>
      </c>
      <c r="AV812" s="3">
        <v>162</v>
      </c>
      <c r="AW812" s="3">
        <v>72</v>
      </c>
    </row>
    <row r="813" spans="1:49">
      <c r="A813" s="4" t="s">
        <v>35</v>
      </c>
      <c r="B813" s="4" t="str">
        <f t="shared" si="12"/>
        <v>Hair Color</v>
      </c>
      <c r="C813" s="4" t="s">
        <v>1786</v>
      </c>
      <c r="D813" s="4" t="s">
        <v>575</v>
      </c>
      <c r="E813" s="24" t="s">
        <v>47</v>
      </c>
      <c r="F813" s="12" t="s">
        <v>541</v>
      </c>
      <c r="G813" s="4" t="s">
        <v>1787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880</v>
      </c>
      <c r="AH813" s="3">
        <v>409</v>
      </c>
      <c r="AI813" s="3">
        <v>0</v>
      </c>
      <c r="AJ813" s="3">
        <v>15</v>
      </c>
      <c r="AK813" s="3">
        <v>21</v>
      </c>
      <c r="AL813" s="3">
        <v>39</v>
      </c>
      <c r="AM813" s="3">
        <v>54</v>
      </c>
      <c r="AN813" s="3">
        <v>54</v>
      </c>
      <c r="AO813" s="3">
        <v>45</v>
      </c>
      <c r="AP813" s="3">
        <v>99</v>
      </c>
      <c r="AQ813" s="3">
        <v>195</v>
      </c>
      <c r="AR813" s="3">
        <v>48</v>
      </c>
      <c r="AS813" s="3">
        <v>75</v>
      </c>
      <c r="AT813" s="3">
        <v>94</v>
      </c>
      <c r="AU813" s="3">
        <v>154</v>
      </c>
      <c r="AV813" s="3">
        <v>78</v>
      </c>
      <c r="AW813" s="3">
        <v>102</v>
      </c>
    </row>
    <row r="814" spans="1:49">
      <c r="A814" s="4" t="s">
        <v>35</v>
      </c>
      <c r="B814" s="4" t="str">
        <f t="shared" si="12"/>
        <v>Hair Color</v>
      </c>
      <c r="C814" s="4" t="s">
        <v>1786</v>
      </c>
      <c r="D814" s="4" t="s">
        <v>575</v>
      </c>
      <c r="E814" s="24" t="s">
        <v>47</v>
      </c>
      <c r="F814" s="12" t="s">
        <v>542</v>
      </c>
      <c r="G814" s="4" t="s">
        <v>1787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903</v>
      </c>
      <c r="AH814" s="3">
        <v>480</v>
      </c>
      <c r="AI814" s="3">
        <v>3</v>
      </c>
      <c r="AJ814" s="3">
        <v>21</v>
      </c>
      <c r="AK814" s="3">
        <v>51</v>
      </c>
      <c r="AL814" s="3">
        <v>135</v>
      </c>
      <c r="AM814" s="3">
        <v>96</v>
      </c>
      <c r="AN814" s="3">
        <v>150</v>
      </c>
      <c r="AO814" s="3">
        <v>186</v>
      </c>
      <c r="AP814" s="3">
        <v>124</v>
      </c>
      <c r="AQ814" s="3">
        <v>285</v>
      </c>
      <c r="AR814" s="3">
        <v>75</v>
      </c>
      <c r="AS814" s="3">
        <v>102</v>
      </c>
      <c r="AT814" s="3">
        <v>127</v>
      </c>
      <c r="AU814" s="3">
        <v>273</v>
      </c>
      <c r="AV814" s="3">
        <v>161</v>
      </c>
      <c r="AW814" s="3">
        <v>182</v>
      </c>
    </row>
    <row r="815" spans="1:49">
      <c r="A815" s="4" t="s">
        <v>35</v>
      </c>
      <c r="B815" s="4" t="str">
        <f t="shared" si="12"/>
        <v>Hair Color</v>
      </c>
      <c r="C815" s="4" t="s">
        <v>1786</v>
      </c>
      <c r="D815" s="4" t="s">
        <v>575</v>
      </c>
      <c r="E815" s="24" t="s">
        <v>47</v>
      </c>
      <c r="F815" s="12" t="s">
        <v>543</v>
      </c>
      <c r="G815" s="4" t="s">
        <v>1787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886</v>
      </c>
      <c r="AH815" s="3">
        <v>660</v>
      </c>
      <c r="AI815" s="3">
        <v>4</v>
      </c>
      <c r="AJ815" s="3">
        <v>33</v>
      </c>
      <c r="AK815" s="3">
        <v>156</v>
      </c>
      <c r="AL815" s="3">
        <v>246</v>
      </c>
      <c r="AM815" s="3">
        <v>177</v>
      </c>
      <c r="AN815" s="3">
        <v>288</v>
      </c>
      <c r="AO815" s="3">
        <v>123</v>
      </c>
      <c r="AP815" s="3">
        <v>117</v>
      </c>
      <c r="AQ815" s="3">
        <v>264</v>
      </c>
      <c r="AR815" s="3">
        <v>93</v>
      </c>
      <c r="AS815" s="3">
        <v>93</v>
      </c>
      <c r="AT815" s="3">
        <v>27</v>
      </c>
      <c r="AU815" s="3">
        <v>366</v>
      </c>
      <c r="AV815" s="3">
        <v>210</v>
      </c>
      <c r="AW815" s="3">
        <v>122</v>
      </c>
    </row>
    <row r="816" spans="1:49">
      <c r="A816" s="4" t="s">
        <v>35</v>
      </c>
      <c r="B816" s="4" t="str">
        <f t="shared" si="12"/>
        <v>Hair Color</v>
      </c>
      <c r="C816" s="4" t="s">
        <v>1786</v>
      </c>
      <c r="D816" s="4" t="s">
        <v>575</v>
      </c>
      <c r="E816" s="24" t="s">
        <v>47</v>
      </c>
      <c r="F816" s="12" t="s">
        <v>544</v>
      </c>
      <c r="G816" s="4" t="s">
        <v>1787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897</v>
      </c>
      <c r="AH816" s="3">
        <v>537</v>
      </c>
      <c r="AI816" s="3">
        <v>96</v>
      </c>
      <c r="AJ816" s="3">
        <v>24</v>
      </c>
      <c r="AK816" s="3">
        <v>57</v>
      </c>
      <c r="AL816" s="3">
        <v>228</v>
      </c>
      <c r="AM816" s="3">
        <v>201</v>
      </c>
      <c r="AN816" s="3">
        <v>207</v>
      </c>
      <c r="AO816" s="3">
        <v>108</v>
      </c>
      <c r="AP816" s="3">
        <v>165</v>
      </c>
      <c r="AQ816" s="3">
        <v>270</v>
      </c>
      <c r="AR816" s="3">
        <v>129</v>
      </c>
      <c r="AS816" s="3">
        <v>249</v>
      </c>
      <c r="AT816" s="3">
        <v>252</v>
      </c>
      <c r="AU816" s="3">
        <v>261</v>
      </c>
      <c r="AV816" s="3">
        <v>199</v>
      </c>
      <c r="AW816" s="3">
        <v>234</v>
      </c>
    </row>
    <row r="817" spans="1:49">
      <c r="A817" s="4" t="s">
        <v>35</v>
      </c>
      <c r="B817" s="4" t="str">
        <f t="shared" si="12"/>
        <v>Hair Color</v>
      </c>
      <c r="C817" s="4" t="s">
        <v>1786</v>
      </c>
      <c r="D817" s="4" t="s">
        <v>575</v>
      </c>
      <c r="E817" s="24" t="s">
        <v>47</v>
      </c>
      <c r="F817" s="12" t="s">
        <v>545</v>
      </c>
      <c r="G817" s="4" t="s">
        <v>1787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897</v>
      </c>
      <c r="AH817" s="3">
        <v>471</v>
      </c>
      <c r="AI817" s="3">
        <v>3</v>
      </c>
      <c r="AJ817" s="3">
        <v>24</v>
      </c>
      <c r="AK817" s="3">
        <v>48</v>
      </c>
      <c r="AL817" s="3">
        <v>159</v>
      </c>
      <c r="AM817" s="3">
        <v>141</v>
      </c>
      <c r="AN817" s="3">
        <v>150</v>
      </c>
      <c r="AO817" s="3">
        <v>117</v>
      </c>
      <c r="AP817" s="3">
        <v>129</v>
      </c>
      <c r="AQ817" s="3">
        <v>304</v>
      </c>
      <c r="AR817" s="3">
        <v>90</v>
      </c>
      <c r="AS817" s="3">
        <v>198</v>
      </c>
      <c r="AT817" s="3">
        <v>187</v>
      </c>
      <c r="AU817" s="3">
        <v>273</v>
      </c>
      <c r="AV817" s="3">
        <v>187</v>
      </c>
      <c r="AW817" s="3">
        <v>169</v>
      </c>
    </row>
    <row r="818" spans="1:49">
      <c r="A818" s="4" t="s">
        <v>35</v>
      </c>
      <c r="B818" s="4" t="str">
        <f t="shared" si="12"/>
        <v>Hair Color</v>
      </c>
      <c r="C818" s="4" t="s">
        <v>1786</v>
      </c>
      <c r="D818" s="4" t="s">
        <v>575</v>
      </c>
      <c r="E818" s="24" t="s">
        <v>47</v>
      </c>
      <c r="F818" s="12" t="s">
        <v>546</v>
      </c>
      <c r="G818" s="4" t="s">
        <v>1787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897</v>
      </c>
      <c r="AH818" s="3">
        <v>315</v>
      </c>
      <c r="AI818" s="3">
        <v>0</v>
      </c>
      <c r="AJ818" s="3">
        <v>27</v>
      </c>
      <c r="AK818" s="3">
        <v>63</v>
      </c>
      <c r="AL818" s="3">
        <v>138</v>
      </c>
      <c r="AM818" s="3">
        <v>105</v>
      </c>
      <c r="AN818" s="3">
        <v>126</v>
      </c>
      <c r="AO818" s="3">
        <v>108</v>
      </c>
      <c r="AP818" s="3">
        <v>102</v>
      </c>
      <c r="AQ818" s="3">
        <v>219</v>
      </c>
      <c r="AR818" s="3">
        <v>120</v>
      </c>
      <c r="AS818" s="3">
        <v>105</v>
      </c>
      <c r="AT818" s="3">
        <v>99</v>
      </c>
      <c r="AU818" s="3">
        <v>207</v>
      </c>
      <c r="AV818" s="3">
        <v>160</v>
      </c>
      <c r="AW818" s="3">
        <v>138</v>
      </c>
    </row>
    <row r="819" spans="1:49">
      <c r="A819" s="4" t="s">
        <v>35</v>
      </c>
      <c r="B819" s="4" t="str">
        <f t="shared" si="12"/>
        <v>Hair Color</v>
      </c>
      <c r="C819" s="4" t="s">
        <v>1786</v>
      </c>
      <c r="D819" s="4" t="s">
        <v>575</v>
      </c>
      <c r="E819" s="24" t="s">
        <v>47</v>
      </c>
      <c r="F819" s="12" t="s">
        <v>547</v>
      </c>
      <c r="G819" s="4" t="s">
        <v>1787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891</v>
      </c>
      <c r="AH819" s="3">
        <v>312</v>
      </c>
      <c r="AI819" s="3">
        <v>24</v>
      </c>
      <c r="AJ819" s="3">
        <v>12</v>
      </c>
      <c r="AK819" s="3">
        <v>51</v>
      </c>
      <c r="AL819" s="3">
        <v>87</v>
      </c>
      <c r="AM819" s="3">
        <v>33</v>
      </c>
      <c r="AN819" s="3">
        <v>114</v>
      </c>
      <c r="AO819" s="3">
        <v>75</v>
      </c>
      <c r="AP819" s="3">
        <v>42</v>
      </c>
      <c r="AQ819" s="3">
        <v>192</v>
      </c>
      <c r="AR819" s="3">
        <v>66</v>
      </c>
      <c r="AS819" s="3">
        <v>81</v>
      </c>
      <c r="AT819" s="3">
        <v>66</v>
      </c>
      <c r="AU819" s="3">
        <v>165</v>
      </c>
      <c r="AV819" s="3">
        <v>69</v>
      </c>
      <c r="AW819" s="3">
        <v>63</v>
      </c>
    </row>
    <row r="820" spans="1:49">
      <c r="A820" s="4" t="s">
        <v>35</v>
      </c>
      <c r="B820" s="4" t="str">
        <f t="shared" si="12"/>
        <v>Hair Color</v>
      </c>
      <c r="C820" s="4" t="s">
        <v>1786</v>
      </c>
      <c r="D820" s="4" t="s">
        <v>575</v>
      </c>
      <c r="E820" s="24" t="s">
        <v>47</v>
      </c>
      <c r="F820" s="12" t="s">
        <v>548</v>
      </c>
      <c r="G820" s="4" t="s">
        <v>1787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891</v>
      </c>
      <c r="AH820" s="3">
        <v>318</v>
      </c>
      <c r="AI820" s="3">
        <v>3</v>
      </c>
      <c r="AJ820" s="3">
        <v>12</v>
      </c>
      <c r="AK820" s="3">
        <v>78</v>
      </c>
      <c r="AL820" s="3">
        <v>153</v>
      </c>
      <c r="AM820" s="3">
        <v>75</v>
      </c>
      <c r="AN820" s="3">
        <v>117</v>
      </c>
      <c r="AO820" s="3">
        <v>135</v>
      </c>
      <c r="AP820" s="3">
        <v>108</v>
      </c>
      <c r="AQ820" s="3">
        <v>264</v>
      </c>
      <c r="AR820" s="3">
        <v>69</v>
      </c>
      <c r="AS820" s="3">
        <v>144</v>
      </c>
      <c r="AT820" s="3">
        <v>108</v>
      </c>
      <c r="AU820" s="3">
        <v>222</v>
      </c>
      <c r="AV820" s="3">
        <v>117</v>
      </c>
      <c r="AW820" s="3">
        <v>129</v>
      </c>
    </row>
    <row r="821" spans="1:49">
      <c r="A821" s="4" t="s">
        <v>35</v>
      </c>
      <c r="B821" s="4" t="str">
        <f t="shared" si="12"/>
        <v>Hair Color</v>
      </c>
      <c r="C821" s="4" t="s">
        <v>1786</v>
      </c>
      <c r="D821" s="4" t="s">
        <v>575</v>
      </c>
      <c r="E821" s="24" t="s">
        <v>47</v>
      </c>
      <c r="F821" s="12" t="s">
        <v>549</v>
      </c>
      <c r="G821" s="4" t="s">
        <v>1787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891</v>
      </c>
      <c r="AH821" s="3">
        <v>282</v>
      </c>
      <c r="AI821" s="3">
        <v>3</v>
      </c>
      <c r="AJ821" s="3">
        <v>15</v>
      </c>
      <c r="AK821" s="3">
        <v>12</v>
      </c>
      <c r="AL821" s="3">
        <v>92</v>
      </c>
      <c r="AM821" s="3">
        <v>39</v>
      </c>
      <c r="AN821" s="3">
        <v>6</v>
      </c>
      <c r="AO821" s="3">
        <v>45</v>
      </c>
      <c r="AP821" s="3">
        <v>60</v>
      </c>
      <c r="AQ821" s="3">
        <v>178</v>
      </c>
      <c r="AR821" s="3">
        <v>72</v>
      </c>
      <c r="AS821" s="3">
        <v>51</v>
      </c>
      <c r="AT821" s="3">
        <v>87</v>
      </c>
      <c r="AU821" s="3">
        <v>114</v>
      </c>
      <c r="AV821" s="3">
        <v>57</v>
      </c>
      <c r="AW821" s="3">
        <v>30</v>
      </c>
    </row>
    <row r="822" spans="1:49">
      <c r="A822" s="4" t="s">
        <v>35</v>
      </c>
      <c r="B822" s="4" t="str">
        <f t="shared" si="12"/>
        <v>Hair Color</v>
      </c>
      <c r="C822" s="4" t="s">
        <v>1786</v>
      </c>
      <c r="D822" s="4" t="s">
        <v>575</v>
      </c>
      <c r="E822" s="24" t="s">
        <v>47</v>
      </c>
      <c r="F822" s="12" t="s">
        <v>550</v>
      </c>
      <c r="G822" s="4" t="s">
        <v>1787</v>
      </c>
      <c r="H822" s="3">
        <v>282</v>
      </c>
      <c r="I822" s="3">
        <v>330</v>
      </c>
      <c r="J822" s="3">
        <v>186</v>
      </c>
      <c r="K822" s="3">
        <v>291</v>
      </c>
      <c r="L822" s="3">
        <v>186</v>
      </c>
      <c r="M822" s="3">
        <v>369</v>
      </c>
      <c r="N822" s="3">
        <v>171</v>
      </c>
      <c r="O822" s="3">
        <v>282</v>
      </c>
      <c r="P822" s="3">
        <v>303</v>
      </c>
      <c r="Q822" s="3">
        <v>132</v>
      </c>
      <c r="R822" s="3">
        <v>315</v>
      </c>
      <c r="S822" s="3">
        <v>219</v>
      </c>
      <c r="T822" s="3">
        <v>288</v>
      </c>
      <c r="U822" s="3">
        <v>282</v>
      </c>
      <c r="V822" s="3">
        <v>141</v>
      </c>
      <c r="W822" s="3">
        <v>270</v>
      </c>
      <c r="X822" s="3">
        <v>75</v>
      </c>
      <c r="Y822" s="3">
        <v>309</v>
      </c>
      <c r="Z822" s="3">
        <v>225</v>
      </c>
      <c r="AA822" s="3">
        <v>246</v>
      </c>
      <c r="AB822" s="3">
        <v>378</v>
      </c>
      <c r="AC822" s="3">
        <v>60</v>
      </c>
      <c r="AD822" s="3">
        <v>0</v>
      </c>
      <c r="AE822" s="3">
        <v>0</v>
      </c>
      <c r="AF822" s="3">
        <v>438</v>
      </c>
      <c r="AG822" s="3">
        <v>300</v>
      </c>
      <c r="AH822" s="3">
        <v>0</v>
      </c>
      <c r="AI822" s="3">
        <v>570</v>
      </c>
      <c r="AJ822" s="3">
        <v>293</v>
      </c>
      <c r="AK822" s="3">
        <v>198</v>
      </c>
      <c r="AL822" s="3">
        <v>297</v>
      </c>
      <c r="AM822" s="3">
        <v>297</v>
      </c>
      <c r="AN822" s="3">
        <v>279</v>
      </c>
      <c r="AO822" s="3">
        <v>264</v>
      </c>
      <c r="AP822" s="3">
        <v>291</v>
      </c>
      <c r="AQ822" s="3">
        <v>129</v>
      </c>
      <c r="AR822" s="3">
        <v>405</v>
      </c>
      <c r="AS822" s="3">
        <v>168</v>
      </c>
      <c r="AT822" s="3">
        <v>237</v>
      </c>
      <c r="AU822" s="3">
        <v>264</v>
      </c>
      <c r="AV822" s="3">
        <v>351</v>
      </c>
      <c r="AW822" s="3">
        <v>252</v>
      </c>
    </row>
    <row r="823" spans="1:49">
      <c r="A823" s="4" t="s">
        <v>35</v>
      </c>
      <c r="B823" s="4" t="str">
        <f t="shared" si="12"/>
        <v>Hair Color</v>
      </c>
      <c r="C823" s="4" t="s">
        <v>1786</v>
      </c>
      <c r="D823" s="4" t="s">
        <v>575</v>
      </c>
      <c r="E823" s="24" t="s">
        <v>47</v>
      </c>
      <c r="F823" s="12" t="s">
        <v>551</v>
      </c>
      <c r="G823" s="4" t="s">
        <v>1787</v>
      </c>
      <c r="H823" s="3">
        <v>339</v>
      </c>
      <c r="I823" s="3">
        <v>336</v>
      </c>
      <c r="J823" s="3">
        <v>147</v>
      </c>
      <c r="K823" s="3">
        <v>261</v>
      </c>
      <c r="L823" s="3">
        <v>258</v>
      </c>
      <c r="M823" s="3">
        <v>417</v>
      </c>
      <c r="N823" s="3">
        <v>153</v>
      </c>
      <c r="O823" s="3">
        <v>309</v>
      </c>
      <c r="P823" s="3">
        <v>351</v>
      </c>
      <c r="Q823" s="3">
        <v>165</v>
      </c>
      <c r="R823" s="3">
        <v>480</v>
      </c>
      <c r="S823" s="3">
        <v>255</v>
      </c>
      <c r="T823" s="3">
        <v>273</v>
      </c>
      <c r="U823" s="3">
        <v>372</v>
      </c>
      <c r="V823" s="3">
        <v>204</v>
      </c>
      <c r="W823" s="3">
        <v>300</v>
      </c>
      <c r="X823" s="3">
        <v>249</v>
      </c>
      <c r="Y823" s="3">
        <v>273</v>
      </c>
      <c r="Z823" s="3">
        <v>129</v>
      </c>
      <c r="AA823" s="3">
        <v>198</v>
      </c>
      <c r="AB823" s="3">
        <v>387</v>
      </c>
      <c r="AC823" s="3">
        <v>102</v>
      </c>
      <c r="AD823" s="3">
        <v>342</v>
      </c>
      <c r="AE823" s="3">
        <v>204</v>
      </c>
      <c r="AF823" s="3">
        <v>210</v>
      </c>
      <c r="AG823" s="3">
        <v>150</v>
      </c>
      <c r="AH823" s="3">
        <v>216</v>
      </c>
      <c r="AI823" s="3">
        <v>345</v>
      </c>
      <c r="AJ823" s="3">
        <v>311</v>
      </c>
      <c r="AK823" s="3">
        <v>0</v>
      </c>
      <c r="AL823" s="3">
        <v>180</v>
      </c>
      <c r="AM823" s="3">
        <v>0</v>
      </c>
      <c r="AN823" s="3">
        <v>0</v>
      </c>
      <c r="AO823" s="3">
        <v>558</v>
      </c>
      <c r="AP823" s="3">
        <v>261</v>
      </c>
      <c r="AQ823" s="3">
        <v>207</v>
      </c>
      <c r="AR823" s="3">
        <v>363</v>
      </c>
      <c r="AS823" s="3">
        <v>261</v>
      </c>
      <c r="AT823" s="3">
        <v>201</v>
      </c>
      <c r="AU823" s="3">
        <v>192</v>
      </c>
      <c r="AV823" s="3">
        <v>306</v>
      </c>
      <c r="AW823" s="3">
        <v>354</v>
      </c>
    </row>
    <row r="824" spans="1:49">
      <c r="A824" s="4" t="s">
        <v>35</v>
      </c>
      <c r="B824" s="4" t="str">
        <f t="shared" si="12"/>
        <v>Hair Color</v>
      </c>
      <c r="C824" s="4" t="s">
        <v>1786</v>
      </c>
      <c r="D824" s="4" t="s">
        <v>575</v>
      </c>
      <c r="E824" s="24" t="s">
        <v>47</v>
      </c>
      <c r="F824" s="12" t="s">
        <v>552</v>
      </c>
      <c r="G824" s="4" t="s">
        <v>1787</v>
      </c>
      <c r="H824" s="3">
        <v>90</v>
      </c>
      <c r="I824" s="3">
        <v>192</v>
      </c>
      <c r="J824" s="3">
        <v>18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</row>
    <row r="825" spans="1:49">
      <c r="A825" s="4" t="s">
        <v>35</v>
      </c>
      <c r="B825" s="4" t="str">
        <f t="shared" si="12"/>
        <v>Hair Color</v>
      </c>
      <c r="C825" s="4" t="s">
        <v>1786</v>
      </c>
      <c r="D825" s="4" t="s">
        <v>575</v>
      </c>
      <c r="E825" s="24" t="s">
        <v>47</v>
      </c>
      <c r="F825" s="12" t="s">
        <v>553</v>
      </c>
      <c r="G825" s="4" t="s">
        <v>1787</v>
      </c>
      <c r="H825" s="3">
        <v>0</v>
      </c>
      <c r="I825" s="3">
        <v>90</v>
      </c>
      <c r="J825" s="3">
        <v>42</v>
      </c>
      <c r="K825" s="3">
        <v>27</v>
      </c>
      <c r="L825" s="3">
        <v>72</v>
      </c>
      <c r="M825" s="3">
        <v>96</v>
      </c>
      <c r="N825" s="3">
        <v>21</v>
      </c>
      <c r="O825" s="3">
        <v>39</v>
      </c>
      <c r="P825" s="3">
        <v>72</v>
      </c>
      <c r="Q825" s="3">
        <v>30</v>
      </c>
      <c r="R825" s="3">
        <v>42</v>
      </c>
      <c r="S825" s="3">
        <v>93</v>
      </c>
      <c r="T825" s="3">
        <v>12</v>
      </c>
      <c r="U825" s="3">
        <v>57</v>
      </c>
      <c r="V825" s="3">
        <v>75</v>
      </c>
      <c r="W825" s="3">
        <v>30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</row>
    <row r="826" spans="1:49">
      <c r="A826" s="4" t="s">
        <v>35</v>
      </c>
      <c r="B826" s="4" t="str">
        <f t="shared" si="12"/>
        <v>Hair Color</v>
      </c>
      <c r="C826" s="4" t="s">
        <v>1786</v>
      </c>
      <c r="D826" s="4" t="s">
        <v>575</v>
      </c>
      <c r="E826" s="24" t="s">
        <v>47</v>
      </c>
      <c r="F826" s="12" t="s">
        <v>521</v>
      </c>
      <c r="G826" s="4" t="s">
        <v>1787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340</v>
      </c>
      <c r="AJ826" s="3">
        <v>120</v>
      </c>
      <c r="AK826" s="3">
        <v>180</v>
      </c>
      <c r="AL826" s="3">
        <v>174</v>
      </c>
      <c r="AM826" s="3">
        <v>138</v>
      </c>
      <c r="AN826" s="3">
        <v>78</v>
      </c>
      <c r="AO826" s="3">
        <v>144</v>
      </c>
      <c r="AP826" s="3">
        <v>294</v>
      </c>
      <c r="AQ826" s="3">
        <v>222</v>
      </c>
      <c r="AR826" s="3">
        <v>132</v>
      </c>
      <c r="AS826" s="3">
        <v>174</v>
      </c>
      <c r="AT826" s="3">
        <v>90</v>
      </c>
      <c r="AU826" s="3">
        <v>138</v>
      </c>
      <c r="AV826" s="3">
        <v>192</v>
      </c>
      <c r="AW826" s="3">
        <v>90</v>
      </c>
    </row>
    <row r="827" spans="1:49">
      <c r="A827" s="4" t="s">
        <v>35</v>
      </c>
      <c r="B827" s="4" t="str">
        <f t="shared" si="12"/>
        <v>Hair Color</v>
      </c>
      <c r="C827" s="4" t="s">
        <v>1786</v>
      </c>
      <c r="D827" s="4" t="s">
        <v>575</v>
      </c>
      <c r="E827" s="24" t="s">
        <v>47</v>
      </c>
      <c r="F827" s="12" t="s">
        <v>554</v>
      </c>
      <c r="G827" s="4" t="s">
        <v>1787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327</v>
      </c>
      <c r="AI827" s="3">
        <v>148</v>
      </c>
      <c r="AJ827" s="3">
        <v>246</v>
      </c>
      <c r="AK827" s="3">
        <v>114</v>
      </c>
      <c r="AL827" s="3">
        <v>162</v>
      </c>
      <c r="AM827" s="3">
        <v>125</v>
      </c>
      <c r="AN827" s="3">
        <v>114</v>
      </c>
      <c r="AO827" s="3">
        <v>138</v>
      </c>
      <c r="AP827" s="3">
        <v>210</v>
      </c>
      <c r="AQ827" s="3">
        <v>198</v>
      </c>
      <c r="AR827" s="3">
        <v>102</v>
      </c>
      <c r="AS827" s="3">
        <v>94</v>
      </c>
      <c r="AT827" s="3">
        <v>35</v>
      </c>
      <c r="AU827" s="3">
        <v>144</v>
      </c>
      <c r="AV827" s="3">
        <v>186</v>
      </c>
      <c r="AW827" s="3">
        <v>132</v>
      </c>
    </row>
    <row r="828" spans="1:49">
      <c r="A828" s="4" t="s">
        <v>35</v>
      </c>
      <c r="B828" s="4" t="str">
        <f t="shared" si="12"/>
        <v>Hair Color</v>
      </c>
      <c r="C828" s="4" t="s">
        <v>1786</v>
      </c>
      <c r="D828" s="4" t="s">
        <v>575</v>
      </c>
      <c r="E828" s="24" t="s">
        <v>47</v>
      </c>
      <c r="F828" s="12" t="s">
        <v>523</v>
      </c>
      <c r="G828" s="4" t="s">
        <v>1787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382</v>
      </c>
      <c r="AJ828" s="3">
        <v>198</v>
      </c>
      <c r="AK828" s="3">
        <v>120</v>
      </c>
      <c r="AL828" s="3">
        <v>156</v>
      </c>
      <c r="AM828" s="3">
        <v>228</v>
      </c>
      <c r="AN828" s="3">
        <v>132</v>
      </c>
      <c r="AO828" s="3">
        <v>198</v>
      </c>
      <c r="AP828" s="3">
        <v>228</v>
      </c>
      <c r="AQ828" s="3">
        <v>294</v>
      </c>
      <c r="AR828" s="3">
        <v>132</v>
      </c>
      <c r="AS828" s="3">
        <v>196</v>
      </c>
      <c r="AT828" s="3">
        <v>112</v>
      </c>
      <c r="AU828" s="3">
        <v>174</v>
      </c>
      <c r="AV828" s="3">
        <v>190</v>
      </c>
      <c r="AW828" s="3">
        <v>114</v>
      </c>
    </row>
    <row r="829" spans="1:49">
      <c r="A829" s="4" t="s">
        <v>35</v>
      </c>
      <c r="B829" s="4" t="str">
        <f t="shared" si="12"/>
        <v>Hair Color</v>
      </c>
      <c r="C829" s="4" t="s">
        <v>1786</v>
      </c>
      <c r="D829" s="4" t="s">
        <v>575</v>
      </c>
      <c r="E829" s="24" t="s">
        <v>47</v>
      </c>
      <c r="F829" s="12" t="s">
        <v>522</v>
      </c>
      <c r="G829" s="4" t="s">
        <v>1787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163</v>
      </c>
      <c r="AJ829" s="3">
        <v>84</v>
      </c>
      <c r="AK829" s="3">
        <v>144</v>
      </c>
      <c r="AL829" s="3">
        <v>84</v>
      </c>
      <c r="AM829" s="3">
        <v>120</v>
      </c>
      <c r="AN829" s="3">
        <v>150</v>
      </c>
      <c r="AO829" s="3">
        <v>54</v>
      </c>
      <c r="AP829" s="3">
        <v>156</v>
      </c>
      <c r="AQ829" s="3">
        <v>192</v>
      </c>
      <c r="AR829" s="3">
        <v>102</v>
      </c>
      <c r="AS829" s="3">
        <v>78</v>
      </c>
      <c r="AT829" s="3">
        <v>42</v>
      </c>
      <c r="AU829" s="3">
        <v>78</v>
      </c>
      <c r="AV829" s="3">
        <v>138</v>
      </c>
      <c r="AW829" s="3">
        <v>66</v>
      </c>
    </row>
    <row r="830" spans="1:49">
      <c r="A830" s="4" t="s">
        <v>35</v>
      </c>
      <c r="B830" s="4" t="str">
        <f t="shared" si="12"/>
        <v>Hair Color</v>
      </c>
      <c r="C830" s="4" t="s">
        <v>1786</v>
      </c>
      <c r="D830" s="4" t="s">
        <v>575</v>
      </c>
      <c r="E830" s="24" t="s">
        <v>47</v>
      </c>
      <c r="F830" s="12" t="s">
        <v>527</v>
      </c>
      <c r="G830" s="4" t="s">
        <v>1787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252</v>
      </c>
      <c r="AJ830" s="3">
        <v>168</v>
      </c>
      <c r="AK830" s="3">
        <v>270</v>
      </c>
      <c r="AL830" s="3">
        <v>162</v>
      </c>
      <c r="AM830" s="3">
        <v>226</v>
      </c>
      <c r="AN830" s="3">
        <v>144</v>
      </c>
      <c r="AO830" s="3">
        <v>239</v>
      </c>
      <c r="AP830" s="3">
        <v>282</v>
      </c>
      <c r="AQ830" s="3">
        <v>294</v>
      </c>
      <c r="AR830" s="3">
        <v>180</v>
      </c>
      <c r="AS830" s="3">
        <v>186</v>
      </c>
      <c r="AT830" s="3">
        <v>100</v>
      </c>
      <c r="AU830" s="3">
        <v>134</v>
      </c>
      <c r="AV830" s="3">
        <v>203</v>
      </c>
      <c r="AW830" s="3">
        <v>192</v>
      </c>
    </row>
    <row r="831" spans="1:49">
      <c r="A831" s="4" t="s">
        <v>35</v>
      </c>
      <c r="B831" s="4" t="str">
        <f t="shared" si="12"/>
        <v>Hair Color</v>
      </c>
      <c r="C831" s="4" t="s">
        <v>1786</v>
      </c>
      <c r="D831" s="4" t="s">
        <v>575</v>
      </c>
      <c r="E831" s="24" t="s">
        <v>47</v>
      </c>
      <c r="F831" s="12" t="s">
        <v>555</v>
      </c>
      <c r="G831" s="4" t="s">
        <v>1787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663</v>
      </c>
      <c r="AJ831" s="3">
        <v>300</v>
      </c>
      <c r="AK831" s="3">
        <v>330</v>
      </c>
      <c r="AL831" s="3">
        <v>165</v>
      </c>
      <c r="AM831" s="3">
        <v>294</v>
      </c>
      <c r="AN831" s="3">
        <v>144</v>
      </c>
      <c r="AO831" s="3">
        <v>240</v>
      </c>
      <c r="AP831" s="3">
        <v>324</v>
      </c>
      <c r="AQ831" s="3">
        <v>349</v>
      </c>
      <c r="AR831" s="3">
        <v>312</v>
      </c>
      <c r="AS831" s="3">
        <v>204</v>
      </c>
      <c r="AT831" s="3">
        <v>210</v>
      </c>
      <c r="AU831" s="3">
        <v>245</v>
      </c>
      <c r="AV831" s="3">
        <v>329</v>
      </c>
      <c r="AW831" s="3">
        <v>246</v>
      </c>
    </row>
    <row r="832" spans="1:49">
      <c r="A832" s="4" t="s">
        <v>35</v>
      </c>
      <c r="B832" s="4" t="str">
        <f t="shared" si="12"/>
        <v>Hair Color</v>
      </c>
      <c r="C832" s="4" t="s">
        <v>1786</v>
      </c>
      <c r="D832" s="4" t="s">
        <v>575</v>
      </c>
      <c r="E832" s="24" t="s">
        <v>47</v>
      </c>
      <c r="F832" s="12" t="s">
        <v>524</v>
      </c>
      <c r="G832" s="4" t="s">
        <v>1787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600</v>
      </c>
      <c r="AJ832" s="3">
        <v>162</v>
      </c>
      <c r="AK832" s="3">
        <v>192</v>
      </c>
      <c r="AL832" s="3">
        <v>156</v>
      </c>
      <c r="AM832" s="3">
        <v>148</v>
      </c>
      <c r="AN832" s="3">
        <v>108</v>
      </c>
      <c r="AO832" s="3">
        <v>150</v>
      </c>
      <c r="AP832" s="3">
        <v>210</v>
      </c>
      <c r="AQ832" s="3">
        <v>198</v>
      </c>
      <c r="AR832" s="3">
        <v>222</v>
      </c>
      <c r="AS832" s="3">
        <v>178</v>
      </c>
      <c r="AT832" s="3">
        <v>113</v>
      </c>
      <c r="AU832" s="3">
        <v>102</v>
      </c>
      <c r="AV832" s="3">
        <v>342</v>
      </c>
      <c r="AW832" s="3">
        <v>131</v>
      </c>
    </row>
    <row r="833" spans="1:49">
      <c r="A833" s="4" t="s">
        <v>35</v>
      </c>
      <c r="B833" s="4" t="str">
        <f t="shared" si="12"/>
        <v>Hair Color</v>
      </c>
      <c r="C833" s="4" t="s">
        <v>1786</v>
      </c>
      <c r="D833" s="4" t="s">
        <v>575</v>
      </c>
      <c r="E833" s="24" t="s">
        <v>47</v>
      </c>
      <c r="F833" s="12" t="s">
        <v>556</v>
      </c>
      <c r="G833" s="4" t="s">
        <v>1787</v>
      </c>
      <c r="H833" s="3">
        <v>72</v>
      </c>
      <c r="I833" s="3">
        <v>138</v>
      </c>
      <c r="J833" s="3">
        <v>156</v>
      </c>
      <c r="K833" s="3">
        <v>66</v>
      </c>
      <c r="L833" s="3">
        <v>96</v>
      </c>
      <c r="M833" s="3">
        <v>303</v>
      </c>
      <c r="N833" s="3">
        <v>78</v>
      </c>
      <c r="O833" s="3">
        <v>132</v>
      </c>
      <c r="P833" s="3">
        <v>81</v>
      </c>
      <c r="Q833" s="3">
        <v>66</v>
      </c>
      <c r="R833" s="3">
        <v>144</v>
      </c>
      <c r="S833" s="3">
        <v>102</v>
      </c>
      <c r="T833" s="3">
        <v>141</v>
      </c>
      <c r="U833" s="3">
        <v>135</v>
      </c>
      <c r="V833" s="3">
        <v>135</v>
      </c>
      <c r="W833" s="3">
        <v>30</v>
      </c>
      <c r="X833" s="3">
        <v>270</v>
      </c>
      <c r="Y833" s="3">
        <v>168</v>
      </c>
      <c r="Z833" s="3">
        <v>225</v>
      </c>
      <c r="AA833" s="3">
        <v>90</v>
      </c>
      <c r="AB833" s="3">
        <v>480</v>
      </c>
      <c r="AC833" s="3">
        <v>51</v>
      </c>
      <c r="AD833" s="3">
        <v>225</v>
      </c>
      <c r="AE833" s="3">
        <v>0</v>
      </c>
      <c r="AF833" s="3">
        <v>273</v>
      </c>
      <c r="AG833" s="3">
        <v>306</v>
      </c>
      <c r="AH833" s="3">
        <v>243</v>
      </c>
      <c r="AI833" s="3">
        <v>116</v>
      </c>
      <c r="AJ833" s="3">
        <v>96</v>
      </c>
      <c r="AK833" s="3">
        <v>90</v>
      </c>
      <c r="AL833" s="3">
        <v>90</v>
      </c>
      <c r="AM833" s="3">
        <v>153</v>
      </c>
      <c r="AN833" s="3">
        <v>72</v>
      </c>
      <c r="AO833" s="3">
        <v>90</v>
      </c>
      <c r="AP833" s="3">
        <v>252</v>
      </c>
      <c r="AQ833" s="3">
        <v>260</v>
      </c>
      <c r="AR833" s="3">
        <v>201</v>
      </c>
      <c r="AS833" s="3">
        <v>117</v>
      </c>
      <c r="AT833" s="3">
        <v>114</v>
      </c>
      <c r="AU833" s="3">
        <v>0</v>
      </c>
      <c r="AV833" s="3">
        <v>192</v>
      </c>
      <c r="AW833" s="3">
        <v>240</v>
      </c>
    </row>
    <row r="834" spans="1:49">
      <c r="A834" s="4" t="s">
        <v>35</v>
      </c>
      <c r="B834" s="4" t="str">
        <f t="shared" si="12"/>
        <v>Hair Color</v>
      </c>
      <c r="C834" s="4" t="s">
        <v>1786</v>
      </c>
      <c r="D834" s="4" t="s">
        <v>575</v>
      </c>
      <c r="E834" s="24" t="s">
        <v>47</v>
      </c>
      <c r="F834" s="12" t="s">
        <v>557</v>
      </c>
      <c r="G834" s="4" t="s">
        <v>1787</v>
      </c>
      <c r="H834" s="3">
        <v>189</v>
      </c>
      <c r="I834" s="3">
        <v>219</v>
      </c>
      <c r="J834" s="3">
        <v>255</v>
      </c>
      <c r="K834" s="3">
        <v>309</v>
      </c>
      <c r="L834" s="3">
        <v>201</v>
      </c>
      <c r="M834" s="3">
        <v>390</v>
      </c>
      <c r="N834" s="3">
        <v>225</v>
      </c>
      <c r="O834" s="3">
        <v>297</v>
      </c>
      <c r="P834" s="3">
        <v>299</v>
      </c>
      <c r="Q834" s="3">
        <v>171</v>
      </c>
      <c r="R834" s="3">
        <v>396</v>
      </c>
      <c r="S834" s="3">
        <v>63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</row>
    <row r="835" spans="1:49">
      <c r="A835" s="4" t="s">
        <v>35</v>
      </c>
      <c r="B835" s="4" t="str">
        <f t="shared" ref="B835:B898" si="13">A835</f>
        <v>Hair Color</v>
      </c>
      <c r="C835" s="4" t="s">
        <v>1786</v>
      </c>
      <c r="D835" s="4" t="s">
        <v>575</v>
      </c>
      <c r="E835" s="24" t="s">
        <v>47</v>
      </c>
      <c r="F835" s="12" t="s">
        <v>558</v>
      </c>
      <c r="G835" s="4" t="s">
        <v>1787</v>
      </c>
      <c r="H835" s="3">
        <v>510</v>
      </c>
      <c r="I835" s="3">
        <v>618</v>
      </c>
      <c r="J835" s="3">
        <v>732</v>
      </c>
      <c r="K835" s="3">
        <v>285</v>
      </c>
      <c r="L835" s="3">
        <v>480</v>
      </c>
      <c r="M835" s="3">
        <v>729</v>
      </c>
      <c r="N835" s="3">
        <v>339</v>
      </c>
      <c r="O835" s="3">
        <v>426</v>
      </c>
      <c r="P835" s="3">
        <v>12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</row>
    <row r="836" spans="1:49">
      <c r="A836" s="4" t="s">
        <v>35</v>
      </c>
      <c r="B836" s="4" t="str">
        <f t="shared" si="13"/>
        <v>Hair Color</v>
      </c>
      <c r="C836" s="4" t="s">
        <v>1786</v>
      </c>
      <c r="D836" s="4" t="s">
        <v>575</v>
      </c>
      <c r="E836" s="24" t="s">
        <v>47</v>
      </c>
      <c r="F836" s="12" t="s">
        <v>559</v>
      </c>
      <c r="G836" s="4" t="s">
        <v>1787</v>
      </c>
      <c r="H836" s="3">
        <v>378</v>
      </c>
      <c r="I836" s="3">
        <v>309</v>
      </c>
      <c r="J836" s="3">
        <v>294</v>
      </c>
      <c r="K836" s="3">
        <v>348</v>
      </c>
      <c r="L836" s="3">
        <v>264</v>
      </c>
      <c r="M836" s="3">
        <v>479</v>
      </c>
      <c r="N836" s="3">
        <v>285</v>
      </c>
      <c r="O836" s="3">
        <v>255</v>
      </c>
      <c r="P836" s="3">
        <v>63</v>
      </c>
      <c r="Q836" s="3">
        <v>3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</row>
    <row r="837" spans="1:49">
      <c r="A837" s="4" t="s">
        <v>35</v>
      </c>
      <c r="B837" s="4" t="str">
        <f t="shared" si="13"/>
        <v>Hair Color</v>
      </c>
      <c r="C837" s="4" t="s">
        <v>1786</v>
      </c>
      <c r="D837" s="4" t="s">
        <v>575</v>
      </c>
      <c r="E837" s="24" t="s">
        <v>47</v>
      </c>
      <c r="F837" s="12" t="s">
        <v>560</v>
      </c>
      <c r="G837" s="4" t="s">
        <v>1787</v>
      </c>
      <c r="H837" s="3">
        <v>147</v>
      </c>
      <c r="I837" s="3">
        <v>255</v>
      </c>
      <c r="J837" s="3">
        <v>153</v>
      </c>
      <c r="K837" s="3">
        <v>120</v>
      </c>
      <c r="L837" s="3">
        <v>177</v>
      </c>
      <c r="M837" s="3">
        <v>351</v>
      </c>
      <c r="N837" s="3">
        <v>105</v>
      </c>
      <c r="O837" s="3">
        <v>177</v>
      </c>
      <c r="P837" s="3">
        <v>162</v>
      </c>
      <c r="Q837" s="3">
        <v>120</v>
      </c>
      <c r="R837" s="3">
        <v>180</v>
      </c>
      <c r="S837" s="3">
        <v>210</v>
      </c>
      <c r="T837" s="3">
        <v>153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</row>
    <row r="838" spans="1:49">
      <c r="A838" s="4" t="s">
        <v>35</v>
      </c>
      <c r="B838" s="4" t="str">
        <f t="shared" si="13"/>
        <v>Hair Color</v>
      </c>
      <c r="C838" s="4" t="s">
        <v>1786</v>
      </c>
      <c r="D838" s="4" t="s">
        <v>575</v>
      </c>
      <c r="E838" s="24" t="s">
        <v>47</v>
      </c>
      <c r="F838" s="12" t="s">
        <v>561</v>
      </c>
      <c r="G838" s="4" t="s">
        <v>1787</v>
      </c>
      <c r="H838" s="3">
        <v>300</v>
      </c>
      <c r="I838" s="3">
        <v>171</v>
      </c>
      <c r="J838" s="3">
        <v>192</v>
      </c>
      <c r="K838" s="3">
        <v>126</v>
      </c>
      <c r="L838" s="3">
        <v>138</v>
      </c>
      <c r="M838" s="3">
        <v>327</v>
      </c>
      <c r="N838" s="3">
        <v>552</v>
      </c>
      <c r="O838" s="3">
        <v>282</v>
      </c>
      <c r="P838" s="3">
        <v>285</v>
      </c>
      <c r="Q838" s="3">
        <v>294</v>
      </c>
      <c r="R838" s="3">
        <v>216</v>
      </c>
      <c r="S838" s="3">
        <v>168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</row>
    <row r="839" spans="1:49">
      <c r="A839" s="4" t="s">
        <v>35</v>
      </c>
      <c r="B839" s="4" t="str">
        <f t="shared" si="13"/>
        <v>Hair Color</v>
      </c>
      <c r="C839" s="4" t="s">
        <v>1786</v>
      </c>
      <c r="D839" s="4" t="s">
        <v>575</v>
      </c>
      <c r="E839" s="24" t="s">
        <v>47</v>
      </c>
      <c r="F839" s="12" t="s">
        <v>562</v>
      </c>
      <c r="G839" s="4" t="s">
        <v>1787</v>
      </c>
      <c r="H839" s="3">
        <v>354</v>
      </c>
      <c r="I839" s="3">
        <v>387</v>
      </c>
      <c r="J839" s="3">
        <v>177</v>
      </c>
      <c r="K839" s="3">
        <v>339</v>
      </c>
      <c r="L839" s="3">
        <v>183</v>
      </c>
      <c r="M839" s="3">
        <v>405</v>
      </c>
      <c r="N839" s="3">
        <v>195</v>
      </c>
      <c r="O839" s="3">
        <v>255</v>
      </c>
      <c r="P839" s="3">
        <v>279</v>
      </c>
      <c r="Q839" s="3">
        <v>117</v>
      </c>
      <c r="R839" s="3">
        <v>375</v>
      </c>
      <c r="S839" s="3">
        <v>141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</row>
    <row r="840" spans="1:49">
      <c r="A840" s="4" t="s">
        <v>35</v>
      </c>
      <c r="B840" s="4" t="str">
        <f t="shared" si="13"/>
        <v>Hair Color</v>
      </c>
      <c r="C840" s="4" t="s">
        <v>1786</v>
      </c>
      <c r="D840" s="4" t="s">
        <v>575</v>
      </c>
      <c r="E840" s="24" t="s">
        <v>47</v>
      </c>
      <c r="F840" s="12" t="s">
        <v>563</v>
      </c>
      <c r="G840" s="4" t="s">
        <v>1787</v>
      </c>
      <c r="H840" s="3">
        <v>307</v>
      </c>
      <c r="I840" s="3">
        <v>336</v>
      </c>
      <c r="J840" s="3">
        <v>123</v>
      </c>
      <c r="K840" s="3">
        <v>201</v>
      </c>
      <c r="L840" s="3">
        <v>246</v>
      </c>
      <c r="M840" s="3">
        <v>327</v>
      </c>
      <c r="N840" s="3">
        <v>174</v>
      </c>
      <c r="O840" s="3">
        <v>285</v>
      </c>
      <c r="P840" s="3">
        <v>288</v>
      </c>
      <c r="Q840" s="3">
        <v>156</v>
      </c>
      <c r="R840" s="3">
        <v>417</v>
      </c>
      <c r="S840" s="3">
        <v>240</v>
      </c>
      <c r="T840" s="3">
        <v>45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</row>
    <row r="841" spans="1:49">
      <c r="A841" s="4" t="s">
        <v>35</v>
      </c>
      <c r="B841" s="4" t="str">
        <f t="shared" si="13"/>
        <v>Hair Color</v>
      </c>
      <c r="C841" s="4" t="s">
        <v>1786</v>
      </c>
      <c r="D841" s="4" t="s">
        <v>575</v>
      </c>
      <c r="E841" s="24" t="s">
        <v>47</v>
      </c>
      <c r="F841" s="12" t="s">
        <v>564</v>
      </c>
      <c r="G841" s="4" t="s">
        <v>1787</v>
      </c>
      <c r="H841" s="3">
        <v>273</v>
      </c>
      <c r="I841" s="3">
        <v>228</v>
      </c>
      <c r="J841" s="3">
        <v>141</v>
      </c>
      <c r="K841" s="3">
        <v>45</v>
      </c>
      <c r="L841" s="3">
        <v>135</v>
      </c>
      <c r="M841" s="3">
        <v>297</v>
      </c>
      <c r="N841" s="3">
        <v>29</v>
      </c>
      <c r="O841" s="3">
        <v>6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</row>
    <row r="842" spans="1:49">
      <c r="A842" s="4" t="s">
        <v>35</v>
      </c>
      <c r="B842" s="4" t="str">
        <f t="shared" si="13"/>
        <v>Hair Color</v>
      </c>
      <c r="C842" s="4" t="s">
        <v>1786</v>
      </c>
      <c r="D842" s="4" t="s">
        <v>575</v>
      </c>
      <c r="E842" s="24" t="s">
        <v>47</v>
      </c>
      <c r="F842" s="12" t="s">
        <v>565</v>
      </c>
      <c r="G842" s="4" t="s">
        <v>1787</v>
      </c>
      <c r="H842" s="3">
        <v>564</v>
      </c>
      <c r="I842" s="3">
        <v>720</v>
      </c>
      <c r="J842" s="3">
        <v>528</v>
      </c>
      <c r="K842" s="3">
        <v>1164</v>
      </c>
      <c r="L842" s="3">
        <v>492</v>
      </c>
      <c r="M842" s="3">
        <v>882</v>
      </c>
      <c r="N842" s="3">
        <v>372</v>
      </c>
      <c r="O842" s="3">
        <v>654</v>
      </c>
      <c r="P842" s="3">
        <v>678</v>
      </c>
      <c r="Q842" s="3">
        <v>564</v>
      </c>
      <c r="R842" s="3">
        <v>894</v>
      </c>
      <c r="S842" s="3">
        <v>882</v>
      </c>
      <c r="T842" s="3">
        <v>744</v>
      </c>
      <c r="U842" s="3">
        <v>864</v>
      </c>
      <c r="V842" s="3">
        <v>606</v>
      </c>
      <c r="W842" s="3">
        <v>906</v>
      </c>
      <c r="X842" s="3">
        <v>492</v>
      </c>
      <c r="Y842" s="3">
        <v>906</v>
      </c>
      <c r="Z842" s="3">
        <v>522</v>
      </c>
      <c r="AA842" s="3">
        <v>846</v>
      </c>
      <c r="AB842" s="3">
        <v>1284</v>
      </c>
      <c r="AC842" s="3">
        <v>630</v>
      </c>
      <c r="AD842" s="3">
        <v>834</v>
      </c>
      <c r="AE842" s="3">
        <v>810</v>
      </c>
      <c r="AF842" s="3">
        <v>144</v>
      </c>
      <c r="AG842" s="3">
        <v>0</v>
      </c>
      <c r="AH842" s="3">
        <v>0</v>
      </c>
      <c r="AI842" s="3">
        <v>1452</v>
      </c>
      <c r="AJ842" s="3">
        <v>918</v>
      </c>
      <c r="AK842" s="3">
        <v>1092</v>
      </c>
      <c r="AL842" s="3">
        <v>186</v>
      </c>
      <c r="AM842" s="3">
        <v>1080</v>
      </c>
      <c r="AN842" s="3">
        <v>702</v>
      </c>
      <c r="AO842" s="3">
        <v>1272</v>
      </c>
      <c r="AP842" s="3">
        <v>1014</v>
      </c>
      <c r="AQ842" s="3">
        <v>0</v>
      </c>
      <c r="AR842" s="3">
        <v>2064</v>
      </c>
      <c r="AS842" s="3">
        <v>792</v>
      </c>
      <c r="AT842" s="3">
        <v>0</v>
      </c>
      <c r="AU842" s="3">
        <v>804</v>
      </c>
      <c r="AV842" s="3">
        <v>1182</v>
      </c>
      <c r="AW842" s="3">
        <v>1272</v>
      </c>
    </row>
    <row r="843" spans="1:49">
      <c r="A843" s="4" t="s">
        <v>35</v>
      </c>
      <c r="B843" s="4" t="str">
        <f t="shared" si="13"/>
        <v>Hair Color</v>
      </c>
      <c r="C843" s="4" t="s">
        <v>1786</v>
      </c>
      <c r="D843" s="4" t="s">
        <v>575</v>
      </c>
      <c r="E843" s="24" t="s">
        <v>47</v>
      </c>
      <c r="F843" s="12" t="s">
        <v>566</v>
      </c>
      <c r="G843" s="4" t="s">
        <v>1787</v>
      </c>
      <c r="H843" s="3">
        <v>372</v>
      </c>
      <c r="I843" s="3">
        <v>576</v>
      </c>
      <c r="J843" s="3">
        <v>420</v>
      </c>
      <c r="K843" s="3">
        <v>1026</v>
      </c>
      <c r="L843" s="3">
        <v>306</v>
      </c>
      <c r="M843" s="3">
        <v>636</v>
      </c>
      <c r="N843" s="3">
        <v>444</v>
      </c>
      <c r="O843" s="3">
        <v>618</v>
      </c>
      <c r="P843" s="3">
        <v>510</v>
      </c>
      <c r="Q843" s="3">
        <v>408</v>
      </c>
      <c r="R843" s="3">
        <v>942</v>
      </c>
      <c r="S843" s="3">
        <v>468</v>
      </c>
      <c r="T843" s="3">
        <v>360</v>
      </c>
      <c r="U843" s="3">
        <v>702</v>
      </c>
      <c r="V843" s="3">
        <v>594</v>
      </c>
      <c r="W843" s="3">
        <v>798</v>
      </c>
      <c r="X843" s="3">
        <v>420</v>
      </c>
      <c r="Y843" s="3">
        <v>666</v>
      </c>
      <c r="Z843" s="3">
        <v>474</v>
      </c>
      <c r="AA843" s="3">
        <v>738</v>
      </c>
      <c r="AB843" s="3">
        <v>972</v>
      </c>
      <c r="AC843" s="3">
        <v>438</v>
      </c>
      <c r="AD843" s="3">
        <v>468</v>
      </c>
      <c r="AE843" s="3">
        <v>702</v>
      </c>
      <c r="AF843" s="3">
        <v>12</v>
      </c>
      <c r="AG843" s="3">
        <v>0</v>
      </c>
      <c r="AH843" s="3">
        <v>1037</v>
      </c>
      <c r="AI843" s="3">
        <v>918</v>
      </c>
      <c r="AJ843" s="3">
        <v>228</v>
      </c>
      <c r="AK843" s="3">
        <v>0</v>
      </c>
      <c r="AL843" s="3">
        <v>1350</v>
      </c>
      <c r="AM843" s="3">
        <v>672</v>
      </c>
      <c r="AN843" s="3">
        <v>0</v>
      </c>
      <c r="AO843" s="3">
        <v>1260</v>
      </c>
      <c r="AP843" s="3">
        <v>1158</v>
      </c>
      <c r="AQ843" s="3">
        <v>912</v>
      </c>
      <c r="AR843" s="3">
        <v>624</v>
      </c>
      <c r="AS843" s="3">
        <v>0</v>
      </c>
      <c r="AT843" s="3">
        <v>1104</v>
      </c>
      <c r="AU843" s="3">
        <v>1008</v>
      </c>
      <c r="AV843" s="3">
        <v>1062</v>
      </c>
      <c r="AW843" s="3">
        <v>144</v>
      </c>
    </row>
    <row r="844" spans="1:49">
      <c r="A844" s="4" t="s">
        <v>35</v>
      </c>
      <c r="B844" s="4" t="str">
        <f t="shared" si="13"/>
        <v>Hair Color</v>
      </c>
      <c r="C844" s="4" t="s">
        <v>1786</v>
      </c>
      <c r="D844" s="4" t="s">
        <v>575</v>
      </c>
      <c r="E844" s="24" t="s">
        <v>47</v>
      </c>
      <c r="F844" s="12" t="s">
        <v>567</v>
      </c>
      <c r="G844" s="4" t="s">
        <v>1787</v>
      </c>
      <c r="H844" s="3">
        <v>666</v>
      </c>
      <c r="I844" s="3">
        <v>780</v>
      </c>
      <c r="J844" s="3">
        <v>672</v>
      </c>
      <c r="K844" s="3">
        <v>1458</v>
      </c>
      <c r="L844" s="3">
        <v>714</v>
      </c>
      <c r="M844" s="3">
        <v>864</v>
      </c>
      <c r="N844" s="3">
        <v>660</v>
      </c>
      <c r="O844" s="3">
        <v>822</v>
      </c>
      <c r="P844" s="3">
        <v>948</v>
      </c>
      <c r="Q844" s="3">
        <v>792</v>
      </c>
      <c r="R844" s="3">
        <v>984</v>
      </c>
      <c r="S844" s="3">
        <v>786</v>
      </c>
      <c r="T844" s="3">
        <v>858</v>
      </c>
      <c r="U844" s="3">
        <v>798</v>
      </c>
      <c r="V844" s="3">
        <v>1392</v>
      </c>
      <c r="W844" s="3">
        <v>1044</v>
      </c>
      <c r="X844" s="3">
        <v>954</v>
      </c>
      <c r="Y844" s="3">
        <v>1032</v>
      </c>
      <c r="Z844" s="3">
        <v>702</v>
      </c>
      <c r="AA844" s="3">
        <v>966</v>
      </c>
      <c r="AB844" s="3">
        <v>1146</v>
      </c>
      <c r="AC844" s="3">
        <v>756</v>
      </c>
      <c r="AD844" s="3">
        <v>912</v>
      </c>
      <c r="AE844" s="3">
        <v>756</v>
      </c>
      <c r="AF844" s="3">
        <v>606</v>
      </c>
      <c r="AG844" s="3">
        <v>420</v>
      </c>
      <c r="AH844" s="3">
        <v>384</v>
      </c>
      <c r="AI844" s="3">
        <v>2040</v>
      </c>
      <c r="AJ844" s="3">
        <v>498</v>
      </c>
      <c r="AK844" s="3">
        <v>0</v>
      </c>
      <c r="AL844" s="3">
        <v>2058</v>
      </c>
      <c r="AM844" s="3">
        <v>1302</v>
      </c>
      <c r="AN844" s="3">
        <v>1698</v>
      </c>
      <c r="AO844" s="3">
        <v>156</v>
      </c>
      <c r="AP844" s="3">
        <v>1722</v>
      </c>
      <c r="AQ844" s="3">
        <v>120</v>
      </c>
      <c r="AR844" s="3">
        <v>2160</v>
      </c>
      <c r="AS844" s="3">
        <v>1524</v>
      </c>
      <c r="AT844" s="3">
        <v>210</v>
      </c>
      <c r="AU844" s="3">
        <v>1800</v>
      </c>
      <c r="AV844" s="3">
        <v>942</v>
      </c>
      <c r="AW844" s="3">
        <v>96</v>
      </c>
    </row>
    <row r="845" spans="1:49">
      <c r="A845" s="4" t="s">
        <v>35</v>
      </c>
      <c r="B845" s="4" t="str">
        <f t="shared" si="13"/>
        <v>Hair Color</v>
      </c>
      <c r="C845" s="4" t="s">
        <v>1786</v>
      </c>
      <c r="D845" s="4" t="s">
        <v>575</v>
      </c>
      <c r="E845" s="24" t="s">
        <v>47</v>
      </c>
      <c r="F845" s="12" t="s">
        <v>568</v>
      </c>
      <c r="G845" s="4" t="s">
        <v>1787</v>
      </c>
      <c r="H845" s="3">
        <v>678</v>
      </c>
      <c r="I845" s="3">
        <v>732</v>
      </c>
      <c r="J845" s="3">
        <v>458</v>
      </c>
      <c r="K845" s="3">
        <v>1272</v>
      </c>
      <c r="L845" s="3">
        <v>665</v>
      </c>
      <c r="M845" s="3">
        <v>66</v>
      </c>
      <c r="N845" s="3">
        <v>1542</v>
      </c>
      <c r="O845" s="3">
        <v>1230</v>
      </c>
      <c r="P845" s="3">
        <v>600</v>
      </c>
      <c r="Q845" s="3">
        <v>1068</v>
      </c>
      <c r="R845" s="3">
        <v>1128</v>
      </c>
      <c r="S845" s="3">
        <v>966</v>
      </c>
      <c r="T845" s="3">
        <v>1038</v>
      </c>
      <c r="U845" s="3">
        <v>234</v>
      </c>
      <c r="V845" s="3">
        <v>1674</v>
      </c>
      <c r="W845" s="3">
        <v>822</v>
      </c>
      <c r="X845" s="3">
        <v>966</v>
      </c>
      <c r="Y845" s="3">
        <v>882</v>
      </c>
      <c r="Z845" s="3">
        <v>1026</v>
      </c>
      <c r="AA845" s="3">
        <v>1512</v>
      </c>
      <c r="AB845" s="3">
        <v>1848</v>
      </c>
      <c r="AC845" s="3">
        <v>576</v>
      </c>
      <c r="AD845" s="3">
        <v>684</v>
      </c>
      <c r="AE845" s="3">
        <v>1092</v>
      </c>
      <c r="AF845" s="3">
        <v>798</v>
      </c>
      <c r="AG845" s="3">
        <v>222</v>
      </c>
      <c r="AH845" s="3">
        <v>0</v>
      </c>
      <c r="AI845" s="3">
        <v>1272</v>
      </c>
      <c r="AJ845" s="3">
        <v>12</v>
      </c>
      <c r="AK845" s="3">
        <v>0</v>
      </c>
      <c r="AL845" s="3">
        <v>2910</v>
      </c>
      <c r="AM845" s="3">
        <v>1140</v>
      </c>
      <c r="AN845" s="3">
        <v>192</v>
      </c>
      <c r="AO845" s="3">
        <v>0</v>
      </c>
      <c r="AP845" s="3">
        <v>1974</v>
      </c>
      <c r="AQ845" s="3">
        <v>0</v>
      </c>
      <c r="AR845" s="3">
        <v>708</v>
      </c>
      <c r="AS845" s="3">
        <v>0</v>
      </c>
      <c r="AT845" s="3">
        <v>450</v>
      </c>
      <c r="AU845" s="3">
        <v>2178</v>
      </c>
      <c r="AV845" s="3">
        <v>1302</v>
      </c>
      <c r="AW845" s="3">
        <v>900</v>
      </c>
    </row>
    <row r="846" spans="1:49">
      <c r="A846" s="4" t="s">
        <v>35</v>
      </c>
      <c r="B846" s="4" t="str">
        <f t="shared" si="13"/>
        <v>Hair Color</v>
      </c>
      <c r="C846" s="4" t="s">
        <v>1786</v>
      </c>
      <c r="D846" s="4" t="s">
        <v>575</v>
      </c>
      <c r="E846" s="24" t="s">
        <v>47</v>
      </c>
      <c r="F846" s="12" t="s">
        <v>569</v>
      </c>
      <c r="G846" s="4" t="s">
        <v>1787</v>
      </c>
      <c r="H846" s="3">
        <v>558</v>
      </c>
      <c r="I846" s="3">
        <v>738</v>
      </c>
      <c r="J846" s="3">
        <v>258</v>
      </c>
      <c r="K846" s="3">
        <v>0</v>
      </c>
      <c r="L846" s="3">
        <v>0</v>
      </c>
      <c r="M846" s="3">
        <v>2190</v>
      </c>
      <c r="N846" s="3">
        <v>708</v>
      </c>
      <c r="O846" s="3">
        <v>1007</v>
      </c>
      <c r="P846" s="3">
        <v>936</v>
      </c>
      <c r="Q846" s="3">
        <v>414</v>
      </c>
      <c r="R846" s="3">
        <v>342</v>
      </c>
      <c r="S846" s="3">
        <v>1368</v>
      </c>
      <c r="T846" s="3">
        <v>528</v>
      </c>
      <c r="U846" s="3">
        <v>768</v>
      </c>
      <c r="V846" s="3">
        <v>876</v>
      </c>
      <c r="W846" s="3">
        <v>1062</v>
      </c>
      <c r="X846" s="3">
        <v>720</v>
      </c>
      <c r="Y846" s="3">
        <v>1392</v>
      </c>
      <c r="Z846" s="3">
        <v>642</v>
      </c>
      <c r="AA846" s="3">
        <v>900</v>
      </c>
      <c r="AB846" s="3">
        <v>1284</v>
      </c>
      <c r="AC846" s="3">
        <v>660</v>
      </c>
      <c r="AD846" s="3">
        <v>564</v>
      </c>
      <c r="AE846" s="3">
        <v>876</v>
      </c>
      <c r="AF846" s="3">
        <v>936</v>
      </c>
      <c r="AG846" s="3">
        <v>564</v>
      </c>
      <c r="AH846" s="3">
        <v>0</v>
      </c>
      <c r="AI846" s="3">
        <v>0</v>
      </c>
      <c r="AJ846" s="3">
        <v>0</v>
      </c>
      <c r="AK846" s="3">
        <v>0</v>
      </c>
      <c r="AL846" s="3">
        <v>2760</v>
      </c>
      <c r="AM846" s="3">
        <v>912</v>
      </c>
      <c r="AN846" s="3">
        <v>222</v>
      </c>
      <c r="AO846" s="3">
        <v>108</v>
      </c>
      <c r="AP846" s="3">
        <v>1692</v>
      </c>
      <c r="AQ846" s="3">
        <v>0</v>
      </c>
      <c r="AR846" s="3">
        <v>1926</v>
      </c>
      <c r="AS846" s="3">
        <v>678</v>
      </c>
      <c r="AT846" s="3">
        <v>372</v>
      </c>
      <c r="AU846" s="3">
        <v>1572</v>
      </c>
      <c r="AV846" s="3">
        <v>888</v>
      </c>
      <c r="AW846" s="3">
        <v>1362</v>
      </c>
    </row>
    <row r="847" spans="1:49">
      <c r="A847" s="4" t="s">
        <v>35</v>
      </c>
      <c r="B847" s="4" t="str">
        <f t="shared" si="13"/>
        <v>Hair Color</v>
      </c>
      <c r="C847" s="4" t="s">
        <v>1786</v>
      </c>
      <c r="D847" s="4" t="s">
        <v>575</v>
      </c>
      <c r="E847" s="24" t="s">
        <v>47</v>
      </c>
      <c r="F847" s="12" t="s">
        <v>570</v>
      </c>
      <c r="G847" s="4" t="s">
        <v>1787</v>
      </c>
      <c r="H847" s="3">
        <v>282</v>
      </c>
      <c r="I847" s="3">
        <v>384</v>
      </c>
      <c r="J847" s="3">
        <v>324</v>
      </c>
      <c r="K847" s="3">
        <v>870</v>
      </c>
      <c r="L847" s="3">
        <v>474</v>
      </c>
      <c r="M847" s="3">
        <v>786</v>
      </c>
      <c r="N847" s="3">
        <v>456</v>
      </c>
      <c r="O847" s="3">
        <v>678</v>
      </c>
      <c r="P847" s="3">
        <v>660</v>
      </c>
      <c r="Q847" s="3">
        <v>564</v>
      </c>
      <c r="R847" s="3">
        <v>558</v>
      </c>
      <c r="S847" s="3">
        <v>624</v>
      </c>
      <c r="T847" s="3">
        <v>480</v>
      </c>
      <c r="U847" s="3">
        <v>228</v>
      </c>
      <c r="V847" s="3">
        <v>900</v>
      </c>
      <c r="W847" s="3">
        <v>552</v>
      </c>
      <c r="X847" s="3">
        <v>264</v>
      </c>
      <c r="Y847" s="3">
        <v>924</v>
      </c>
      <c r="Z847" s="3">
        <v>336</v>
      </c>
      <c r="AA847" s="3">
        <v>654</v>
      </c>
      <c r="AB847" s="3">
        <v>816</v>
      </c>
      <c r="AC847" s="3">
        <v>426</v>
      </c>
      <c r="AD847" s="3">
        <v>588</v>
      </c>
      <c r="AE847" s="3">
        <v>378</v>
      </c>
      <c r="AF847" s="3">
        <v>702</v>
      </c>
      <c r="AG847" s="3">
        <v>450</v>
      </c>
      <c r="AH847" s="3">
        <v>522</v>
      </c>
      <c r="AI847" s="3">
        <v>1434</v>
      </c>
      <c r="AJ847" s="3">
        <v>695</v>
      </c>
      <c r="AK847" s="3">
        <v>426</v>
      </c>
      <c r="AL847" s="3">
        <v>486</v>
      </c>
      <c r="AM847" s="3">
        <v>432</v>
      </c>
      <c r="AN847" s="3">
        <v>1380</v>
      </c>
      <c r="AO847" s="3">
        <v>84</v>
      </c>
      <c r="AP847" s="3">
        <v>1416</v>
      </c>
      <c r="AQ847" s="3">
        <v>18</v>
      </c>
      <c r="AR847" s="3">
        <v>1674</v>
      </c>
      <c r="AS847" s="3">
        <v>726</v>
      </c>
      <c r="AT847" s="3">
        <v>780</v>
      </c>
      <c r="AU847" s="3">
        <v>1092</v>
      </c>
      <c r="AV847" s="3">
        <v>1050</v>
      </c>
      <c r="AW847" s="3">
        <v>666</v>
      </c>
    </row>
    <row r="848" spans="1:49">
      <c r="A848" s="4" t="s">
        <v>35</v>
      </c>
      <c r="B848" s="4" t="str">
        <f t="shared" si="13"/>
        <v>Hair Color</v>
      </c>
      <c r="C848" s="4" t="s">
        <v>1786</v>
      </c>
      <c r="D848" s="4" t="s">
        <v>575</v>
      </c>
      <c r="E848" s="24" t="s">
        <v>47</v>
      </c>
      <c r="F848" s="12" t="s">
        <v>571</v>
      </c>
      <c r="G848" s="4" t="s">
        <v>1787</v>
      </c>
      <c r="H848" s="3">
        <v>528</v>
      </c>
      <c r="I848" s="3">
        <v>798</v>
      </c>
      <c r="J848" s="3">
        <v>684</v>
      </c>
      <c r="K848" s="3">
        <v>1452</v>
      </c>
      <c r="L848" s="3">
        <v>732</v>
      </c>
      <c r="M848" s="3">
        <v>576</v>
      </c>
      <c r="N848" s="3">
        <v>972</v>
      </c>
      <c r="O848" s="3">
        <v>942</v>
      </c>
      <c r="P848" s="3">
        <v>1056</v>
      </c>
      <c r="Q848" s="3">
        <v>732</v>
      </c>
      <c r="R848" s="3">
        <v>960</v>
      </c>
      <c r="S848" s="3">
        <v>786</v>
      </c>
      <c r="T848" s="3">
        <v>978</v>
      </c>
      <c r="U848" s="3">
        <v>870</v>
      </c>
      <c r="V848" s="3">
        <v>1302</v>
      </c>
      <c r="W848" s="3">
        <v>1056</v>
      </c>
      <c r="X848" s="3">
        <v>414</v>
      </c>
      <c r="Y848" s="3">
        <v>1386</v>
      </c>
      <c r="Z848" s="3">
        <v>588</v>
      </c>
      <c r="AA848" s="3">
        <v>840</v>
      </c>
      <c r="AB848" s="3">
        <v>1476</v>
      </c>
      <c r="AC848" s="3">
        <v>774</v>
      </c>
      <c r="AD848" s="3">
        <v>882</v>
      </c>
      <c r="AE848" s="3">
        <v>612</v>
      </c>
      <c r="AF848" s="3">
        <v>282</v>
      </c>
      <c r="AG848" s="3">
        <v>78</v>
      </c>
      <c r="AH848" s="3">
        <v>84</v>
      </c>
      <c r="AI848" s="3">
        <v>1392</v>
      </c>
      <c r="AJ848" s="3">
        <v>12</v>
      </c>
      <c r="AK848" s="3">
        <v>0</v>
      </c>
      <c r="AL848" s="3">
        <v>3072</v>
      </c>
      <c r="AM848" s="3">
        <v>720</v>
      </c>
      <c r="AN848" s="3">
        <v>0</v>
      </c>
      <c r="AO848" s="3">
        <v>192</v>
      </c>
      <c r="AP848" s="3">
        <v>2442</v>
      </c>
      <c r="AQ848" s="3">
        <v>1356</v>
      </c>
      <c r="AR848" s="3">
        <v>1290</v>
      </c>
      <c r="AS848" s="3">
        <v>1476</v>
      </c>
      <c r="AT848" s="3">
        <v>276</v>
      </c>
      <c r="AU848" s="3">
        <v>1446</v>
      </c>
      <c r="AV848" s="3">
        <v>1794</v>
      </c>
      <c r="AW848" s="3">
        <v>1056</v>
      </c>
    </row>
    <row r="849" spans="1:49">
      <c r="A849" s="4" t="s">
        <v>35</v>
      </c>
      <c r="B849" s="4" t="str">
        <f t="shared" si="13"/>
        <v>Hair Color</v>
      </c>
      <c r="C849" s="4" t="s">
        <v>1786</v>
      </c>
      <c r="D849" s="4" t="s">
        <v>575</v>
      </c>
      <c r="E849" s="24" t="s">
        <v>47</v>
      </c>
      <c r="F849" s="12" t="s">
        <v>572</v>
      </c>
      <c r="G849" s="4" t="s">
        <v>1787</v>
      </c>
      <c r="H849" s="3">
        <v>588</v>
      </c>
      <c r="I849" s="3">
        <v>582</v>
      </c>
      <c r="J849" s="3">
        <v>1290</v>
      </c>
      <c r="K849" s="3">
        <v>582</v>
      </c>
      <c r="L849" s="3">
        <v>0</v>
      </c>
      <c r="M849" s="3">
        <v>2400</v>
      </c>
      <c r="N849" s="3">
        <v>678</v>
      </c>
      <c r="O849" s="3">
        <v>360</v>
      </c>
      <c r="P849" s="3">
        <v>1626</v>
      </c>
      <c r="Q849" s="3">
        <v>462</v>
      </c>
      <c r="R849" s="3">
        <v>366</v>
      </c>
      <c r="S849" s="3">
        <v>1542</v>
      </c>
      <c r="T849" s="3">
        <v>1116</v>
      </c>
      <c r="U849" s="3">
        <v>948</v>
      </c>
      <c r="V849" s="3">
        <v>1002</v>
      </c>
      <c r="W849" s="3">
        <v>1272</v>
      </c>
      <c r="X849" s="3">
        <v>570</v>
      </c>
      <c r="Y849" s="3">
        <v>1278</v>
      </c>
      <c r="Z849" s="3">
        <v>750</v>
      </c>
      <c r="AA849" s="3">
        <v>1128</v>
      </c>
      <c r="AB849" s="3">
        <v>1296</v>
      </c>
      <c r="AC849" s="3">
        <v>246</v>
      </c>
      <c r="AD849" s="3">
        <v>744</v>
      </c>
      <c r="AE849" s="3">
        <v>870</v>
      </c>
      <c r="AF849" s="3">
        <v>846</v>
      </c>
      <c r="AG849" s="3">
        <v>96</v>
      </c>
      <c r="AH849" s="3">
        <v>702</v>
      </c>
      <c r="AI849" s="3">
        <v>1728</v>
      </c>
      <c r="AJ849" s="3">
        <v>804</v>
      </c>
      <c r="AK849" s="3">
        <v>1116</v>
      </c>
      <c r="AL849" s="3">
        <v>1212</v>
      </c>
      <c r="AM849" s="3">
        <v>1110</v>
      </c>
      <c r="AN849" s="3">
        <v>678</v>
      </c>
      <c r="AO849" s="3">
        <v>810</v>
      </c>
      <c r="AP849" s="3">
        <v>930</v>
      </c>
      <c r="AQ849" s="3">
        <v>1326</v>
      </c>
      <c r="AR849" s="3">
        <v>1338</v>
      </c>
      <c r="AS849" s="3">
        <v>828</v>
      </c>
      <c r="AT849" s="3">
        <v>942</v>
      </c>
      <c r="AU849" s="3">
        <v>1116</v>
      </c>
      <c r="AV849" s="3">
        <v>522</v>
      </c>
      <c r="AW849" s="3">
        <v>612</v>
      </c>
    </row>
    <row r="850" spans="1:49">
      <c r="A850" s="4" t="s">
        <v>35</v>
      </c>
      <c r="B850" s="4" t="str">
        <f t="shared" si="13"/>
        <v>Hair Color</v>
      </c>
      <c r="C850" s="4" t="s">
        <v>1786</v>
      </c>
      <c r="D850" s="4" t="s">
        <v>575</v>
      </c>
      <c r="E850" s="24" t="s">
        <v>47</v>
      </c>
      <c r="F850" s="12" t="s">
        <v>573</v>
      </c>
      <c r="G850" s="4" t="s">
        <v>1787</v>
      </c>
      <c r="H850" s="3">
        <v>390</v>
      </c>
      <c r="I850" s="3">
        <v>528</v>
      </c>
      <c r="J850" s="3">
        <v>450</v>
      </c>
      <c r="K850" s="3">
        <v>1194</v>
      </c>
      <c r="L850" s="3">
        <v>396</v>
      </c>
      <c r="M850" s="3">
        <v>90</v>
      </c>
      <c r="N850" s="3">
        <v>0</v>
      </c>
      <c r="O850" s="3">
        <v>0</v>
      </c>
      <c r="P850" s="3">
        <v>1674</v>
      </c>
      <c r="Q850" s="3">
        <v>168</v>
      </c>
      <c r="R850" s="3">
        <v>1068</v>
      </c>
      <c r="S850" s="3">
        <v>774</v>
      </c>
      <c r="T850" s="3">
        <v>726</v>
      </c>
      <c r="U850" s="3">
        <v>564</v>
      </c>
      <c r="V850" s="3">
        <v>534</v>
      </c>
      <c r="W850" s="3">
        <v>780</v>
      </c>
      <c r="X850" s="3">
        <v>252</v>
      </c>
      <c r="Y850" s="3">
        <v>822</v>
      </c>
      <c r="Z850" s="3">
        <v>342</v>
      </c>
      <c r="AA850" s="3">
        <v>930</v>
      </c>
      <c r="AB850" s="3">
        <v>954</v>
      </c>
      <c r="AC850" s="3">
        <v>456</v>
      </c>
      <c r="AD850" s="3">
        <v>366</v>
      </c>
      <c r="AE850" s="3">
        <v>391</v>
      </c>
      <c r="AF850" s="3">
        <v>678</v>
      </c>
      <c r="AG850" s="3">
        <v>582</v>
      </c>
      <c r="AH850" s="3">
        <v>306</v>
      </c>
      <c r="AI850" s="3">
        <v>132</v>
      </c>
      <c r="AJ850" s="3">
        <v>0</v>
      </c>
      <c r="AK850" s="3">
        <v>0</v>
      </c>
      <c r="AL850" s="3">
        <v>1596</v>
      </c>
      <c r="AM850" s="3">
        <v>948</v>
      </c>
      <c r="AN850" s="3">
        <v>426</v>
      </c>
      <c r="AO850" s="3">
        <v>720</v>
      </c>
      <c r="AP850" s="3">
        <v>570</v>
      </c>
      <c r="AQ850" s="3">
        <v>234</v>
      </c>
      <c r="AR850" s="3">
        <v>1386</v>
      </c>
      <c r="AS850" s="3">
        <v>684</v>
      </c>
      <c r="AT850" s="3">
        <v>396</v>
      </c>
      <c r="AU850" s="3">
        <v>852</v>
      </c>
      <c r="AV850" s="3">
        <v>48</v>
      </c>
      <c r="AW850" s="3">
        <v>576</v>
      </c>
    </row>
    <row r="851" spans="1:49">
      <c r="A851" s="4" t="s">
        <v>35</v>
      </c>
      <c r="B851" s="4" t="str">
        <f t="shared" si="13"/>
        <v>Hair Color</v>
      </c>
      <c r="C851" s="4" t="s">
        <v>1786</v>
      </c>
      <c r="D851" s="4" t="s">
        <v>575</v>
      </c>
      <c r="E851" s="24" t="s">
        <v>47</v>
      </c>
      <c r="F851" s="12" t="s">
        <v>574</v>
      </c>
      <c r="G851" s="4" t="s">
        <v>1787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1266</v>
      </c>
      <c r="Z851" s="3">
        <v>816</v>
      </c>
      <c r="AA851" s="3">
        <v>438</v>
      </c>
      <c r="AB851" s="3">
        <v>636</v>
      </c>
      <c r="AC851" s="3">
        <v>402</v>
      </c>
      <c r="AD851" s="3">
        <v>764</v>
      </c>
      <c r="AE851" s="3">
        <v>408</v>
      </c>
      <c r="AF851" s="3">
        <v>594</v>
      </c>
      <c r="AG851" s="3">
        <v>432</v>
      </c>
      <c r="AH851" s="3">
        <v>522</v>
      </c>
      <c r="AI851" s="3">
        <v>852</v>
      </c>
      <c r="AJ851" s="3">
        <v>792</v>
      </c>
      <c r="AK851" s="3">
        <v>486</v>
      </c>
      <c r="AL851" s="3">
        <v>636</v>
      </c>
      <c r="AM851" s="3">
        <v>684</v>
      </c>
      <c r="AN851" s="3">
        <v>408</v>
      </c>
      <c r="AO851" s="3">
        <v>479</v>
      </c>
      <c r="AP851" s="3">
        <v>516</v>
      </c>
      <c r="AQ851" s="3">
        <v>948</v>
      </c>
      <c r="AR851" s="3">
        <v>204</v>
      </c>
      <c r="AS851" s="3">
        <v>120</v>
      </c>
      <c r="AT851" s="3">
        <v>186</v>
      </c>
      <c r="AU851" s="3">
        <v>1002</v>
      </c>
      <c r="AV851" s="3">
        <v>132</v>
      </c>
      <c r="AW851" s="3">
        <v>984</v>
      </c>
    </row>
    <row r="852" spans="1:49">
      <c r="A852" s="4" t="s">
        <v>40</v>
      </c>
      <c r="B852" s="4" t="str">
        <f t="shared" si="13"/>
        <v>Hair Care</v>
      </c>
      <c r="C852" s="4" t="s">
        <v>1786</v>
      </c>
      <c r="D852" s="4" t="s">
        <v>578</v>
      </c>
      <c r="E852" s="24" t="s">
        <v>151</v>
      </c>
      <c r="F852" s="12" t="s">
        <v>152</v>
      </c>
      <c r="G852" s="4" t="s">
        <v>1787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6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</row>
    <row r="853" spans="1:49">
      <c r="A853" s="4" t="s">
        <v>40</v>
      </c>
      <c r="B853" s="4" t="str">
        <f t="shared" si="13"/>
        <v>Hair Care</v>
      </c>
      <c r="C853" s="4" t="s">
        <v>1786</v>
      </c>
      <c r="D853" s="4" t="s">
        <v>578</v>
      </c>
      <c r="E853" s="24" t="s">
        <v>125</v>
      </c>
      <c r="F853" s="12" t="s">
        <v>153</v>
      </c>
      <c r="G853" s="4" t="s">
        <v>1787</v>
      </c>
      <c r="H853" s="3">
        <v>4</v>
      </c>
      <c r="I853" s="3">
        <v>1</v>
      </c>
      <c r="J853" s="3">
        <v>0</v>
      </c>
      <c r="K853" s="3">
        <v>0</v>
      </c>
      <c r="L853" s="3">
        <v>1</v>
      </c>
      <c r="M853" s="3">
        <v>2</v>
      </c>
      <c r="N853" s="3">
        <v>1</v>
      </c>
      <c r="O853" s="3">
        <v>1</v>
      </c>
      <c r="P853" s="3">
        <v>2</v>
      </c>
      <c r="Q853" s="3">
        <v>0</v>
      </c>
      <c r="R853" s="3">
        <v>2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</row>
    <row r="854" spans="1:49">
      <c r="A854" s="4" t="s">
        <v>40</v>
      </c>
      <c r="B854" s="4" t="str">
        <f t="shared" si="13"/>
        <v>Hair Care</v>
      </c>
      <c r="C854" s="4" t="s">
        <v>1786</v>
      </c>
      <c r="D854" s="4" t="s">
        <v>578</v>
      </c>
      <c r="E854" s="24" t="s">
        <v>125</v>
      </c>
      <c r="F854" s="12" t="s">
        <v>154</v>
      </c>
      <c r="G854" s="4" t="s">
        <v>1787</v>
      </c>
      <c r="H854" s="3">
        <v>1</v>
      </c>
      <c r="I854" s="3">
        <v>1</v>
      </c>
      <c r="J854" s="3">
        <v>0</v>
      </c>
      <c r="K854" s="3">
        <v>1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</row>
    <row r="855" spans="1:49">
      <c r="A855" s="4" t="s">
        <v>40</v>
      </c>
      <c r="B855" s="4" t="str">
        <f t="shared" si="13"/>
        <v>Hair Care</v>
      </c>
      <c r="C855" s="4" t="s">
        <v>1786</v>
      </c>
      <c r="D855" s="4" t="s">
        <v>578</v>
      </c>
      <c r="E855" s="24" t="s">
        <v>125</v>
      </c>
      <c r="F855" s="12" t="s">
        <v>155</v>
      </c>
      <c r="G855" s="4" t="s">
        <v>1787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1</v>
      </c>
      <c r="AH855" s="3">
        <v>1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1</v>
      </c>
      <c r="AU855" s="3">
        <v>0</v>
      </c>
      <c r="AV855" s="3">
        <v>0</v>
      </c>
      <c r="AW855" s="3">
        <v>0</v>
      </c>
    </row>
    <row r="856" spans="1:49">
      <c r="A856" s="4" t="s">
        <v>40</v>
      </c>
      <c r="B856" s="4" t="str">
        <f t="shared" si="13"/>
        <v>Hair Care</v>
      </c>
      <c r="C856" s="4" t="s">
        <v>1786</v>
      </c>
      <c r="D856" s="4" t="s">
        <v>578</v>
      </c>
      <c r="E856" s="24" t="s">
        <v>125</v>
      </c>
      <c r="F856" s="12" t="s">
        <v>156</v>
      </c>
      <c r="G856" s="4" t="s">
        <v>1787</v>
      </c>
      <c r="H856" s="3">
        <v>1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</row>
    <row r="857" spans="1:49">
      <c r="A857" s="4" t="s">
        <v>40</v>
      </c>
      <c r="B857" s="4" t="str">
        <f t="shared" si="13"/>
        <v>Hair Care</v>
      </c>
      <c r="C857" s="4" t="s">
        <v>1786</v>
      </c>
      <c r="D857" s="4" t="s">
        <v>578</v>
      </c>
      <c r="E857" s="24" t="s">
        <v>125</v>
      </c>
      <c r="F857" s="12" t="s">
        <v>157</v>
      </c>
      <c r="G857" s="4" t="s">
        <v>1787</v>
      </c>
      <c r="H857" s="3">
        <v>2</v>
      </c>
      <c r="I857" s="3">
        <v>2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</row>
    <row r="858" spans="1:49">
      <c r="A858" s="4" t="s">
        <v>40</v>
      </c>
      <c r="B858" s="4" t="str">
        <f t="shared" si="13"/>
        <v>Hair Care</v>
      </c>
      <c r="C858" s="4" t="s">
        <v>1786</v>
      </c>
      <c r="D858" s="4" t="s">
        <v>578</v>
      </c>
      <c r="E858" s="24" t="s">
        <v>125</v>
      </c>
      <c r="F858" s="12" t="s">
        <v>158</v>
      </c>
      <c r="G858" s="4" t="s">
        <v>1787</v>
      </c>
      <c r="H858" s="3">
        <v>1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</row>
    <row r="859" spans="1:49">
      <c r="A859" s="4" t="s">
        <v>40</v>
      </c>
      <c r="B859" s="4" t="str">
        <f t="shared" si="13"/>
        <v>Hair Care</v>
      </c>
      <c r="C859" s="4" t="s">
        <v>1786</v>
      </c>
      <c r="D859" s="4" t="s">
        <v>578</v>
      </c>
      <c r="E859" s="24" t="s">
        <v>125</v>
      </c>
      <c r="F859" s="12" t="s">
        <v>159</v>
      </c>
      <c r="G859" s="4" t="s">
        <v>1787</v>
      </c>
      <c r="H859" s="3">
        <v>7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</row>
    <row r="860" spans="1:49">
      <c r="A860" s="4" t="s">
        <v>40</v>
      </c>
      <c r="B860" s="4" t="str">
        <f t="shared" si="13"/>
        <v>Hair Care</v>
      </c>
      <c r="C860" s="4" t="s">
        <v>1786</v>
      </c>
      <c r="D860" s="4" t="s">
        <v>578</v>
      </c>
      <c r="E860" s="24" t="s">
        <v>125</v>
      </c>
      <c r="F860" s="12" t="s">
        <v>160</v>
      </c>
      <c r="G860" s="4" t="s">
        <v>1787</v>
      </c>
      <c r="H860" s="3">
        <v>0</v>
      </c>
      <c r="I860" s="3">
        <v>1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1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1</v>
      </c>
      <c r="AB860" s="3">
        <v>0</v>
      </c>
      <c r="AC860" s="3">
        <v>0</v>
      </c>
      <c r="AD860" s="3">
        <v>0</v>
      </c>
      <c r="AE860" s="3">
        <v>1</v>
      </c>
      <c r="AF860" s="3">
        <v>3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1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</row>
    <row r="861" spans="1:49">
      <c r="A861" s="4" t="s">
        <v>40</v>
      </c>
      <c r="B861" s="4" t="str">
        <f t="shared" si="13"/>
        <v>Hair Care</v>
      </c>
      <c r="C861" s="4" t="s">
        <v>1786</v>
      </c>
      <c r="D861" s="4" t="s">
        <v>578</v>
      </c>
      <c r="E861" s="24" t="s">
        <v>125</v>
      </c>
      <c r="F861" s="12" t="s">
        <v>161</v>
      </c>
      <c r="G861" s="4" t="s">
        <v>1787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2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1</v>
      </c>
      <c r="U861" s="3">
        <v>0</v>
      </c>
      <c r="V861" s="3">
        <v>0</v>
      </c>
      <c r="W861" s="3">
        <v>0</v>
      </c>
      <c r="X861" s="3">
        <v>0</v>
      </c>
      <c r="Y861" s="3">
        <v>12</v>
      </c>
      <c r="Z861" s="3">
        <v>0</v>
      </c>
      <c r="AA861" s="3">
        <v>0</v>
      </c>
      <c r="AB861" s="3">
        <v>0</v>
      </c>
      <c r="AC861" s="3">
        <v>1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</row>
    <row r="862" spans="1:49">
      <c r="A862" s="4" t="s">
        <v>40</v>
      </c>
      <c r="B862" s="4" t="str">
        <f t="shared" si="13"/>
        <v>Hair Care</v>
      </c>
      <c r="C862" s="4" t="s">
        <v>1786</v>
      </c>
      <c r="D862" s="4" t="s">
        <v>578</v>
      </c>
      <c r="E862" s="24" t="s">
        <v>125</v>
      </c>
      <c r="F862" s="12" t="s">
        <v>162</v>
      </c>
      <c r="G862" s="4" t="s">
        <v>1787</v>
      </c>
      <c r="H862" s="3">
        <v>0</v>
      </c>
      <c r="I862" s="3">
        <v>4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1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12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</row>
    <row r="863" spans="1:49">
      <c r="A863" s="4" t="s">
        <v>40</v>
      </c>
      <c r="B863" s="4" t="str">
        <f t="shared" si="13"/>
        <v>Hair Care</v>
      </c>
      <c r="C863" s="4" t="s">
        <v>1786</v>
      </c>
      <c r="D863" s="4" t="s">
        <v>578</v>
      </c>
      <c r="E863" s="24" t="s">
        <v>125</v>
      </c>
      <c r="F863" s="12" t="s">
        <v>163</v>
      </c>
      <c r="G863" s="4" t="s">
        <v>1787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12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</row>
    <row r="864" spans="1:49">
      <c r="A864" s="4" t="s">
        <v>40</v>
      </c>
      <c r="B864" s="4" t="str">
        <f t="shared" si="13"/>
        <v>Hair Care</v>
      </c>
      <c r="C864" s="4" t="s">
        <v>1786</v>
      </c>
      <c r="D864" s="4" t="s">
        <v>578</v>
      </c>
      <c r="E864" s="24" t="s">
        <v>125</v>
      </c>
      <c r="F864" s="12" t="s">
        <v>164</v>
      </c>
      <c r="G864" s="4" t="s">
        <v>1787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1</v>
      </c>
      <c r="X864" s="3">
        <v>0</v>
      </c>
      <c r="Y864" s="3">
        <v>24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</row>
    <row r="865" spans="1:49">
      <c r="A865" s="4" t="s">
        <v>40</v>
      </c>
      <c r="B865" s="4" t="str">
        <f t="shared" si="13"/>
        <v>Hair Care</v>
      </c>
      <c r="C865" s="4" t="s">
        <v>1786</v>
      </c>
      <c r="D865" s="4" t="s">
        <v>578</v>
      </c>
      <c r="E865" s="24" t="s">
        <v>125</v>
      </c>
      <c r="F865" s="12" t="s">
        <v>167</v>
      </c>
      <c r="G865" s="4" t="s">
        <v>1787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1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1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</row>
    <row r="866" spans="1:49">
      <c r="A866" s="4" t="s">
        <v>40</v>
      </c>
      <c r="B866" s="4" t="str">
        <f t="shared" si="13"/>
        <v>Hair Care</v>
      </c>
      <c r="C866" s="4" t="s">
        <v>1786</v>
      </c>
      <c r="D866" s="4" t="s">
        <v>578</v>
      </c>
      <c r="E866" s="24" t="s">
        <v>125</v>
      </c>
      <c r="F866" s="12" t="s">
        <v>168</v>
      </c>
      <c r="G866" s="4" t="s">
        <v>1787</v>
      </c>
      <c r="H866" s="3">
        <v>0</v>
      </c>
      <c r="I866" s="3">
        <v>0</v>
      </c>
      <c r="J866" s="3">
        <v>0</v>
      </c>
      <c r="K866" s="3">
        <v>1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1</v>
      </c>
      <c r="R866" s="3">
        <v>0</v>
      </c>
      <c r="S866" s="3">
        <v>0</v>
      </c>
      <c r="T866" s="3">
        <v>0</v>
      </c>
      <c r="U866" s="3">
        <v>0</v>
      </c>
      <c r="V866" s="3">
        <v>2</v>
      </c>
      <c r="W866" s="3">
        <v>2</v>
      </c>
      <c r="X866" s="3">
        <v>0</v>
      </c>
      <c r="Y866" s="3">
        <v>0</v>
      </c>
      <c r="Z866" s="3">
        <v>0</v>
      </c>
      <c r="AA866" s="3">
        <v>1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</row>
    <row r="867" spans="1:49">
      <c r="A867" s="4" t="s">
        <v>40</v>
      </c>
      <c r="B867" s="4" t="str">
        <f t="shared" si="13"/>
        <v>Hair Care</v>
      </c>
      <c r="C867" s="4" t="s">
        <v>1786</v>
      </c>
      <c r="D867" s="4" t="s">
        <v>578</v>
      </c>
      <c r="E867" s="24" t="s">
        <v>125</v>
      </c>
      <c r="F867" s="12" t="s">
        <v>170</v>
      </c>
      <c r="G867" s="4" t="s">
        <v>1787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1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1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</row>
    <row r="868" spans="1:49">
      <c r="A868" s="4" t="s">
        <v>40</v>
      </c>
      <c r="B868" s="4" t="str">
        <f t="shared" si="13"/>
        <v>Hair Care</v>
      </c>
      <c r="C868" s="4" t="s">
        <v>1786</v>
      </c>
      <c r="D868" s="4" t="s">
        <v>578</v>
      </c>
      <c r="E868" s="24" t="s">
        <v>125</v>
      </c>
      <c r="F868" s="12" t="s">
        <v>171</v>
      </c>
      <c r="G868" s="4" t="s">
        <v>1787</v>
      </c>
      <c r="H868" s="3">
        <v>1</v>
      </c>
      <c r="I868" s="3">
        <v>2</v>
      </c>
      <c r="J868" s="3">
        <v>1</v>
      </c>
      <c r="K868" s="3">
        <v>0</v>
      </c>
      <c r="L868" s="3">
        <v>4</v>
      </c>
      <c r="M868" s="3">
        <v>1</v>
      </c>
      <c r="N868" s="3">
        <v>1</v>
      </c>
      <c r="O868" s="3">
        <v>1</v>
      </c>
      <c r="P868" s="3">
        <v>1</v>
      </c>
      <c r="Q868" s="3">
        <v>1</v>
      </c>
      <c r="R868" s="3">
        <v>1</v>
      </c>
      <c r="S868" s="3">
        <v>4</v>
      </c>
      <c r="T868" s="3">
        <v>5</v>
      </c>
      <c r="U868" s="3">
        <v>5</v>
      </c>
      <c r="V868" s="3">
        <v>1</v>
      </c>
      <c r="W868" s="3">
        <v>3</v>
      </c>
      <c r="X868" s="3">
        <v>4</v>
      </c>
      <c r="Y868" s="3">
        <v>12</v>
      </c>
      <c r="Z868" s="3">
        <v>0</v>
      </c>
      <c r="AA868" s="3">
        <v>2</v>
      </c>
      <c r="AB868" s="3">
        <v>0</v>
      </c>
      <c r="AC868" s="3">
        <v>0</v>
      </c>
      <c r="AD868" s="3">
        <v>0</v>
      </c>
      <c r="AE868" s="3">
        <v>20</v>
      </c>
      <c r="AF868" s="3">
        <v>5</v>
      </c>
      <c r="AG868" s="3">
        <v>4</v>
      </c>
      <c r="AH868" s="3">
        <v>1</v>
      </c>
      <c r="AI868" s="3">
        <v>6</v>
      </c>
      <c r="AJ868" s="3">
        <v>0</v>
      </c>
      <c r="AK868" s="3">
        <v>6</v>
      </c>
      <c r="AL868" s="3">
        <v>6</v>
      </c>
      <c r="AM868" s="3">
        <v>6</v>
      </c>
      <c r="AN868" s="3">
        <v>1</v>
      </c>
      <c r="AO868" s="3">
        <v>0</v>
      </c>
      <c r="AP868" s="3">
        <v>0</v>
      </c>
      <c r="AQ868" s="3">
        <v>3</v>
      </c>
      <c r="AR868" s="3">
        <v>5</v>
      </c>
      <c r="AS868" s="3">
        <v>6</v>
      </c>
      <c r="AT868" s="3">
        <v>3</v>
      </c>
      <c r="AU868" s="3">
        <v>3</v>
      </c>
      <c r="AV868" s="3">
        <v>15</v>
      </c>
      <c r="AW868" s="3">
        <v>4</v>
      </c>
    </row>
    <row r="869" spans="1:49">
      <c r="A869" s="4" t="s">
        <v>40</v>
      </c>
      <c r="B869" s="4" t="str">
        <f t="shared" si="13"/>
        <v>Hair Care</v>
      </c>
      <c r="C869" s="4" t="s">
        <v>1786</v>
      </c>
      <c r="D869" s="4" t="s">
        <v>578</v>
      </c>
      <c r="E869" s="24" t="s">
        <v>125</v>
      </c>
      <c r="F869" s="12" t="s">
        <v>172</v>
      </c>
      <c r="G869" s="4" t="s">
        <v>1787</v>
      </c>
      <c r="H869" s="3">
        <v>4</v>
      </c>
      <c r="I869" s="3">
        <v>1</v>
      </c>
      <c r="J869" s="3">
        <v>0</v>
      </c>
      <c r="K869" s="3">
        <v>0</v>
      </c>
      <c r="L869" s="3">
        <v>4</v>
      </c>
      <c r="M869" s="3">
        <v>1</v>
      </c>
      <c r="N869" s="3">
        <v>2</v>
      </c>
      <c r="O869" s="3">
        <v>0</v>
      </c>
      <c r="P869" s="3">
        <v>0</v>
      </c>
      <c r="Q869" s="3">
        <v>5</v>
      </c>
      <c r="R869" s="3">
        <v>2</v>
      </c>
      <c r="S869" s="3">
        <v>0</v>
      </c>
      <c r="T869" s="3">
        <v>3</v>
      </c>
      <c r="U869" s="3">
        <v>0</v>
      </c>
      <c r="V869" s="3">
        <v>0</v>
      </c>
      <c r="W869" s="3">
        <v>2</v>
      </c>
      <c r="X869" s="3">
        <v>0</v>
      </c>
      <c r="Y869" s="3">
        <v>14</v>
      </c>
      <c r="Z869" s="3">
        <v>1</v>
      </c>
      <c r="AA869" s="3">
        <v>0</v>
      </c>
      <c r="AB869" s="3">
        <v>0</v>
      </c>
      <c r="AC869" s="3">
        <v>0</v>
      </c>
      <c r="AD869" s="3">
        <v>72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</row>
    <row r="870" spans="1:49">
      <c r="A870" s="4" t="s">
        <v>40</v>
      </c>
      <c r="B870" s="4" t="str">
        <f t="shared" si="13"/>
        <v>Hair Care</v>
      </c>
      <c r="C870" s="4" t="s">
        <v>1786</v>
      </c>
      <c r="D870" s="4" t="s">
        <v>578</v>
      </c>
      <c r="E870" s="24" t="s">
        <v>125</v>
      </c>
      <c r="F870" s="12" t="s">
        <v>173</v>
      </c>
      <c r="G870" s="4" t="s">
        <v>1787</v>
      </c>
      <c r="H870" s="3">
        <v>0</v>
      </c>
      <c r="I870" s="3">
        <v>0</v>
      </c>
      <c r="J870" s="3">
        <v>0</v>
      </c>
      <c r="K870" s="3">
        <v>0</v>
      </c>
      <c r="L870" s="3">
        <v>1</v>
      </c>
      <c r="M870" s="3">
        <v>0</v>
      </c>
      <c r="N870" s="3">
        <v>3</v>
      </c>
      <c r="O870" s="3">
        <v>0</v>
      </c>
      <c r="P870" s="3">
        <v>1</v>
      </c>
      <c r="Q870" s="3">
        <v>0</v>
      </c>
      <c r="R870" s="3">
        <v>0</v>
      </c>
      <c r="S870" s="3">
        <v>1</v>
      </c>
      <c r="T870" s="3">
        <v>0</v>
      </c>
      <c r="U870" s="3">
        <v>2</v>
      </c>
      <c r="V870" s="3">
        <v>0</v>
      </c>
      <c r="W870" s="3">
        <v>0</v>
      </c>
      <c r="X870" s="3">
        <v>0</v>
      </c>
      <c r="Y870" s="3">
        <v>12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</row>
    <row r="871" spans="1:49">
      <c r="A871" s="4" t="s">
        <v>40</v>
      </c>
      <c r="B871" s="4" t="str">
        <f t="shared" si="13"/>
        <v>Hair Care</v>
      </c>
      <c r="C871" s="4" t="s">
        <v>1786</v>
      </c>
      <c r="D871" s="4" t="s">
        <v>578</v>
      </c>
      <c r="E871" s="24" t="s">
        <v>125</v>
      </c>
      <c r="F871" s="12" t="s">
        <v>174</v>
      </c>
      <c r="G871" s="4" t="s">
        <v>1787</v>
      </c>
      <c r="H871" s="3">
        <v>2</v>
      </c>
      <c r="I871" s="3">
        <v>0</v>
      </c>
      <c r="J871" s="3">
        <v>1</v>
      </c>
      <c r="K871" s="3">
        <v>0</v>
      </c>
      <c r="L871" s="3">
        <v>4</v>
      </c>
      <c r="M871" s="3">
        <v>1</v>
      </c>
      <c r="N871" s="3">
        <v>2</v>
      </c>
      <c r="O871" s="3">
        <v>1</v>
      </c>
      <c r="P871" s="3">
        <v>1</v>
      </c>
      <c r="Q871" s="3">
        <v>4</v>
      </c>
      <c r="R871" s="3">
        <v>1</v>
      </c>
      <c r="S871" s="3">
        <v>1</v>
      </c>
      <c r="T871" s="3">
        <v>1</v>
      </c>
      <c r="U871" s="3">
        <v>1</v>
      </c>
      <c r="V871" s="3">
        <v>3</v>
      </c>
      <c r="W871" s="3">
        <v>0</v>
      </c>
      <c r="X871" s="3">
        <v>0</v>
      </c>
      <c r="Y871" s="3">
        <v>4</v>
      </c>
      <c r="Z871" s="3">
        <v>0</v>
      </c>
      <c r="AA871" s="3">
        <v>2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</row>
    <row r="872" spans="1:49">
      <c r="A872" s="4" t="s">
        <v>40</v>
      </c>
      <c r="B872" s="4" t="str">
        <f t="shared" si="13"/>
        <v>Hair Care</v>
      </c>
      <c r="C872" s="4" t="s">
        <v>1786</v>
      </c>
      <c r="D872" s="4" t="s">
        <v>578</v>
      </c>
      <c r="E872" s="24" t="s">
        <v>125</v>
      </c>
      <c r="F872" s="12" t="s">
        <v>175</v>
      </c>
      <c r="G872" s="4" t="s">
        <v>1787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1</v>
      </c>
      <c r="T872" s="3">
        <v>6</v>
      </c>
      <c r="U872" s="3">
        <v>2</v>
      </c>
      <c r="V872" s="3">
        <v>1</v>
      </c>
      <c r="W872" s="3">
        <v>0</v>
      </c>
      <c r="X872" s="3">
        <v>3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</row>
    <row r="873" spans="1:49">
      <c r="A873" s="4" t="s">
        <v>40</v>
      </c>
      <c r="B873" s="4" t="str">
        <f t="shared" si="13"/>
        <v>Hair Care</v>
      </c>
      <c r="C873" s="4" t="s">
        <v>1786</v>
      </c>
      <c r="D873" s="4" t="s">
        <v>578</v>
      </c>
      <c r="E873" s="24" t="s">
        <v>125</v>
      </c>
      <c r="F873" s="12" t="s">
        <v>176</v>
      </c>
      <c r="G873" s="4" t="s">
        <v>1787</v>
      </c>
      <c r="H873" s="3">
        <v>0</v>
      </c>
      <c r="I873" s="3">
        <v>0</v>
      </c>
      <c r="J873" s="3">
        <v>2</v>
      </c>
      <c r="K873" s="3">
        <v>0</v>
      </c>
      <c r="L873" s="3">
        <v>1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1</v>
      </c>
      <c r="T873" s="3">
        <v>1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</row>
    <row r="874" spans="1:49">
      <c r="A874" s="4" t="s">
        <v>40</v>
      </c>
      <c r="B874" s="4" t="str">
        <f t="shared" si="13"/>
        <v>Hair Care</v>
      </c>
      <c r="C874" s="4" t="s">
        <v>1786</v>
      </c>
      <c r="D874" s="4" t="s">
        <v>578</v>
      </c>
      <c r="E874" s="24" t="s">
        <v>125</v>
      </c>
      <c r="F874" s="12" t="s">
        <v>177</v>
      </c>
      <c r="G874" s="4" t="s">
        <v>1787</v>
      </c>
      <c r="H874" s="3">
        <v>0</v>
      </c>
      <c r="I874" s="3">
        <v>1</v>
      </c>
      <c r="J874" s="3">
        <v>0</v>
      </c>
      <c r="K874" s="3">
        <v>10</v>
      </c>
      <c r="L874" s="3">
        <v>48</v>
      </c>
      <c r="M874" s="3">
        <v>0</v>
      </c>
      <c r="N874" s="3">
        <v>48</v>
      </c>
      <c r="O874" s="3">
        <v>48</v>
      </c>
      <c r="P874" s="3">
        <v>0</v>
      </c>
      <c r="Q874" s="3">
        <v>24</v>
      </c>
      <c r="R874" s="3">
        <v>0</v>
      </c>
      <c r="S874" s="3">
        <v>24</v>
      </c>
      <c r="T874" s="3">
        <v>0</v>
      </c>
      <c r="U874" s="3">
        <v>36</v>
      </c>
      <c r="V874" s="3">
        <v>12</v>
      </c>
      <c r="W874" s="3">
        <v>12</v>
      </c>
      <c r="X874" s="3">
        <v>36</v>
      </c>
      <c r="Y874" s="3">
        <v>24</v>
      </c>
      <c r="Z874" s="3">
        <v>36</v>
      </c>
      <c r="AA874" s="3">
        <v>0</v>
      </c>
      <c r="AB874" s="3">
        <v>0</v>
      </c>
      <c r="AC874" s="3">
        <v>0</v>
      </c>
      <c r="AD874" s="3">
        <v>72</v>
      </c>
      <c r="AE874" s="3">
        <v>-1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</row>
    <row r="875" spans="1:49">
      <c r="A875" s="4" t="s">
        <v>40</v>
      </c>
      <c r="B875" s="4" t="str">
        <f t="shared" si="13"/>
        <v>Hair Care</v>
      </c>
      <c r="C875" s="4" t="s">
        <v>1786</v>
      </c>
      <c r="D875" s="4" t="s">
        <v>578</v>
      </c>
      <c r="E875" s="24" t="s">
        <v>125</v>
      </c>
      <c r="F875" s="12" t="s">
        <v>179</v>
      </c>
      <c r="G875" s="4" t="s">
        <v>1787</v>
      </c>
      <c r="H875" s="3">
        <v>0</v>
      </c>
      <c r="I875" s="3">
        <v>0</v>
      </c>
      <c r="J875" s="3">
        <v>0</v>
      </c>
      <c r="K875" s="3">
        <v>1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</row>
    <row r="876" spans="1:49">
      <c r="A876" s="4" t="s">
        <v>40</v>
      </c>
      <c r="B876" s="4" t="str">
        <f t="shared" si="13"/>
        <v>Hair Care</v>
      </c>
      <c r="C876" s="4" t="s">
        <v>1786</v>
      </c>
      <c r="D876" s="4" t="s">
        <v>578</v>
      </c>
      <c r="E876" s="24" t="s">
        <v>125</v>
      </c>
      <c r="F876" s="12" t="s">
        <v>180</v>
      </c>
      <c r="G876" s="4" t="s">
        <v>1787</v>
      </c>
      <c r="H876" s="3">
        <v>0</v>
      </c>
      <c r="I876" s="3">
        <v>0</v>
      </c>
      <c r="J876" s="3">
        <v>1</v>
      </c>
      <c r="K876" s="3">
        <v>0</v>
      </c>
      <c r="L876" s="3">
        <v>2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4</v>
      </c>
      <c r="X876" s="3">
        <v>0</v>
      </c>
      <c r="Y876" s="3">
        <v>0</v>
      </c>
      <c r="Z876" s="3">
        <v>1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1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</row>
    <row r="877" spans="1:49">
      <c r="A877" s="4" t="s">
        <v>40</v>
      </c>
      <c r="B877" s="4" t="str">
        <f t="shared" si="13"/>
        <v>Hair Care</v>
      </c>
      <c r="C877" s="4" t="s">
        <v>1786</v>
      </c>
      <c r="D877" s="4" t="s">
        <v>578</v>
      </c>
      <c r="E877" s="24" t="s">
        <v>125</v>
      </c>
      <c r="F877" s="12" t="s">
        <v>181</v>
      </c>
      <c r="G877" s="4" t="s">
        <v>1787</v>
      </c>
      <c r="H877" s="3">
        <v>0</v>
      </c>
      <c r="I877" s="3">
        <v>0</v>
      </c>
      <c r="J877" s="3">
        <v>0</v>
      </c>
      <c r="K877" s="3">
        <v>10</v>
      </c>
      <c r="L877" s="3">
        <v>6</v>
      </c>
      <c r="M877" s="3">
        <v>0</v>
      </c>
      <c r="N877" s="3">
        <v>18</v>
      </c>
      <c r="O877" s="3">
        <v>48</v>
      </c>
      <c r="P877" s="3">
        <v>0</v>
      </c>
      <c r="Q877" s="3">
        <v>24</v>
      </c>
      <c r="R877" s="3">
        <v>0</v>
      </c>
      <c r="S877" s="3">
        <v>0</v>
      </c>
      <c r="T877" s="3">
        <v>0</v>
      </c>
      <c r="U877" s="3">
        <v>36</v>
      </c>
      <c r="V877" s="3">
        <v>12</v>
      </c>
      <c r="W877" s="3">
        <v>12</v>
      </c>
      <c r="X877" s="3">
        <v>36</v>
      </c>
      <c r="Y877" s="3">
        <v>12</v>
      </c>
      <c r="Z877" s="3">
        <v>36</v>
      </c>
      <c r="AA877" s="3">
        <v>12</v>
      </c>
      <c r="AB877" s="3">
        <v>0</v>
      </c>
      <c r="AC877" s="3">
        <v>12</v>
      </c>
      <c r="AD877" s="3">
        <v>72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72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</row>
    <row r="878" spans="1:49">
      <c r="A878" s="4" t="s">
        <v>40</v>
      </c>
      <c r="B878" s="4" t="str">
        <f t="shared" si="13"/>
        <v>Hair Care</v>
      </c>
      <c r="C878" s="4" t="s">
        <v>1786</v>
      </c>
      <c r="D878" s="4" t="s">
        <v>578</v>
      </c>
      <c r="E878" s="24" t="s">
        <v>125</v>
      </c>
      <c r="F878" s="12" t="s">
        <v>183</v>
      </c>
      <c r="G878" s="4" t="s">
        <v>1787</v>
      </c>
      <c r="H878" s="3">
        <v>0</v>
      </c>
      <c r="I878" s="3">
        <v>0</v>
      </c>
      <c r="J878" s="3">
        <v>2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</row>
    <row r="879" spans="1:49">
      <c r="A879" s="4" t="s">
        <v>40</v>
      </c>
      <c r="B879" s="4" t="str">
        <f t="shared" si="13"/>
        <v>Hair Care</v>
      </c>
      <c r="C879" s="4" t="s">
        <v>1786</v>
      </c>
      <c r="D879" s="4" t="s">
        <v>578</v>
      </c>
      <c r="E879" s="24" t="s">
        <v>125</v>
      </c>
      <c r="F879" s="12" t="s">
        <v>184</v>
      </c>
      <c r="G879" s="4" t="s">
        <v>1787</v>
      </c>
      <c r="H879" s="3">
        <v>0</v>
      </c>
      <c r="I879" s="3">
        <v>5</v>
      </c>
      <c r="J879" s="3">
        <v>0</v>
      </c>
      <c r="K879" s="3">
        <v>1</v>
      </c>
      <c r="L879" s="3">
        <v>0</v>
      </c>
      <c r="M879" s="3">
        <v>1</v>
      </c>
      <c r="N879" s="3">
        <v>0</v>
      </c>
      <c r="O879" s="3">
        <v>0</v>
      </c>
      <c r="P879" s="3">
        <v>0</v>
      </c>
      <c r="Q879" s="3">
        <v>0</v>
      </c>
      <c r="R879" s="3">
        <v>1</v>
      </c>
      <c r="S879" s="3">
        <v>1</v>
      </c>
      <c r="T879" s="3">
        <v>0</v>
      </c>
      <c r="U879" s="3">
        <v>1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</row>
    <row r="880" spans="1:49">
      <c r="A880" s="4" t="s">
        <v>40</v>
      </c>
      <c r="B880" s="4" t="str">
        <f t="shared" si="13"/>
        <v>Hair Care</v>
      </c>
      <c r="C880" s="4" t="s">
        <v>1786</v>
      </c>
      <c r="D880" s="4" t="s">
        <v>578</v>
      </c>
      <c r="E880" s="24" t="s">
        <v>125</v>
      </c>
      <c r="F880" s="12" t="s">
        <v>185</v>
      </c>
      <c r="G880" s="4" t="s">
        <v>1787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12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</row>
    <row r="881" spans="1:49">
      <c r="A881" s="4" t="s">
        <v>40</v>
      </c>
      <c r="B881" s="4" t="str">
        <f t="shared" si="13"/>
        <v>Hair Care</v>
      </c>
      <c r="C881" s="4" t="s">
        <v>1786</v>
      </c>
      <c r="D881" s="4" t="s">
        <v>578</v>
      </c>
      <c r="E881" s="24" t="s">
        <v>125</v>
      </c>
      <c r="F881" s="12" t="s">
        <v>186</v>
      </c>
      <c r="G881" s="4" t="s">
        <v>1787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2</v>
      </c>
      <c r="Y881" s="3">
        <v>12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</row>
    <row r="882" spans="1:49">
      <c r="A882" s="4" t="s">
        <v>40</v>
      </c>
      <c r="B882" s="4" t="str">
        <f t="shared" si="13"/>
        <v>Hair Care</v>
      </c>
      <c r="C882" s="4" t="s">
        <v>1786</v>
      </c>
      <c r="D882" s="4" t="s">
        <v>578</v>
      </c>
      <c r="E882" s="24" t="s">
        <v>125</v>
      </c>
      <c r="F882" s="12" t="s">
        <v>187</v>
      </c>
      <c r="G882" s="4" t="s">
        <v>1787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1</v>
      </c>
      <c r="X882" s="3">
        <v>1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</row>
    <row r="883" spans="1:49">
      <c r="A883" s="4" t="s">
        <v>40</v>
      </c>
      <c r="B883" s="4" t="str">
        <f t="shared" si="13"/>
        <v>Hair Care</v>
      </c>
      <c r="C883" s="4" t="s">
        <v>1786</v>
      </c>
      <c r="D883" s="4" t="s">
        <v>578</v>
      </c>
      <c r="E883" s="24" t="s">
        <v>125</v>
      </c>
      <c r="F883" s="12" t="s">
        <v>188</v>
      </c>
      <c r="G883" s="4" t="s">
        <v>1787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1</v>
      </c>
      <c r="Q883" s="3">
        <v>0</v>
      </c>
      <c r="R883" s="3">
        <v>1</v>
      </c>
      <c r="S883" s="3">
        <v>0</v>
      </c>
      <c r="T883" s="3">
        <v>0</v>
      </c>
      <c r="U883" s="3">
        <v>0</v>
      </c>
      <c r="V883" s="3">
        <v>1</v>
      </c>
      <c r="W883" s="3">
        <v>1</v>
      </c>
      <c r="X883" s="3">
        <v>1</v>
      </c>
      <c r="Y883" s="3">
        <v>0</v>
      </c>
      <c r="Z883" s="3">
        <v>0</v>
      </c>
      <c r="AA883" s="3">
        <v>1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1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</row>
    <row r="884" spans="1:49">
      <c r="A884" s="4" t="s">
        <v>40</v>
      </c>
      <c r="B884" s="4" t="str">
        <f t="shared" si="13"/>
        <v>Hair Care</v>
      </c>
      <c r="C884" s="4" t="s">
        <v>1786</v>
      </c>
      <c r="D884" s="4" t="s">
        <v>578</v>
      </c>
      <c r="E884" s="24" t="s">
        <v>125</v>
      </c>
      <c r="F884" s="12" t="s">
        <v>190</v>
      </c>
      <c r="G884" s="4" t="s">
        <v>1787</v>
      </c>
      <c r="H884" s="3">
        <v>1</v>
      </c>
      <c r="I884" s="3">
        <v>1</v>
      </c>
      <c r="J884" s="3">
        <v>0</v>
      </c>
      <c r="K884" s="3">
        <v>1</v>
      </c>
      <c r="L884" s="3">
        <v>0</v>
      </c>
      <c r="M884" s="3">
        <v>0</v>
      </c>
      <c r="N884" s="3">
        <v>1</v>
      </c>
      <c r="O884" s="3">
        <v>0</v>
      </c>
      <c r="P884" s="3">
        <v>0</v>
      </c>
      <c r="Q884" s="3">
        <v>2</v>
      </c>
      <c r="R884" s="3">
        <v>0</v>
      </c>
      <c r="S884" s="3">
        <v>0</v>
      </c>
      <c r="T884" s="3">
        <v>1</v>
      </c>
      <c r="U884" s="3">
        <v>0</v>
      </c>
      <c r="V884" s="3">
        <v>1</v>
      </c>
      <c r="W884" s="3">
        <v>0</v>
      </c>
      <c r="X884" s="3">
        <v>1</v>
      </c>
      <c r="Y884" s="3">
        <v>12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</row>
    <row r="885" spans="1:49">
      <c r="A885" s="4" t="s">
        <v>40</v>
      </c>
      <c r="B885" s="4" t="str">
        <f t="shared" si="13"/>
        <v>Hair Care</v>
      </c>
      <c r="C885" s="4" t="s">
        <v>1786</v>
      </c>
      <c r="D885" s="4" t="s">
        <v>578</v>
      </c>
      <c r="E885" s="24" t="s">
        <v>125</v>
      </c>
      <c r="F885" s="12" t="s">
        <v>191</v>
      </c>
      <c r="G885" s="4" t="s">
        <v>1787</v>
      </c>
      <c r="H885" s="3">
        <v>2</v>
      </c>
      <c r="I885" s="3">
        <v>3</v>
      </c>
      <c r="J885" s="3">
        <v>3</v>
      </c>
      <c r="K885" s="3">
        <v>3</v>
      </c>
      <c r="L885" s="3">
        <v>1</v>
      </c>
      <c r="M885" s="3">
        <v>4</v>
      </c>
      <c r="N885" s="3">
        <v>5</v>
      </c>
      <c r="O885" s="3">
        <v>2</v>
      </c>
      <c r="P885" s="3">
        <v>1</v>
      </c>
      <c r="Q885" s="3">
        <v>4</v>
      </c>
      <c r="R885" s="3">
        <v>1</v>
      </c>
      <c r="S885" s="3">
        <v>1</v>
      </c>
      <c r="T885" s="3">
        <v>2</v>
      </c>
      <c r="U885" s="3">
        <v>0</v>
      </c>
      <c r="V885" s="3">
        <v>6</v>
      </c>
      <c r="W885" s="3">
        <v>7</v>
      </c>
      <c r="X885" s="3">
        <v>2</v>
      </c>
      <c r="Y885" s="3">
        <v>13</v>
      </c>
      <c r="Z885" s="3">
        <v>1</v>
      </c>
      <c r="AA885" s="3">
        <v>2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</row>
    <row r="886" spans="1:49">
      <c r="A886" s="4" t="s">
        <v>40</v>
      </c>
      <c r="B886" s="4" t="str">
        <f t="shared" si="13"/>
        <v>Hair Care</v>
      </c>
      <c r="C886" s="4" t="s">
        <v>1786</v>
      </c>
      <c r="D886" s="4" t="s">
        <v>578</v>
      </c>
      <c r="E886" s="24" t="s">
        <v>125</v>
      </c>
      <c r="F886" s="12" t="s">
        <v>192</v>
      </c>
      <c r="G886" s="4" t="s">
        <v>1787</v>
      </c>
      <c r="H886" s="3">
        <v>4</v>
      </c>
      <c r="I886" s="3">
        <v>6</v>
      </c>
      <c r="J886" s="3">
        <v>4</v>
      </c>
      <c r="K886" s="3">
        <v>5</v>
      </c>
      <c r="L886" s="3">
        <v>11</v>
      </c>
      <c r="M886" s="3">
        <v>1</v>
      </c>
      <c r="N886" s="3">
        <v>2</v>
      </c>
      <c r="O886" s="3">
        <v>2</v>
      </c>
      <c r="P886" s="3">
        <v>1</v>
      </c>
      <c r="Q886" s="3">
        <v>13</v>
      </c>
      <c r="R886" s="3">
        <v>6</v>
      </c>
      <c r="S886" s="3">
        <v>6</v>
      </c>
      <c r="T886" s="3">
        <v>1</v>
      </c>
      <c r="U886" s="3">
        <v>2</v>
      </c>
      <c r="V886" s="3">
        <v>6</v>
      </c>
      <c r="W886" s="3">
        <v>2</v>
      </c>
      <c r="X886" s="3">
        <v>4</v>
      </c>
      <c r="Y886" s="3">
        <v>14</v>
      </c>
      <c r="Z886" s="3">
        <v>2</v>
      </c>
      <c r="AA886" s="3">
        <v>4</v>
      </c>
      <c r="AB886" s="3">
        <v>0</v>
      </c>
      <c r="AC886" s="3">
        <v>0</v>
      </c>
      <c r="AD886" s="3">
        <v>4</v>
      </c>
      <c r="AE886" s="3">
        <v>2</v>
      </c>
      <c r="AF886" s="3">
        <v>7</v>
      </c>
      <c r="AG886" s="3">
        <v>11</v>
      </c>
      <c r="AH886" s="3">
        <v>9</v>
      </c>
      <c r="AI886" s="3">
        <v>35</v>
      </c>
      <c r="AJ886" s="3">
        <v>3</v>
      </c>
      <c r="AK886" s="3">
        <v>7</v>
      </c>
      <c r="AL886" s="3">
        <v>8</v>
      </c>
      <c r="AM886" s="3">
        <v>7</v>
      </c>
      <c r="AN886" s="3">
        <v>12</v>
      </c>
      <c r="AO886" s="3">
        <v>1</v>
      </c>
      <c r="AP886" s="3">
        <v>4</v>
      </c>
      <c r="AQ886" s="3">
        <v>13</v>
      </c>
      <c r="AR886" s="3">
        <v>6</v>
      </c>
      <c r="AS886" s="3">
        <v>4</v>
      </c>
      <c r="AT886" s="3">
        <v>6</v>
      </c>
      <c r="AU886" s="3">
        <v>10</v>
      </c>
      <c r="AV886" s="3">
        <v>9</v>
      </c>
      <c r="AW886" s="3">
        <v>7</v>
      </c>
    </row>
    <row r="887" spans="1:49">
      <c r="A887" s="4" t="s">
        <v>40</v>
      </c>
      <c r="B887" s="4" t="str">
        <f t="shared" si="13"/>
        <v>Hair Care</v>
      </c>
      <c r="C887" s="4" t="s">
        <v>1786</v>
      </c>
      <c r="D887" s="4" t="s">
        <v>578</v>
      </c>
      <c r="E887" s="24" t="s">
        <v>125</v>
      </c>
      <c r="F887" s="12" t="s">
        <v>193</v>
      </c>
      <c r="G887" s="4" t="s">
        <v>1787</v>
      </c>
      <c r="H887" s="3">
        <v>0</v>
      </c>
      <c r="I887" s="3">
        <v>0</v>
      </c>
      <c r="J887" s="3">
        <v>1</v>
      </c>
      <c r="K887" s="3">
        <v>0</v>
      </c>
      <c r="L887" s="3">
        <v>0</v>
      </c>
      <c r="M887" s="3">
        <v>0</v>
      </c>
      <c r="N887" s="3">
        <v>1</v>
      </c>
      <c r="O887" s="3">
        <v>0</v>
      </c>
      <c r="P887" s="3">
        <v>0</v>
      </c>
      <c r="Q887" s="3">
        <v>1</v>
      </c>
      <c r="R887" s="3">
        <v>0</v>
      </c>
      <c r="S887" s="3">
        <v>0</v>
      </c>
      <c r="T887" s="3">
        <v>1</v>
      </c>
      <c r="U887" s="3">
        <v>0</v>
      </c>
      <c r="V887" s="3">
        <v>0</v>
      </c>
      <c r="W887" s="3">
        <v>1</v>
      </c>
      <c r="X887" s="3">
        <v>0</v>
      </c>
      <c r="Y887" s="3">
        <v>24</v>
      </c>
      <c r="Z887" s="3">
        <v>2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</row>
    <row r="888" spans="1:49">
      <c r="A888" s="4" t="s">
        <v>40</v>
      </c>
      <c r="B888" s="4" t="str">
        <f t="shared" si="13"/>
        <v>Hair Care</v>
      </c>
      <c r="C888" s="4" t="s">
        <v>1786</v>
      </c>
      <c r="D888" s="4" t="s">
        <v>578</v>
      </c>
      <c r="E888" s="24" t="s">
        <v>125</v>
      </c>
      <c r="F888" s="12" t="s">
        <v>194</v>
      </c>
      <c r="G888" s="4" t="s">
        <v>1787</v>
      </c>
      <c r="H888" s="3">
        <v>7</v>
      </c>
      <c r="I888" s="3">
        <v>9</v>
      </c>
      <c r="J888" s="3">
        <v>5</v>
      </c>
      <c r="K888" s="3">
        <v>8</v>
      </c>
      <c r="L888" s="3">
        <v>13</v>
      </c>
      <c r="M888" s="3">
        <v>6</v>
      </c>
      <c r="N888" s="3">
        <v>8</v>
      </c>
      <c r="O888" s="3">
        <v>2</v>
      </c>
      <c r="P888" s="3">
        <v>1</v>
      </c>
      <c r="Q888" s="3">
        <v>10</v>
      </c>
      <c r="R888" s="3">
        <v>7</v>
      </c>
      <c r="S888" s="3">
        <v>2</v>
      </c>
      <c r="T888" s="3">
        <v>5</v>
      </c>
      <c r="U888" s="3">
        <v>1</v>
      </c>
      <c r="V888" s="3">
        <v>4</v>
      </c>
      <c r="W888" s="3">
        <v>12</v>
      </c>
      <c r="X888" s="3">
        <v>4</v>
      </c>
      <c r="Y888" s="3">
        <v>16</v>
      </c>
      <c r="Z888" s="3">
        <v>0</v>
      </c>
      <c r="AA888" s="3">
        <v>3</v>
      </c>
      <c r="AB888" s="3">
        <v>1</v>
      </c>
      <c r="AC888" s="3">
        <v>0</v>
      </c>
      <c r="AD888" s="3">
        <v>1</v>
      </c>
      <c r="AE888" s="3">
        <v>0</v>
      </c>
      <c r="AF888" s="3">
        <v>6</v>
      </c>
      <c r="AG888" s="3">
        <v>4</v>
      </c>
      <c r="AH888" s="3">
        <v>0</v>
      </c>
      <c r="AI888" s="3">
        <v>36</v>
      </c>
      <c r="AJ888" s="3">
        <v>2</v>
      </c>
      <c r="AK888" s="3">
        <v>1</v>
      </c>
      <c r="AL888" s="3">
        <v>8</v>
      </c>
      <c r="AM888" s="3">
        <v>8</v>
      </c>
      <c r="AN888" s="3">
        <v>6</v>
      </c>
      <c r="AO888" s="3">
        <v>1</v>
      </c>
      <c r="AP888" s="3">
        <v>3</v>
      </c>
      <c r="AQ888" s="3">
        <v>12</v>
      </c>
      <c r="AR888" s="3">
        <v>6</v>
      </c>
      <c r="AS888" s="3">
        <v>4</v>
      </c>
      <c r="AT888" s="3">
        <v>5</v>
      </c>
      <c r="AU888" s="3">
        <v>10</v>
      </c>
      <c r="AV888" s="3">
        <v>8</v>
      </c>
      <c r="AW888" s="3">
        <v>12</v>
      </c>
    </row>
    <row r="889" spans="1:49">
      <c r="A889" s="4" t="s">
        <v>40</v>
      </c>
      <c r="B889" s="4" t="str">
        <f t="shared" si="13"/>
        <v>Hair Care</v>
      </c>
      <c r="C889" s="4" t="s">
        <v>1786</v>
      </c>
      <c r="D889" s="4" t="s">
        <v>578</v>
      </c>
      <c r="E889" s="24" t="s">
        <v>125</v>
      </c>
      <c r="F889" s="12" t="s">
        <v>195</v>
      </c>
      <c r="G889" s="4" t="s">
        <v>1787</v>
      </c>
      <c r="H889" s="3">
        <v>7</v>
      </c>
      <c r="I889" s="3">
        <v>0</v>
      </c>
      <c r="J889" s="3">
        <v>2</v>
      </c>
      <c r="K889" s="3">
        <v>2</v>
      </c>
      <c r="L889" s="3">
        <v>11</v>
      </c>
      <c r="M889" s="3">
        <v>1</v>
      </c>
      <c r="N889" s="3">
        <v>9</v>
      </c>
      <c r="O889" s="3">
        <v>0</v>
      </c>
      <c r="P889" s="3">
        <v>0</v>
      </c>
      <c r="Q889" s="3">
        <v>7</v>
      </c>
      <c r="R889" s="3">
        <v>1</v>
      </c>
      <c r="S889" s="3">
        <v>2</v>
      </c>
      <c r="T889" s="3">
        <v>2</v>
      </c>
      <c r="U889" s="3">
        <v>0</v>
      </c>
      <c r="V889" s="3">
        <v>6</v>
      </c>
      <c r="W889" s="3">
        <v>3</v>
      </c>
      <c r="X889" s="3">
        <v>0</v>
      </c>
      <c r="Y889" s="3">
        <v>2</v>
      </c>
      <c r="Z889" s="3">
        <v>6</v>
      </c>
      <c r="AA889" s="3">
        <v>6</v>
      </c>
      <c r="AB889" s="3">
        <v>1</v>
      </c>
      <c r="AC889" s="3">
        <v>0</v>
      </c>
      <c r="AD889" s="3">
        <v>12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12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</row>
    <row r="890" spans="1:49">
      <c r="A890" s="4" t="s">
        <v>40</v>
      </c>
      <c r="B890" s="4" t="str">
        <f t="shared" si="13"/>
        <v>Hair Care</v>
      </c>
      <c r="C890" s="4" t="s">
        <v>1786</v>
      </c>
      <c r="D890" s="4" t="s">
        <v>578</v>
      </c>
      <c r="E890" s="24" t="s">
        <v>125</v>
      </c>
      <c r="F890" s="12" t="s">
        <v>196</v>
      </c>
      <c r="G890" s="4" t="s">
        <v>1787</v>
      </c>
      <c r="H890" s="3">
        <v>0</v>
      </c>
      <c r="I890" s="3">
        <v>1</v>
      </c>
      <c r="J890" s="3">
        <v>0</v>
      </c>
      <c r="K890" s="3">
        <v>10</v>
      </c>
      <c r="L890" s="3">
        <v>8</v>
      </c>
      <c r="M890" s="3">
        <v>0</v>
      </c>
      <c r="N890" s="3">
        <v>18</v>
      </c>
      <c r="O890" s="3">
        <v>24</v>
      </c>
      <c r="P890" s="3">
        <v>0</v>
      </c>
      <c r="Q890" s="3">
        <v>24</v>
      </c>
      <c r="R890" s="3">
        <v>0</v>
      </c>
      <c r="S890" s="3">
        <v>24</v>
      </c>
      <c r="T890" s="3">
        <v>0</v>
      </c>
      <c r="U890" s="3">
        <v>0</v>
      </c>
      <c r="V890" s="3">
        <v>0</v>
      </c>
      <c r="W890" s="3">
        <v>24</v>
      </c>
      <c r="X890" s="3">
        <v>0</v>
      </c>
      <c r="Y890" s="3">
        <v>12</v>
      </c>
      <c r="Z890" s="3">
        <v>12</v>
      </c>
      <c r="AA890" s="3">
        <v>12</v>
      </c>
      <c r="AB890" s="3">
        <v>3</v>
      </c>
      <c r="AC890" s="3">
        <v>12</v>
      </c>
      <c r="AD890" s="3">
        <v>0</v>
      </c>
      <c r="AE890" s="3">
        <v>72</v>
      </c>
      <c r="AF890" s="3">
        <v>0</v>
      </c>
      <c r="AG890" s="3">
        <v>0</v>
      </c>
      <c r="AH890" s="3">
        <v>0</v>
      </c>
      <c r="AI890" s="3">
        <v>0</v>
      </c>
      <c r="AJ890" s="3">
        <v>60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</row>
    <row r="891" spans="1:49">
      <c r="A891" s="4" t="s">
        <v>40</v>
      </c>
      <c r="B891" s="4" t="str">
        <f t="shared" si="13"/>
        <v>Hair Care</v>
      </c>
      <c r="C891" s="4" t="s">
        <v>1786</v>
      </c>
      <c r="D891" s="4" t="s">
        <v>578</v>
      </c>
      <c r="E891" s="24" t="s">
        <v>125</v>
      </c>
      <c r="F891" s="12" t="s">
        <v>197</v>
      </c>
      <c r="G891" s="4" t="s">
        <v>1787</v>
      </c>
      <c r="H891" s="3">
        <v>0</v>
      </c>
      <c r="I891" s="3">
        <v>0</v>
      </c>
      <c r="J891" s="3">
        <v>0</v>
      </c>
      <c r="K891" s="3">
        <v>0</v>
      </c>
      <c r="L891" s="3">
        <v>1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1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</row>
    <row r="892" spans="1:49">
      <c r="A892" s="4" t="s">
        <v>40</v>
      </c>
      <c r="B892" s="4" t="str">
        <f t="shared" si="13"/>
        <v>Hair Care</v>
      </c>
      <c r="C892" s="4" t="s">
        <v>1786</v>
      </c>
      <c r="D892" s="4" t="s">
        <v>578</v>
      </c>
      <c r="E892" s="24" t="s">
        <v>125</v>
      </c>
      <c r="F892" s="12" t="s">
        <v>198</v>
      </c>
      <c r="G892" s="4" t="s">
        <v>1787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6</v>
      </c>
      <c r="O892" s="3">
        <v>0</v>
      </c>
      <c r="P892" s="3">
        <v>0</v>
      </c>
      <c r="Q892" s="3">
        <v>0</v>
      </c>
      <c r="R892" s="3">
        <v>0</v>
      </c>
      <c r="S892" s="3">
        <v>1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12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</row>
    <row r="893" spans="1:49">
      <c r="A893" s="4" t="s">
        <v>40</v>
      </c>
      <c r="B893" s="4" t="str">
        <f t="shared" si="13"/>
        <v>Hair Care</v>
      </c>
      <c r="C893" s="4" t="s">
        <v>1786</v>
      </c>
      <c r="D893" s="4" t="s">
        <v>578</v>
      </c>
      <c r="E893" s="24" t="s">
        <v>125</v>
      </c>
      <c r="F893" s="12" t="s">
        <v>199</v>
      </c>
      <c r="G893" s="4" t="s">
        <v>1787</v>
      </c>
      <c r="H893" s="3">
        <v>0</v>
      </c>
      <c r="I893" s="3">
        <v>0</v>
      </c>
      <c r="J893" s="3">
        <v>0</v>
      </c>
      <c r="K893" s="3">
        <v>10</v>
      </c>
      <c r="L893" s="3">
        <v>6</v>
      </c>
      <c r="M893" s="3">
        <v>0</v>
      </c>
      <c r="N893" s="3">
        <v>18</v>
      </c>
      <c r="O893" s="3">
        <v>48</v>
      </c>
      <c r="P893" s="3">
        <v>0</v>
      </c>
      <c r="Q893" s="3">
        <v>24</v>
      </c>
      <c r="R893" s="3">
        <v>0</v>
      </c>
      <c r="S893" s="3">
        <v>0</v>
      </c>
      <c r="T893" s="3">
        <v>0</v>
      </c>
      <c r="U893" s="3">
        <v>36</v>
      </c>
      <c r="V893" s="3">
        <v>13</v>
      </c>
      <c r="W893" s="3">
        <v>12</v>
      </c>
      <c r="X893" s="3">
        <v>37</v>
      </c>
      <c r="Y893" s="3">
        <v>12</v>
      </c>
      <c r="Z893" s="3">
        <v>36</v>
      </c>
      <c r="AA893" s="3">
        <v>12</v>
      </c>
      <c r="AB893" s="3">
        <v>0</v>
      </c>
      <c r="AC893" s="3">
        <v>12</v>
      </c>
      <c r="AD893" s="3">
        <v>72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72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</row>
    <row r="894" spans="1:49">
      <c r="A894" s="4" t="s">
        <v>40</v>
      </c>
      <c r="B894" s="4" t="str">
        <f t="shared" si="13"/>
        <v>Hair Care</v>
      </c>
      <c r="C894" s="4" t="s">
        <v>1786</v>
      </c>
      <c r="D894" s="4" t="s">
        <v>578</v>
      </c>
      <c r="E894" s="24" t="s">
        <v>125</v>
      </c>
      <c r="F894" s="12" t="s">
        <v>200</v>
      </c>
      <c r="G894" s="4" t="s">
        <v>1787</v>
      </c>
      <c r="H894" s="3">
        <v>0</v>
      </c>
      <c r="I894" s="3">
        <v>0</v>
      </c>
      <c r="J894" s="3">
        <v>1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1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</row>
    <row r="895" spans="1:49">
      <c r="A895" s="4" t="s">
        <v>40</v>
      </c>
      <c r="B895" s="4" t="str">
        <f t="shared" si="13"/>
        <v>Hair Care</v>
      </c>
      <c r="C895" s="4" t="s">
        <v>1786</v>
      </c>
      <c r="D895" s="4" t="s">
        <v>578</v>
      </c>
      <c r="E895" s="24" t="s">
        <v>125</v>
      </c>
      <c r="F895" s="12" t="s">
        <v>201</v>
      </c>
      <c r="G895" s="4" t="s">
        <v>1787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3</v>
      </c>
      <c r="R895" s="3">
        <v>0</v>
      </c>
      <c r="S895" s="3">
        <v>0</v>
      </c>
      <c r="T895" s="3">
        <v>0</v>
      </c>
      <c r="U895" s="3">
        <v>0</v>
      </c>
      <c r="V895" s="3">
        <v>1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</row>
    <row r="896" spans="1:49">
      <c r="A896" s="4" t="s">
        <v>40</v>
      </c>
      <c r="B896" s="4" t="str">
        <f t="shared" si="13"/>
        <v>Hair Care</v>
      </c>
      <c r="C896" s="4" t="s">
        <v>1786</v>
      </c>
      <c r="D896" s="4" t="s">
        <v>578</v>
      </c>
      <c r="E896" s="24" t="s">
        <v>125</v>
      </c>
      <c r="F896" s="12" t="s">
        <v>202</v>
      </c>
      <c r="G896" s="4" t="s">
        <v>1787</v>
      </c>
      <c r="H896" s="3">
        <v>0</v>
      </c>
      <c r="I896" s="3">
        <v>0</v>
      </c>
      <c r="J896" s="3">
        <v>0</v>
      </c>
      <c r="K896" s="3">
        <v>0</v>
      </c>
      <c r="L896" s="3">
        <v>1</v>
      </c>
      <c r="M896" s="3">
        <v>0</v>
      </c>
      <c r="N896" s="3">
        <v>2</v>
      </c>
      <c r="O896" s="3">
        <v>1</v>
      </c>
      <c r="P896" s="3">
        <v>0</v>
      </c>
      <c r="Q896" s="3">
        <v>1</v>
      </c>
      <c r="R896" s="3">
        <v>1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12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</row>
    <row r="897" spans="1:49">
      <c r="A897" s="4" t="s">
        <v>40</v>
      </c>
      <c r="B897" s="4" t="str">
        <f t="shared" si="13"/>
        <v>Hair Care</v>
      </c>
      <c r="C897" s="4" t="s">
        <v>1786</v>
      </c>
      <c r="D897" s="4" t="s">
        <v>578</v>
      </c>
      <c r="E897" s="24" t="s">
        <v>125</v>
      </c>
      <c r="F897" s="12" t="s">
        <v>203</v>
      </c>
      <c r="G897" s="4" t="s">
        <v>1787</v>
      </c>
      <c r="H897" s="3">
        <v>0</v>
      </c>
      <c r="I897" s="3">
        <v>0</v>
      </c>
      <c r="J897" s="3">
        <v>0</v>
      </c>
      <c r="K897" s="3">
        <v>0</v>
      </c>
      <c r="L897" s="3">
        <v>1</v>
      </c>
      <c r="M897" s="3">
        <v>0</v>
      </c>
      <c r="N897" s="3">
        <v>1</v>
      </c>
      <c r="O897" s="3">
        <v>1</v>
      </c>
      <c r="P897" s="3">
        <v>3</v>
      </c>
      <c r="Q897" s="3">
        <v>0</v>
      </c>
      <c r="R897" s="3">
        <v>1</v>
      </c>
      <c r="S897" s="3">
        <v>1</v>
      </c>
      <c r="T897" s="3">
        <v>0</v>
      </c>
      <c r="U897" s="3">
        <v>0</v>
      </c>
      <c r="V897" s="3">
        <v>1</v>
      </c>
      <c r="W897" s="3">
        <v>0</v>
      </c>
      <c r="X897" s="3">
        <v>0</v>
      </c>
      <c r="Y897" s="3">
        <v>2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</row>
    <row r="898" spans="1:49">
      <c r="A898" s="4" t="s">
        <v>40</v>
      </c>
      <c r="B898" s="4" t="str">
        <f t="shared" si="13"/>
        <v>Hair Care</v>
      </c>
      <c r="C898" s="4" t="s">
        <v>1786</v>
      </c>
      <c r="D898" s="4" t="s">
        <v>578</v>
      </c>
      <c r="E898" s="24" t="s">
        <v>125</v>
      </c>
      <c r="F898" s="12" t="s">
        <v>204</v>
      </c>
      <c r="G898" s="4" t="s">
        <v>1787</v>
      </c>
      <c r="H898" s="3">
        <v>0</v>
      </c>
      <c r="I898" s="3">
        <v>0</v>
      </c>
      <c r="J898" s="3">
        <v>0</v>
      </c>
      <c r="K898" s="3">
        <v>10</v>
      </c>
      <c r="L898" s="3">
        <v>48</v>
      </c>
      <c r="M898" s="3">
        <v>0</v>
      </c>
      <c r="N898" s="3">
        <v>49</v>
      </c>
      <c r="O898" s="3">
        <v>48</v>
      </c>
      <c r="P898" s="3">
        <v>1</v>
      </c>
      <c r="Q898" s="3">
        <v>24</v>
      </c>
      <c r="R898" s="3">
        <v>3</v>
      </c>
      <c r="S898" s="3">
        <v>24</v>
      </c>
      <c r="T898" s="3">
        <v>0</v>
      </c>
      <c r="U898" s="3">
        <v>36</v>
      </c>
      <c r="V898" s="3">
        <v>12</v>
      </c>
      <c r="W898" s="3">
        <v>17</v>
      </c>
      <c r="X898" s="3">
        <v>36</v>
      </c>
      <c r="Y898" s="3">
        <v>12</v>
      </c>
      <c r="Z898" s="3">
        <v>36</v>
      </c>
      <c r="AA898" s="3">
        <v>0</v>
      </c>
      <c r="AB898" s="3">
        <v>0</v>
      </c>
      <c r="AC898" s="3">
        <v>0</v>
      </c>
      <c r="AD898" s="3">
        <v>72</v>
      </c>
      <c r="AE898" s="3">
        <v>-1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</row>
    <row r="899" spans="1:49">
      <c r="A899" s="4" t="s">
        <v>40</v>
      </c>
      <c r="B899" s="4" t="str">
        <f t="shared" ref="B899:B962" si="14">A899</f>
        <v>Hair Care</v>
      </c>
      <c r="C899" s="4" t="s">
        <v>1786</v>
      </c>
      <c r="D899" s="4" t="s">
        <v>578</v>
      </c>
      <c r="E899" s="24" t="s">
        <v>125</v>
      </c>
      <c r="F899" s="12" t="s">
        <v>205</v>
      </c>
      <c r="G899" s="4" t="s">
        <v>1787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1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12</v>
      </c>
      <c r="Z899" s="3">
        <v>1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</row>
    <row r="900" spans="1:49">
      <c r="A900" s="4" t="s">
        <v>40</v>
      </c>
      <c r="B900" s="4" t="str">
        <f t="shared" si="14"/>
        <v>Hair Care</v>
      </c>
      <c r="C900" s="4" t="s">
        <v>1786</v>
      </c>
      <c r="D900" s="4" t="s">
        <v>578</v>
      </c>
      <c r="E900" s="24" t="s">
        <v>125</v>
      </c>
      <c r="F900" s="12" t="s">
        <v>206</v>
      </c>
      <c r="G900" s="4" t="s">
        <v>1787</v>
      </c>
      <c r="H900" s="3">
        <v>1</v>
      </c>
      <c r="I900" s="3">
        <v>2</v>
      </c>
      <c r="J900" s="3">
        <v>1</v>
      </c>
      <c r="K900" s="3">
        <v>1</v>
      </c>
      <c r="L900" s="3">
        <v>7</v>
      </c>
      <c r="M900" s="3">
        <v>0</v>
      </c>
      <c r="N900" s="3">
        <v>6</v>
      </c>
      <c r="O900" s="3">
        <v>12</v>
      </c>
      <c r="P900" s="3">
        <v>1</v>
      </c>
      <c r="Q900" s="3">
        <v>1</v>
      </c>
      <c r="R900" s="3">
        <v>1</v>
      </c>
      <c r="S900" s="3">
        <v>1</v>
      </c>
      <c r="T900" s="3">
        <v>4</v>
      </c>
      <c r="U900" s="3">
        <v>1</v>
      </c>
      <c r="V900" s="3">
        <v>9</v>
      </c>
      <c r="W900" s="3">
        <v>3</v>
      </c>
      <c r="X900" s="3">
        <v>2</v>
      </c>
      <c r="Y900" s="3">
        <v>12</v>
      </c>
      <c r="Z900" s="3">
        <v>6</v>
      </c>
      <c r="AA900" s="3">
        <v>1</v>
      </c>
      <c r="AB900" s="3">
        <v>0</v>
      </c>
      <c r="AC900" s="3">
        <v>0</v>
      </c>
      <c r="AD900" s="3">
        <v>12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</row>
    <row r="901" spans="1:49">
      <c r="A901" s="4" t="s">
        <v>40</v>
      </c>
      <c r="B901" s="4" t="str">
        <f t="shared" si="14"/>
        <v>Hair Care</v>
      </c>
      <c r="C901" s="4" t="s">
        <v>1786</v>
      </c>
      <c r="D901" s="4" t="s">
        <v>578</v>
      </c>
      <c r="E901" s="24" t="s">
        <v>125</v>
      </c>
      <c r="F901" s="12" t="s">
        <v>207</v>
      </c>
      <c r="G901" s="4" t="s">
        <v>1787</v>
      </c>
      <c r="H901" s="3">
        <v>0</v>
      </c>
      <c r="I901" s="3">
        <v>7</v>
      </c>
      <c r="J901" s="3">
        <v>16</v>
      </c>
      <c r="K901" s="3">
        <v>11</v>
      </c>
      <c r="L901" s="3">
        <v>8</v>
      </c>
      <c r="M901" s="3">
        <v>7</v>
      </c>
      <c r="N901" s="3">
        <v>18</v>
      </c>
      <c r="O901" s="3">
        <v>48</v>
      </c>
      <c r="P901" s="3">
        <v>1</v>
      </c>
      <c r="Q901" s="3">
        <v>26</v>
      </c>
      <c r="R901" s="3">
        <v>2</v>
      </c>
      <c r="S901" s="3">
        <v>30</v>
      </c>
      <c r="T901" s="3">
        <v>0</v>
      </c>
      <c r="U901" s="3">
        <v>39</v>
      </c>
      <c r="V901" s="3">
        <v>15</v>
      </c>
      <c r="W901" s="3">
        <v>12</v>
      </c>
      <c r="X901" s="3">
        <v>1</v>
      </c>
      <c r="Y901" s="3">
        <v>12</v>
      </c>
      <c r="Z901" s="3">
        <v>13</v>
      </c>
      <c r="AA901" s="3">
        <v>36</v>
      </c>
      <c r="AB901" s="3">
        <v>0</v>
      </c>
      <c r="AC901" s="3">
        <v>36</v>
      </c>
      <c r="AD901" s="3">
        <v>72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84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</row>
    <row r="902" spans="1:49">
      <c r="A902" s="4" t="s">
        <v>40</v>
      </c>
      <c r="B902" s="4" t="str">
        <f t="shared" si="14"/>
        <v>Hair Care</v>
      </c>
      <c r="C902" s="4" t="s">
        <v>1786</v>
      </c>
      <c r="D902" s="4" t="s">
        <v>578</v>
      </c>
      <c r="E902" s="24" t="s">
        <v>125</v>
      </c>
      <c r="F902" s="12" t="s">
        <v>208</v>
      </c>
      <c r="G902" s="4" t="s">
        <v>1787</v>
      </c>
      <c r="H902" s="3">
        <v>0</v>
      </c>
      <c r="I902" s="3">
        <v>2</v>
      </c>
      <c r="J902" s="3">
        <v>3</v>
      </c>
      <c r="K902" s="3">
        <v>1</v>
      </c>
      <c r="L902" s="3">
        <v>3</v>
      </c>
      <c r="M902" s="3">
        <v>14</v>
      </c>
      <c r="N902" s="3">
        <v>1</v>
      </c>
      <c r="O902" s="3">
        <v>0</v>
      </c>
      <c r="P902" s="3">
        <v>0</v>
      </c>
      <c r="Q902" s="3">
        <v>4</v>
      </c>
      <c r="R902" s="3">
        <v>4</v>
      </c>
      <c r="S902" s="3">
        <v>7</v>
      </c>
      <c r="T902" s="3">
        <v>1</v>
      </c>
      <c r="U902" s="3">
        <v>3</v>
      </c>
      <c r="V902" s="3">
        <v>2</v>
      </c>
      <c r="W902" s="3">
        <v>0</v>
      </c>
      <c r="X902" s="3">
        <v>5</v>
      </c>
      <c r="Y902" s="3">
        <v>15</v>
      </c>
      <c r="Z902" s="3">
        <v>2</v>
      </c>
      <c r="AA902" s="3">
        <v>1</v>
      </c>
      <c r="AB902" s="3">
        <v>0</v>
      </c>
      <c r="AC902" s="3">
        <v>0</v>
      </c>
      <c r="AD902" s="3">
        <v>6</v>
      </c>
      <c r="AE902" s="3">
        <v>10</v>
      </c>
      <c r="AF902" s="3">
        <v>4</v>
      </c>
      <c r="AG902" s="3">
        <v>5</v>
      </c>
      <c r="AH902" s="3">
        <v>6</v>
      </c>
      <c r="AI902" s="3">
        <v>6</v>
      </c>
      <c r="AJ902" s="3">
        <v>2</v>
      </c>
      <c r="AK902" s="3">
        <v>9</v>
      </c>
      <c r="AL902" s="3">
        <v>1</v>
      </c>
      <c r="AM902" s="3">
        <v>5</v>
      </c>
      <c r="AN902" s="3">
        <v>2</v>
      </c>
      <c r="AO902" s="3">
        <v>0</v>
      </c>
      <c r="AP902" s="3">
        <v>2</v>
      </c>
      <c r="AQ902" s="3">
        <v>2</v>
      </c>
      <c r="AR902" s="3">
        <v>4</v>
      </c>
      <c r="AS902" s="3">
        <v>7</v>
      </c>
      <c r="AT902" s="3">
        <v>4</v>
      </c>
      <c r="AU902" s="3">
        <v>3</v>
      </c>
      <c r="AV902" s="3">
        <v>8</v>
      </c>
      <c r="AW902" s="3">
        <v>3</v>
      </c>
    </row>
    <row r="903" spans="1:49">
      <c r="A903" s="4" t="s">
        <v>40</v>
      </c>
      <c r="B903" s="4" t="str">
        <f t="shared" si="14"/>
        <v>Hair Care</v>
      </c>
      <c r="C903" s="4" t="s">
        <v>1786</v>
      </c>
      <c r="D903" s="4" t="s">
        <v>578</v>
      </c>
      <c r="E903" s="24" t="s">
        <v>125</v>
      </c>
      <c r="F903" s="12" t="s">
        <v>209</v>
      </c>
      <c r="G903" s="4" t="s">
        <v>1787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2</v>
      </c>
      <c r="N903" s="3">
        <v>2</v>
      </c>
      <c r="O903" s="3">
        <v>0</v>
      </c>
      <c r="P903" s="3">
        <v>1</v>
      </c>
      <c r="Q903" s="3">
        <v>2</v>
      </c>
      <c r="R903" s="3">
        <v>1</v>
      </c>
      <c r="S903" s="3">
        <v>1</v>
      </c>
      <c r="T903" s="3">
        <v>0</v>
      </c>
      <c r="U903" s="3">
        <v>1</v>
      </c>
      <c r="V903" s="3">
        <v>0</v>
      </c>
      <c r="W903" s="3">
        <v>1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</row>
    <row r="904" spans="1:49">
      <c r="A904" s="4" t="s">
        <v>40</v>
      </c>
      <c r="B904" s="4" t="str">
        <f t="shared" si="14"/>
        <v>Hair Care</v>
      </c>
      <c r="C904" s="4" t="s">
        <v>1786</v>
      </c>
      <c r="D904" s="4" t="s">
        <v>578</v>
      </c>
      <c r="E904" s="24" t="s">
        <v>125</v>
      </c>
      <c r="F904" s="12" t="s">
        <v>210</v>
      </c>
      <c r="G904" s="4" t="s">
        <v>1787</v>
      </c>
      <c r="H904" s="3">
        <v>0</v>
      </c>
      <c r="I904" s="3">
        <v>0</v>
      </c>
      <c r="J904" s="3">
        <v>0</v>
      </c>
      <c r="K904" s="3">
        <v>1</v>
      </c>
      <c r="L904" s="3">
        <v>0</v>
      </c>
      <c r="M904" s="3">
        <v>1</v>
      </c>
      <c r="N904" s="3">
        <v>0</v>
      </c>
      <c r="O904" s="3">
        <v>1</v>
      </c>
      <c r="P904" s="3">
        <v>1</v>
      </c>
      <c r="Q904" s="3">
        <v>0</v>
      </c>
      <c r="R904" s="3">
        <v>1</v>
      </c>
      <c r="S904" s="3">
        <v>2</v>
      </c>
      <c r="T904" s="3">
        <v>0</v>
      </c>
      <c r="U904" s="3">
        <v>4</v>
      </c>
      <c r="V904" s="3">
        <v>0</v>
      </c>
      <c r="W904" s="3">
        <v>3</v>
      </c>
      <c r="X904" s="3">
        <v>1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</row>
    <row r="905" spans="1:49">
      <c r="A905" s="4" t="s">
        <v>40</v>
      </c>
      <c r="B905" s="4" t="str">
        <f t="shared" si="14"/>
        <v>Hair Care</v>
      </c>
      <c r="C905" s="4" t="s">
        <v>1786</v>
      </c>
      <c r="D905" s="4" t="s">
        <v>578</v>
      </c>
      <c r="E905" s="24" t="s">
        <v>125</v>
      </c>
      <c r="F905" s="12" t="s">
        <v>211</v>
      </c>
      <c r="G905" s="4" t="s">
        <v>1787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1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</row>
    <row r="906" spans="1:49">
      <c r="A906" s="4" t="s">
        <v>40</v>
      </c>
      <c r="B906" s="4" t="str">
        <f t="shared" si="14"/>
        <v>Hair Care</v>
      </c>
      <c r="C906" s="4" t="s">
        <v>1786</v>
      </c>
      <c r="D906" s="4" t="s">
        <v>578</v>
      </c>
      <c r="E906" s="24" t="s">
        <v>125</v>
      </c>
      <c r="F906" s="12" t="s">
        <v>214</v>
      </c>
      <c r="G906" s="4" t="s">
        <v>1787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1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</row>
    <row r="907" spans="1:49">
      <c r="A907" s="4" t="s">
        <v>40</v>
      </c>
      <c r="B907" s="4" t="str">
        <f t="shared" si="14"/>
        <v>Hair Care</v>
      </c>
      <c r="C907" s="4" t="s">
        <v>1786</v>
      </c>
      <c r="D907" s="4" t="s">
        <v>578</v>
      </c>
      <c r="E907" s="24" t="s">
        <v>125</v>
      </c>
      <c r="F907" s="12" t="s">
        <v>215</v>
      </c>
      <c r="G907" s="4" t="s">
        <v>1787</v>
      </c>
      <c r="H907" s="3">
        <v>0</v>
      </c>
      <c r="I907" s="3">
        <v>0</v>
      </c>
      <c r="J907" s="3">
        <v>0</v>
      </c>
      <c r="K907" s="3">
        <v>0</v>
      </c>
      <c r="L907" s="3">
        <v>3</v>
      </c>
      <c r="M907" s="3">
        <v>0</v>
      </c>
      <c r="N907" s="3">
        <v>3</v>
      </c>
      <c r="O907" s="3">
        <v>0</v>
      </c>
      <c r="P907" s="3">
        <v>0</v>
      </c>
      <c r="Q907" s="3">
        <v>1</v>
      </c>
      <c r="R907" s="3">
        <v>6</v>
      </c>
      <c r="S907" s="3">
        <v>0</v>
      </c>
      <c r="T907" s="3">
        <v>0</v>
      </c>
      <c r="U907" s="3">
        <v>0</v>
      </c>
      <c r="V907" s="3">
        <v>1</v>
      </c>
      <c r="W907" s="3">
        <v>4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12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</row>
    <row r="908" spans="1:49">
      <c r="A908" s="4" t="s">
        <v>40</v>
      </c>
      <c r="B908" s="4" t="str">
        <f t="shared" si="14"/>
        <v>Hair Care</v>
      </c>
      <c r="C908" s="4" t="s">
        <v>1786</v>
      </c>
      <c r="D908" s="4" t="s">
        <v>578</v>
      </c>
      <c r="E908" s="24" t="s">
        <v>125</v>
      </c>
      <c r="F908" s="12" t="s">
        <v>216</v>
      </c>
      <c r="G908" s="4" t="s">
        <v>1787</v>
      </c>
      <c r="H908" s="3">
        <v>0</v>
      </c>
      <c r="I908" s="3">
        <v>0</v>
      </c>
      <c r="J908" s="3">
        <v>0</v>
      </c>
      <c r="K908" s="3">
        <v>1</v>
      </c>
      <c r="L908" s="3">
        <v>2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1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12</v>
      </c>
      <c r="Z908" s="3">
        <v>0</v>
      </c>
      <c r="AA908" s="3">
        <v>0</v>
      </c>
      <c r="AB908" s="3">
        <v>3</v>
      </c>
      <c r="AC908" s="3">
        <v>0</v>
      </c>
      <c r="AD908" s="3">
        <v>72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</row>
    <row r="909" spans="1:49">
      <c r="A909" s="4" t="s">
        <v>40</v>
      </c>
      <c r="B909" s="4" t="str">
        <f t="shared" si="14"/>
        <v>Hair Care</v>
      </c>
      <c r="C909" s="4" t="s">
        <v>1786</v>
      </c>
      <c r="D909" s="4" t="s">
        <v>578</v>
      </c>
      <c r="E909" s="24" t="s">
        <v>125</v>
      </c>
      <c r="F909" s="12" t="s">
        <v>217</v>
      </c>
      <c r="G909" s="4" t="s">
        <v>1787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1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5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2</v>
      </c>
      <c r="AU909" s="3">
        <v>0</v>
      </c>
      <c r="AV909" s="3">
        <v>1</v>
      </c>
      <c r="AW909" s="3">
        <v>0</v>
      </c>
    </row>
    <row r="910" spans="1:49">
      <c r="A910" s="4" t="s">
        <v>40</v>
      </c>
      <c r="B910" s="4" t="str">
        <f t="shared" si="14"/>
        <v>Hair Care</v>
      </c>
      <c r="C910" s="4" t="s">
        <v>1786</v>
      </c>
      <c r="D910" s="4" t="s">
        <v>578</v>
      </c>
      <c r="E910" s="24" t="s">
        <v>125</v>
      </c>
      <c r="F910" s="12" t="s">
        <v>218</v>
      </c>
      <c r="G910" s="4" t="s">
        <v>1787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</v>
      </c>
      <c r="X910" s="3">
        <v>2</v>
      </c>
      <c r="Y910" s="3">
        <v>0</v>
      </c>
      <c r="Z910" s="3">
        <v>2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</row>
    <row r="911" spans="1:49">
      <c r="A911" s="4" t="s">
        <v>40</v>
      </c>
      <c r="B911" s="4" t="str">
        <f t="shared" si="14"/>
        <v>Hair Care</v>
      </c>
      <c r="C911" s="4" t="s">
        <v>1786</v>
      </c>
      <c r="D911" s="4" t="s">
        <v>578</v>
      </c>
      <c r="E911" s="24" t="s">
        <v>125</v>
      </c>
      <c r="F911" s="12" t="s">
        <v>219</v>
      </c>
      <c r="G911" s="4" t="s">
        <v>1787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6</v>
      </c>
      <c r="Y911" s="3">
        <v>3</v>
      </c>
      <c r="Z911" s="3">
        <v>2</v>
      </c>
      <c r="AA911" s="3">
        <v>1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</row>
    <row r="912" spans="1:49">
      <c r="A912" s="4" t="s">
        <v>40</v>
      </c>
      <c r="B912" s="4" t="str">
        <f t="shared" si="14"/>
        <v>Hair Care</v>
      </c>
      <c r="C912" s="4" t="s">
        <v>1786</v>
      </c>
      <c r="D912" s="4" t="s">
        <v>578</v>
      </c>
      <c r="E912" s="24" t="s">
        <v>125</v>
      </c>
      <c r="F912" s="12" t="s">
        <v>220</v>
      </c>
      <c r="G912" s="4" t="s">
        <v>1787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</v>
      </c>
      <c r="X912" s="3">
        <v>4</v>
      </c>
      <c r="Y912" s="3">
        <v>1</v>
      </c>
      <c r="Z912" s="3">
        <v>2</v>
      </c>
      <c r="AA912" s="3">
        <v>2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</row>
    <row r="913" spans="1:49">
      <c r="A913" s="4" t="s">
        <v>40</v>
      </c>
      <c r="B913" s="4" t="str">
        <f t="shared" si="14"/>
        <v>Hair Care</v>
      </c>
      <c r="C913" s="4" t="s">
        <v>1786</v>
      </c>
      <c r="D913" s="4" t="s">
        <v>578</v>
      </c>
      <c r="E913" s="24" t="s">
        <v>125</v>
      </c>
      <c r="F913" s="12" t="s">
        <v>221</v>
      </c>
      <c r="G913" s="4" t="s">
        <v>1787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1</v>
      </c>
      <c r="X913" s="3">
        <v>0</v>
      </c>
      <c r="Y913" s="3">
        <v>12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</row>
    <row r="914" spans="1:49">
      <c r="A914" s="4" t="s">
        <v>40</v>
      </c>
      <c r="B914" s="4" t="str">
        <f t="shared" si="14"/>
        <v>Hair Care</v>
      </c>
      <c r="C914" s="4" t="s">
        <v>1786</v>
      </c>
      <c r="D914" s="4" t="s">
        <v>578</v>
      </c>
      <c r="E914" s="24" t="s">
        <v>125</v>
      </c>
      <c r="F914" s="12" t="s">
        <v>224</v>
      </c>
      <c r="G914" s="4" t="s">
        <v>1787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1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</row>
    <row r="915" spans="1:49">
      <c r="A915" s="4" t="s">
        <v>40</v>
      </c>
      <c r="B915" s="4" t="str">
        <f t="shared" si="14"/>
        <v>Hair Care</v>
      </c>
      <c r="C915" s="4" t="s">
        <v>1786</v>
      </c>
      <c r="D915" s="4" t="s">
        <v>578</v>
      </c>
      <c r="E915" s="24" t="s">
        <v>125</v>
      </c>
      <c r="F915" s="12" t="s">
        <v>230</v>
      </c>
      <c r="G915" s="4" t="s">
        <v>1787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12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</row>
    <row r="916" spans="1:49">
      <c r="A916" s="4" t="s">
        <v>40</v>
      </c>
      <c r="B916" s="4" t="str">
        <f t="shared" si="14"/>
        <v>Hair Care</v>
      </c>
      <c r="C916" s="4" t="s">
        <v>1786</v>
      </c>
      <c r="D916" s="4" t="s">
        <v>578</v>
      </c>
      <c r="E916" s="24" t="s">
        <v>125</v>
      </c>
      <c r="F916" s="12" t="s">
        <v>231</v>
      </c>
      <c r="G916" s="4" t="s">
        <v>1787</v>
      </c>
      <c r="H916" s="3">
        <v>0</v>
      </c>
      <c r="I916" s="3">
        <v>0</v>
      </c>
      <c r="J916" s="3">
        <v>0</v>
      </c>
      <c r="K916" s="3">
        <v>10</v>
      </c>
      <c r="L916" s="3">
        <v>6</v>
      </c>
      <c r="M916" s="3">
        <v>0</v>
      </c>
      <c r="N916" s="3">
        <v>18</v>
      </c>
      <c r="O916" s="3">
        <v>24</v>
      </c>
      <c r="P916" s="3">
        <v>0</v>
      </c>
      <c r="Q916" s="3">
        <v>24</v>
      </c>
      <c r="R916" s="3">
        <v>0</v>
      </c>
      <c r="S916" s="3">
        <v>24</v>
      </c>
      <c r="T916" s="3">
        <v>1</v>
      </c>
      <c r="U916" s="3">
        <v>0</v>
      </c>
      <c r="V916" s="3">
        <v>0</v>
      </c>
      <c r="W916" s="3">
        <v>24</v>
      </c>
      <c r="X916" s="3">
        <v>0</v>
      </c>
      <c r="Y916" s="3">
        <v>25</v>
      </c>
      <c r="Z916" s="3">
        <v>12</v>
      </c>
      <c r="AA916" s="3">
        <v>12</v>
      </c>
      <c r="AB916" s="3">
        <v>0</v>
      </c>
      <c r="AC916" s="3">
        <v>13</v>
      </c>
      <c r="AD916" s="3">
        <v>0</v>
      </c>
      <c r="AE916" s="3">
        <v>72</v>
      </c>
      <c r="AF916" s="3">
        <v>0</v>
      </c>
      <c r="AG916" s="3">
        <v>0</v>
      </c>
      <c r="AH916" s="3">
        <v>0</v>
      </c>
      <c r="AI916" s="3">
        <v>0</v>
      </c>
      <c r="AJ916" s="3">
        <v>60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</row>
    <row r="917" spans="1:49">
      <c r="A917" s="4" t="s">
        <v>40</v>
      </c>
      <c r="B917" s="4" t="str">
        <f t="shared" si="14"/>
        <v>Hair Care</v>
      </c>
      <c r="C917" s="4" t="s">
        <v>1786</v>
      </c>
      <c r="D917" s="4" t="s">
        <v>578</v>
      </c>
      <c r="E917" s="24" t="s">
        <v>125</v>
      </c>
      <c r="F917" s="12" t="s">
        <v>233</v>
      </c>
      <c r="G917" s="4" t="s">
        <v>1787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12</v>
      </c>
      <c r="AW917" s="3">
        <v>0</v>
      </c>
    </row>
    <row r="918" spans="1:49">
      <c r="A918" s="4" t="s">
        <v>40</v>
      </c>
      <c r="B918" s="4" t="str">
        <f t="shared" si="14"/>
        <v>Hair Care</v>
      </c>
      <c r="C918" s="4" t="s">
        <v>1786</v>
      </c>
      <c r="D918" s="4" t="s">
        <v>578</v>
      </c>
      <c r="E918" s="24" t="s">
        <v>125</v>
      </c>
      <c r="F918" s="12" t="s">
        <v>234</v>
      </c>
      <c r="G918" s="4" t="s">
        <v>1787</v>
      </c>
      <c r="H918" s="3">
        <v>0</v>
      </c>
      <c r="I918" s="3">
        <v>3</v>
      </c>
      <c r="J918" s="3">
        <v>0</v>
      </c>
      <c r="K918" s="3">
        <v>10</v>
      </c>
      <c r="L918" s="3">
        <v>7</v>
      </c>
      <c r="M918" s="3">
        <v>1</v>
      </c>
      <c r="N918" s="3">
        <v>18</v>
      </c>
      <c r="O918" s="3">
        <v>48</v>
      </c>
      <c r="P918" s="3">
        <v>1</v>
      </c>
      <c r="Q918" s="3">
        <v>25</v>
      </c>
      <c r="R918" s="3">
        <v>0</v>
      </c>
      <c r="S918" s="3">
        <v>24</v>
      </c>
      <c r="T918" s="3">
        <v>0</v>
      </c>
      <c r="U918" s="3">
        <v>37</v>
      </c>
      <c r="V918" s="3">
        <v>12</v>
      </c>
      <c r="W918" s="3">
        <v>12</v>
      </c>
      <c r="X918" s="3">
        <v>0</v>
      </c>
      <c r="Y918" s="3">
        <v>12</v>
      </c>
      <c r="Z918" s="3">
        <v>12</v>
      </c>
      <c r="AA918" s="3">
        <v>36</v>
      </c>
      <c r="AB918" s="3">
        <v>0</v>
      </c>
      <c r="AC918" s="3">
        <v>36</v>
      </c>
      <c r="AD918" s="3">
        <v>72</v>
      </c>
      <c r="AE918" s="3">
        <v>0</v>
      </c>
      <c r="AF918" s="3">
        <v>0</v>
      </c>
      <c r="AG918" s="3">
        <v>0</v>
      </c>
      <c r="AH918" s="3">
        <v>0</v>
      </c>
      <c r="AI918" s="3">
        <v>12</v>
      </c>
      <c r="AJ918" s="3">
        <v>84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</row>
    <row r="919" spans="1:49">
      <c r="A919" s="4" t="s">
        <v>40</v>
      </c>
      <c r="B919" s="4" t="str">
        <f t="shared" si="14"/>
        <v>Hair Care</v>
      </c>
      <c r="C919" s="4" t="s">
        <v>1786</v>
      </c>
      <c r="D919" s="4" t="s">
        <v>578</v>
      </c>
      <c r="E919" s="24" t="s">
        <v>125</v>
      </c>
      <c r="F919" s="12" t="s">
        <v>235</v>
      </c>
      <c r="G919" s="4" t="s">
        <v>1787</v>
      </c>
      <c r="H919" s="3">
        <v>1</v>
      </c>
      <c r="I919" s="3">
        <v>1</v>
      </c>
      <c r="J919" s="3">
        <v>1</v>
      </c>
      <c r="K919" s="3">
        <v>0</v>
      </c>
      <c r="L919" s="3">
        <v>0</v>
      </c>
      <c r="M919" s="3">
        <v>1</v>
      </c>
      <c r="N919" s="3">
        <v>1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</v>
      </c>
      <c r="X919" s="3">
        <v>0</v>
      </c>
      <c r="Y919" s="3">
        <v>12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1</v>
      </c>
      <c r="AF919" s="3">
        <v>0</v>
      </c>
      <c r="AG919" s="3">
        <v>0</v>
      </c>
      <c r="AH919" s="3">
        <v>0</v>
      </c>
      <c r="AI919" s="3">
        <v>0</v>
      </c>
      <c r="AJ919" s="3">
        <v>1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1</v>
      </c>
    </row>
    <row r="920" spans="1:49">
      <c r="A920" s="4" t="s">
        <v>40</v>
      </c>
      <c r="B920" s="4" t="str">
        <f t="shared" si="14"/>
        <v>Hair Care</v>
      </c>
      <c r="C920" s="4" t="s">
        <v>1786</v>
      </c>
      <c r="D920" s="4" t="s">
        <v>578</v>
      </c>
      <c r="E920" s="24" t="s">
        <v>125</v>
      </c>
      <c r="F920" s="12" t="s">
        <v>236</v>
      </c>
      <c r="G920" s="4" t="s">
        <v>1787</v>
      </c>
      <c r="H920" s="3">
        <v>1</v>
      </c>
      <c r="I920" s="3">
        <v>0</v>
      </c>
      <c r="J920" s="3">
        <v>0</v>
      </c>
      <c r="K920" s="3">
        <v>0</v>
      </c>
      <c r="L920" s="3">
        <v>2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2</v>
      </c>
      <c r="Y920" s="3">
        <v>12</v>
      </c>
      <c r="Z920" s="3">
        <v>0</v>
      </c>
      <c r="AA920" s="3">
        <v>0</v>
      </c>
      <c r="AB920" s="3">
        <v>0</v>
      </c>
      <c r="AC920" s="3">
        <v>0</v>
      </c>
      <c r="AD920" s="3">
        <v>1</v>
      </c>
      <c r="AE920" s="3">
        <v>1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1</v>
      </c>
      <c r="AO920" s="3">
        <v>0</v>
      </c>
      <c r="AP920" s="3">
        <v>4</v>
      </c>
      <c r="AQ920" s="3">
        <v>0</v>
      </c>
      <c r="AR920" s="3">
        <v>0</v>
      </c>
      <c r="AS920" s="3">
        <v>1</v>
      </c>
      <c r="AT920" s="3">
        <v>0</v>
      </c>
      <c r="AU920" s="3">
        <v>0</v>
      </c>
      <c r="AV920" s="3">
        <v>0</v>
      </c>
      <c r="AW920" s="3">
        <v>0</v>
      </c>
    </row>
    <row r="921" spans="1:49">
      <c r="A921" s="4" t="s">
        <v>40</v>
      </c>
      <c r="B921" s="4" t="str">
        <f t="shared" si="14"/>
        <v>Hair Care</v>
      </c>
      <c r="C921" s="4" t="s">
        <v>1786</v>
      </c>
      <c r="D921" s="4" t="s">
        <v>578</v>
      </c>
      <c r="E921" s="24" t="s">
        <v>125</v>
      </c>
      <c r="F921" s="12" t="s">
        <v>239</v>
      </c>
      <c r="G921" s="4" t="s">
        <v>1787</v>
      </c>
      <c r="H921" s="3">
        <v>0</v>
      </c>
      <c r="I921" s="3">
        <v>0</v>
      </c>
      <c r="J921" s="3">
        <v>1</v>
      </c>
      <c r="K921" s="3">
        <v>4</v>
      </c>
      <c r="L921" s="3">
        <v>6</v>
      </c>
      <c r="M921" s="3">
        <v>0</v>
      </c>
      <c r="N921" s="3">
        <v>1</v>
      </c>
      <c r="O921" s="3">
        <v>0</v>
      </c>
      <c r="P921" s="3">
        <v>1</v>
      </c>
      <c r="Q921" s="3">
        <v>8</v>
      </c>
      <c r="R921" s="3">
        <v>1</v>
      </c>
      <c r="S921" s="3">
        <v>6</v>
      </c>
      <c r="T921" s="3">
        <v>1</v>
      </c>
      <c r="U921" s="3">
        <v>1</v>
      </c>
      <c r="V921" s="3">
        <v>3</v>
      </c>
      <c r="W921" s="3">
        <v>0</v>
      </c>
      <c r="X921" s="3">
        <v>1</v>
      </c>
      <c r="Y921" s="3">
        <v>2</v>
      </c>
      <c r="Z921" s="3">
        <v>0</v>
      </c>
      <c r="AA921" s="3">
        <v>0</v>
      </c>
      <c r="AB921" s="3">
        <v>0</v>
      </c>
      <c r="AC921" s="3">
        <v>0</v>
      </c>
      <c r="AD921" s="3">
        <v>1</v>
      </c>
      <c r="AE921" s="3">
        <v>0</v>
      </c>
      <c r="AF921" s="3">
        <v>0</v>
      </c>
      <c r="AG921" s="3">
        <v>1</v>
      </c>
      <c r="AH921" s="3">
        <v>0</v>
      </c>
      <c r="AI921" s="3">
        <v>1</v>
      </c>
      <c r="AJ921" s="3">
        <v>14</v>
      </c>
      <c r="AK921" s="3">
        <v>0</v>
      </c>
      <c r="AL921" s="3">
        <v>1</v>
      </c>
      <c r="AM921" s="3">
        <v>4</v>
      </c>
      <c r="AN921" s="3">
        <v>4</v>
      </c>
      <c r="AO921" s="3">
        <v>0</v>
      </c>
      <c r="AP921" s="3">
        <v>0</v>
      </c>
      <c r="AQ921" s="3">
        <v>0</v>
      </c>
      <c r="AR921" s="3">
        <v>5</v>
      </c>
      <c r="AS921" s="3">
        <v>0</v>
      </c>
      <c r="AT921" s="3">
        <v>0</v>
      </c>
      <c r="AU921" s="3">
        <v>9</v>
      </c>
      <c r="AV921" s="3">
        <v>2</v>
      </c>
      <c r="AW921" s="3">
        <v>7</v>
      </c>
    </row>
    <row r="922" spans="1:49">
      <c r="A922" s="4" t="s">
        <v>40</v>
      </c>
      <c r="B922" s="4" t="str">
        <f t="shared" si="14"/>
        <v>Hair Care</v>
      </c>
      <c r="C922" s="4" t="s">
        <v>1786</v>
      </c>
      <c r="D922" s="4" t="s">
        <v>578</v>
      </c>
      <c r="E922" s="24" t="s">
        <v>125</v>
      </c>
      <c r="F922" s="12" t="s">
        <v>240</v>
      </c>
      <c r="G922" s="4" t="s">
        <v>1787</v>
      </c>
      <c r="H922" s="3">
        <v>0</v>
      </c>
      <c r="I922" s="3">
        <v>1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</row>
    <row r="923" spans="1:49">
      <c r="A923" s="4" t="s">
        <v>40</v>
      </c>
      <c r="B923" s="4" t="str">
        <f t="shared" si="14"/>
        <v>Hair Care</v>
      </c>
      <c r="C923" s="4" t="s">
        <v>1786</v>
      </c>
      <c r="D923" s="4" t="s">
        <v>578</v>
      </c>
      <c r="E923" s="24" t="s">
        <v>125</v>
      </c>
      <c r="F923" s="12" t="s">
        <v>241</v>
      </c>
      <c r="G923" s="4" t="s">
        <v>1787</v>
      </c>
      <c r="H923" s="3">
        <v>0</v>
      </c>
      <c r="I923" s="3">
        <v>3</v>
      </c>
      <c r="J923" s="3">
        <v>0</v>
      </c>
      <c r="K923" s="3">
        <v>0</v>
      </c>
      <c r="L923" s="3">
        <v>0</v>
      </c>
      <c r="M923" s="3">
        <v>1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1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1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</row>
    <row r="924" spans="1:49">
      <c r="A924" s="4" t="s">
        <v>40</v>
      </c>
      <c r="B924" s="4" t="str">
        <f t="shared" si="14"/>
        <v>Hair Care</v>
      </c>
      <c r="C924" s="4" t="s">
        <v>1786</v>
      </c>
      <c r="D924" s="4" t="s">
        <v>578</v>
      </c>
      <c r="E924" s="24" t="s">
        <v>125</v>
      </c>
      <c r="F924" s="12" t="s">
        <v>242</v>
      </c>
      <c r="G924" s="4" t="s">
        <v>1787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1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</row>
    <row r="925" spans="1:49">
      <c r="A925" s="4" t="s">
        <v>40</v>
      </c>
      <c r="B925" s="4" t="str">
        <f t="shared" si="14"/>
        <v>Hair Care</v>
      </c>
      <c r="C925" s="4" t="s">
        <v>1786</v>
      </c>
      <c r="D925" s="4" t="s">
        <v>578</v>
      </c>
      <c r="E925" s="24" t="s">
        <v>125</v>
      </c>
      <c r="F925" s="12" t="s">
        <v>243</v>
      </c>
      <c r="G925" s="4" t="s">
        <v>1787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12</v>
      </c>
      <c r="AT925" s="3">
        <v>0</v>
      </c>
      <c r="AU925" s="3">
        <v>0</v>
      </c>
      <c r="AV925" s="3">
        <v>0</v>
      </c>
      <c r="AW925" s="3">
        <v>0</v>
      </c>
    </row>
    <row r="926" spans="1:49">
      <c r="A926" s="4" t="s">
        <v>40</v>
      </c>
      <c r="B926" s="4" t="str">
        <f t="shared" si="14"/>
        <v>Hair Care</v>
      </c>
      <c r="C926" s="4" t="s">
        <v>1786</v>
      </c>
      <c r="D926" s="4" t="s">
        <v>578</v>
      </c>
      <c r="E926" s="24" t="s">
        <v>125</v>
      </c>
      <c r="F926" s="12" t="s">
        <v>244</v>
      </c>
      <c r="G926" s="4" t="s">
        <v>1787</v>
      </c>
      <c r="H926" s="3">
        <v>4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</row>
    <row r="927" spans="1:49">
      <c r="A927" s="4" t="s">
        <v>40</v>
      </c>
      <c r="B927" s="4" t="str">
        <f t="shared" si="14"/>
        <v>Hair Care</v>
      </c>
      <c r="C927" s="4" t="s">
        <v>1786</v>
      </c>
      <c r="D927" s="4" t="s">
        <v>578</v>
      </c>
      <c r="E927" s="24" t="s">
        <v>125</v>
      </c>
      <c r="F927" s="12" t="s">
        <v>245</v>
      </c>
      <c r="G927" s="4" t="s">
        <v>1787</v>
      </c>
      <c r="H927" s="3">
        <v>3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</row>
    <row r="928" spans="1:49">
      <c r="A928" s="4" t="s">
        <v>40</v>
      </c>
      <c r="B928" s="4" t="str">
        <f t="shared" si="14"/>
        <v>Hair Care</v>
      </c>
      <c r="C928" s="4" t="s">
        <v>1786</v>
      </c>
      <c r="D928" s="4" t="s">
        <v>578</v>
      </c>
      <c r="E928" s="24" t="s">
        <v>125</v>
      </c>
      <c r="F928" s="12" t="s">
        <v>248</v>
      </c>
      <c r="G928" s="4" t="s">
        <v>1787</v>
      </c>
      <c r="H928" s="3">
        <v>0</v>
      </c>
      <c r="I928" s="3">
        <v>0</v>
      </c>
      <c r="J928" s="3">
        <v>1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1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9</v>
      </c>
      <c r="AT928" s="3">
        <v>0</v>
      </c>
      <c r="AU928" s="3">
        <v>0</v>
      </c>
      <c r="AV928" s="3">
        <v>0</v>
      </c>
      <c r="AW928" s="3">
        <v>0</v>
      </c>
    </row>
    <row r="929" spans="1:49">
      <c r="A929" s="4" t="s">
        <v>40</v>
      </c>
      <c r="B929" s="4" t="str">
        <f t="shared" si="14"/>
        <v>Hair Care</v>
      </c>
      <c r="C929" s="4" t="s">
        <v>1786</v>
      </c>
      <c r="D929" s="4" t="s">
        <v>578</v>
      </c>
      <c r="E929" s="24" t="s">
        <v>125</v>
      </c>
      <c r="F929" s="12" t="s">
        <v>251</v>
      </c>
      <c r="G929" s="4" t="s">
        <v>1787</v>
      </c>
      <c r="H929" s="3">
        <v>1</v>
      </c>
      <c r="I929" s="3">
        <v>0</v>
      </c>
      <c r="J929" s="3">
        <v>1</v>
      </c>
      <c r="K929" s="3">
        <v>0</v>
      </c>
      <c r="L929" s="3">
        <v>0</v>
      </c>
      <c r="M929" s="3">
        <v>0</v>
      </c>
      <c r="N929" s="3">
        <v>5</v>
      </c>
      <c r="O929" s="3">
        <v>0</v>
      </c>
      <c r="P929" s="3">
        <v>2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3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1</v>
      </c>
      <c r="AV929" s="3">
        <v>0</v>
      </c>
      <c r="AW929" s="3">
        <v>0</v>
      </c>
    </row>
    <row r="930" spans="1:49">
      <c r="A930" s="4" t="s">
        <v>40</v>
      </c>
      <c r="B930" s="4" t="str">
        <f t="shared" si="14"/>
        <v>Hair Care</v>
      </c>
      <c r="C930" s="4" t="s">
        <v>1786</v>
      </c>
      <c r="D930" s="4" t="s">
        <v>578</v>
      </c>
      <c r="E930" s="24" t="s">
        <v>125</v>
      </c>
      <c r="F930" s="12" t="s">
        <v>252</v>
      </c>
      <c r="G930" s="4" t="s">
        <v>1787</v>
      </c>
      <c r="H930" s="3">
        <v>0</v>
      </c>
      <c r="I930" s="3">
        <v>0</v>
      </c>
      <c r="J930" s="3">
        <v>1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</row>
    <row r="931" spans="1:49">
      <c r="A931" s="4" t="s">
        <v>40</v>
      </c>
      <c r="B931" s="4" t="str">
        <f t="shared" si="14"/>
        <v>Hair Care</v>
      </c>
      <c r="C931" s="4" t="s">
        <v>1786</v>
      </c>
      <c r="D931" s="4" t="s">
        <v>578</v>
      </c>
      <c r="E931" s="24" t="s">
        <v>125</v>
      </c>
      <c r="F931" s="12" t="s">
        <v>254</v>
      </c>
      <c r="G931" s="4" t="s">
        <v>1787</v>
      </c>
      <c r="H931" s="3">
        <v>2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</row>
    <row r="932" spans="1:49">
      <c r="A932" s="4" t="s">
        <v>40</v>
      </c>
      <c r="B932" s="4" t="str">
        <f t="shared" si="14"/>
        <v>Hair Care</v>
      </c>
      <c r="C932" s="4" t="s">
        <v>1786</v>
      </c>
      <c r="D932" s="4" t="s">
        <v>578</v>
      </c>
      <c r="E932" s="24" t="s">
        <v>125</v>
      </c>
      <c r="F932" s="12" t="s">
        <v>255</v>
      </c>
      <c r="G932" s="4" t="s">
        <v>1787</v>
      </c>
      <c r="H932" s="3">
        <v>1</v>
      </c>
      <c r="I932" s="3">
        <v>0</v>
      </c>
      <c r="J932" s="3">
        <v>0</v>
      </c>
      <c r="K932" s="3">
        <v>0</v>
      </c>
      <c r="L932" s="3">
        <v>1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</row>
    <row r="933" spans="1:49">
      <c r="A933" s="4" t="s">
        <v>40</v>
      </c>
      <c r="B933" s="4" t="str">
        <f t="shared" si="14"/>
        <v>Hair Care</v>
      </c>
      <c r="C933" s="4" t="s">
        <v>1786</v>
      </c>
      <c r="D933" s="4" t="s">
        <v>578</v>
      </c>
      <c r="E933" s="24" t="s">
        <v>125</v>
      </c>
      <c r="F933" s="12" t="s">
        <v>256</v>
      </c>
      <c r="G933" s="4" t="s">
        <v>1787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1</v>
      </c>
      <c r="AJ933" s="3">
        <v>0</v>
      </c>
      <c r="AK933" s="3">
        <v>3</v>
      </c>
      <c r="AL933" s="3">
        <v>2</v>
      </c>
      <c r="AM933" s="3">
        <v>1</v>
      </c>
      <c r="AN933" s="3">
        <v>1</v>
      </c>
      <c r="AO933" s="3">
        <v>0</v>
      </c>
      <c r="AP933" s="3">
        <v>5</v>
      </c>
      <c r="AQ933" s="3">
        <v>3</v>
      </c>
      <c r="AR933" s="3">
        <v>5</v>
      </c>
      <c r="AS933" s="3">
        <v>2</v>
      </c>
      <c r="AT933" s="3">
        <v>1</v>
      </c>
      <c r="AU933" s="3">
        <v>1</v>
      </c>
      <c r="AV933" s="3">
        <v>2</v>
      </c>
      <c r="AW933" s="3">
        <v>0</v>
      </c>
    </row>
    <row r="934" spans="1:49">
      <c r="A934" s="4" t="s">
        <v>40</v>
      </c>
      <c r="B934" s="4" t="str">
        <f t="shared" si="14"/>
        <v>Hair Care</v>
      </c>
      <c r="C934" s="4" t="s">
        <v>1786</v>
      </c>
      <c r="D934" s="4" t="s">
        <v>578</v>
      </c>
      <c r="E934" s="24" t="s">
        <v>125</v>
      </c>
      <c r="F934" s="12" t="s">
        <v>257</v>
      </c>
      <c r="G934" s="4" t="s">
        <v>1787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1</v>
      </c>
      <c r="AO934" s="3">
        <v>0</v>
      </c>
      <c r="AP934" s="3">
        <v>1</v>
      </c>
      <c r="AQ934" s="3">
        <v>1</v>
      </c>
      <c r="AR934" s="3">
        <v>0</v>
      </c>
      <c r="AS934" s="3">
        <v>0</v>
      </c>
      <c r="AT934" s="3">
        <v>2</v>
      </c>
      <c r="AU934" s="3">
        <v>1</v>
      </c>
      <c r="AV934" s="3">
        <v>0</v>
      </c>
      <c r="AW934" s="3">
        <v>0</v>
      </c>
    </row>
    <row r="935" spans="1:49">
      <c r="A935" s="4" t="s">
        <v>40</v>
      </c>
      <c r="B935" s="4" t="str">
        <f t="shared" si="14"/>
        <v>Hair Care</v>
      </c>
      <c r="C935" s="4" t="s">
        <v>1786</v>
      </c>
      <c r="D935" s="4" t="s">
        <v>578</v>
      </c>
      <c r="E935" s="24" t="s">
        <v>125</v>
      </c>
      <c r="F935" s="12" t="s">
        <v>260</v>
      </c>
      <c r="G935" s="4" t="s">
        <v>1787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1</v>
      </c>
      <c r="AK935" s="3">
        <v>1</v>
      </c>
      <c r="AL935" s="3">
        <v>1</v>
      </c>
      <c r="AM935" s="3">
        <v>1</v>
      </c>
      <c r="AN935" s="3">
        <v>2</v>
      </c>
      <c r="AO935" s="3">
        <v>0</v>
      </c>
      <c r="AP935" s="3">
        <v>3</v>
      </c>
      <c r="AQ935" s="3">
        <v>1</v>
      </c>
      <c r="AR935" s="3">
        <v>2</v>
      </c>
      <c r="AS935" s="3">
        <v>0</v>
      </c>
      <c r="AT935" s="3">
        <v>0</v>
      </c>
      <c r="AU935" s="3">
        <v>1</v>
      </c>
      <c r="AV935" s="3">
        <v>1</v>
      </c>
      <c r="AW935" s="3">
        <v>0</v>
      </c>
    </row>
    <row r="936" spans="1:49">
      <c r="A936" s="4" t="s">
        <v>40</v>
      </c>
      <c r="B936" s="4" t="str">
        <f t="shared" si="14"/>
        <v>Hair Care</v>
      </c>
      <c r="C936" s="4" t="s">
        <v>1786</v>
      </c>
      <c r="D936" s="4" t="s">
        <v>578</v>
      </c>
      <c r="E936" s="24" t="s">
        <v>125</v>
      </c>
      <c r="F936" s="12" t="s">
        <v>262</v>
      </c>
      <c r="G936" s="4" t="s">
        <v>1787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12</v>
      </c>
      <c r="AT936" s="3">
        <v>0</v>
      </c>
      <c r="AU936" s="3">
        <v>0</v>
      </c>
      <c r="AV936" s="3">
        <v>0</v>
      </c>
      <c r="AW936" s="3">
        <v>0</v>
      </c>
    </row>
    <row r="937" spans="1:49">
      <c r="A937" s="4" t="s">
        <v>40</v>
      </c>
      <c r="B937" s="4" t="str">
        <f t="shared" si="14"/>
        <v>Hair Care</v>
      </c>
      <c r="C937" s="4" t="s">
        <v>1786</v>
      </c>
      <c r="D937" s="4" t="s">
        <v>578</v>
      </c>
      <c r="E937" s="24" t="s">
        <v>125</v>
      </c>
      <c r="F937" s="12" t="s">
        <v>263</v>
      </c>
      <c r="G937" s="4" t="s">
        <v>1787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12</v>
      </c>
      <c r="AT937" s="3">
        <v>0</v>
      </c>
      <c r="AU937" s="3">
        <v>0</v>
      </c>
      <c r="AV937" s="3">
        <v>0</v>
      </c>
      <c r="AW937" s="3">
        <v>0</v>
      </c>
    </row>
    <row r="938" spans="1:49">
      <c r="A938" s="4" t="s">
        <v>40</v>
      </c>
      <c r="B938" s="4" t="str">
        <f t="shared" si="14"/>
        <v>Hair Care</v>
      </c>
      <c r="C938" s="4" t="s">
        <v>1786</v>
      </c>
      <c r="D938" s="4" t="s">
        <v>578</v>
      </c>
      <c r="E938" s="24" t="s">
        <v>125</v>
      </c>
      <c r="F938" s="12" t="s">
        <v>576</v>
      </c>
      <c r="G938" s="4" t="s">
        <v>1787</v>
      </c>
      <c r="H938" s="3">
        <v>0</v>
      </c>
      <c r="I938" s="3">
        <v>0</v>
      </c>
      <c r="J938" s="3">
        <v>1</v>
      </c>
      <c r="K938" s="3">
        <v>0</v>
      </c>
      <c r="L938" s="3">
        <v>1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12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</row>
    <row r="939" spans="1:49">
      <c r="A939" s="4" t="s">
        <v>40</v>
      </c>
      <c r="B939" s="4" t="str">
        <f t="shared" si="14"/>
        <v>Hair Care</v>
      </c>
      <c r="C939" s="4" t="s">
        <v>1786</v>
      </c>
      <c r="D939" s="4" t="s">
        <v>578</v>
      </c>
      <c r="E939" s="24" t="s">
        <v>125</v>
      </c>
      <c r="F939" s="12" t="s">
        <v>273</v>
      </c>
      <c r="G939" s="4" t="s">
        <v>1787</v>
      </c>
      <c r="H939" s="3">
        <v>1</v>
      </c>
      <c r="I939" s="3">
        <v>0</v>
      </c>
      <c r="J939" s="3">
        <v>0</v>
      </c>
      <c r="K939" s="3">
        <v>0</v>
      </c>
      <c r="L939" s="3">
        <v>1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</row>
    <row r="940" spans="1:49">
      <c r="A940" s="4" t="s">
        <v>40</v>
      </c>
      <c r="B940" s="4" t="str">
        <f t="shared" si="14"/>
        <v>Hair Care</v>
      </c>
      <c r="C940" s="4" t="s">
        <v>1786</v>
      </c>
      <c r="D940" s="4" t="s">
        <v>578</v>
      </c>
      <c r="E940" s="24" t="s">
        <v>125</v>
      </c>
      <c r="F940" s="12" t="s">
        <v>274</v>
      </c>
      <c r="G940" s="4" t="s">
        <v>1787</v>
      </c>
      <c r="H940" s="3">
        <v>1</v>
      </c>
      <c r="I940" s="3">
        <v>0</v>
      </c>
      <c r="J940" s="3">
        <v>1</v>
      </c>
      <c r="K940" s="3">
        <v>1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</row>
    <row r="941" spans="1:49">
      <c r="A941" s="4" t="s">
        <v>40</v>
      </c>
      <c r="B941" s="4" t="str">
        <f t="shared" si="14"/>
        <v>Hair Care</v>
      </c>
      <c r="C941" s="4" t="s">
        <v>1786</v>
      </c>
      <c r="D941" s="4" t="s">
        <v>578</v>
      </c>
      <c r="E941" s="24" t="s">
        <v>125</v>
      </c>
      <c r="F941" s="12" t="s">
        <v>275</v>
      </c>
      <c r="G941" s="4" t="s">
        <v>1787</v>
      </c>
      <c r="H941" s="3">
        <v>0</v>
      </c>
      <c r="I941" s="3">
        <v>0</v>
      </c>
      <c r="J941" s="3">
        <v>0</v>
      </c>
      <c r="K941" s="3">
        <v>4</v>
      </c>
      <c r="L941" s="3">
        <v>6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</row>
    <row r="942" spans="1:49">
      <c r="A942" s="4" t="s">
        <v>40</v>
      </c>
      <c r="B942" s="4" t="str">
        <f t="shared" si="14"/>
        <v>Hair Care</v>
      </c>
      <c r="C942" s="4" t="s">
        <v>1786</v>
      </c>
      <c r="D942" s="4" t="s">
        <v>578</v>
      </c>
      <c r="E942" s="24" t="s">
        <v>125</v>
      </c>
      <c r="F942" s="12" t="s">
        <v>276</v>
      </c>
      <c r="G942" s="4" t="s">
        <v>1787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12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</row>
    <row r="943" spans="1:49">
      <c r="A943" s="4" t="s">
        <v>40</v>
      </c>
      <c r="B943" s="4" t="str">
        <f t="shared" si="14"/>
        <v>Hair Care</v>
      </c>
      <c r="C943" s="4" t="s">
        <v>1786</v>
      </c>
      <c r="D943" s="4" t="s">
        <v>578</v>
      </c>
      <c r="E943" s="24" t="s">
        <v>125</v>
      </c>
      <c r="F943" s="12" t="s">
        <v>277</v>
      </c>
      <c r="G943" s="4" t="s">
        <v>1787</v>
      </c>
      <c r="H943" s="3">
        <v>0</v>
      </c>
      <c r="I943" s="3">
        <v>0</v>
      </c>
      <c r="J943" s="3">
        <v>0</v>
      </c>
      <c r="K943" s="3">
        <v>0</v>
      </c>
      <c r="L943" s="3">
        <v>1</v>
      </c>
      <c r="M943" s="3">
        <v>0</v>
      </c>
      <c r="N943" s="3">
        <v>0</v>
      </c>
      <c r="O943" s="3">
        <v>0</v>
      </c>
      <c r="P943" s="3">
        <v>1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</row>
    <row r="944" spans="1:49">
      <c r="A944" s="4" t="s">
        <v>40</v>
      </c>
      <c r="B944" s="4" t="str">
        <f t="shared" si="14"/>
        <v>Hair Care</v>
      </c>
      <c r="C944" s="4" t="s">
        <v>1786</v>
      </c>
      <c r="D944" s="4" t="s">
        <v>578</v>
      </c>
      <c r="E944" s="24" t="s">
        <v>125</v>
      </c>
      <c r="F944" s="12" t="s">
        <v>278</v>
      </c>
      <c r="G944" s="4" t="s">
        <v>1787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12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</row>
    <row r="945" spans="1:49">
      <c r="A945" s="4" t="s">
        <v>40</v>
      </c>
      <c r="B945" s="4" t="str">
        <f t="shared" si="14"/>
        <v>Hair Care</v>
      </c>
      <c r="C945" s="4" t="s">
        <v>1786</v>
      </c>
      <c r="D945" s="4" t="s">
        <v>578</v>
      </c>
      <c r="E945" s="24" t="s">
        <v>125</v>
      </c>
      <c r="F945" s="12" t="s">
        <v>280</v>
      </c>
      <c r="G945" s="4" t="s">
        <v>1787</v>
      </c>
      <c r="H945" s="3">
        <v>0</v>
      </c>
      <c r="I945" s="3">
        <v>0</v>
      </c>
      <c r="J945" s="3">
        <v>1</v>
      </c>
      <c r="K945" s="3">
        <v>0</v>
      </c>
      <c r="L945" s="3">
        <v>7</v>
      </c>
      <c r="M945" s="3">
        <v>0</v>
      </c>
      <c r="N945" s="3">
        <v>2</v>
      </c>
      <c r="O945" s="3">
        <v>0</v>
      </c>
      <c r="P945" s="3">
        <v>0</v>
      </c>
      <c r="Q945" s="3">
        <v>2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</row>
    <row r="946" spans="1:49">
      <c r="A946" s="4" t="s">
        <v>40</v>
      </c>
      <c r="B946" s="4" t="str">
        <f t="shared" si="14"/>
        <v>Hair Care</v>
      </c>
      <c r="C946" s="4" t="s">
        <v>1786</v>
      </c>
      <c r="D946" s="4" t="s">
        <v>578</v>
      </c>
      <c r="E946" s="24" t="s">
        <v>125</v>
      </c>
      <c r="F946" s="12" t="s">
        <v>281</v>
      </c>
      <c r="G946" s="4" t="s">
        <v>1787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2</v>
      </c>
      <c r="O946" s="3">
        <v>1</v>
      </c>
      <c r="P946" s="3">
        <v>0</v>
      </c>
      <c r="Q946" s="3">
        <v>2</v>
      </c>
      <c r="R946" s="3">
        <v>1</v>
      </c>
      <c r="S946" s="3">
        <v>0</v>
      </c>
      <c r="T946" s="3">
        <v>2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1</v>
      </c>
      <c r="AA946" s="3">
        <v>1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</row>
    <row r="947" spans="1:49">
      <c r="A947" s="4" t="s">
        <v>40</v>
      </c>
      <c r="B947" s="4" t="str">
        <f t="shared" si="14"/>
        <v>Hair Care</v>
      </c>
      <c r="C947" s="4" t="s">
        <v>1786</v>
      </c>
      <c r="D947" s="4" t="s">
        <v>578</v>
      </c>
      <c r="E947" s="24" t="s">
        <v>282</v>
      </c>
      <c r="F947" s="12" t="s">
        <v>284</v>
      </c>
      <c r="G947" s="4" t="s">
        <v>1787</v>
      </c>
      <c r="H947" s="3">
        <v>2</v>
      </c>
      <c r="I947" s="3">
        <v>1</v>
      </c>
      <c r="J947" s="3">
        <v>1</v>
      </c>
      <c r="K947" s="3">
        <v>0</v>
      </c>
      <c r="L947" s="3">
        <v>1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</row>
    <row r="948" spans="1:49">
      <c r="A948" s="4" t="s">
        <v>40</v>
      </c>
      <c r="B948" s="4" t="str">
        <f t="shared" si="14"/>
        <v>Hair Care</v>
      </c>
      <c r="C948" s="4" t="s">
        <v>1786</v>
      </c>
      <c r="D948" s="4" t="s">
        <v>578</v>
      </c>
      <c r="E948" s="24" t="s">
        <v>282</v>
      </c>
      <c r="F948" s="12" t="s">
        <v>285</v>
      </c>
      <c r="G948" s="4" t="s">
        <v>1787</v>
      </c>
      <c r="H948" s="3">
        <v>2</v>
      </c>
      <c r="I948" s="3">
        <v>0</v>
      </c>
      <c r="J948" s="3">
        <v>0</v>
      </c>
      <c r="K948" s="3">
        <v>0</v>
      </c>
      <c r="L948" s="3">
        <v>1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</row>
    <row r="949" spans="1:49">
      <c r="A949" s="4" t="s">
        <v>40</v>
      </c>
      <c r="B949" s="4" t="str">
        <f t="shared" si="14"/>
        <v>Hair Care</v>
      </c>
      <c r="C949" s="4" t="s">
        <v>1786</v>
      </c>
      <c r="D949" s="4" t="s">
        <v>578</v>
      </c>
      <c r="E949" s="24" t="s">
        <v>282</v>
      </c>
      <c r="F949" s="12" t="s">
        <v>287</v>
      </c>
      <c r="G949" s="4" t="s">
        <v>1787</v>
      </c>
      <c r="H949" s="3">
        <v>0</v>
      </c>
      <c r="I949" s="3">
        <v>0</v>
      </c>
      <c r="J949" s="3">
        <v>0</v>
      </c>
      <c r="K949" s="3">
        <v>0</v>
      </c>
      <c r="L949" s="3">
        <v>2</v>
      </c>
      <c r="M949" s="3">
        <v>5</v>
      </c>
      <c r="N949" s="3">
        <v>1</v>
      </c>
      <c r="O949" s="3">
        <v>6</v>
      </c>
      <c r="P949" s="3">
        <v>0</v>
      </c>
      <c r="Q949" s="3">
        <v>0</v>
      </c>
      <c r="R949" s="3">
        <v>0</v>
      </c>
      <c r="S949" s="3">
        <v>0</v>
      </c>
      <c r="T949" s="3">
        <v>1</v>
      </c>
      <c r="U949" s="3">
        <v>0</v>
      </c>
      <c r="V949" s="3">
        <v>1</v>
      </c>
      <c r="W949" s="3">
        <v>1</v>
      </c>
      <c r="X949" s="3">
        <v>6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6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1</v>
      </c>
      <c r="AQ949" s="3">
        <v>0</v>
      </c>
      <c r="AR949" s="3">
        <v>0</v>
      </c>
      <c r="AS949" s="3">
        <v>2</v>
      </c>
      <c r="AT949" s="3">
        <v>0</v>
      </c>
      <c r="AU949" s="3">
        <v>0</v>
      </c>
      <c r="AV949" s="3">
        <v>6</v>
      </c>
      <c r="AW949" s="3">
        <v>0</v>
      </c>
    </row>
    <row r="950" spans="1:49">
      <c r="A950" s="4" t="s">
        <v>40</v>
      </c>
      <c r="B950" s="4" t="str">
        <f t="shared" si="14"/>
        <v>Hair Care</v>
      </c>
      <c r="C950" s="4" t="s">
        <v>1786</v>
      </c>
      <c r="D950" s="4" t="s">
        <v>578</v>
      </c>
      <c r="E950" s="24" t="s">
        <v>282</v>
      </c>
      <c r="F950" s="12" t="s">
        <v>288</v>
      </c>
      <c r="G950" s="4" t="s">
        <v>1787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5</v>
      </c>
      <c r="N950" s="3">
        <v>0</v>
      </c>
      <c r="O950" s="3">
        <v>2</v>
      </c>
      <c r="P950" s="3">
        <v>1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1</v>
      </c>
      <c r="W950" s="3">
        <v>0</v>
      </c>
      <c r="X950" s="3">
        <v>2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1</v>
      </c>
      <c r="AI950" s="3">
        <v>0</v>
      </c>
      <c r="AJ950" s="3">
        <v>1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1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2</v>
      </c>
      <c r="AW950" s="3">
        <v>0</v>
      </c>
    </row>
    <row r="951" spans="1:49">
      <c r="A951" s="4" t="s">
        <v>40</v>
      </c>
      <c r="B951" s="4" t="str">
        <f t="shared" si="14"/>
        <v>Hair Care</v>
      </c>
      <c r="C951" s="4" t="s">
        <v>1786</v>
      </c>
      <c r="D951" s="4" t="s">
        <v>578</v>
      </c>
      <c r="E951" s="24" t="s">
        <v>282</v>
      </c>
      <c r="F951" s="12" t="s">
        <v>289</v>
      </c>
      <c r="G951" s="4" t="s">
        <v>1787</v>
      </c>
      <c r="H951" s="3">
        <v>0</v>
      </c>
      <c r="I951" s="3">
        <v>0</v>
      </c>
      <c r="J951" s="3">
        <v>0</v>
      </c>
      <c r="K951" s="3">
        <v>3</v>
      </c>
      <c r="L951" s="3">
        <v>6</v>
      </c>
      <c r="M951" s="3">
        <v>1</v>
      </c>
      <c r="N951" s="3">
        <v>0</v>
      </c>
      <c r="O951" s="3">
        <v>0</v>
      </c>
      <c r="P951" s="3">
        <v>0</v>
      </c>
      <c r="Q951" s="3">
        <v>1</v>
      </c>
      <c r="R951" s="3">
        <v>1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3</v>
      </c>
      <c r="AA951" s="3">
        <v>0</v>
      </c>
      <c r="AB951" s="3">
        <v>0</v>
      </c>
      <c r="AC951" s="3">
        <v>0</v>
      </c>
      <c r="AD951" s="3">
        <v>3</v>
      </c>
      <c r="AE951" s="3">
        <v>1</v>
      </c>
      <c r="AF951" s="3">
        <v>1</v>
      </c>
      <c r="AG951" s="3">
        <v>0</v>
      </c>
      <c r="AH951" s="3">
        <v>0</v>
      </c>
      <c r="AI951" s="3">
        <v>0</v>
      </c>
      <c r="AJ951" s="3">
        <v>2</v>
      </c>
      <c r="AK951" s="3">
        <v>1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</row>
    <row r="952" spans="1:49">
      <c r="A952" s="4" t="s">
        <v>40</v>
      </c>
      <c r="B952" s="4" t="str">
        <f t="shared" si="14"/>
        <v>Hair Care</v>
      </c>
      <c r="C952" s="4" t="s">
        <v>1786</v>
      </c>
      <c r="D952" s="4" t="s">
        <v>578</v>
      </c>
      <c r="E952" s="24" t="s">
        <v>282</v>
      </c>
      <c r="F952" s="12" t="s">
        <v>290</v>
      </c>
      <c r="G952" s="4" t="s">
        <v>1787</v>
      </c>
      <c r="H952" s="3">
        <v>0</v>
      </c>
      <c r="I952" s="3">
        <v>0</v>
      </c>
      <c r="J952" s="3">
        <v>0</v>
      </c>
      <c r="K952" s="3">
        <v>3</v>
      </c>
      <c r="L952" s="3">
        <v>6</v>
      </c>
      <c r="M952" s="3">
        <v>1</v>
      </c>
      <c r="N952" s="3">
        <v>0</v>
      </c>
      <c r="O952" s="3">
        <v>0</v>
      </c>
      <c r="P952" s="3">
        <v>0</v>
      </c>
      <c r="Q952" s="3">
        <v>1</v>
      </c>
      <c r="R952" s="3">
        <v>0</v>
      </c>
      <c r="S952" s="3">
        <v>0</v>
      </c>
      <c r="T952" s="3">
        <v>0</v>
      </c>
      <c r="U952" s="3">
        <v>0</v>
      </c>
      <c r="V952" s="3">
        <v>3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3</v>
      </c>
      <c r="AD952" s="3">
        <v>3</v>
      </c>
      <c r="AE952" s="3">
        <v>1</v>
      </c>
      <c r="AF952" s="3">
        <v>1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1</v>
      </c>
      <c r="AV952" s="3">
        <v>0</v>
      </c>
      <c r="AW952" s="3">
        <v>0</v>
      </c>
    </row>
    <row r="953" spans="1:49">
      <c r="A953" s="4" t="s">
        <v>40</v>
      </c>
      <c r="B953" s="4" t="str">
        <f t="shared" si="14"/>
        <v>Hair Care</v>
      </c>
      <c r="C953" s="4" t="s">
        <v>1786</v>
      </c>
      <c r="D953" s="4" t="s">
        <v>578</v>
      </c>
      <c r="E953" s="24" t="s">
        <v>282</v>
      </c>
      <c r="F953" s="12" t="s">
        <v>291</v>
      </c>
      <c r="G953" s="4" t="s">
        <v>1787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1</v>
      </c>
      <c r="N953" s="3">
        <v>1</v>
      </c>
      <c r="O953" s="3">
        <v>0</v>
      </c>
      <c r="P953" s="3">
        <v>1</v>
      </c>
      <c r="Q953" s="3">
        <v>2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1</v>
      </c>
      <c r="AI953" s="3">
        <v>1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</row>
    <row r="954" spans="1:49">
      <c r="A954" s="4" t="s">
        <v>40</v>
      </c>
      <c r="B954" s="4" t="str">
        <f t="shared" si="14"/>
        <v>Hair Care</v>
      </c>
      <c r="C954" s="4" t="s">
        <v>1786</v>
      </c>
      <c r="D954" s="4" t="s">
        <v>578</v>
      </c>
      <c r="E954" s="24" t="s">
        <v>282</v>
      </c>
      <c r="F954" s="12" t="s">
        <v>292</v>
      </c>
      <c r="G954" s="4" t="s">
        <v>1787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1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1</v>
      </c>
      <c r="AI954" s="3">
        <v>0</v>
      </c>
      <c r="AJ954" s="3">
        <v>0</v>
      </c>
      <c r="AK954" s="3">
        <v>0</v>
      </c>
      <c r="AL954" s="3">
        <v>1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</row>
    <row r="955" spans="1:49">
      <c r="A955" s="4" t="s">
        <v>40</v>
      </c>
      <c r="B955" s="4" t="str">
        <f t="shared" si="14"/>
        <v>Hair Care</v>
      </c>
      <c r="C955" s="4" t="s">
        <v>1786</v>
      </c>
      <c r="D955" s="4" t="s">
        <v>578</v>
      </c>
      <c r="E955" s="24" t="s">
        <v>282</v>
      </c>
      <c r="F955" s="12" t="s">
        <v>293</v>
      </c>
      <c r="G955" s="4" t="s">
        <v>1787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3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</row>
    <row r="956" spans="1:49">
      <c r="A956" s="4" t="s">
        <v>40</v>
      </c>
      <c r="B956" s="4" t="str">
        <f t="shared" si="14"/>
        <v>Hair Care</v>
      </c>
      <c r="C956" s="4" t="s">
        <v>1786</v>
      </c>
      <c r="D956" s="4" t="s">
        <v>578</v>
      </c>
      <c r="E956" s="24" t="s">
        <v>282</v>
      </c>
      <c r="F956" s="12" t="s">
        <v>294</v>
      </c>
      <c r="G956" s="4" t="s">
        <v>1787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2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</row>
    <row r="957" spans="1:49">
      <c r="A957" s="4" t="s">
        <v>40</v>
      </c>
      <c r="B957" s="4" t="str">
        <f t="shared" si="14"/>
        <v>Hair Care</v>
      </c>
      <c r="C957" s="4" t="s">
        <v>1786</v>
      </c>
      <c r="D957" s="4" t="s">
        <v>578</v>
      </c>
      <c r="E957" s="24" t="s">
        <v>282</v>
      </c>
      <c r="F957" s="12" t="s">
        <v>295</v>
      </c>
      <c r="G957" s="4" t="s">
        <v>1787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4</v>
      </c>
      <c r="AQ957" s="3">
        <v>0</v>
      </c>
      <c r="AR957" s="3">
        <v>2</v>
      </c>
      <c r="AS957" s="3">
        <v>7</v>
      </c>
      <c r="AT957" s="3">
        <v>1</v>
      </c>
      <c r="AU957" s="3">
        <v>3</v>
      </c>
      <c r="AV957" s="3">
        <v>4</v>
      </c>
      <c r="AW957" s="3">
        <v>1</v>
      </c>
    </row>
    <row r="958" spans="1:49">
      <c r="A958" s="4" t="s">
        <v>40</v>
      </c>
      <c r="B958" s="4" t="str">
        <f t="shared" si="14"/>
        <v>Hair Care</v>
      </c>
      <c r="C958" s="4" t="s">
        <v>1786</v>
      </c>
      <c r="D958" s="4" t="s">
        <v>578</v>
      </c>
      <c r="E958" s="24" t="s">
        <v>282</v>
      </c>
      <c r="F958" s="12" t="s">
        <v>296</v>
      </c>
      <c r="G958" s="4" t="s">
        <v>1787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7</v>
      </c>
      <c r="AT958" s="3">
        <v>1</v>
      </c>
      <c r="AU958" s="3">
        <v>2</v>
      </c>
      <c r="AV958" s="3">
        <v>1</v>
      </c>
      <c r="AW958" s="3">
        <v>1</v>
      </c>
    </row>
    <row r="959" spans="1:49">
      <c r="A959" s="4" t="s">
        <v>40</v>
      </c>
      <c r="B959" s="4" t="str">
        <f t="shared" si="14"/>
        <v>Hair Care</v>
      </c>
      <c r="C959" s="4" t="s">
        <v>1786</v>
      </c>
      <c r="D959" s="4" t="s">
        <v>578</v>
      </c>
      <c r="E959" s="24" t="s">
        <v>282</v>
      </c>
      <c r="F959" s="12" t="s">
        <v>297</v>
      </c>
      <c r="G959" s="4" t="s">
        <v>1787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1</v>
      </c>
      <c r="AU959" s="3">
        <v>0</v>
      </c>
      <c r="AV959" s="3">
        <v>2</v>
      </c>
      <c r="AW959" s="3">
        <v>0</v>
      </c>
    </row>
    <row r="960" spans="1:49">
      <c r="A960" s="4" t="s">
        <v>40</v>
      </c>
      <c r="B960" s="4" t="str">
        <f t="shared" si="14"/>
        <v>Hair Care</v>
      </c>
      <c r="C960" s="4" t="s">
        <v>1786</v>
      </c>
      <c r="D960" s="4" t="s">
        <v>578</v>
      </c>
      <c r="E960" s="24" t="s">
        <v>42</v>
      </c>
      <c r="F960" s="12" t="s">
        <v>298</v>
      </c>
      <c r="G960" s="4" t="s">
        <v>1787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2</v>
      </c>
      <c r="Z960" s="3">
        <v>1</v>
      </c>
      <c r="AA960" s="3">
        <v>0</v>
      </c>
      <c r="AB960" s="3">
        <v>2</v>
      </c>
      <c r="AC960" s="3">
        <v>0</v>
      </c>
      <c r="AD960" s="3">
        <v>0</v>
      </c>
      <c r="AE960" s="3">
        <v>1</v>
      </c>
      <c r="AF960" s="3">
        <v>1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1</v>
      </c>
      <c r="AQ960" s="3">
        <v>0</v>
      </c>
      <c r="AR960" s="3">
        <v>0</v>
      </c>
      <c r="AS960" s="3">
        <v>0</v>
      </c>
      <c r="AT960" s="3">
        <v>1</v>
      </c>
      <c r="AU960" s="3">
        <v>1</v>
      </c>
      <c r="AV960" s="3">
        <v>0</v>
      </c>
      <c r="AW960" s="3">
        <v>0</v>
      </c>
    </row>
    <row r="961" spans="1:49">
      <c r="A961" s="4" t="s">
        <v>40</v>
      </c>
      <c r="B961" s="4" t="str">
        <f t="shared" si="14"/>
        <v>Hair Care</v>
      </c>
      <c r="C961" s="4" t="s">
        <v>1786</v>
      </c>
      <c r="D961" s="4" t="s">
        <v>578</v>
      </c>
      <c r="E961" s="24" t="s">
        <v>42</v>
      </c>
      <c r="F961" s="12" t="s">
        <v>299</v>
      </c>
      <c r="G961" s="4" t="s">
        <v>1787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1</v>
      </c>
      <c r="N961" s="3">
        <v>2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1</v>
      </c>
      <c r="U961" s="3">
        <v>0</v>
      </c>
      <c r="V961" s="3">
        <v>1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</row>
    <row r="962" spans="1:49">
      <c r="A962" s="4" t="s">
        <v>40</v>
      </c>
      <c r="B962" s="4" t="str">
        <f t="shared" si="14"/>
        <v>Hair Care</v>
      </c>
      <c r="C962" s="4" t="s">
        <v>1786</v>
      </c>
      <c r="D962" s="4" t="s">
        <v>578</v>
      </c>
      <c r="E962" s="24" t="s">
        <v>42</v>
      </c>
      <c r="F962" s="12" t="s">
        <v>300</v>
      </c>
      <c r="G962" s="4" t="s">
        <v>1787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5</v>
      </c>
      <c r="N962" s="3">
        <v>4</v>
      </c>
      <c r="O962" s="3">
        <v>3</v>
      </c>
      <c r="P962" s="3">
        <v>1</v>
      </c>
      <c r="Q962" s="3">
        <v>1</v>
      </c>
      <c r="R962" s="3">
        <v>0</v>
      </c>
      <c r="S962" s="3">
        <v>2</v>
      </c>
      <c r="T962" s="3">
        <v>2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</row>
    <row r="963" spans="1:49">
      <c r="A963" s="4" t="s">
        <v>40</v>
      </c>
      <c r="B963" s="4" t="str">
        <f t="shared" ref="B963:B1026" si="15">A963</f>
        <v>Hair Care</v>
      </c>
      <c r="C963" s="4" t="s">
        <v>1786</v>
      </c>
      <c r="D963" s="4" t="s">
        <v>578</v>
      </c>
      <c r="E963" s="24" t="s">
        <v>42</v>
      </c>
      <c r="F963" s="12" t="s">
        <v>301</v>
      </c>
      <c r="G963" s="4" t="s">
        <v>1787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1</v>
      </c>
      <c r="P963" s="3">
        <v>0</v>
      </c>
      <c r="Q963" s="3">
        <v>3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2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</row>
    <row r="964" spans="1:49">
      <c r="A964" s="4" t="s">
        <v>40</v>
      </c>
      <c r="B964" s="4" t="str">
        <f t="shared" si="15"/>
        <v>Hair Care</v>
      </c>
      <c r="C964" s="4" t="s">
        <v>1786</v>
      </c>
      <c r="D964" s="4" t="s">
        <v>578</v>
      </c>
      <c r="E964" s="24" t="s">
        <v>42</v>
      </c>
      <c r="F964" s="12" t="s">
        <v>302</v>
      </c>
      <c r="G964" s="4" t="s">
        <v>1787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2</v>
      </c>
      <c r="O964" s="3">
        <v>0</v>
      </c>
      <c r="P964" s="3">
        <v>0</v>
      </c>
      <c r="Q964" s="3">
        <v>3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</row>
    <row r="965" spans="1:49">
      <c r="A965" s="4" t="s">
        <v>40</v>
      </c>
      <c r="B965" s="4" t="str">
        <f t="shared" si="15"/>
        <v>Hair Care</v>
      </c>
      <c r="C965" s="4" t="s">
        <v>1786</v>
      </c>
      <c r="D965" s="4" t="s">
        <v>578</v>
      </c>
      <c r="E965" s="24" t="s">
        <v>42</v>
      </c>
      <c r="F965" s="12" t="s">
        <v>304</v>
      </c>
      <c r="G965" s="4" t="s">
        <v>1787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1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</row>
    <row r="966" spans="1:49">
      <c r="A966" s="4" t="s">
        <v>40</v>
      </c>
      <c r="B966" s="4" t="str">
        <f t="shared" si="15"/>
        <v>Hair Care</v>
      </c>
      <c r="C966" s="4" t="s">
        <v>1786</v>
      </c>
      <c r="D966" s="4" t="s">
        <v>578</v>
      </c>
      <c r="E966" s="24" t="s">
        <v>42</v>
      </c>
      <c r="F966" s="12" t="s">
        <v>305</v>
      </c>
      <c r="G966" s="4" t="s">
        <v>1787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1</v>
      </c>
      <c r="Y966" s="3">
        <v>1</v>
      </c>
      <c r="Z966" s="3">
        <v>1</v>
      </c>
      <c r="AA966" s="3">
        <v>1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</row>
    <row r="967" spans="1:49">
      <c r="A967" s="4" t="s">
        <v>40</v>
      </c>
      <c r="B967" s="4" t="str">
        <f t="shared" si="15"/>
        <v>Hair Care</v>
      </c>
      <c r="C967" s="4" t="s">
        <v>1786</v>
      </c>
      <c r="D967" s="4" t="s">
        <v>578</v>
      </c>
      <c r="E967" s="24" t="s">
        <v>42</v>
      </c>
      <c r="F967" s="12" t="s">
        <v>306</v>
      </c>
      <c r="G967" s="4" t="s">
        <v>1787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1</v>
      </c>
      <c r="R967" s="3">
        <v>0</v>
      </c>
      <c r="S967" s="3">
        <v>1</v>
      </c>
      <c r="T967" s="3">
        <v>0</v>
      </c>
      <c r="U967" s="3">
        <v>0</v>
      </c>
      <c r="V967" s="3">
        <v>0</v>
      </c>
      <c r="W967" s="3">
        <v>0</v>
      </c>
      <c r="X967" s="3">
        <v>1</v>
      </c>
      <c r="Y967" s="3">
        <v>1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1</v>
      </c>
      <c r="AF967" s="3">
        <v>0</v>
      </c>
      <c r="AG967" s="3">
        <v>0</v>
      </c>
      <c r="AH967" s="3">
        <v>1</v>
      </c>
      <c r="AI967" s="3">
        <v>0</v>
      </c>
      <c r="AJ967" s="3">
        <v>0</v>
      </c>
      <c r="AK967" s="3">
        <v>0</v>
      </c>
      <c r="AL967" s="3">
        <v>1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3</v>
      </c>
      <c r="AS967" s="3">
        <v>0</v>
      </c>
      <c r="AT967" s="3">
        <v>0</v>
      </c>
      <c r="AU967" s="3">
        <v>1</v>
      </c>
      <c r="AV967" s="3">
        <v>0</v>
      </c>
      <c r="AW967" s="3">
        <v>0</v>
      </c>
    </row>
    <row r="968" spans="1:49">
      <c r="A968" s="4" t="s">
        <v>40</v>
      </c>
      <c r="B968" s="4" t="str">
        <f t="shared" si="15"/>
        <v>Hair Care</v>
      </c>
      <c r="C968" s="4" t="s">
        <v>1786</v>
      </c>
      <c r="D968" s="4" t="s">
        <v>578</v>
      </c>
      <c r="E968" s="24" t="s">
        <v>42</v>
      </c>
      <c r="F968" s="12" t="s">
        <v>307</v>
      </c>
      <c r="G968" s="4" t="s">
        <v>1787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2</v>
      </c>
      <c r="O968" s="3">
        <v>1</v>
      </c>
      <c r="P968" s="3">
        <v>0</v>
      </c>
      <c r="Q968" s="3">
        <v>1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1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</row>
    <row r="969" spans="1:49">
      <c r="A969" s="4" t="s">
        <v>40</v>
      </c>
      <c r="B969" s="4" t="str">
        <f t="shared" si="15"/>
        <v>Hair Care</v>
      </c>
      <c r="C969" s="4" t="s">
        <v>1786</v>
      </c>
      <c r="D969" s="4" t="s">
        <v>578</v>
      </c>
      <c r="E969" s="24" t="s">
        <v>42</v>
      </c>
      <c r="F969" s="12" t="s">
        <v>308</v>
      </c>
      <c r="G969" s="4" t="s">
        <v>1787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1</v>
      </c>
      <c r="W969" s="3">
        <v>1</v>
      </c>
      <c r="X969" s="3">
        <v>1</v>
      </c>
      <c r="Y969" s="3">
        <v>0</v>
      </c>
      <c r="Z969" s="3">
        <v>1</v>
      </c>
      <c r="AA969" s="3">
        <v>1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</row>
    <row r="970" spans="1:49">
      <c r="A970" s="4" t="s">
        <v>40</v>
      </c>
      <c r="B970" s="4" t="str">
        <f t="shared" si="15"/>
        <v>Hair Care</v>
      </c>
      <c r="C970" s="4" t="s">
        <v>1786</v>
      </c>
      <c r="D970" s="4" t="s">
        <v>578</v>
      </c>
      <c r="E970" s="24" t="s">
        <v>42</v>
      </c>
      <c r="F970" s="12" t="s">
        <v>309</v>
      </c>
      <c r="G970" s="4" t="s">
        <v>1787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1</v>
      </c>
      <c r="N970" s="3">
        <v>4</v>
      </c>
      <c r="O970" s="3">
        <v>1</v>
      </c>
      <c r="P970" s="3">
        <v>1</v>
      </c>
      <c r="Q970" s="3">
        <v>0</v>
      </c>
      <c r="R970" s="3">
        <v>0</v>
      </c>
      <c r="S970" s="3">
        <v>0</v>
      </c>
      <c r="T970" s="3">
        <v>0</v>
      </c>
      <c r="U970" s="3">
        <v>1</v>
      </c>
      <c r="V970" s="3">
        <v>0</v>
      </c>
      <c r="W970" s="3">
        <v>0</v>
      </c>
      <c r="X970" s="3">
        <v>1</v>
      </c>
      <c r="Y970" s="3">
        <v>12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</row>
    <row r="971" spans="1:49">
      <c r="A971" s="4" t="s">
        <v>40</v>
      </c>
      <c r="B971" s="4" t="str">
        <f t="shared" si="15"/>
        <v>Hair Care</v>
      </c>
      <c r="C971" s="4" t="s">
        <v>1786</v>
      </c>
      <c r="D971" s="4" t="s">
        <v>578</v>
      </c>
      <c r="E971" s="24" t="s">
        <v>42</v>
      </c>
      <c r="F971" s="12" t="s">
        <v>310</v>
      </c>
      <c r="G971" s="4" t="s">
        <v>1787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12</v>
      </c>
      <c r="Q971" s="3">
        <v>1</v>
      </c>
      <c r="R971" s="3">
        <v>1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13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</row>
    <row r="972" spans="1:49">
      <c r="A972" s="4" t="s">
        <v>40</v>
      </c>
      <c r="B972" s="4" t="str">
        <f t="shared" si="15"/>
        <v>Hair Care</v>
      </c>
      <c r="C972" s="4" t="s">
        <v>1786</v>
      </c>
      <c r="D972" s="4" t="s">
        <v>578</v>
      </c>
      <c r="E972" s="24" t="s">
        <v>42</v>
      </c>
      <c r="F972" s="12" t="s">
        <v>311</v>
      </c>
      <c r="G972" s="4" t="s">
        <v>1787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1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24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</row>
    <row r="973" spans="1:49">
      <c r="A973" s="4" t="s">
        <v>40</v>
      </c>
      <c r="B973" s="4" t="str">
        <f t="shared" si="15"/>
        <v>Hair Care</v>
      </c>
      <c r="C973" s="4" t="s">
        <v>1786</v>
      </c>
      <c r="D973" s="4" t="s">
        <v>578</v>
      </c>
      <c r="E973" s="24" t="s">
        <v>42</v>
      </c>
      <c r="F973" s="12" t="s">
        <v>312</v>
      </c>
      <c r="G973" s="4" t="s">
        <v>1787</v>
      </c>
      <c r="H973" s="3">
        <v>0</v>
      </c>
      <c r="I973" s="3">
        <v>0</v>
      </c>
      <c r="J973" s="3">
        <v>0</v>
      </c>
      <c r="K973" s="3">
        <v>0</v>
      </c>
      <c r="L973" s="3">
        <v>1</v>
      </c>
      <c r="M973" s="3">
        <v>0</v>
      </c>
      <c r="N973" s="3">
        <v>0</v>
      </c>
      <c r="O973" s="3">
        <v>1</v>
      </c>
      <c r="P973" s="3">
        <v>0</v>
      </c>
      <c r="Q973" s="3">
        <v>0</v>
      </c>
      <c r="R973" s="3">
        <v>1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12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</row>
    <row r="974" spans="1:49">
      <c r="A974" s="4" t="s">
        <v>40</v>
      </c>
      <c r="B974" s="4" t="str">
        <f t="shared" si="15"/>
        <v>Hair Care</v>
      </c>
      <c r="C974" s="4" t="s">
        <v>1786</v>
      </c>
      <c r="D974" s="4" t="s">
        <v>578</v>
      </c>
      <c r="E974" s="24" t="s">
        <v>42</v>
      </c>
      <c r="F974" s="12" t="s">
        <v>313</v>
      </c>
      <c r="G974" s="4" t="s">
        <v>1787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1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12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</row>
    <row r="975" spans="1:49">
      <c r="A975" s="4" t="s">
        <v>40</v>
      </c>
      <c r="B975" s="4" t="str">
        <f t="shared" si="15"/>
        <v>Hair Care</v>
      </c>
      <c r="C975" s="4" t="s">
        <v>1786</v>
      </c>
      <c r="D975" s="4" t="s">
        <v>578</v>
      </c>
      <c r="E975" s="24" t="s">
        <v>42</v>
      </c>
      <c r="F975" s="12" t="s">
        <v>314</v>
      </c>
      <c r="G975" s="4" t="s">
        <v>1787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3</v>
      </c>
      <c r="W975" s="3">
        <v>0</v>
      </c>
      <c r="X975" s="3">
        <v>0</v>
      </c>
      <c r="Y975" s="3">
        <v>12</v>
      </c>
      <c r="Z975" s="3">
        <v>1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12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</row>
    <row r="976" spans="1:49">
      <c r="A976" s="4" t="s">
        <v>40</v>
      </c>
      <c r="B976" s="4" t="str">
        <f t="shared" si="15"/>
        <v>Hair Care</v>
      </c>
      <c r="C976" s="4" t="s">
        <v>1786</v>
      </c>
      <c r="D976" s="4" t="s">
        <v>578</v>
      </c>
      <c r="E976" s="24" t="s">
        <v>42</v>
      </c>
      <c r="F976" s="12" t="s">
        <v>315</v>
      </c>
      <c r="G976" s="4" t="s">
        <v>1787</v>
      </c>
      <c r="H976" s="3">
        <v>4</v>
      </c>
      <c r="I976" s="3">
        <v>0</v>
      </c>
      <c r="J976" s="3">
        <v>2</v>
      </c>
      <c r="K976" s="3">
        <v>0</v>
      </c>
      <c r="L976" s="3">
        <v>0</v>
      </c>
      <c r="M976" s="3">
        <v>0</v>
      </c>
      <c r="N976" s="3">
        <v>0</v>
      </c>
      <c r="O976" s="3">
        <v>1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1</v>
      </c>
      <c r="W976" s="3">
        <v>0</v>
      </c>
      <c r="X976" s="3">
        <v>0</v>
      </c>
      <c r="Y976" s="3">
        <v>0</v>
      </c>
      <c r="Z976" s="3">
        <v>1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</row>
    <row r="977" spans="1:49">
      <c r="A977" s="4" t="s">
        <v>40</v>
      </c>
      <c r="B977" s="4" t="str">
        <f t="shared" si="15"/>
        <v>Hair Care</v>
      </c>
      <c r="C977" s="4" t="s">
        <v>1786</v>
      </c>
      <c r="D977" s="4" t="s">
        <v>578</v>
      </c>
      <c r="E977" s="24" t="s">
        <v>42</v>
      </c>
      <c r="F977" s="12" t="s">
        <v>316</v>
      </c>
      <c r="G977" s="4" t="s">
        <v>1787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1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1</v>
      </c>
      <c r="AA977" s="3">
        <v>0</v>
      </c>
      <c r="AB977" s="3">
        <v>1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</row>
    <row r="978" spans="1:49">
      <c r="A978" s="4" t="s">
        <v>40</v>
      </c>
      <c r="B978" s="4" t="str">
        <f t="shared" si="15"/>
        <v>Hair Care</v>
      </c>
      <c r="C978" s="4" t="s">
        <v>1786</v>
      </c>
      <c r="D978" s="4" t="s">
        <v>578</v>
      </c>
      <c r="E978" s="24" t="s">
        <v>42</v>
      </c>
      <c r="F978" s="12" t="s">
        <v>317</v>
      </c>
      <c r="G978" s="4" t="s">
        <v>1787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12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1</v>
      </c>
      <c r="AF978" s="3">
        <v>1</v>
      </c>
      <c r="AG978" s="3">
        <v>1</v>
      </c>
      <c r="AH978" s="3">
        <v>0</v>
      </c>
      <c r="AI978" s="3">
        <v>12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1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</row>
    <row r="979" spans="1:49">
      <c r="A979" s="4" t="s">
        <v>40</v>
      </c>
      <c r="B979" s="4" t="str">
        <f t="shared" si="15"/>
        <v>Hair Care</v>
      </c>
      <c r="C979" s="4" t="s">
        <v>1786</v>
      </c>
      <c r="D979" s="4" t="s">
        <v>578</v>
      </c>
      <c r="E979" s="24" t="s">
        <v>42</v>
      </c>
      <c r="F979" s="12" t="s">
        <v>319</v>
      </c>
      <c r="G979" s="4" t="s">
        <v>1787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1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</row>
    <row r="980" spans="1:49">
      <c r="A980" s="4" t="s">
        <v>40</v>
      </c>
      <c r="B980" s="4" t="str">
        <f t="shared" si="15"/>
        <v>Hair Care</v>
      </c>
      <c r="C980" s="4" t="s">
        <v>1786</v>
      </c>
      <c r="D980" s="4" t="s">
        <v>578</v>
      </c>
      <c r="E980" s="24" t="s">
        <v>42</v>
      </c>
      <c r="F980" s="12" t="s">
        <v>321</v>
      </c>
      <c r="G980" s="4" t="s">
        <v>1787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24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</row>
    <row r="981" spans="1:49">
      <c r="A981" s="4" t="s">
        <v>40</v>
      </c>
      <c r="B981" s="4" t="str">
        <f t="shared" si="15"/>
        <v>Hair Care</v>
      </c>
      <c r="C981" s="4" t="s">
        <v>1786</v>
      </c>
      <c r="D981" s="4" t="s">
        <v>578</v>
      </c>
      <c r="E981" s="24" t="s">
        <v>42</v>
      </c>
      <c r="F981" s="12" t="s">
        <v>322</v>
      </c>
      <c r="G981" s="4" t="s">
        <v>1787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2</v>
      </c>
      <c r="U981" s="3">
        <v>0</v>
      </c>
      <c r="V981" s="3">
        <v>0</v>
      </c>
      <c r="W981" s="3">
        <v>0</v>
      </c>
      <c r="X981" s="3">
        <v>0</v>
      </c>
      <c r="Y981" s="3">
        <v>12</v>
      </c>
      <c r="Z981" s="3">
        <v>0</v>
      </c>
      <c r="AA981" s="3">
        <v>0</v>
      </c>
      <c r="AB981" s="3">
        <v>1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12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</row>
    <row r="982" spans="1:49">
      <c r="A982" s="4" t="s">
        <v>40</v>
      </c>
      <c r="B982" s="4" t="str">
        <f t="shared" si="15"/>
        <v>Hair Care</v>
      </c>
      <c r="C982" s="4" t="s">
        <v>1786</v>
      </c>
      <c r="D982" s="4" t="s">
        <v>578</v>
      </c>
      <c r="E982" s="24" t="s">
        <v>42</v>
      </c>
      <c r="F982" s="12" t="s">
        <v>323</v>
      </c>
      <c r="G982" s="4" t="s">
        <v>1787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18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</row>
    <row r="983" spans="1:49">
      <c r="A983" s="4" t="s">
        <v>40</v>
      </c>
      <c r="B983" s="4" t="str">
        <f t="shared" si="15"/>
        <v>Hair Care</v>
      </c>
      <c r="C983" s="4" t="s">
        <v>1786</v>
      </c>
      <c r="D983" s="4" t="s">
        <v>578</v>
      </c>
      <c r="E983" s="24" t="s">
        <v>42</v>
      </c>
      <c r="F983" s="12" t="s">
        <v>324</v>
      </c>
      <c r="G983" s="4" t="s">
        <v>1787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1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</row>
    <row r="984" spans="1:49">
      <c r="A984" s="4" t="s">
        <v>40</v>
      </c>
      <c r="B984" s="4" t="str">
        <f t="shared" si="15"/>
        <v>Hair Care</v>
      </c>
      <c r="C984" s="4" t="s">
        <v>1786</v>
      </c>
      <c r="D984" s="4" t="s">
        <v>578</v>
      </c>
      <c r="E984" s="24" t="s">
        <v>42</v>
      </c>
      <c r="F984" s="12" t="s">
        <v>326</v>
      </c>
      <c r="G984" s="4" t="s">
        <v>1787</v>
      </c>
      <c r="H984" s="3">
        <v>0</v>
      </c>
      <c r="I984" s="3">
        <v>0</v>
      </c>
      <c r="J984" s="3">
        <v>1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1</v>
      </c>
      <c r="W984" s="3">
        <v>0</v>
      </c>
      <c r="X984" s="3">
        <v>0</v>
      </c>
      <c r="Y984" s="3">
        <v>1</v>
      </c>
      <c r="Z984" s="3">
        <v>0</v>
      </c>
      <c r="AA984" s="3">
        <v>1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6</v>
      </c>
      <c r="AT984" s="3">
        <v>0</v>
      </c>
      <c r="AU984" s="3">
        <v>0</v>
      </c>
      <c r="AV984" s="3">
        <v>0</v>
      </c>
      <c r="AW984" s="3">
        <v>0</v>
      </c>
    </row>
    <row r="985" spans="1:49">
      <c r="A985" s="4" t="s">
        <v>40</v>
      </c>
      <c r="B985" s="4" t="str">
        <f t="shared" si="15"/>
        <v>Hair Care</v>
      </c>
      <c r="C985" s="4" t="s">
        <v>1786</v>
      </c>
      <c r="D985" s="4" t="s">
        <v>578</v>
      </c>
      <c r="E985" s="24" t="s">
        <v>42</v>
      </c>
      <c r="F985" s="12" t="s">
        <v>327</v>
      </c>
      <c r="G985" s="4" t="s">
        <v>1787</v>
      </c>
      <c r="H985" s="3">
        <v>0</v>
      </c>
      <c r="I985" s="3">
        <v>0</v>
      </c>
      <c r="J985" s="3">
        <v>0</v>
      </c>
      <c r="K985" s="3">
        <v>0</v>
      </c>
      <c r="L985" s="3">
        <v>6</v>
      </c>
      <c r="M985" s="3">
        <v>0</v>
      </c>
      <c r="N985" s="3">
        <v>1</v>
      </c>
      <c r="O985" s="3">
        <v>1</v>
      </c>
      <c r="P985" s="3">
        <v>4</v>
      </c>
      <c r="Q985" s="3">
        <v>0</v>
      </c>
      <c r="R985" s="3">
        <v>0</v>
      </c>
      <c r="S985" s="3">
        <v>0</v>
      </c>
      <c r="T985" s="3">
        <v>1</v>
      </c>
      <c r="U985" s="3">
        <v>0</v>
      </c>
      <c r="V985" s="3">
        <v>1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</row>
    <row r="986" spans="1:49">
      <c r="A986" s="4" t="s">
        <v>40</v>
      </c>
      <c r="B986" s="4" t="str">
        <f t="shared" si="15"/>
        <v>Hair Care</v>
      </c>
      <c r="C986" s="4" t="s">
        <v>1786</v>
      </c>
      <c r="D986" s="4" t="s">
        <v>578</v>
      </c>
      <c r="E986" s="24" t="s">
        <v>42</v>
      </c>
      <c r="F986" s="12" t="s">
        <v>328</v>
      </c>
      <c r="G986" s="4" t="s">
        <v>1787</v>
      </c>
      <c r="H986" s="3">
        <v>0</v>
      </c>
      <c r="I986" s="3">
        <v>0</v>
      </c>
      <c r="J986" s="3">
        <v>0</v>
      </c>
      <c r="K986" s="3">
        <v>1</v>
      </c>
      <c r="L986" s="3">
        <v>1</v>
      </c>
      <c r="M986" s="3">
        <v>0</v>
      </c>
      <c r="N986" s="3">
        <v>0</v>
      </c>
      <c r="O986" s="3">
        <v>0</v>
      </c>
      <c r="P986" s="3">
        <v>1</v>
      </c>
      <c r="Q986" s="3">
        <v>3</v>
      </c>
      <c r="R986" s="3">
        <v>0</v>
      </c>
      <c r="S986" s="3">
        <v>3</v>
      </c>
      <c r="T986" s="3">
        <v>0</v>
      </c>
      <c r="U986" s="3">
        <v>1</v>
      </c>
      <c r="V986" s="3">
        <v>1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</row>
    <row r="987" spans="1:49">
      <c r="A987" s="4" t="s">
        <v>40</v>
      </c>
      <c r="B987" s="4" t="str">
        <f t="shared" si="15"/>
        <v>Hair Care</v>
      </c>
      <c r="C987" s="4" t="s">
        <v>1786</v>
      </c>
      <c r="D987" s="4" t="s">
        <v>578</v>
      </c>
      <c r="E987" s="24" t="s">
        <v>42</v>
      </c>
      <c r="F987" s="12" t="s">
        <v>329</v>
      </c>
      <c r="G987" s="4" t="s">
        <v>1787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1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1</v>
      </c>
      <c r="Y987" s="3">
        <v>12</v>
      </c>
      <c r="Z987" s="3">
        <v>1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</row>
    <row r="988" spans="1:49">
      <c r="A988" s="4" t="s">
        <v>40</v>
      </c>
      <c r="B988" s="4" t="str">
        <f t="shared" si="15"/>
        <v>Hair Care</v>
      </c>
      <c r="C988" s="4" t="s">
        <v>1786</v>
      </c>
      <c r="D988" s="4" t="s">
        <v>578</v>
      </c>
      <c r="E988" s="24" t="s">
        <v>42</v>
      </c>
      <c r="F988" s="12" t="s">
        <v>330</v>
      </c>
      <c r="G988" s="4" t="s">
        <v>1787</v>
      </c>
      <c r="H988" s="3">
        <v>0</v>
      </c>
      <c r="I988" s="3">
        <v>1</v>
      </c>
      <c r="J988" s="3">
        <v>0</v>
      </c>
      <c r="K988" s="3">
        <v>0</v>
      </c>
      <c r="L988" s="3">
        <v>1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1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</row>
    <row r="989" spans="1:49">
      <c r="A989" s="4" t="s">
        <v>40</v>
      </c>
      <c r="B989" s="4" t="str">
        <f t="shared" si="15"/>
        <v>Hair Care</v>
      </c>
      <c r="C989" s="4" t="s">
        <v>1786</v>
      </c>
      <c r="D989" s="4" t="s">
        <v>578</v>
      </c>
      <c r="E989" s="24" t="s">
        <v>42</v>
      </c>
      <c r="F989" s="12" t="s">
        <v>331</v>
      </c>
      <c r="G989" s="4" t="s">
        <v>1787</v>
      </c>
      <c r="H989" s="3">
        <v>0</v>
      </c>
      <c r="I989" s="3">
        <v>1</v>
      </c>
      <c r="J989" s="3">
        <v>0</v>
      </c>
      <c r="K989" s="3">
        <v>0</v>
      </c>
      <c r="L989" s="3">
        <v>0</v>
      </c>
      <c r="M989" s="3">
        <v>0</v>
      </c>
      <c r="N989" s="3">
        <v>1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1</v>
      </c>
      <c r="Y989" s="3">
        <v>0</v>
      </c>
      <c r="Z989" s="3">
        <v>1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</row>
    <row r="990" spans="1:49">
      <c r="A990" s="4" t="s">
        <v>40</v>
      </c>
      <c r="B990" s="4" t="str">
        <f t="shared" si="15"/>
        <v>Hair Care</v>
      </c>
      <c r="C990" s="4" t="s">
        <v>1786</v>
      </c>
      <c r="D990" s="4" t="s">
        <v>578</v>
      </c>
      <c r="E990" s="24" t="s">
        <v>42</v>
      </c>
      <c r="F990" s="12" t="s">
        <v>332</v>
      </c>
      <c r="G990" s="4" t="s">
        <v>1787</v>
      </c>
      <c r="H990" s="3">
        <v>0</v>
      </c>
      <c r="I990" s="3">
        <v>0</v>
      </c>
      <c r="J990" s="3">
        <v>1</v>
      </c>
      <c r="K990" s="3">
        <v>0</v>
      </c>
      <c r="L990" s="3">
        <v>0</v>
      </c>
      <c r="M990" s="3">
        <v>0</v>
      </c>
      <c r="N990" s="3">
        <v>3</v>
      </c>
      <c r="O990" s="3">
        <v>0</v>
      </c>
      <c r="P990" s="3">
        <v>0</v>
      </c>
      <c r="Q990" s="3">
        <v>3</v>
      </c>
      <c r="R990" s="3">
        <v>0</v>
      </c>
      <c r="S990" s="3">
        <v>0</v>
      </c>
      <c r="T990" s="3">
        <v>3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1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</row>
    <row r="991" spans="1:49">
      <c r="A991" s="4" t="s">
        <v>40</v>
      </c>
      <c r="B991" s="4" t="str">
        <f t="shared" si="15"/>
        <v>Hair Care</v>
      </c>
      <c r="C991" s="4" t="s">
        <v>1786</v>
      </c>
      <c r="D991" s="4" t="s">
        <v>578</v>
      </c>
      <c r="E991" s="24" t="s">
        <v>42</v>
      </c>
      <c r="F991" s="12" t="s">
        <v>333</v>
      </c>
      <c r="G991" s="4" t="s">
        <v>1787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1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</row>
    <row r="992" spans="1:49">
      <c r="A992" s="4" t="s">
        <v>40</v>
      </c>
      <c r="B992" s="4" t="str">
        <f t="shared" si="15"/>
        <v>Hair Care</v>
      </c>
      <c r="C992" s="4" t="s">
        <v>1786</v>
      </c>
      <c r="D992" s="4" t="s">
        <v>578</v>
      </c>
      <c r="E992" s="24" t="s">
        <v>42</v>
      </c>
      <c r="F992" s="12" t="s">
        <v>334</v>
      </c>
      <c r="G992" s="4" t="s">
        <v>1787</v>
      </c>
      <c r="H992" s="3">
        <v>0</v>
      </c>
      <c r="I992" s="3">
        <v>0</v>
      </c>
      <c r="J992" s="3">
        <v>2</v>
      </c>
      <c r="K992" s="3">
        <v>0</v>
      </c>
      <c r="L992" s="3">
        <v>4</v>
      </c>
      <c r="M992" s="3">
        <v>0</v>
      </c>
      <c r="N992" s="3">
        <v>2</v>
      </c>
      <c r="O992" s="3">
        <v>0</v>
      </c>
      <c r="P992" s="3">
        <v>0</v>
      </c>
      <c r="Q992" s="3">
        <v>0</v>
      </c>
      <c r="R992" s="3">
        <v>1</v>
      </c>
      <c r="S992" s="3">
        <v>0</v>
      </c>
      <c r="T992" s="3">
        <v>0</v>
      </c>
      <c r="U992" s="3">
        <v>0</v>
      </c>
      <c r="V992" s="3">
        <v>0</v>
      </c>
      <c r="W992" s="3">
        <v>1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6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</row>
    <row r="993" spans="1:49">
      <c r="A993" s="4" t="s">
        <v>40</v>
      </c>
      <c r="B993" s="4" t="str">
        <f t="shared" si="15"/>
        <v>Hair Care</v>
      </c>
      <c r="C993" s="4" t="s">
        <v>1786</v>
      </c>
      <c r="D993" s="4" t="s">
        <v>578</v>
      </c>
      <c r="E993" s="24" t="s">
        <v>42</v>
      </c>
      <c r="F993" s="12" t="s">
        <v>335</v>
      </c>
      <c r="G993" s="4" t="s">
        <v>1787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1</v>
      </c>
      <c r="O993" s="3">
        <v>3</v>
      </c>
      <c r="P993" s="3">
        <v>1</v>
      </c>
      <c r="Q993" s="3">
        <v>2</v>
      </c>
      <c r="R993" s="3">
        <v>1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</row>
    <row r="994" spans="1:49">
      <c r="A994" s="4" t="s">
        <v>40</v>
      </c>
      <c r="B994" s="4" t="str">
        <f t="shared" si="15"/>
        <v>Hair Care</v>
      </c>
      <c r="C994" s="4" t="s">
        <v>1786</v>
      </c>
      <c r="D994" s="4" t="s">
        <v>578</v>
      </c>
      <c r="E994" s="24" t="s">
        <v>42</v>
      </c>
      <c r="F994" s="12" t="s">
        <v>336</v>
      </c>
      <c r="G994" s="4" t="s">
        <v>1787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1</v>
      </c>
      <c r="O994" s="3">
        <v>2</v>
      </c>
      <c r="P994" s="3">
        <v>0</v>
      </c>
      <c r="Q994" s="3">
        <v>2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</row>
    <row r="995" spans="1:49">
      <c r="A995" s="4" t="s">
        <v>40</v>
      </c>
      <c r="B995" s="4" t="str">
        <f t="shared" si="15"/>
        <v>Hair Care</v>
      </c>
      <c r="C995" s="4" t="s">
        <v>1786</v>
      </c>
      <c r="D995" s="4" t="s">
        <v>578</v>
      </c>
      <c r="E995" s="24" t="s">
        <v>42</v>
      </c>
      <c r="F995" s="12" t="s">
        <v>337</v>
      </c>
      <c r="G995" s="4" t="s">
        <v>1787</v>
      </c>
      <c r="H995" s="3">
        <v>1</v>
      </c>
      <c r="I995" s="3">
        <v>0</v>
      </c>
      <c r="J995" s="3">
        <v>0</v>
      </c>
      <c r="K995" s="3">
        <v>2</v>
      </c>
      <c r="L995" s="3">
        <v>0</v>
      </c>
      <c r="M995" s="3">
        <v>0</v>
      </c>
      <c r="N995" s="3">
        <v>2</v>
      </c>
      <c r="O995" s="3">
        <v>0</v>
      </c>
      <c r="P995" s="3">
        <v>0</v>
      </c>
      <c r="Q995" s="3">
        <v>0</v>
      </c>
      <c r="R995" s="3">
        <v>0</v>
      </c>
      <c r="S995" s="3">
        <v>1</v>
      </c>
      <c r="T995" s="3">
        <v>0</v>
      </c>
      <c r="U995" s="3">
        <v>0</v>
      </c>
      <c r="V995" s="3">
        <v>0</v>
      </c>
      <c r="W995" s="3">
        <v>0</v>
      </c>
      <c r="X995" s="3">
        <v>3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</row>
    <row r="996" spans="1:49">
      <c r="A996" s="4" t="s">
        <v>40</v>
      </c>
      <c r="B996" s="4" t="str">
        <f t="shared" si="15"/>
        <v>Hair Care</v>
      </c>
      <c r="C996" s="4" t="s">
        <v>1786</v>
      </c>
      <c r="D996" s="4" t="s">
        <v>578</v>
      </c>
      <c r="E996" s="24" t="s">
        <v>42</v>
      </c>
      <c r="F996" s="12" t="s">
        <v>338</v>
      </c>
      <c r="G996" s="4" t="s">
        <v>1787</v>
      </c>
      <c r="H996" s="3">
        <v>0</v>
      </c>
      <c r="I996" s="3">
        <v>0</v>
      </c>
      <c r="J996" s="3">
        <v>0</v>
      </c>
      <c r="K996" s="3">
        <v>2</v>
      </c>
      <c r="L996" s="3">
        <v>0</v>
      </c>
      <c r="M996" s="3">
        <v>0</v>
      </c>
      <c r="N996" s="3">
        <v>1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1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</row>
    <row r="997" spans="1:49">
      <c r="A997" s="4" t="s">
        <v>40</v>
      </c>
      <c r="B997" s="4" t="str">
        <f t="shared" si="15"/>
        <v>Hair Care</v>
      </c>
      <c r="C997" s="4" t="s">
        <v>1786</v>
      </c>
      <c r="D997" s="4" t="s">
        <v>578</v>
      </c>
      <c r="E997" s="24" t="s">
        <v>42</v>
      </c>
      <c r="F997" s="12" t="s">
        <v>339</v>
      </c>
      <c r="G997" s="4" t="s">
        <v>1787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3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1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</row>
    <row r="998" spans="1:49">
      <c r="A998" s="4" t="s">
        <v>40</v>
      </c>
      <c r="B998" s="4" t="str">
        <f t="shared" si="15"/>
        <v>Hair Care</v>
      </c>
      <c r="C998" s="4" t="s">
        <v>1786</v>
      </c>
      <c r="D998" s="4" t="s">
        <v>578</v>
      </c>
      <c r="E998" s="24" t="s">
        <v>42</v>
      </c>
      <c r="F998" s="12" t="s">
        <v>340</v>
      </c>
      <c r="G998" s="4" t="s">
        <v>1787</v>
      </c>
      <c r="H998" s="3">
        <v>0</v>
      </c>
      <c r="I998" s="3">
        <v>0</v>
      </c>
      <c r="J998" s="3">
        <v>0</v>
      </c>
      <c r="K998" s="3">
        <v>1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</row>
    <row r="999" spans="1:49">
      <c r="A999" s="4" t="s">
        <v>40</v>
      </c>
      <c r="B999" s="4" t="str">
        <f t="shared" si="15"/>
        <v>Hair Care</v>
      </c>
      <c r="C999" s="4" t="s">
        <v>1786</v>
      </c>
      <c r="D999" s="4" t="s">
        <v>578</v>
      </c>
      <c r="E999" s="24" t="s">
        <v>42</v>
      </c>
      <c r="F999" s="12" t="s">
        <v>341</v>
      </c>
      <c r="G999" s="4" t="s">
        <v>1787</v>
      </c>
      <c r="H999" s="3">
        <v>0</v>
      </c>
      <c r="I999" s="3">
        <v>0</v>
      </c>
      <c r="J999" s="3">
        <v>0</v>
      </c>
      <c r="K999" s="3">
        <v>0</v>
      </c>
      <c r="L999" s="3">
        <v>1</v>
      </c>
      <c r="M999" s="3">
        <v>6</v>
      </c>
      <c r="N999" s="3">
        <v>1</v>
      </c>
      <c r="O999" s="3">
        <v>1</v>
      </c>
      <c r="P999" s="3">
        <v>0</v>
      </c>
      <c r="Q999" s="3">
        <v>1</v>
      </c>
      <c r="R999" s="3">
        <v>1</v>
      </c>
      <c r="S999" s="3">
        <v>2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1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</row>
    <row r="1000" spans="1:49">
      <c r="A1000" s="4" t="s">
        <v>40</v>
      </c>
      <c r="B1000" s="4" t="str">
        <f t="shared" si="15"/>
        <v>Hair Care</v>
      </c>
      <c r="C1000" s="4" t="s">
        <v>1786</v>
      </c>
      <c r="D1000" s="4" t="s">
        <v>578</v>
      </c>
      <c r="E1000" s="24" t="s">
        <v>42</v>
      </c>
      <c r="F1000" s="12" t="s">
        <v>342</v>
      </c>
      <c r="G1000" s="4" t="s">
        <v>1787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1</v>
      </c>
      <c r="O1000" s="3">
        <v>1</v>
      </c>
      <c r="P1000" s="3">
        <v>0</v>
      </c>
      <c r="Q1000" s="3">
        <v>3</v>
      </c>
      <c r="R1000" s="3">
        <v>0</v>
      </c>
      <c r="S1000" s="3">
        <v>3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</row>
    <row r="1001" spans="1:49">
      <c r="A1001" s="4" t="s">
        <v>40</v>
      </c>
      <c r="B1001" s="4" t="str">
        <f t="shared" si="15"/>
        <v>Hair Care</v>
      </c>
      <c r="C1001" s="4" t="s">
        <v>1786</v>
      </c>
      <c r="D1001" s="4" t="s">
        <v>578</v>
      </c>
      <c r="E1001" s="24" t="s">
        <v>42</v>
      </c>
      <c r="F1001" s="12" t="s">
        <v>343</v>
      </c>
      <c r="G1001" s="4" t="s">
        <v>1787</v>
      </c>
      <c r="H1001" s="3">
        <v>0</v>
      </c>
      <c r="I1001" s="3">
        <v>0</v>
      </c>
      <c r="J1001" s="3">
        <v>0</v>
      </c>
      <c r="K1001" s="3">
        <v>2</v>
      </c>
      <c r="L1001" s="3">
        <v>1</v>
      </c>
      <c r="M1001" s="3">
        <v>6</v>
      </c>
      <c r="N1001" s="3">
        <v>4</v>
      </c>
      <c r="O1001" s="3">
        <v>0</v>
      </c>
      <c r="P1001" s="3">
        <v>0</v>
      </c>
      <c r="Q1001" s="3">
        <v>2</v>
      </c>
      <c r="R1001" s="3">
        <v>1</v>
      </c>
      <c r="S1001" s="3">
        <v>0</v>
      </c>
      <c r="T1001" s="3">
        <v>1</v>
      </c>
      <c r="U1001" s="3">
        <v>0</v>
      </c>
      <c r="V1001" s="3">
        <v>1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</row>
    <row r="1002" spans="1:49">
      <c r="A1002" s="4" t="s">
        <v>40</v>
      </c>
      <c r="B1002" s="4" t="str">
        <f t="shared" si="15"/>
        <v>Hair Care</v>
      </c>
      <c r="C1002" s="4" t="s">
        <v>1786</v>
      </c>
      <c r="D1002" s="4" t="s">
        <v>578</v>
      </c>
      <c r="E1002" s="24" t="s">
        <v>42</v>
      </c>
      <c r="F1002" s="12" t="s">
        <v>344</v>
      </c>
      <c r="G1002" s="4" t="s">
        <v>1787</v>
      </c>
      <c r="H1002" s="3">
        <v>0</v>
      </c>
      <c r="I1002" s="3">
        <v>3</v>
      </c>
      <c r="J1002" s="3">
        <v>0</v>
      </c>
      <c r="K1002" s="3">
        <v>2</v>
      </c>
      <c r="L1002" s="3">
        <v>0</v>
      </c>
      <c r="M1002" s="3">
        <v>0</v>
      </c>
      <c r="N1002" s="3">
        <v>2</v>
      </c>
      <c r="O1002" s="3">
        <v>0</v>
      </c>
      <c r="P1002" s="3">
        <v>0</v>
      </c>
      <c r="Q1002" s="3">
        <v>2</v>
      </c>
      <c r="R1002" s="3">
        <v>0</v>
      </c>
      <c r="S1002" s="3">
        <v>0</v>
      </c>
      <c r="T1002" s="3">
        <v>0</v>
      </c>
      <c r="U1002" s="3">
        <v>0</v>
      </c>
      <c r="V1002" s="3">
        <v>1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</row>
    <row r="1003" spans="1:49">
      <c r="A1003" s="4" t="s">
        <v>40</v>
      </c>
      <c r="B1003" s="4" t="str">
        <f t="shared" si="15"/>
        <v>Hair Care</v>
      </c>
      <c r="C1003" s="4" t="s">
        <v>1786</v>
      </c>
      <c r="D1003" s="4" t="s">
        <v>578</v>
      </c>
      <c r="E1003" s="24" t="s">
        <v>42</v>
      </c>
      <c r="F1003" s="12" t="s">
        <v>345</v>
      </c>
      <c r="G1003" s="4" t="s">
        <v>1787</v>
      </c>
      <c r="H1003" s="3">
        <v>1</v>
      </c>
      <c r="I1003" s="3">
        <v>0</v>
      </c>
      <c r="J1003" s="3">
        <v>1</v>
      </c>
      <c r="K1003" s="3">
        <v>0</v>
      </c>
      <c r="L1003" s="3">
        <v>7</v>
      </c>
      <c r="M1003" s="3">
        <v>1</v>
      </c>
      <c r="N1003" s="3">
        <v>1</v>
      </c>
      <c r="O1003" s="3">
        <v>6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1</v>
      </c>
      <c r="W1003" s="3">
        <v>1</v>
      </c>
      <c r="X1003" s="3">
        <v>0</v>
      </c>
      <c r="Y1003" s="3">
        <v>0</v>
      </c>
      <c r="Z1003" s="3">
        <v>2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</row>
    <row r="1004" spans="1:49">
      <c r="A1004" s="4" t="s">
        <v>40</v>
      </c>
      <c r="B1004" s="4" t="str">
        <f t="shared" si="15"/>
        <v>Hair Care</v>
      </c>
      <c r="C1004" s="4" t="s">
        <v>1786</v>
      </c>
      <c r="D1004" s="4" t="s">
        <v>578</v>
      </c>
      <c r="E1004" s="24" t="s">
        <v>42</v>
      </c>
      <c r="F1004" s="12" t="s">
        <v>347</v>
      </c>
      <c r="G1004" s="4" t="s">
        <v>1787</v>
      </c>
      <c r="H1004" s="3">
        <v>1</v>
      </c>
      <c r="I1004" s="3">
        <v>0</v>
      </c>
      <c r="J1004" s="3">
        <v>1</v>
      </c>
      <c r="K1004" s="3">
        <v>0</v>
      </c>
      <c r="L1004" s="3">
        <v>0</v>
      </c>
      <c r="M1004" s="3">
        <v>0</v>
      </c>
      <c r="N1004" s="3">
        <v>1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1</v>
      </c>
      <c r="X1004" s="3">
        <v>2</v>
      </c>
      <c r="Y1004" s="3">
        <v>0</v>
      </c>
      <c r="Z1004" s="3">
        <v>0</v>
      </c>
      <c r="AA1004" s="3">
        <v>0</v>
      </c>
      <c r="AB1004" s="3">
        <v>1</v>
      </c>
      <c r="AC1004" s="3">
        <v>2</v>
      </c>
      <c r="AD1004" s="3">
        <v>0</v>
      </c>
      <c r="AE1004" s="3">
        <v>0</v>
      </c>
      <c r="AF1004" s="3">
        <v>2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1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2</v>
      </c>
      <c r="AW1004" s="3">
        <v>0</v>
      </c>
    </row>
    <row r="1005" spans="1:49">
      <c r="A1005" s="4" t="s">
        <v>40</v>
      </c>
      <c r="B1005" s="4" t="str">
        <f t="shared" si="15"/>
        <v>Hair Care</v>
      </c>
      <c r="C1005" s="4" t="s">
        <v>1786</v>
      </c>
      <c r="D1005" s="4" t="s">
        <v>578</v>
      </c>
      <c r="E1005" s="24" t="s">
        <v>42</v>
      </c>
      <c r="F1005" s="12" t="s">
        <v>348</v>
      </c>
      <c r="G1005" s="4" t="s">
        <v>1787</v>
      </c>
      <c r="H1005" s="3">
        <v>6</v>
      </c>
      <c r="I1005" s="3">
        <v>0</v>
      </c>
      <c r="J1005" s="3">
        <v>2</v>
      </c>
      <c r="K1005" s="3">
        <v>0</v>
      </c>
      <c r="L1005" s="3">
        <v>1</v>
      </c>
      <c r="M1005" s="3">
        <v>0</v>
      </c>
      <c r="N1005" s="3">
        <v>0</v>
      </c>
      <c r="O1005" s="3">
        <v>2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2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</row>
    <row r="1006" spans="1:49">
      <c r="A1006" s="4" t="s">
        <v>40</v>
      </c>
      <c r="B1006" s="4" t="str">
        <f t="shared" si="15"/>
        <v>Hair Care</v>
      </c>
      <c r="C1006" s="4" t="s">
        <v>1786</v>
      </c>
      <c r="D1006" s="4" t="s">
        <v>578</v>
      </c>
      <c r="E1006" s="24" t="s">
        <v>42</v>
      </c>
      <c r="F1006" s="12" t="s">
        <v>349</v>
      </c>
      <c r="G1006" s="4" t="s">
        <v>1787</v>
      </c>
      <c r="H1006" s="3">
        <v>0</v>
      </c>
      <c r="I1006" s="3">
        <v>0</v>
      </c>
      <c r="J1006" s="3">
        <v>3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12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</row>
    <row r="1007" spans="1:49">
      <c r="A1007" s="4" t="s">
        <v>40</v>
      </c>
      <c r="B1007" s="4" t="str">
        <f t="shared" si="15"/>
        <v>Hair Care</v>
      </c>
      <c r="C1007" s="4" t="s">
        <v>1786</v>
      </c>
      <c r="D1007" s="4" t="s">
        <v>578</v>
      </c>
      <c r="E1007" s="24" t="s">
        <v>42</v>
      </c>
      <c r="F1007" s="12" t="s">
        <v>351</v>
      </c>
      <c r="G1007" s="4" t="s">
        <v>1787</v>
      </c>
      <c r="H1007" s="3">
        <v>2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</row>
    <row r="1008" spans="1:49">
      <c r="A1008" s="4" t="s">
        <v>40</v>
      </c>
      <c r="B1008" s="4" t="str">
        <f t="shared" si="15"/>
        <v>Hair Care</v>
      </c>
      <c r="C1008" s="4" t="s">
        <v>1786</v>
      </c>
      <c r="D1008" s="4" t="s">
        <v>578</v>
      </c>
      <c r="E1008" s="24" t="s">
        <v>42</v>
      </c>
      <c r="F1008" s="12" t="s">
        <v>352</v>
      </c>
      <c r="G1008" s="4" t="s">
        <v>1787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</row>
    <row r="1009" spans="1:49">
      <c r="A1009" s="4" t="s">
        <v>40</v>
      </c>
      <c r="B1009" s="4" t="str">
        <f t="shared" si="15"/>
        <v>Hair Care</v>
      </c>
      <c r="C1009" s="4" t="s">
        <v>1786</v>
      </c>
      <c r="D1009" s="4" t="s">
        <v>578</v>
      </c>
      <c r="E1009" s="24" t="s">
        <v>42</v>
      </c>
      <c r="F1009" s="12" t="s">
        <v>353</v>
      </c>
      <c r="G1009" s="4" t="s">
        <v>1787</v>
      </c>
      <c r="H1009" s="3">
        <v>0</v>
      </c>
      <c r="I1009" s="3">
        <v>0</v>
      </c>
      <c r="J1009" s="3">
        <v>3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</row>
    <row r="1010" spans="1:49">
      <c r="A1010" s="4" t="s">
        <v>40</v>
      </c>
      <c r="B1010" s="4" t="str">
        <f t="shared" si="15"/>
        <v>Hair Care</v>
      </c>
      <c r="C1010" s="4" t="s">
        <v>1786</v>
      </c>
      <c r="D1010" s="4" t="s">
        <v>578</v>
      </c>
      <c r="E1010" s="24" t="s">
        <v>42</v>
      </c>
      <c r="F1010" s="12" t="s">
        <v>354</v>
      </c>
      <c r="G1010" s="4" t="s">
        <v>1787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1</v>
      </c>
      <c r="AA1010" s="3">
        <v>0</v>
      </c>
      <c r="AB1010" s="3">
        <v>1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</row>
    <row r="1011" spans="1:49">
      <c r="A1011" s="4" t="s">
        <v>40</v>
      </c>
      <c r="B1011" s="4" t="str">
        <f t="shared" si="15"/>
        <v>Hair Care</v>
      </c>
      <c r="C1011" s="4" t="s">
        <v>1786</v>
      </c>
      <c r="D1011" s="4" t="s">
        <v>578</v>
      </c>
      <c r="E1011" s="24" t="s">
        <v>42</v>
      </c>
      <c r="F1011" s="12" t="s">
        <v>355</v>
      </c>
      <c r="G1011" s="4" t="s">
        <v>1787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14</v>
      </c>
      <c r="Z1011" s="3">
        <v>0</v>
      </c>
      <c r="AA1011" s="3">
        <v>1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</row>
    <row r="1012" spans="1:49">
      <c r="A1012" s="4" t="s">
        <v>40</v>
      </c>
      <c r="B1012" s="4" t="str">
        <f t="shared" si="15"/>
        <v>Hair Care</v>
      </c>
      <c r="C1012" s="4" t="s">
        <v>1786</v>
      </c>
      <c r="D1012" s="4" t="s">
        <v>578</v>
      </c>
      <c r="E1012" s="24" t="s">
        <v>42</v>
      </c>
      <c r="F1012" s="12" t="s">
        <v>356</v>
      </c>
      <c r="G1012" s="4" t="s">
        <v>1787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3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</row>
    <row r="1013" spans="1:49">
      <c r="A1013" s="4" t="s">
        <v>40</v>
      </c>
      <c r="B1013" s="4" t="str">
        <f t="shared" si="15"/>
        <v>Hair Care</v>
      </c>
      <c r="C1013" s="4" t="s">
        <v>1786</v>
      </c>
      <c r="D1013" s="4" t="s">
        <v>578</v>
      </c>
      <c r="E1013" s="24" t="s">
        <v>42</v>
      </c>
      <c r="F1013" s="12" t="s">
        <v>357</v>
      </c>
      <c r="G1013" s="4" t="s">
        <v>1787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12</v>
      </c>
      <c r="AW1013" s="3">
        <v>0</v>
      </c>
    </row>
    <row r="1014" spans="1:49">
      <c r="A1014" s="4" t="s">
        <v>40</v>
      </c>
      <c r="B1014" s="4" t="str">
        <f t="shared" si="15"/>
        <v>Hair Care</v>
      </c>
      <c r="C1014" s="4" t="s">
        <v>1786</v>
      </c>
      <c r="D1014" s="4" t="s">
        <v>578</v>
      </c>
      <c r="E1014" s="24" t="s">
        <v>42</v>
      </c>
      <c r="F1014" s="12" t="s">
        <v>360</v>
      </c>
      <c r="G1014" s="4" t="s">
        <v>1787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14</v>
      </c>
      <c r="Z1014" s="3">
        <v>1</v>
      </c>
      <c r="AA1014" s="3">
        <v>2</v>
      </c>
      <c r="AB1014" s="3">
        <v>1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12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</row>
    <row r="1015" spans="1:49">
      <c r="A1015" s="4" t="s">
        <v>40</v>
      </c>
      <c r="B1015" s="4" t="str">
        <f t="shared" si="15"/>
        <v>Hair Care</v>
      </c>
      <c r="C1015" s="4" t="s">
        <v>1786</v>
      </c>
      <c r="D1015" s="4" t="s">
        <v>578</v>
      </c>
      <c r="E1015" s="24" t="s">
        <v>42</v>
      </c>
      <c r="F1015" s="12" t="s">
        <v>361</v>
      </c>
      <c r="G1015" s="4" t="s">
        <v>1787</v>
      </c>
      <c r="H1015" s="3">
        <v>0</v>
      </c>
      <c r="I1015" s="3">
        <v>0</v>
      </c>
      <c r="J1015" s="3">
        <v>1</v>
      </c>
      <c r="K1015" s="3">
        <v>7</v>
      </c>
      <c r="L1015" s="3">
        <v>3</v>
      </c>
      <c r="M1015" s="3">
        <v>7</v>
      </c>
      <c r="N1015" s="3">
        <v>0</v>
      </c>
      <c r="O1015" s="3">
        <v>0</v>
      </c>
      <c r="P1015" s="3">
        <v>0</v>
      </c>
      <c r="Q1015" s="3">
        <v>0</v>
      </c>
      <c r="R1015" s="3">
        <v>1</v>
      </c>
      <c r="S1015" s="3">
        <v>0</v>
      </c>
      <c r="T1015" s="3">
        <v>0</v>
      </c>
      <c r="U1015" s="3">
        <v>0</v>
      </c>
      <c r="V1015" s="3">
        <v>0</v>
      </c>
      <c r="W1015" s="3">
        <v>1</v>
      </c>
      <c r="X1015" s="3">
        <v>0</v>
      </c>
      <c r="Y1015" s="3">
        <v>0</v>
      </c>
      <c r="Z1015" s="3">
        <v>7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</row>
    <row r="1016" spans="1:49">
      <c r="A1016" s="4" t="s">
        <v>40</v>
      </c>
      <c r="B1016" s="4" t="str">
        <f t="shared" si="15"/>
        <v>Hair Care</v>
      </c>
      <c r="C1016" s="4" t="s">
        <v>1786</v>
      </c>
      <c r="D1016" s="4" t="s">
        <v>578</v>
      </c>
      <c r="E1016" s="24" t="s">
        <v>42</v>
      </c>
      <c r="F1016" s="12" t="s">
        <v>362</v>
      </c>
      <c r="G1016" s="4" t="s">
        <v>1787</v>
      </c>
      <c r="H1016" s="3">
        <v>2</v>
      </c>
      <c r="I1016" s="3">
        <v>0</v>
      </c>
      <c r="J1016" s="3">
        <v>0</v>
      </c>
      <c r="K1016" s="3">
        <v>1</v>
      </c>
      <c r="L1016" s="3">
        <v>2</v>
      </c>
      <c r="M1016" s="3">
        <v>0</v>
      </c>
      <c r="N1016" s="3">
        <v>2</v>
      </c>
      <c r="O1016" s="3">
        <v>2</v>
      </c>
      <c r="P1016" s="3">
        <v>0</v>
      </c>
      <c r="Q1016" s="3">
        <v>0</v>
      </c>
      <c r="R1016" s="3">
        <v>0</v>
      </c>
      <c r="S1016" s="3">
        <v>0</v>
      </c>
      <c r="T1016" s="3">
        <v>2</v>
      </c>
      <c r="U1016" s="3">
        <v>2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</row>
    <row r="1017" spans="1:49">
      <c r="A1017" s="4" t="s">
        <v>40</v>
      </c>
      <c r="B1017" s="4" t="str">
        <f t="shared" si="15"/>
        <v>Hair Care</v>
      </c>
      <c r="C1017" s="4" t="s">
        <v>1786</v>
      </c>
      <c r="D1017" s="4" t="s">
        <v>578</v>
      </c>
      <c r="E1017" s="24" t="s">
        <v>42</v>
      </c>
      <c r="F1017" s="12" t="s">
        <v>363</v>
      </c>
      <c r="G1017" s="4" t="s">
        <v>1787</v>
      </c>
      <c r="H1017" s="3">
        <v>0</v>
      </c>
      <c r="I1017" s="3">
        <v>0</v>
      </c>
      <c r="J1017" s="3">
        <v>2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4</v>
      </c>
      <c r="T1017" s="3">
        <v>0</v>
      </c>
      <c r="U1017" s="3">
        <v>1</v>
      </c>
      <c r="V1017" s="3">
        <v>0</v>
      </c>
      <c r="W1017" s="3">
        <v>0</v>
      </c>
      <c r="X1017" s="3">
        <v>1</v>
      </c>
      <c r="Y1017" s="3">
        <v>12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</row>
    <row r="1018" spans="1:49">
      <c r="A1018" s="4" t="s">
        <v>40</v>
      </c>
      <c r="B1018" s="4" t="str">
        <f t="shared" si="15"/>
        <v>Hair Care</v>
      </c>
      <c r="C1018" s="4" t="s">
        <v>1786</v>
      </c>
      <c r="D1018" s="4" t="s">
        <v>578</v>
      </c>
      <c r="E1018" s="24" t="s">
        <v>42</v>
      </c>
      <c r="F1018" s="12" t="s">
        <v>364</v>
      </c>
      <c r="G1018" s="4" t="s">
        <v>1787</v>
      </c>
      <c r="H1018" s="3">
        <v>0</v>
      </c>
      <c r="I1018" s="3">
        <v>5</v>
      </c>
      <c r="J1018" s="3">
        <v>0</v>
      </c>
      <c r="K1018" s="3">
        <v>0</v>
      </c>
      <c r="L1018" s="3">
        <v>3</v>
      </c>
      <c r="M1018" s="3">
        <v>1</v>
      </c>
      <c r="N1018" s="3">
        <v>5</v>
      </c>
      <c r="O1018" s="3">
        <v>0</v>
      </c>
      <c r="P1018" s="3">
        <v>2</v>
      </c>
      <c r="Q1018" s="3">
        <v>6</v>
      </c>
      <c r="R1018" s="3">
        <v>0</v>
      </c>
      <c r="S1018" s="3">
        <v>0</v>
      </c>
      <c r="T1018" s="3">
        <v>2</v>
      </c>
      <c r="U1018" s="3">
        <v>0</v>
      </c>
      <c r="V1018" s="3">
        <v>2</v>
      </c>
      <c r="W1018" s="3">
        <v>2</v>
      </c>
      <c r="X1018" s="3">
        <v>0</v>
      </c>
      <c r="Y1018" s="3">
        <v>0</v>
      </c>
      <c r="Z1018" s="3">
        <v>4</v>
      </c>
      <c r="AA1018" s="3">
        <v>1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</row>
    <row r="1019" spans="1:49">
      <c r="A1019" s="4" t="s">
        <v>40</v>
      </c>
      <c r="B1019" s="4" t="str">
        <f t="shared" si="15"/>
        <v>Hair Care</v>
      </c>
      <c r="C1019" s="4" t="s">
        <v>1786</v>
      </c>
      <c r="D1019" s="4" t="s">
        <v>578</v>
      </c>
      <c r="E1019" s="24" t="s">
        <v>42</v>
      </c>
      <c r="F1019" s="12" t="s">
        <v>365</v>
      </c>
      <c r="G1019" s="4" t="s">
        <v>1787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1</v>
      </c>
      <c r="Y1019" s="3">
        <v>12</v>
      </c>
      <c r="Z1019" s="3">
        <v>2</v>
      </c>
      <c r="AA1019" s="3">
        <v>1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12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</row>
    <row r="1020" spans="1:49">
      <c r="A1020" s="4" t="s">
        <v>40</v>
      </c>
      <c r="B1020" s="4" t="str">
        <f t="shared" si="15"/>
        <v>Hair Care</v>
      </c>
      <c r="C1020" s="4" t="s">
        <v>1786</v>
      </c>
      <c r="D1020" s="4" t="s">
        <v>578</v>
      </c>
      <c r="E1020" s="24" t="s">
        <v>42</v>
      </c>
      <c r="F1020" s="12" t="s">
        <v>366</v>
      </c>
      <c r="G1020" s="4" t="s">
        <v>1787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15</v>
      </c>
      <c r="Z1020" s="3">
        <v>2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6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</row>
    <row r="1021" spans="1:49">
      <c r="A1021" s="4" t="s">
        <v>40</v>
      </c>
      <c r="B1021" s="4" t="str">
        <f t="shared" si="15"/>
        <v>Hair Care</v>
      </c>
      <c r="C1021" s="4" t="s">
        <v>1786</v>
      </c>
      <c r="D1021" s="4" t="s">
        <v>578</v>
      </c>
      <c r="E1021" s="24" t="s">
        <v>42</v>
      </c>
      <c r="F1021" s="12" t="s">
        <v>367</v>
      </c>
      <c r="G1021" s="4" t="s">
        <v>1787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1</v>
      </c>
      <c r="N1021" s="3">
        <v>5</v>
      </c>
      <c r="O1021" s="3">
        <v>1</v>
      </c>
      <c r="P1021" s="3">
        <v>1</v>
      </c>
      <c r="Q1021" s="3">
        <v>4</v>
      </c>
      <c r="R1021" s="3">
        <v>4</v>
      </c>
      <c r="S1021" s="3">
        <v>0</v>
      </c>
      <c r="T1021" s="3">
        <v>0</v>
      </c>
      <c r="U1021" s="3">
        <v>1</v>
      </c>
      <c r="V1021" s="3">
        <v>1</v>
      </c>
      <c r="W1021" s="3">
        <v>0</v>
      </c>
      <c r="X1021" s="3">
        <v>5</v>
      </c>
      <c r="Y1021" s="3">
        <v>12</v>
      </c>
      <c r="Z1021" s="3">
        <v>0</v>
      </c>
      <c r="AA1021" s="3">
        <v>1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12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</row>
    <row r="1022" spans="1:49">
      <c r="A1022" s="4" t="s">
        <v>40</v>
      </c>
      <c r="B1022" s="4" t="str">
        <f t="shared" si="15"/>
        <v>Hair Care</v>
      </c>
      <c r="C1022" s="4" t="s">
        <v>1786</v>
      </c>
      <c r="D1022" s="4" t="s">
        <v>578</v>
      </c>
      <c r="E1022" s="24" t="s">
        <v>42</v>
      </c>
      <c r="F1022" s="12" t="s">
        <v>370</v>
      </c>
      <c r="G1022" s="4" t="s">
        <v>1787</v>
      </c>
      <c r="H1022" s="3">
        <v>0</v>
      </c>
      <c r="I1022" s="3">
        <v>0</v>
      </c>
      <c r="J1022" s="3">
        <v>2</v>
      </c>
      <c r="K1022" s="3">
        <v>0</v>
      </c>
      <c r="L1022" s="3">
        <v>3</v>
      </c>
      <c r="M1022" s="3">
        <v>1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2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</row>
    <row r="1023" spans="1:49">
      <c r="A1023" s="4" t="s">
        <v>40</v>
      </c>
      <c r="B1023" s="4" t="str">
        <f t="shared" si="15"/>
        <v>Hair Care</v>
      </c>
      <c r="C1023" s="4" t="s">
        <v>1786</v>
      </c>
      <c r="D1023" s="4" t="s">
        <v>578</v>
      </c>
      <c r="E1023" s="24" t="s">
        <v>42</v>
      </c>
      <c r="F1023" s="12" t="s">
        <v>371</v>
      </c>
      <c r="G1023" s="4" t="s">
        <v>1787</v>
      </c>
      <c r="H1023" s="3">
        <v>0</v>
      </c>
      <c r="I1023" s="3">
        <v>0</v>
      </c>
      <c r="J1023" s="3">
        <v>1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2</v>
      </c>
      <c r="Q1023" s="3">
        <v>0</v>
      </c>
      <c r="R1023" s="3">
        <v>0</v>
      </c>
      <c r="S1023" s="3">
        <v>0</v>
      </c>
      <c r="T1023" s="3">
        <v>0</v>
      </c>
      <c r="U1023" s="3">
        <v>2</v>
      </c>
      <c r="V1023" s="3">
        <v>1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</row>
    <row r="1024" spans="1:49">
      <c r="A1024" s="4" t="s">
        <v>40</v>
      </c>
      <c r="B1024" s="4" t="str">
        <f t="shared" si="15"/>
        <v>Hair Care</v>
      </c>
      <c r="C1024" s="4" t="s">
        <v>1786</v>
      </c>
      <c r="D1024" s="4" t="s">
        <v>578</v>
      </c>
      <c r="E1024" s="24" t="s">
        <v>42</v>
      </c>
      <c r="F1024" s="12" t="s">
        <v>372</v>
      </c>
      <c r="G1024" s="4" t="s">
        <v>1787</v>
      </c>
      <c r="H1024" s="3">
        <v>4</v>
      </c>
      <c r="I1024" s="3">
        <v>1</v>
      </c>
      <c r="J1024" s="3">
        <v>1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1</v>
      </c>
      <c r="T1024" s="3">
        <v>0</v>
      </c>
      <c r="U1024" s="3">
        <v>2</v>
      </c>
      <c r="V1024" s="3">
        <v>0</v>
      </c>
      <c r="W1024" s="3">
        <v>1</v>
      </c>
      <c r="X1024" s="3">
        <v>0</v>
      </c>
      <c r="Y1024" s="3">
        <v>12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6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3</v>
      </c>
      <c r="AW1024" s="3">
        <v>0</v>
      </c>
    </row>
    <row r="1025" spans="1:49">
      <c r="A1025" s="4" t="s">
        <v>40</v>
      </c>
      <c r="B1025" s="4" t="str">
        <f t="shared" si="15"/>
        <v>Hair Care</v>
      </c>
      <c r="C1025" s="4" t="s">
        <v>1786</v>
      </c>
      <c r="D1025" s="4" t="s">
        <v>578</v>
      </c>
      <c r="E1025" s="24" t="s">
        <v>42</v>
      </c>
      <c r="F1025" s="12" t="s">
        <v>373</v>
      </c>
      <c r="G1025" s="4" t="s">
        <v>1787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12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</row>
    <row r="1026" spans="1:49">
      <c r="A1026" s="4" t="s">
        <v>40</v>
      </c>
      <c r="B1026" s="4" t="str">
        <f t="shared" si="15"/>
        <v>Hair Care</v>
      </c>
      <c r="C1026" s="4" t="s">
        <v>1786</v>
      </c>
      <c r="D1026" s="4" t="s">
        <v>578</v>
      </c>
      <c r="E1026" s="24" t="s">
        <v>42</v>
      </c>
      <c r="F1026" s="12" t="s">
        <v>382</v>
      </c>
      <c r="G1026" s="4" t="s">
        <v>1787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1</v>
      </c>
      <c r="AN1026" s="3">
        <v>0</v>
      </c>
      <c r="AO1026" s="3">
        <v>0</v>
      </c>
      <c r="AP1026" s="3">
        <v>0</v>
      </c>
      <c r="AQ1026" s="3">
        <v>1</v>
      </c>
      <c r="AR1026" s="3">
        <v>0</v>
      </c>
      <c r="AS1026" s="3">
        <v>0</v>
      </c>
      <c r="AT1026" s="3">
        <v>0</v>
      </c>
      <c r="AU1026" s="3">
        <v>2</v>
      </c>
      <c r="AV1026" s="3">
        <v>1</v>
      </c>
      <c r="AW1026" s="3">
        <v>0</v>
      </c>
    </row>
    <row r="1027" spans="1:49">
      <c r="A1027" s="4" t="s">
        <v>40</v>
      </c>
      <c r="B1027" s="4" t="str">
        <f t="shared" ref="B1027:B1090" si="16">A1027</f>
        <v>Hair Care</v>
      </c>
      <c r="C1027" s="4" t="s">
        <v>1786</v>
      </c>
      <c r="D1027" s="4" t="s">
        <v>578</v>
      </c>
      <c r="E1027" s="24" t="s">
        <v>387</v>
      </c>
      <c r="F1027" s="12" t="s">
        <v>389</v>
      </c>
      <c r="G1027" s="4" t="s">
        <v>1787</v>
      </c>
      <c r="H1027" s="3">
        <v>4</v>
      </c>
      <c r="I1027" s="3">
        <v>2</v>
      </c>
      <c r="J1027" s="3">
        <v>3</v>
      </c>
      <c r="K1027" s="3">
        <v>2</v>
      </c>
      <c r="L1027" s="3">
        <v>2</v>
      </c>
      <c r="M1027" s="3">
        <v>7</v>
      </c>
      <c r="N1027" s="3">
        <v>3</v>
      </c>
      <c r="O1027" s="3">
        <v>0</v>
      </c>
      <c r="P1027" s="3">
        <v>2</v>
      </c>
      <c r="Q1027" s="3">
        <v>0</v>
      </c>
      <c r="R1027" s="3">
        <v>4</v>
      </c>
      <c r="S1027" s="3">
        <v>0</v>
      </c>
      <c r="T1027" s="3">
        <v>2</v>
      </c>
      <c r="U1027" s="3">
        <v>0</v>
      </c>
      <c r="V1027" s="3">
        <v>4</v>
      </c>
      <c r="W1027" s="3">
        <v>1</v>
      </c>
      <c r="X1027" s="3">
        <v>3</v>
      </c>
      <c r="Y1027" s="3">
        <v>13</v>
      </c>
      <c r="Z1027" s="3">
        <v>3</v>
      </c>
      <c r="AA1027" s="3">
        <v>0</v>
      </c>
      <c r="AB1027" s="3">
        <v>0</v>
      </c>
      <c r="AC1027" s="3">
        <v>0</v>
      </c>
      <c r="AD1027" s="3">
        <v>2</v>
      </c>
      <c r="AE1027" s="3">
        <v>1</v>
      </c>
      <c r="AF1027" s="3">
        <v>3</v>
      </c>
      <c r="AG1027" s="3">
        <v>3</v>
      </c>
      <c r="AH1027" s="3">
        <v>1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6</v>
      </c>
      <c r="AQ1027" s="3">
        <v>12</v>
      </c>
      <c r="AR1027" s="3">
        <v>5</v>
      </c>
      <c r="AS1027" s="3">
        <v>10</v>
      </c>
      <c r="AT1027" s="3">
        <v>0</v>
      </c>
      <c r="AU1027" s="3">
        <v>0</v>
      </c>
      <c r="AV1027" s="3">
        <v>0</v>
      </c>
      <c r="AW1027" s="3">
        <v>0</v>
      </c>
    </row>
    <row r="1028" spans="1:49">
      <c r="A1028" s="4" t="s">
        <v>40</v>
      </c>
      <c r="B1028" s="4" t="str">
        <f t="shared" si="16"/>
        <v>Hair Care</v>
      </c>
      <c r="C1028" s="4" t="s">
        <v>1786</v>
      </c>
      <c r="D1028" s="4" t="s">
        <v>578</v>
      </c>
      <c r="E1028" s="24" t="s">
        <v>387</v>
      </c>
      <c r="F1028" s="12" t="s">
        <v>390</v>
      </c>
      <c r="G1028" s="4" t="s">
        <v>1787</v>
      </c>
      <c r="H1028" s="3">
        <v>5</v>
      </c>
      <c r="I1028" s="3">
        <v>1</v>
      </c>
      <c r="J1028" s="3">
        <v>5</v>
      </c>
      <c r="K1028" s="3">
        <v>3</v>
      </c>
      <c r="L1028" s="3">
        <v>3</v>
      </c>
      <c r="M1028" s="3">
        <v>3</v>
      </c>
      <c r="N1028" s="3">
        <v>5</v>
      </c>
      <c r="O1028" s="3">
        <v>2</v>
      </c>
      <c r="P1028" s="3">
        <v>1</v>
      </c>
      <c r="Q1028" s="3">
        <v>0</v>
      </c>
      <c r="R1028" s="3">
        <v>2</v>
      </c>
      <c r="S1028" s="3">
        <v>1</v>
      </c>
      <c r="T1028" s="3">
        <v>6</v>
      </c>
      <c r="U1028" s="3">
        <v>5</v>
      </c>
      <c r="V1028" s="3">
        <v>3</v>
      </c>
      <c r="W1028" s="3">
        <v>3</v>
      </c>
      <c r="X1028" s="3">
        <v>10</v>
      </c>
      <c r="Y1028" s="3">
        <v>13</v>
      </c>
      <c r="Z1028" s="3">
        <v>5</v>
      </c>
      <c r="AA1028" s="3">
        <v>15</v>
      </c>
      <c r="AB1028" s="3">
        <v>2</v>
      </c>
      <c r="AC1028" s="3">
        <v>0</v>
      </c>
      <c r="AD1028" s="3">
        <v>3</v>
      </c>
      <c r="AE1028" s="3">
        <v>3</v>
      </c>
      <c r="AF1028" s="3">
        <v>2</v>
      </c>
      <c r="AG1028" s="3">
        <v>3</v>
      </c>
      <c r="AH1028" s="3">
        <v>0</v>
      </c>
      <c r="AI1028" s="3">
        <v>0</v>
      </c>
      <c r="AJ1028" s="3">
        <v>13</v>
      </c>
      <c r="AK1028" s="3">
        <v>9</v>
      </c>
      <c r="AL1028" s="3">
        <v>5</v>
      </c>
      <c r="AM1028" s="3">
        <v>0</v>
      </c>
      <c r="AN1028" s="3">
        <v>9</v>
      </c>
      <c r="AO1028" s="3">
        <v>0</v>
      </c>
      <c r="AP1028" s="3">
        <v>6</v>
      </c>
      <c r="AQ1028" s="3">
        <v>5</v>
      </c>
      <c r="AR1028" s="3">
        <v>7</v>
      </c>
      <c r="AS1028" s="3">
        <v>7</v>
      </c>
      <c r="AT1028" s="3">
        <v>3</v>
      </c>
      <c r="AU1028" s="3">
        <v>16</v>
      </c>
      <c r="AV1028" s="3">
        <v>5</v>
      </c>
      <c r="AW1028" s="3">
        <v>0</v>
      </c>
    </row>
    <row r="1029" spans="1:49">
      <c r="A1029" s="4" t="s">
        <v>40</v>
      </c>
      <c r="B1029" s="4" t="str">
        <f t="shared" si="16"/>
        <v>Hair Care</v>
      </c>
      <c r="C1029" s="4" t="s">
        <v>1786</v>
      </c>
      <c r="D1029" s="4" t="s">
        <v>578</v>
      </c>
      <c r="E1029" s="24" t="s">
        <v>387</v>
      </c>
      <c r="F1029" s="12" t="s">
        <v>391</v>
      </c>
      <c r="G1029" s="4" t="s">
        <v>1787</v>
      </c>
      <c r="H1029" s="3">
        <v>3</v>
      </c>
      <c r="I1029" s="3">
        <v>2</v>
      </c>
      <c r="J1029" s="3">
        <v>7</v>
      </c>
      <c r="K1029" s="3">
        <v>6</v>
      </c>
      <c r="L1029" s="3">
        <v>6</v>
      </c>
      <c r="M1029" s="3">
        <v>5</v>
      </c>
      <c r="N1029" s="3">
        <v>2</v>
      </c>
      <c r="O1029" s="3">
        <v>0</v>
      </c>
      <c r="P1029" s="3">
        <v>1</v>
      </c>
      <c r="Q1029" s="3">
        <v>3</v>
      </c>
      <c r="R1029" s="3">
        <v>1</v>
      </c>
      <c r="S1029" s="3">
        <v>0</v>
      </c>
      <c r="T1029" s="3">
        <v>1</v>
      </c>
      <c r="U1029" s="3">
        <v>6</v>
      </c>
      <c r="V1029" s="3">
        <v>3</v>
      </c>
      <c r="W1029" s="3">
        <v>4</v>
      </c>
      <c r="X1029" s="3">
        <v>4</v>
      </c>
      <c r="Y1029" s="3">
        <v>13</v>
      </c>
      <c r="Z1029" s="3">
        <v>2</v>
      </c>
      <c r="AA1029" s="3">
        <v>9</v>
      </c>
      <c r="AB1029" s="3">
        <v>2</v>
      </c>
      <c r="AC1029" s="3">
        <v>0</v>
      </c>
      <c r="AD1029" s="3">
        <v>2</v>
      </c>
      <c r="AE1029" s="3">
        <v>0</v>
      </c>
      <c r="AF1029" s="3">
        <v>6</v>
      </c>
      <c r="AG1029" s="3">
        <v>4</v>
      </c>
      <c r="AH1029" s="3">
        <v>1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</row>
    <row r="1030" spans="1:49">
      <c r="A1030" s="4" t="s">
        <v>40</v>
      </c>
      <c r="B1030" s="4" t="str">
        <f t="shared" si="16"/>
        <v>Hair Care</v>
      </c>
      <c r="C1030" s="4" t="s">
        <v>1786</v>
      </c>
      <c r="D1030" s="4" t="s">
        <v>578</v>
      </c>
      <c r="E1030" s="24" t="s">
        <v>392</v>
      </c>
      <c r="F1030" s="12" t="s">
        <v>393</v>
      </c>
      <c r="G1030" s="4" t="s">
        <v>1787</v>
      </c>
      <c r="H1030" s="3">
        <v>0</v>
      </c>
      <c r="I1030" s="3">
        <v>0</v>
      </c>
      <c r="J1030" s="3">
        <v>0</v>
      </c>
      <c r="K1030" s="3">
        <v>1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2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2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2</v>
      </c>
      <c r="AE1030" s="3">
        <v>1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1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1</v>
      </c>
      <c r="AT1030" s="3">
        <v>0</v>
      </c>
      <c r="AU1030" s="3">
        <v>0</v>
      </c>
      <c r="AV1030" s="3">
        <v>1</v>
      </c>
      <c r="AW1030" s="3">
        <v>0</v>
      </c>
    </row>
    <row r="1031" spans="1:49">
      <c r="A1031" s="4" t="s">
        <v>40</v>
      </c>
      <c r="B1031" s="4" t="str">
        <f t="shared" si="16"/>
        <v>Hair Care</v>
      </c>
      <c r="C1031" s="4" t="s">
        <v>1786</v>
      </c>
      <c r="D1031" s="4" t="s">
        <v>578</v>
      </c>
      <c r="E1031" s="24" t="s">
        <v>392</v>
      </c>
      <c r="F1031" s="12" t="s">
        <v>394</v>
      </c>
      <c r="G1031" s="4" t="s">
        <v>1787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1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</row>
    <row r="1032" spans="1:49">
      <c r="A1032" s="4" t="s">
        <v>40</v>
      </c>
      <c r="B1032" s="4" t="str">
        <f t="shared" si="16"/>
        <v>Hair Care</v>
      </c>
      <c r="C1032" s="4" t="s">
        <v>1786</v>
      </c>
      <c r="D1032" s="4" t="s">
        <v>578</v>
      </c>
      <c r="E1032" s="24" t="s">
        <v>392</v>
      </c>
      <c r="F1032" s="12" t="s">
        <v>395</v>
      </c>
      <c r="G1032" s="4" t="s">
        <v>1787</v>
      </c>
      <c r="H1032" s="3">
        <v>0</v>
      </c>
      <c r="I1032" s="3">
        <v>2</v>
      </c>
      <c r="J1032" s="3">
        <v>0</v>
      </c>
      <c r="K1032" s="3">
        <v>1</v>
      </c>
      <c r="L1032" s="3">
        <v>2</v>
      </c>
      <c r="M1032" s="3">
        <v>5</v>
      </c>
      <c r="N1032" s="3">
        <v>1</v>
      </c>
      <c r="O1032" s="3">
        <v>0</v>
      </c>
      <c r="P1032" s="3">
        <v>1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2</v>
      </c>
      <c r="W1032" s="3">
        <v>0</v>
      </c>
      <c r="X1032" s="3">
        <v>0</v>
      </c>
      <c r="Y1032" s="3">
        <v>0</v>
      </c>
      <c r="Z1032" s="3">
        <v>0</v>
      </c>
      <c r="AA1032" s="3">
        <v>1</v>
      </c>
      <c r="AB1032" s="3">
        <v>0</v>
      </c>
      <c r="AC1032" s="3">
        <v>0</v>
      </c>
      <c r="AD1032" s="3">
        <v>4</v>
      </c>
      <c r="AE1032" s="3">
        <v>1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1</v>
      </c>
      <c r="AL1032" s="3">
        <v>2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2</v>
      </c>
      <c r="AW1032" s="3">
        <v>0</v>
      </c>
    </row>
    <row r="1033" spans="1:49">
      <c r="A1033" s="4" t="s">
        <v>40</v>
      </c>
      <c r="B1033" s="4" t="str">
        <f t="shared" si="16"/>
        <v>Hair Care</v>
      </c>
      <c r="C1033" s="4" t="s">
        <v>1786</v>
      </c>
      <c r="D1033" s="4" t="s">
        <v>578</v>
      </c>
      <c r="E1033" s="24" t="s">
        <v>392</v>
      </c>
      <c r="F1033" s="12" t="s">
        <v>396</v>
      </c>
      <c r="G1033" s="4" t="s">
        <v>1787</v>
      </c>
      <c r="H1033" s="3">
        <v>1</v>
      </c>
      <c r="I1033" s="3">
        <v>0</v>
      </c>
      <c r="J1033" s="3">
        <v>1</v>
      </c>
      <c r="K1033" s="3">
        <v>0</v>
      </c>
      <c r="L1033" s="3">
        <v>3</v>
      </c>
      <c r="M1033" s="3">
        <v>2</v>
      </c>
      <c r="N1033" s="3">
        <v>0</v>
      </c>
      <c r="O1033" s="3">
        <v>0</v>
      </c>
      <c r="P1033" s="3">
        <v>0</v>
      </c>
      <c r="Q1033" s="3">
        <v>1</v>
      </c>
      <c r="R1033" s="3">
        <v>0</v>
      </c>
      <c r="S1033" s="3">
        <v>1</v>
      </c>
      <c r="T1033" s="3">
        <v>0</v>
      </c>
      <c r="U1033" s="3">
        <v>1</v>
      </c>
      <c r="V1033" s="3">
        <v>1</v>
      </c>
      <c r="W1033" s="3">
        <v>0</v>
      </c>
      <c r="X1033" s="3">
        <v>0</v>
      </c>
      <c r="Y1033" s="3">
        <v>0</v>
      </c>
      <c r="Z1033" s="3">
        <v>0</v>
      </c>
      <c r="AA1033" s="3">
        <v>2</v>
      </c>
      <c r="AB1033" s="3">
        <v>0</v>
      </c>
      <c r="AC1033" s="3">
        <v>0</v>
      </c>
      <c r="AD1033" s="3">
        <v>0</v>
      </c>
      <c r="AE1033" s="3">
        <v>1</v>
      </c>
      <c r="AF1033" s="3">
        <v>0</v>
      </c>
      <c r="AG1033" s="3">
        <v>0</v>
      </c>
      <c r="AH1033" s="3">
        <v>0</v>
      </c>
      <c r="AI1033" s="3">
        <v>1</v>
      </c>
      <c r="AJ1033" s="3">
        <v>0</v>
      </c>
      <c r="AK1033" s="3">
        <v>0</v>
      </c>
      <c r="AL1033" s="3">
        <v>1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2</v>
      </c>
      <c r="AV1033" s="3">
        <v>3</v>
      </c>
      <c r="AW1033" s="3">
        <v>1</v>
      </c>
    </row>
    <row r="1034" spans="1:49">
      <c r="A1034" s="4" t="s">
        <v>35</v>
      </c>
      <c r="B1034" s="4" t="str">
        <f t="shared" si="16"/>
        <v>Hair Color</v>
      </c>
      <c r="C1034" s="4" t="s">
        <v>1786</v>
      </c>
      <c r="D1034" s="4" t="s">
        <v>578</v>
      </c>
      <c r="E1034" s="24" t="s">
        <v>44</v>
      </c>
      <c r="F1034" s="12" t="s">
        <v>397</v>
      </c>
      <c r="G1034" s="4" t="s">
        <v>1787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1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1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</row>
    <row r="1035" spans="1:49">
      <c r="A1035" s="4" t="s">
        <v>35</v>
      </c>
      <c r="B1035" s="4" t="str">
        <f t="shared" si="16"/>
        <v>Hair Color</v>
      </c>
      <c r="C1035" s="4" t="s">
        <v>1786</v>
      </c>
      <c r="D1035" s="4" t="s">
        <v>578</v>
      </c>
      <c r="E1035" s="24" t="s">
        <v>44</v>
      </c>
      <c r="F1035" s="12" t="s">
        <v>399</v>
      </c>
      <c r="G1035" s="4" t="s">
        <v>1787</v>
      </c>
      <c r="H1035" s="3">
        <v>0</v>
      </c>
      <c r="I1035" s="3">
        <v>0</v>
      </c>
      <c r="J1035" s="3">
        <v>1</v>
      </c>
      <c r="K1035" s="3">
        <v>0</v>
      </c>
      <c r="L1035" s="3">
        <v>0</v>
      </c>
      <c r="M1035" s="3">
        <v>0</v>
      </c>
      <c r="N1035" s="3">
        <v>1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1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1</v>
      </c>
    </row>
    <row r="1036" spans="1:49">
      <c r="A1036" s="4" t="s">
        <v>35</v>
      </c>
      <c r="B1036" s="4" t="str">
        <f t="shared" si="16"/>
        <v>Hair Color</v>
      </c>
      <c r="C1036" s="4" t="s">
        <v>1786</v>
      </c>
      <c r="D1036" s="4" t="s">
        <v>578</v>
      </c>
      <c r="E1036" s="24" t="s">
        <v>44</v>
      </c>
      <c r="F1036" s="12" t="s">
        <v>400</v>
      </c>
      <c r="G1036" s="4" t="s">
        <v>1787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1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</row>
    <row r="1037" spans="1:49">
      <c r="A1037" s="4" t="s">
        <v>35</v>
      </c>
      <c r="B1037" s="4" t="str">
        <f t="shared" si="16"/>
        <v>Hair Color</v>
      </c>
      <c r="C1037" s="4" t="s">
        <v>1786</v>
      </c>
      <c r="D1037" s="4" t="s">
        <v>578</v>
      </c>
      <c r="E1037" s="24" t="s">
        <v>44</v>
      </c>
      <c r="F1037" s="12" t="s">
        <v>401</v>
      </c>
      <c r="G1037" s="4" t="s">
        <v>1787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1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1</v>
      </c>
    </row>
    <row r="1038" spans="1:49">
      <c r="A1038" s="4" t="s">
        <v>35</v>
      </c>
      <c r="B1038" s="4" t="str">
        <f t="shared" si="16"/>
        <v>Hair Color</v>
      </c>
      <c r="C1038" s="4" t="s">
        <v>1786</v>
      </c>
      <c r="D1038" s="4" t="s">
        <v>578</v>
      </c>
      <c r="E1038" s="24" t="s">
        <v>44</v>
      </c>
      <c r="F1038" s="12" t="s">
        <v>402</v>
      </c>
      <c r="G1038" s="4" t="s">
        <v>1787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3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1</v>
      </c>
    </row>
    <row r="1039" spans="1:49">
      <c r="A1039" s="4" t="s">
        <v>35</v>
      </c>
      <c r="B1039" s="4" t="str">
        <f t="shared" si="16"/>
        <v>Hair Color</v>
      </c>
      <c r="C1039" s="4" t="s">
        <v>1786</v>
      </c>
      <c r="D1039" s="4" t="s">
        <v>578</v>
      </c>
      <c r="E1039" s="24" t="s">
        <v>44</v>
      </c>
      <c r="F1039" s="12" t="s">
        <v>403</v>
      </c>
      <c r="G1039" s="4" t="s">
        <v>1787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1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</row>
    <row r="1040" spans="1:49">
      <c r="A1040" s="4" t="s">
        <v>35</v>
      </c>
      <c r="B1040" s="4" t="str">
        <f t="shared" si="16"/>
        <v>Hair Color</v>
      </c>
      <c r="C1040" s="4" t="s">
        <v>1786</v>
      </c>
      <c r="D1040" s="4" t="s">
        <v>578</v>
      </c>
      <c r="E1040" s="24" t="s">
        <v>44</v>
      </c>
      <c r="F1040" s="12" t="s">
        <v>405</v>
      </c>
      <c r="G1040" s="4" t="s">
        <v>1787</v>
      </c>
      <c r="H1040" s="3">
        <v>1</v>
      </c>
      <c r="I1040" s="3">
        <v>0</v>
      </c>
      <c r="J1040" s="3">
        <v>0</v>
      </c>
      <c r="K1040" s="3">
        <v>1</v>
      </c>
      <c r="L1040" s="3">
        <v>1</v>
      </c>
      <c r="M1040" s="3">
        <v>0</v>
      </c>
      <c r="N1040" s="3">
        <v>0</v>
      </c>
      <c r="O1040" s="3">
        <v>1</v>
      </c>
      <c r="P1040" s="3">
        <v>0</v>
      </c>
      <c r="Q1040" s="3">
        <v>3</v>
      </c>
      <c r="R1040" s="3">
        <v>0</v>
      </c>
      <c r="S1040" s="3">
        <v>0</v>
      </c>
      <c r="T1040" s="3">
        <v>1</v>
      </c>
      <c r="U1040" s="3">
        <v>0</v>
      </c>
      <c r="V1040" s="3">
        <v>1</v>
      </c>
      <c r="W1040" s="3">
        <v>0</v>
      </c>
      <c r="X1040" s="3">
        <v>0</v>
      </c>
      <c r="Y1040" s="3">
        <v>0</v>
      </c>
      <c r="Z1040" s="3">
        <v>1</v>
      </c>
      <c r="AA1040" s="3">
        <v>1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2</v>
      </c>
      <c r="AM1040" s="3">
        <v>0</v>
      </c>
      <c r="AN1040" s="3">
        <v>0</v>
      </c>
      <c r="AO1040" s="3">
        <v>0</v>
      </c>
      <c r="AP1040" s="3">
        <v>0</v>
      </c>
      <c r="AQ1040" s="3">
        <v>2</v>
      </c>
      <c r="AR1040" s="3">
        <v>0</v>
      </c>
      <c r="AS1040" s="3">
        <v>0</v>
      </c>
      <c r="AT1040" s="3">
        <v>0</v>
      </c>
      <c r="AU1040" s="3">
        <v>1</v>
      </c>
      <c r="AV1040" s="3">
        <v>0</v>
      </c>
      <c r="AW1040" s="3">
        <v>0</v>
      </c>
    </row>
    <row r="1041" spans="1:49">
      <c r="A1041" s="4" t="s">
        <v>35</v>
      </c>
      <c r="B1041" s="4" t="str">
        <f t="shared" si="16"/>
        <v>Hair Color</v>
      </c>
      <c r="C1041" s="4" t="s">
        <v>1786</v>
      </c>
      <c r="D1041" s="4" t="s">
        <v>578</v>
      </c>
      <c r="E1041" s="24" t="s">
        <v>44</v>
      </c>
      <c r="F1041" s="12" t="s">
        <v>407</v>
      </c>
      <c r="G1041" s="4" t="s">
        <v>1787</v>
      </c>
      <c r="H1041" s="3">
        <v>0</v>
      </c>
      <c r="I1041" s="3">
        <v>1</v>
      </c>
      <c r="J1041" s="3">
        <v>0</v>
      </c>
      <c r="K1041" s="3">
        <v>0</v>
      </c>
      <c r="L1041" s="3">
        <v>0</v>
      </c>
      <c r="M1041" s="3">
        <v>0</v>
      </c>
      <c r="N1041" s="3">
        <v>2</v>
      </c>
      <c r="O1041" s="3">
        <v>1</v>
      </c>
      <c r="P1041" s="3">
        <v>0</v>
      </c>
      <c r="Q1041" s="3">
        <v>1</v>
      </c>
      <c r="R1041" s="3">
        <v>1</v>
      </c>
      <c r="S1041" s="3">
        <v>1</v>
      </c>
      <c r="T1041" s="3">
        <v>2</v>
      </c>
      <c r="U1041" s="3">
        <v>0</v>
      </c>
      <c r="V1041" s="3">
        <v>2</v>
      </c>
      <c r="W1041" s="3">
        <v>0</v>
      </c>
      <c r="X1041" s="3">
        <v>2</v>
      </c>
      <c r="Y1041" s="3">
        <v>0</v>
      </c>
      <c r="Z1041" s="3">
        <v>2</v>
      </c>
      <c r="AA1041" s="3">
        <v>0</v>
      </c>
      <c r="AB1041" s="3">
        <v>0</v>
      </c>
      <c r="AC1041" s="3">
        <v>0</v>
      </c>
      <c r="AD1041" s="3">
        <v>0</v>
      </c>
      <c r="AE1041" s="3">
        <v>3</v>
      </c>
      <c r="AF1041" s="3">
        <v>0</v>
      </c>
      <c r="AG1041" s="3">
        <v>0</v>
      </c>
      <c r="AH1041" s="3">
        <v>0</v>
      </c>
      <c r="AI1041" s="3">
        <v>4</v>
      </c>
      <c r="AJ1041" s="3">
        <v>0</v>
      </c>
      <c r="AK1041" s="3">
        <v>0</v>
      </c>
      <c r="AL1041" s="3">
        <v>3</v>
      </c>
      <c r="AM1041" s="3">
        <v>0</v>
      </c>
      <c r="AN1041" s="3">
        <v>0</v>
      </c>
      <c r="AO1041" s="3">
        <v>0</v>
      </c>
      <c r="AP1041" s="3">
        <v>5</v>
      </c>
      <c r="AQ1041" s="3">
        <v>0</v>
      </c>
      <c r="AR1041" s="3">
        <v>0</v>
      </c>
      <c r="AS1041" s="3">
        <v>0</v>
      </c>
      <c r="AT1041" s="3">
        <v>0</v>
      </c>
      <c r="AU1041" s="3">
        <v>4</v>
      </c>
      <c r="AV1041" s="3">
        <v>0</v>
      </c>
      <c r="AW1041" s="3">
        <v>0</v>
      </c>
    </row>
    <row r="1042" spans="1:49">
      <c r="A1042" s="4" t="s">
        <v>35</v>
      </c>
      <c r="B1042" s="4" t="str">
        <f t="shared" si="16"/>
        <v>Hair Color</v>
      </c>
      <c r="C1042" s="4" t="s">
        <v>1786</v>
      </c>
      <c r="D1042" s="4" t="s">
        <v>578</v>
      </c>
      <c r="E1042" s="24" t="s">
        <v>44</v>
      </c>
      <c r="F1042" s="12" t="s">
        <v>408</v>
      </c>
      <c r="G1042" s="4" t="s">
        <v>1787</v>
      </c>
      <c r="H1042" s="3">
        <v>0</v>
      </c>
      <c r="I1042" s="3">
        <v>0</v>
      </c>
      <c r="J1042" s="3">
        <v>0</v>
      </c>
      <c r="K1042" s="3">
        <v>0</v>
      </c>
      <c r="L1042" s="3">
        <v>3</v>
      </c>
      <c r="M1042" s="3">
        <v>0</v>
      </c>
      <c r="N1042" s="3">
        <v>0</v>
      </c>
      <c r="O1042" s="3">
        <v>0</v>
      </c>
      <c r="P1042" s="3">
        <v>0</v>
      </c>
      <c r="Q1042" s="3">
        <v>1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</row>
    <row r="1043" spans="1:49">
      <c r="A1043" s="4" t="s">
        <v>35</v>
      </c>
      <c r="B1043" s="4" t="str">
        <f t="shared" si="16"/>
        <v>Hair Color</v>
      </c>
      <c r="C1043" s="4" t="s">
        <v>1786</v>
      </c>
      <c r="D1043" s="4" t="s">
        <v>578</v>
      </c>
      <c r="E1043" s="24" t="s">
        <v>44</v>
      </c>
      <c r="F1043" s="12" t="s">
        <v>409</v>
      </c>
      <c r="G1043" s="4" t="s">
        <v>1787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1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</row>
    <row r="1044" spans="1:49">
      <c r="A1044" s="4" t="s">
        <v>35</v>
      </c>
      <c r="B1044" s="4" t="str">
        <f t="shared" si="16"/>
        <v>Hair Color</v>
      </c>
      <c r="C1044" s="4" t="s">
        <v>1786</v>
      </c>
      <c r="D1044" s="4" t="s">
        <v>578</v>
      </c>
      <c r="E1044" s="24" t="s">
        <v>44</v>
      </c>
      <c r="F1044" s="12" t="s">
        <v>410</v>
      </c>
      <c r="G1044" s="4" t="s">
        <v>1787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2</v>
      </c>
      <c r="O1044" s="3">
        <v>0</v>
      </c>
      <c r="P1044" s="3">
        <v>0</v>
      </c>
      <c r="Q1044" s="3">
        <v>0</v>
      </c>
      <c r="R1044" s="3">
        <v>0</v>
      </c>
      <c r="S1044" s="3">
        <v>2</v>
      </c>
      <c r="T1044" s="3">
        <v>0</v>
      </c>
      <c r="U1044" s="3">
        <v>2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</row>
    <row r="1045" spans="1:49">
      <c r="A1045" s="4" t="s">
        <v>35</v>
      </c>
      <c r="B1045" s="4" t="str">
        <f t="shared" si="16"/>
        <v>Hair Color</v>
      </c>
      <c r="C1045" s="4" t="s">
        <v>1786</v>
      </c>
      <c r="D1045" s="4" t="s">
        <v>578</v>
      </c>
      <c r="E1045" s="24" t="s">
        <v>414</v>
      </c>
      <c r="F1045" s="12" t="s">
        <v>415</v>
      </c>
      <c r="G1045" s="4" t="s">
        <v>1787</v>
      </c>
      <c r="H1045" s="3">
        <v>0</v>
      </c>
      <c r="I1045" s="3">
        <v>0</v>
      </c>
      <c r="J1045" s="3">
        <v>0</v>
      </c>
      <c r="K1045" s="3">
        <v>2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</row>
    <row r="1046" spans="1:49">
      <c r="A1046" s="4" t="s">
        <v>35</v>
      </c>
      <c r="B1046" s="4" t="str">
        <f t="shared" si="16"/>
        <v>Hair Color</v>
      </c>
      <c r="C1046" s="4" t="s">
        <v>1786</v>
      </c>
      <c r="D1046" s="4" t="s">
        <v>578</v>
      </c>
      <c r="E1046" s="24" t="s">
        <v>414</v>
      </c>
      <c r="F1046" s="12" t="s">
        <v>416</v>
      </c>
      <c r="G1046" s="4" t="s">
        <v>1787</v>
      </c>
      <c r="H1046" s="3">
        <v>0</v>
      </c>
      <c r="I1046" s="3">
        <v>2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</row>
    <row r="1047" spans="1:49">
      <c r="A1047" s="4" t="s">
        <v>35</v>
      </c>
      <c r="B1047" s="4" t="str">
        <f t="shared" si="16"/>
        <v>Hair Color</v>
      </c>
      <c r="C1047" s="4" t="s">
        <v>1786</v>
      </c>
      <c r="D1047" s="4" t="s">
        <v>578</v>
      </c>
      <c r="E1047" s="24" t="s">
        <v>414</v>
      </c>
      <c r="F1047" s="12" t="s">
        <v>418</v>
      </c>
      <c r="G1047" s="4" t="s">
        <v>1787</v>
      </c>
      <c r="H1047" s="3">
        <v>2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</row>
    <row r="1048" spans="1:49">
      <c r="A1048" s="4" t="s">
        <v>35</v>
      </c>
      <c r="B1048" s="4" t="str">
        <f t="shared" si="16"/>
        <v>Hair Color</v>
      </c>
      <c r="C1048" s="4" t="s">
        <v>1786</v>
      </c>
      <c r="D1048" s="4" t="s">
        <v>578</v>
      </c>
      <c r="E1048" s="24" t="s">
        <v>414</v>
      </c>
      <c r="F1048" s="12" t="s">
        <v>419</v>
      </c>
      <c r="G1048" s="4" t="s">
        <v>1787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1</v>
      </c>
      <c r="S1048" s="3">
        <v>0</v>
      </c>
      <c r="T1048" s="3">
        <v>0</v>
      </c>
      <c r="U1048" s="3">
        <v>0</v>
      </c>
      <c r="V1048" s="3">
        <v>1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</row>
    <row r="1049" spans="1:49">
      <c r="A1049" s="4" t="s">
        <v>35</v>
      </c>
      <c r="B1049" s="4" t="str">
        <f t="shared" si="16"/>
        <v>Hair Color</v>
      </c>
      <c r="C1049" s="4" t="s">
        <v>1786</v>
      </c>
      <c r="D1049" s="4" t="s">
        <v>578</v>
      </c>
      <c r="E1049" s="24" t="s">
        <v>414</v>
      </c>
      <c r="F1049" s="12" t="s">
        <v>422</v>
      </c>
      <c r="G1049" s="4" t="s">
        <v>1787</v>
      </c>
      <c r="H1049" s="3">
        <v>1</v>
      </c>
      <c r="I1049" s="3">
        <v>2</v>
      </c>
      <c r="J1049" s="3">
        <v>0</v>
      </c>
      <c r="K1049" s="3">
        <v>0</v>
      </c>
      <c r="L1049" s="3">
        <v>0</v>
      </c>
      <c r="M1049" s="3">
        <v>5</v>
      </c>
      <c r="N1049" s="3">
        <v>0</v>
      </c>
      <c r="O1049" s="3">
        <v>4</v>
      </c>
      <c r="P1049" s="3">
        <v>0</v>
      </c>
      <c r="Q1049" s="3">
        <v>0</v>
      </c>
      <c r="R1049" s="3">
        <v>1</v>
      </c>
      <c r="S1049" s="3">
        <v>3</v>
      </c>
      <c r="T1049" s="3">
        <v>1</v>
      </c>
      <c r="U1049" s="3">
        <v>0</v>
      </c>
      <c r="V1049" s="3">
        <v>1</v>
      </c>
      <c r="W1049" s="3">
        <v>0</v>
      </c>
      <c r="X1049" s="3">
        <v>0</v>
      </c>
      <c r="Y1049" s="3">
        <v>6</v>
      </c>
      <c r="Z1049" s="3">
        <v>3</v>
      </c>
      <c r="AA1049" s="3">
        <v>3</v>
      </c>
      <c r="AB1049" s="3">
        <v>0</v>
      </c>
      <c r="AC1049" s="3">
        <v>0</v>
      </c>
      <c r="AD1049" s="3">
        <v>0</v>
      </c>
      <c r="AE1049" s="3">
        <v>6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6</v>
      </c>
    </row>
    <row r="1050" spans="1:49">
      <c r="A1050" s="4" t="s">
        <v>35</v>
      </c>
      <c r="B1050" s="4" t="str">
        <f t="shared" si="16"/>
        <v>Hair Color</v>
      </c>
      <c r="C1050" s="4" t="s">
        <v>1786</v>
      </c>
      <c r="D1050" s="4" t="s">
        <v>578</v>
      </c>
      <c r="E1050" s="24" t="s">
        <v>414</v>
      </c>
      <c r="F1050" s="12" t="s">
        <v>424</v>
      </c>
      <c r="G1050" s="4" t="s">
        <v>1787</v>
      </c>
      <c r="H1050" s="3">
        <v>1</v>
      </c>
      <c r="I1050" s="3">
        <v>4</v>
      </c>
      <c r="J1050" s="3">
        <v>0</v>
      </c>
      <c r="K1050" s="3">
        <v>4</v>
      </c>
      <c r="L1050" s="3">
        <v>0</v>
      </c>
      <c r="M1050" s="3">
        <v>0</v>
      </c>
      <c r="N1050" s="3">
        <v>4</v>
      </c>
      <c r="O1050" s="3">
        <v>1</v>
      </c>
      <c r="P1050" s="3">
        <v>0</v>
      </c>
      <c r="Q1050" s="3">
        <v>4</v>
      </c>
      <c r="R1050" s="3">
        <v>0</v>
      </c>
      <c r="S1050" s="3">
        <v>4</v>
      </c>
      <c r="T1050" s="3">
        <v>0</v>
      </c>
      <c r="U1050" s="3">
        <v>0</v>
      </c>
      <c r="V1050" s="3">
        <v>4</v>
      </c>
      <c r="W1050" s="3">
        <v>4</v>
      </c>
      <c r="X1050" s="3">
        <v>2</v>
      </c>
      <c r="Y1050" s="3">
        <v>0</v>
      </c>
      <c r="Z1050" s="3">
        <v>5</v>
      </c>
      <c r="AA1050" s="3">
        <v>0</v>
      </c>
      <c r="AB1050" s="3">
        <v>0</v>
      </c>
      <c r="AC1050" s="3">
        <v>0</v>
      </c>
      <c r="AD1050" s="3">
        <v>0</v>
      </c>
      <c r="AE1050" s="3">
        <v>6</v>
      </c>
      <c r="AF1050" s="3">
        <v>0</v>
      </c>
      <c r="AG1050" s="3">
        <v>0</v>
      </c>
      <c r="AH1050" s="3">
        <v>0</v>
      </c>
      <c r="AI1050" s="3">
        <v>6</v>
      </c>
      <c r="AJ1050" s="3">
        <v>0</v>
      </c>
      <c r="AK1050" s="3">
        <v>6</v>
      </c>
      <c r="AL1050" s="3">
        <v>0</v>
      </c>
      <c r="AM1050" s="3">
        <v>6</v>
      </c>
      <c r="AN1050" s="3">
        <v>6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</row>
    <row r="1051" spans="1:49">
      <c r="A1051" s="4" t="s">
        <v>35</v>
      </c>
      <c r="B1051" s="4" t="str">
        <f t="shared" si="16"/>
        <v>Hair Color</v>
      </c>
      <c r="C1051" s="4" t="s">
        <v>1786</v>
      </c>
      <c r="D1051" s="4" t="s">
        <v>578</v>
      </c>
      <c r="E1051" s="24" t="s">
        <v>414</v>
      </c>
      <c r="F1051" s="12" t="s">
        <v>426</v>
      </c>
      <c r="G1051" s="4" t="s">
        <v>1787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3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</row>
    <row r="1052" spans="1:49">
      <c r="A1052" s="4" t="s">
        <v>35</v>
      </c>
      <c r="B1052" s="4" t="str">
        <f t="shared" si="16"/>
        <v>Hair Color</v>
      </c>
      <c r="C1052" s="4" t="s">
        <v>1786</v>
      </c>
      <c r="D1052" s="4" t="s">
        <v>578</v>
      </c>
      <c r="E1052" s="24" t="s">
        <v>414</v>
      </c>
      <c r="F1052" s="12" t="s">
        <v>427</v>
      </c>
      <c r="G1052" s="4" t="s">
        <v>1787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2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</row>
    <row r="1053" spans="1:49">
      <c r="A1053" s="4" t="s">
        <v>35</v>
      </c>
      <c r="B1053" s="4" t="str">
        <f t="shared" si="16"/>
        <v>Hair Color</v>
      </c>
      <c r="C1053" s="4" t="s">
        <v>1786</v>
      </c>
      <c r="D1053" s="4" t="s">
        <v>578</v>
      </c>
      <c r="E1053" s="24" t="s">
        <v>414</v>
      </c>
      <c r="F1053" s="12" t="s">
        <v>430</v>
      </c>
      <c r="G1053" s="4" t="s">
        <v>1787</v>
      </c>
      <c r="H1053" s="3">
        <v>1</v>
      </c>
      <c r="I1053" s="3">
        <v>2</v>
      </c>
      <c r="J1053" s="3">
        <v>0</v>
      </c>
      <c r="K1053" s="3">
        <v>0</v>
      </c>
      <c r="L1053" s="3">
        <v>10</v>
      </c>
      <c r="M1053" s="3">
        <v>0</v>
      </c>
      <c r="N1053" s="3">
        <v>4</v>
      </c>
      <c r="O1053" s="3">
        <v>0</v>
      </c>
      <c r="P1053" s="3">
        <v>0</v>
      </c>
      <c r="Q1053" s="3">
        <v>0</v>
      </c>
      <c r="R1053" s="3">
        <v>0</v>
      </c>
      <c r="S1053" s="3">
        <v>2</v>
      </c>
      <c r="T1053" s="3">
        <v>2</v>
      </c>
      <c r="U1053" s="3">
        <v>4</v>
      </c>
      <c r="V1053" s="3">
        <v>2</v>
      </c>
      <c r="W1053" s="3">
        <v>4</v>
      </c>
      <c r="X1053" s="3">
        <v>0</v>
      </c>
      <c r="Y1053" s="3">
        <v>0</v>
      </c>
      <c r="Z1053" s="3">
        <v>1</v>
      </c>
      <c r="AA1053" s="3">
        <v>3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6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6</v>
      </c>
      <c r="AV1053" s="3">
        <v>0</v>
      </c>
      <c r="AW1053" s="3">
        <v>0</v>
      </c>
    </row>
    <row r="1054" spans="1:49">
      <c r="A1054" s="4" t="s">
        <v>35</v>
      </c>
      <c r="B1054" s="4" t="str">
        <f t="shared" si="16"/>
        <v>Hair Color</v>
      </c>
      <c r="C1054" s="4" t="s">
        <v>1786</v>
      </c>
      <c r="D1054" s="4" t="s">
        <v>578</v>
      </c>
      <c r="E1054" s="24" t="s">
        <v>414</v>
      </c>
      <c r="F1054" s="12" t="s">
        <v>432</v>
      </c>
      <c r="G1054" s="4" t="s">
        <v>1787</v>
      </c>
      <c r="H1054" s="3">
        <v>0</v>
      </c>
      <c r="I1054" s="3">
        <v>2</v>
      </c>
      <c r="J1054" s="3">
        <v>2</v>
      </c>
      <c r="K1054" s="3">
        <v>0</v>
      </c>
      <c r="L1054" s="3">
        <v>8</v>
      </c>
      <c r="M1054" s="3">
        <v>0</v>
      </c>
      <c r="N1054" s="3">
        <v>7</v>
      </c>
      <c r="O1054" s="3">
        <v>0</v>
      </c>
      <c r="P1054" s="3">
        <v>0</v>
      </c>
      <c r="Q1054" s="3">
        <v>6</v>
      </c>
      <c r="R1054" s="3">
        <v>0</v>
      </c>
      <c r="S1054" s="3">
        <v>0</v>
      </c>
      <c r="T1054" s="3">
        <v>8</v>
      </c>
      <c r="U1054" s="3">
        <v>0</v>
      </c>
      <c r="V1054" s="3">
        <v>0</v>
      </c>
      <c r="W1054" s="3">
        <v>6</v>
      </c>
      <c r="X1054" s="3">
        <v>0</v>
      </c>
      <c r="Y1054" s="3">
        <v>0</v>
      </c>
      <c r="Z1054" s="3">
        <v>6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6</v>
      </c>
      <c r="AV1054" s="3">
        <v>0</v>
      </c>
      <c r="AW1054" s="3">
        <v>0</v>
      </c>
    </row>
    <row r="1055" spans="1:49">
      <c r="A1055" s="4" t="s">
        <v>35</v>
      </c>
      <c r="B1055" s="4" t="str">
        <f t="shared" si="16"/>
        <v>Hair Color</v>
      </c>
      <c r="C1055" s="4" t="s">
        <v>1786</v>
      </c>
      <c r="D1055" s="4" t="s">
        <v>578</v>
      </c>
      <c r="E1055" s="24" t="s">
        <v>414</v>
      </c>
      <c r="F1055" s="12" t="s">
        <v>433</v>
      </c>
      <c r="G1055" s="4" t="s">
        <v>1787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1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</row>
    <row r="1056" spans="1:49">
      <c r="A1056" s="4" t="s">
        <v>35</v>
      </c>
      <c r="B1056" s="4" t="str">
        <f t="shared" si="16"/>
        <v>Hair Color</v>
      </c>
      <c r="C1056" s="4" t="s">
        <v>1786</v>
      </c>
      <c r="D1056" s="4" t="s">
        <v>578</v>
      </c>
      <c r="E1056" s="24" t="s">
        <v>414</v>
      </c>
      <c r="F1056" s="12" t="s">
        <v>434</v>
      </c>
      <c r="G1056" s="4" t="s">
        <v>1787</v>
      </c>
      <c r="H1056" s="3">
        <v>0</v>
      </c>
      <c r="I1056" s="3">
        <v>0</v>
      </c>
      <c r="J1056" s="3">
        <v>5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1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1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</row>
    <row r="1057" spans="1:49">
      <c r="A1057" s="4" t="s">
        <v>35</v>
      </c>
      <c r="B1057" s="4" t="str">
        <f t="shared" si="16"/>
        <v>Hair Color</v>
      </c>
      <c r="C1057" s="4" t="s">
        <v>1786</v>
      </c>
      <c r="D1057" s="4" t="s">
        <v>578</v>
      </c>
      <c r="E1057" s="24" t="s">
        <v>414</v>
      </c>
      <c r="F1057" s="12" t="s">
        <v>435</v>
      </c>
      <c r="G1057" s="4" t="s">
        <v>1787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2</v>
      </c>
      <c r="T1057" s="3">
        <v>0</v>
      </c>
      <c r="U1057" s="3">
        <v>0</v>
      </c>
      <c r="V1057" s="3">
        <v>0</v>
      </c>
      <c r="W1057" s="3">
        <v>0</v>
      </c>
      <c r="X1057" s="3">
        <v>2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</row>
    <row r="1058" spans="1:49">
      <c r="A1058" s="4" t="s">
        <v>35</v>
      </c>
      <c r="B1058" s="4" t="str">
        <f t="shared" si="16"/>
        <v>Hair Color</v>
      </c>
      <c r="C1058" s="4" t="s">
        <v>1786</v>
      </c>
      <c r="D1058" s="4" t="s">
        <v>578</v>
      </c>
      <c r="E1058" s="24" t="s">
        <v>414</v>
      </c>
      <c r="F1058" s="12" t="s">
        <v>436</v>
      </c>
      <c r="G1058" s="4" t="s">
        <v>1787</v>
      </c>
      <c r="H1058" s="3">
        <v>0</v>
      </c>
      <c r="I1058" s="3">
        <v>0</v>
      </c>
      <c r="J1058" s="3">
        <v>4</v>
      </c>
      <c r="K1058" s="3">
        <v>0</v>
      </c>
      <c r="L1058" s="3">
        <v>2</v>
      </c>
      <c r="M1058" s="3">
        <v>0</v>
      </c>
      <c r="N1058" s="3">
        <v>0</v>
      </c>
      <c r="O1058" s="3">
        <v>1</v>
      </c>
      <c r="P1058" s="3">
        <v>0</v>
      </c>
      <c r="Q1058" s="3">
        <v>2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1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</row>
    <row r="1059" spans="1:49">
      <c r="A1059" s="4" t="s">
        <v>35</v>
      </c>
      <c r="B1059" s="4" t="str">
        <f t="shared" si="16"/>
        <v>Hair Color</v>
      </c>
      <c r="C1059" s="4" t="s">
        <v>1786</v>
      </c>
      <c r="D1059" s="4" t="s">
        <v>578</v>
      </c>
      <c r="E1059" s="24" t="s">
        <v>414</v>
      </c>
      <c r="F1059" s="12" t="s">
        <v>440</v>
      </c>
      <c r="G1059" s="4" t="s">
        <v>1787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1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</row>
    <row r="1060" spans="1:49">
      <c r="A1060" s="4" t="s">
        <v>35</v>
      </c>
      <c r="B1060" s="4" t="str">
        <f t="shared" si="16"/>
        <v>Hair Color</v>
      </c>
      <c r="C1060" s="4" t="s">
        <v>1786</v>
      </c>
      <c r="D1060" s="4" t="s">
        <v>578</v>
      </c>
      <c r="E1060" s="24" t="s">
        <v>441</v>
      </c>
      <c r="F1060" s="12" t="s">
        <v>442</v>
      </c>
      <c r="G1060" s="4" t="s">
        <v>1787</v>
      </c>
      <c r="H1060" s="3">
        <v>0</v>
      </c>
      <c r="I1060" s="3">
        <v>1</v>
      </c>
      <c r="J1060" s="3">
        <v>0</v>
      </c>
      <c r="K1060" s="3">
        <v>2</v>
      </c>
      <c r="L1060" s="3">
        <v>3</v>
      </c>
      <c r="M1060" s="3">
        <v>3</v>
      </c>
      <c r="N1060" s="3">
        <v>0</v>
      </c>
      <c r="O1060" s="3">
        <v>0</v>
      </c>
      <c r="P1060" s="3">
        <v>0</v>
      </c>
      <c r="Q1060" s="3">
        <v>1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1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</row>
    <row r="1061" spans="1:49">
      <c r="A1061" s="4" t="s">
        <v>35</v>
      </c>
      <c r="B1061" s="4" t="str">
        <f t="shared" si="16"/>
        <v>Hair Color</v>
      </c>
      <c r="C1061" s="4" t="s">
        <v>1786</v>
      </c>
      <c r="D1061" s="4" t="s">
        <v>578</v>
      </c>
      <c r="E1061" s="24" t="s">
        <v>441</v>
      </c>
      <c r="F1061" s="12" t="s">
        <v>443</v>
      </c>
      <c r="G1061" s="4" t="s">
        <v>1787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1</v>
      </c>
      <c r="AA1061" s="3">
        <v>0</v>
      </c>
      <c r="AB1061" s="3">
        <v>0</v>
      </c>
      <c r="AC1061" s="3">
        <v>0</v>
      </c>
      <c r="AD1061" s="3">
        <v>1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</row>
    <row r="1062" spans="1:49">
      <c r="A1062" s="4" t="s">
        <v>35</v>
      </c>
      <c r="B1062" s="4" t="str">
        <f t="shared" si="16"/>
        <v>Hair Color</v>
      </c>
      <c r="C1062" s="4" t="s">
        <v>1786</v>
      </c>
      <c r="D1062" s="4" t="s">
        <v>578</v>
      </c>
      <c r="E1062" s="24" t="s">
        <v>441</v>
      </c>
      <c r="F1062" s="12" t="s">
        <v>444</v>
      </c>
      <c r="G1062" s="4" t="s">
        <v>1787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1</v>
      </c>
      <c r="P1062" s="3">
        <v>0</v>
      </c>
      <c r="Q1062" s="3">
        <v>2</v>
      </c>
      <c r="R1062" s="3">
        <v>0</v>
      </c>
      <c r="S1062" s="3">
        <v>1</v>
      </c>
      <c r="T1062" s="3">
        <v>3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2</v>
      </c>
      <c r="AA1062" s="3">
        <v>1</v>
      </c>
      <c r="AB1062" s="3">
        <v>1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2</v>
      </c>
      <c r="AN1062" s="3">
        <v>0</v>
      </c>
      <c r="AO1062" s="3">
        <v>0</v>
      </c>
      <c r="AP1062" s="3">
        <v>4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</row>
    <row r="1063" spans="1:49">
      <c r="A1063" s="4" t="s">
        <v>35</v>
      </c>
      <c r="B1063" s="4" t="str">
        <f t="shared" si="16"/>
        <v>Hair Color</v>
      </c>
      <c r="C1063" s="4" t="s">
        <v>1786</v>
      </c>
      <c r="D1063" s="4" t="s">
        <v>578</v>
      </c>
      <c r="E1063" s="24" t="s">
        <v>441</v>
      </c>
      <c r="F1063" s="12" t="s">
        <v>445</v>
      </c>
      <c r="G1063" s="4" t="s">
        <v>1787</v>
      </c>
      <c r="H1063" s="3">
        <v>0</v>
      </c>
      <c r="I1063" s="3">
        <v>2</v>
      </c>
      <c r="J1063" s="3">
        <v>0</v>
      </c>
      <c r="K1063" s="3">
        <v>1</v>
      </c>
      <c r="L1063" s="3">
        <v>1</v>
      </c>
      <c r="M1063" s="3">
        <v>2</v>
      </c>
      <c r="N1063" s="3">
        <v>0</v>
      </c>
      <c r="O1063" s="3">
        <v>3</v>
      </c>
      <c r="P1063" s="3">
        <v>0</v>
      </c>
      <c r="Q1063" s="3">
        <v>0</v>
      </c>
      <c r="R1063" s="3">
        <v>0</v>
      </c>
      <c r="S1063" s="3">
        <v>3</v>
      </c>
      <c r="T1063" s="3">
        <v>0</v>
      </c>
      <c r="U1063" s="3">
        <v>0</v>
      </c>
      <c r="V1063" s="3">
        <v>0</v>
      </c>
      <c r="W1063" s="3">
        <v>0</v>
      </c>
      <c r="X1063" s="3">
        <v>4</v>
      </c>
      <c r="Y1063" s="3">
        <v>1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2</v>
      </c>
      <c r="AH1063" s="3">
        <v>0</v>
      </c>
      <c r="AI1063" s="3">
        <v>0</v>
      </c>
      <c r="AJ1063" s="3">
        <v>4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</row>
    <row r="1064" spans="1:49">
      <c r="A1064" s="4" t="s">
        <v>35</v>
      </c>
      <c r="B1064" s="4" t="str">
        <f t="shared" si="16"/>
        <v>Hair Color</v>
      </c>
      <c r="C1064" s="4" t="s">
        <v>1786</v>
      </c>
      <c r="D1064" s="4" t="s">
        <v>578</v>
      </c>
      <c r="E1064" s="24" t="s">
        <v>441</v>
      </c>
      <c r="F1064" s="12" t="s">
        <v>446</v>
      </c>
      <c r="G1064" s="4" t="s">
        <v>1787</v>
      </c>
      <c r="H1064" s="3">
        <v>0</v>
      </c>
      <c r="I1064" s="3">
        <v>2</v>
      </c>
      <c r="J1064" s="3">
        <v>0</v>
      </c>
      <c r="K1064" s="3">
        <v>4</v>
      </c>
      <c r="L1064" s="3">
        <v>0</v>
      </c>
      <c r="M1064" s="3">
        <v>0</v>
      </c>
      <c r="N1064" s="3">
        <v>3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2</v>
      </c>
      <c r="U1064" s="3">
        <v>0</v>
      </c>
      <c r="V1064" s="3">
        <v>0</v>
      </c>
      <c r="W1064" s="3">
        <v>2</v>
      </c>
      <c r="X1064" s="3">
        <v>1</v>
      </c>
      <c r="Y1064" s="3">
        <v>0</v>
      </c>
      <c r="Z1064" s="3">
        <v>0</v>
      </c>
      <c r="AA1064" s="3">
        <v>2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4</v>
      </c>
      <c r="AH1064" s="3">
        <v>0</v>
      </c>
      <c r="AI1064" s="3">
        <v>0</v>
      </c>
      <c r="AJ1064" s="3">
        <v>0</v>
      </c>
      <c r="AK1064" s="3">
        <v>3</v>
      </c>
      <c r="AL1064" s="3">
        <v>0</v>
      </c>
      <c r="AM1064" s="3">
        <v>0</v>
      </c>
      <c r="AN1064" s="3">
        <v>0</v>
      </c>
      <c r="AO1064" s="3">
        <v>3</v>
      </c>
      <c r="AP1064" s="3">
        <v>0</v>
      </c>
      <c r="AQ1064" s="3">
        <v>0</v>
      </c>
      <c r="AR1064" s="3">
        <v>2</v>
      </c>
      <c r="AS1064" s="3">
        <v>3</v>
      </c>
      <c r="AT1064" s="3">
        <v>5</v>
      </c>
      <c r="AU1064" s="3">
        <v>0</v>
      </c>
      <c r="AV1064" s="3">
        <v>0</v>
      </c>
      <c r="AW1064" s="3">
        <v>0</v>
      </c>
    </row>
    <row r="1065" spans="1:49">
      <c r="A1065" s="4" t="s">
        <v>35</v>
      </c>
      <c r="B1065" s="4" t="str">
        <f t="shared" si="16"/>
        <v>Hair Color</v>
      </c>
      <c r="C1065" s="4" t="s">
        <v>1786</v>
      </c>
      <c r="D1065" s="4" t="s">
        <v>578</v>
      </c>
      <c r="E1065" s="24" t="s">
        <v>441</v>
      </c>
      <c r="F1065" s="12" t="s">
        <v>447</v>
      </c>
      <c r="G1065" s="4" t="s">
        <v>1787</v>
      </c>
      <c r="H1065" s="3">
        <v>3</v>
      </c>
      <c r="I1065" s="3">
        <v>4</v>
      </c>
      <c r="J1065" s="3">
        <v>1</v>
      </c>
      <c r="K1065" s="3">
        <v>1</v>
      </c>
      <c r="L1065" s="3">
        <v>6</v>
      </c>
      <c r="M1065" s="3">
        <v>0</v>
      </c>
      <c r="N1065" s="3">
        <v>6</v>
      </c>
      <c r="O1065" s="3">
        <v>1</v>
      </c>
      <c r="P1065" s="3">
        <v>0</v>
      </c>
      <c r="Q1065" s="3">
        <v>4</v>
      </c>
      <c r="R1065" s="3">
        <v>0</v>
      </c>
      <c r="S1065" s="3">
        <v>0</v>
      </c>
      <c r="T1065" s="3">
        <v>4</v>
      </c>
      <c r="U1065" s="3">
        <v>0</v>
      </c>
      <c r="V1065" s="3">
        <v>0</v>
      </c>
      <c r="W1065" s="3">
        <v>4</v>
      </c>
      <c r="X1065" s="3">
        <v>0</v>
      </c>
      <c r="Y1065" s="3">
        <v>0</v>
      </c>
      <c r="Z1065" s="3">
        <v>1</v>
      </c>
      <c r="AA1065" s="3">
        <v>2</v>
      </c>
      <c r="AB1065" s="3">
        <v>0</v>
      </c>
      <c r="AC1065" s="3">
        <v>0</v>
      </c>
      <c r="AD1065" s="3">
        <v>0</v>
      </c>
      <c r="AE1065" s="3">
        <v>0</v>
      </c>
      <c r="AF1065" s="3">
        <v>6</v>
      </c>
      <c r="AG1065" s="3">
        <v>1</v>
      </c>
      <c r="AH1065" s="3">
        <v>1</v>
      </c>
      <c r="AI1065" s="3">
        <v>5</v>
      </c>
      <c r="AJ1065" s="3">
        <v>0</v>
      </c>
      <c r="AK1065" s="3">
        <v>0</v>
      </c>
      <c r="AL1065" s="3">
        <v>1</v>
      </c>
      <c r="AM1065" s="3">
        <v>2</v>
      </c>
      <c r="AN1065" s="3">
        <v>0</v>
      </c>
      <c r="AO1065" s="3">
        <v>0</v>
      </c>
      <c r="AP1065" s="3">
        <v>0</v>
      </c>
      <c r="AQ1065" s="3">
        <v>2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</row>
    <row r="1066" spans="1:49">
      <c r="A1066" s="4" t="s">
        <v>35</v>
      </c>
      <c r="B1066" s="4" t="str">
        <f t="shared" si="16"/>
        <v>Hair Color</v>
      </c>
      <c r="C1066" s="4" t="s">
        <v>1786</v>
      </c>
      <c r="D1066" s="4" t="s">
        <v>578</v>
      </c>
      <c r="E1066" s="24" t="s">
        <v>441</v>
      </c>
      <c r="F1066" s="12" t="s">
        <v>448</v>
      </c>
      <c r="G1066" s="4" t="s">
        <v>1787</v>
      </c>
      <c r="H1066" s="3">
        <v>0</v>
      </c>
      <c r="I1066" s="3">
        <v>0</v>
      </c>
      <c r="J1066" s="3">
        <v>2</v>
      </c>
      <c r="K1066" s="3">
        <v>0</v>
      </c>
      <c r="L1066" s="3">
        <v>2</v>
      </c>
      <c r="M1066" s="3">
        <v>1</v>
      </c>
      <c r="N1066" s="3">
        <v>0</v>
      </c>
      <c r="O1066" s="3">
        <v>0</v>
      </c>
      <c r="P1066" s="3">
        <v>2</v>
      </c>
      <c r="Q1066" s="3">
        <v>0</v>
      </c>
      <c r="R1066" s="3">
        <v>2</v>
      </c>
      <c r="S1066" s="3">
        <v>0</v>
      </c>
      <c r="T1066" s="3">
        <v>0</v>
      </c>
      <c r="U1066" s="3">
        <v>2</v>
      </c>
      <c r="V1066" s="3">
        <v>0</v>
      </c>
      <c r="W1066" s="3">
        <v>0</v>
      </c>
      <c r="X1066" s="3">
        <v>0</v>
      </c>
      <c r="Y1066" s="3">
        <v>1</v>
      </c>
      <c r="Z1066" s="3">
        <v>1</v>
      </c>
      <c r="AA1066" s="3">
        <v>2</v>
      </c>
      <c r="AB1066" s="3">
        <v>0</v>
      </c>
      <c r="AC1066" s="3">
        <v>0</v>
      </c>
      <c r="AD1066" s="3">
        <v>0</v>
      </c>
      <c r="AE1066" s="3">
        <v>2</v>
      </c>
      <c r="AF1066" s="3">
        <v>0</v>
      </c>
      <c r="AG1066" s="3">
        <v>2</v>
      </c>
      <c r="AH1066" s="3">
        <v>0</v>
      </c>
      <c r="AI1066" s="3">
        <v>0</v>
      </c>
      <c r="AJ1066" s="3">
        <v>4</v>
      </c>
      <c r="AK1066" s="3">
        <v>0</v>
      </c>
      <c r="AL1066" s="3">
        <v>3</v>
      </c>
      <c r="AM1066" s="3">
        <v>0</v>
      </c>
      <c r="AN1066" s="3">
        <v>0</v>
      </c>
      <c r="AO1066" s="3">
        <v>0</v>
      </c>
      <c r="AP1066" s="3">
        <v>5</v>
      </c>
      <c r="AQ1066" s="3">
        <v>0</v>
      </c>
      <c r="AR1066" s="3">
        <v>0</v>
      </c>
      <c r="AS1066" s="3">
        <v>3</v>
      </c>
      <c r="AT1066" s="3">
        <v>0</v>
      </c>
      <c r="AU1066" s="3">
        <v>0</v>
      </c>
      <c r="AV1066" s="3">
        <v>0</v>
      </c>
      <c r="AW1066" s="3">
        <v>0</v>
      </c>
    </row>
    <row r="1067" spans="1:49">
      <c r="A1067" s="4" t="s">
        <v>35</v>
      </c>
      <c r="B1067" s="4" t="str">
        <f t="shared" si="16"/>
        <v>Hair Color</v>
      </c>
      <c r="C1067" s="4" t="s">
        <v>1786</v>
      </c>
      <c r="D1067" s="4" t="s">
        <v>578</v>
      </c>
      <c r="E1067" s="24" t="s">
        <v>441</v>
      </c>
      <c r="F1067" s="12" t="s">
        <v>449</v>
      </c>
      <c r="G1067" s="4" t="s">
        <v>1787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1</v>
      </c>
      <c r="W1067" s="3">
        <v>0</v>
      </c>
      <c r="X1067" s="3">
        <v>1</v>
      </c>
      <c r="Y1067" s="3">
        <v>1</v>
      </c>
      <c r="Z1067" s="3">
        <v>0</v>
      </c>
      <c r="AA1067" s="3">
        <v>1</v>
      </c>
      <c r="AB1067" s="3">
        <v>0</v>
      </c>
      <c r="AC1067" s="3">
        <v>0</v>
      </c>
      <c r="AD1067" s="3">
        <v>2</v>
      </c>
      <c r="AE1067" s="3">
        <v>0</v>
      </c>
      <c r="AF1067" s="3">
        <v>0</v>
      </c>
      <c r="AG1067" s="3">
        <v>0</v>
      </c>
      <c r="AH1067" s="3">
        <v>0</v>
      </c>
      <c r="AI1067" s="3">
        <v>1</v>
      </c>
      <c r="AJ1067" s="3">
        <v>0</v>
      </c>
      <c r="AK1067" s="3">
        <v>0</v>
      </c>
      <c r="AL1067" s="3">
        <v>0</v>
      </c>
      <c r="AM1067" s="3">
        <v>1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</row>
    <row r="1068" spans="1:49">
      <c r="A1068" s="4" t="s">
        <v>35</v>
      </c>
      <c r="B1068" s="4" t="str">
        <f t="shared" si="16"/>
        <v>Hair Color</v>
      </c>
      <c r="C1068" s="4" t="s">
        <v>1786</v>
      </c>
      <c r="D1068" s="4" t="s">
        <v>578</v>
      </c>
      <c r="E1068" s="24" t="s">
        <v>441</v>
      </c>
      <c r="F1068" s="12" t="s">
        <v>450</v>
      </c>
      <c r="G1068" s="4" t="s">
        <v>1787</v>
      </c>
      <c r="H1068" s="3">
        <v>0</v>
      </c>
      <c r="I1068" s="3">
        <v>0</v>
      </c>
      <c r="J1068" s="3">
        <v>4</v>
      </c>
      <c r="K1068" s="3">
        <v>0</v>
      </c>
      <c r="L1068" s="3">
        <v>0</v>
      </c>
      <c r="M1068" s="3">
        <v>2</v>
      </c>
      <c r="N1068" s="3">
        <v>0</v>
      </c>
      <c r="O1068" s="3">
        <v>4</v>
      </c>
      <c r="P1068" s="3">
        <v>0</v>
      </c>
      <c r="Q1068" s="3">
        <v>3</v>
      </c>
      <c r="R1068" s="3">
        <v>1</v>
      </c>
      <c r="S1068" s="3">
        <v>1</v>
      </c>
      <c r="T1068" s="3">
        <v>0</v>
      </c>
      <c r="U1068" s="3">
        <v>0</v>
      </c>
      <c r="V1068" s="3">
        <v>0</v>
      </c>
      <c r="W1068" s="3">
        <v>1</v>
      </c>
      <c r="X1068" s="3">
        <v>1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</row>
    <row r="1069" spans="1:49">
      <c r="A1069" s="4" t="s">
        <v>35</v>
      </c>
      <c r="B1069" s="4" t="str">
        <f t="shared" si="16"/>
        <v>Hair Color</v>
      </c>
      <c r="C1069" s="4" t="s">
        <v>1786</v>
      </c>
      <c r="D1069" s="4" t="s">
        <v>578</v>
      </c>
      <c r="E1069" s="24" t="s">
        <v>441</v>
      </c>
      <c r="F1069" s="12" t="s">
        <v>451</v>
      </c>
      <c r="G1069" s="4" t="s">
        <v>1787</v>
      </c>
      <c r="H1069" s="3">
        <v>0</v>
      </c>
      <c r="I1069" s="3">
        <v>2</v>
      </c>
      <c r="J1069" s="3">
        <v>0</v>
      </c>
      <c r="K1069" s="3">
        <v>0</v>
      </c>
      <c r="L1069" s="3">
        <v>1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1</v>
      </c>
      <c r="X1069" s="3">
        <v>0</v>
      </c>
      <c r="Y1069" s="3">
        <v>0</v>
      </c>
      <c r="Z1069" s="3">
        <v>0</v>
      </c>
      <c r="AA1069" s="3">
        <v>3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4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</row>
    <row r="1070" spans="1:49">
      <c r="A1070" s="4" t="s">
        <v>35</v>
      </c>
      <c r="B1070" s="4" t="str">
        <f t="shared" si="16"/>
        <v>Hair Color</v>
      </c>
      <c r="C1070" s="4" t="s">
        <v>1786</v>
      </c>
      <c r="D1070" s="4" t="s">
        <v>578</v>
      </c>
      <c r="E1070" s="24" t="s">
        <v>441</v>
      </c>
      <c r="F1070" s="12" t="s">
        <v>452</v>
      </c>
      <c r="G1070" s="4" t="s">
        <v>1787</v>
      </c>
      <c r="H1070" s="3">
        <v>2</v>
      </c>
      <c r="I1070" s="3">
        <v>0</v>
      </c>
      <c r="J1070" s="3">
        <v>1</v>
      </c>
      <c r="K1070" s="3">
        <v>0</v>
      </c>
      <c r="L1070" s="3">
        <v>4</v>
      </c>
      <c r="M1070" s="3">
        <v>4</v>
      </c>
      <c r="N1070" s="3">
        <v>2</v>
      </c>
      <c r="O1070" s="3">
        <v>5</v>
      </c>
      <c r="P1070" s="3">
        <v>0</v>
      </c>
      <c r="Q1070" s="3">
        <v>2</v>
      </c>
      <c r="R1070" s="3">
        <v>6</v>
      </c>
      <c r="S1070" s="3">
        <v>0</v>
      </c>
      <c r="T1070" s="3">
        <v>3</v>
      </c>
      <c r="U1070" s="3">
        <v>0</v>
      </c>
      <c r="V1070" s="3">
        <v>1</v>
      </c>
      <c r="W1070" s="3">
        <v>3</v>
      </c>
      <c r="X1070" s="3">
        <v>0</v>
      </c>
      <c r="Y1070" s="3">
        <v>4</v>
      </c>
      <c r="Z1070" s="3">
        <v>3</v>
      </c>
      <c r="AA1070" s="3">
        <v>4</v>
      </c>
      <c r="AB1070" s="3">
        <v>0</v>
      </c>
      <c r="AC1070" s="3">
        <v>0</v>
      </c>
      <c r="AD1070" s="3">
        <v>2</v>
      </c>
      <c r="AE1070" s="3">
        <v>0</v>
      </c>
      <c r="AF1070" s="3">
        <v>2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2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</row>
    <row r="1071" spans="1:49">
      <c r="A1071" s="4" t="s">
        <v>35</v>
      </c>
      <c r="B1071" s="4" t="str">
        <f t="shared" si="16"/>
        <v>Hair Color</v>
      </c>
      <c r="C1071" s="4" t="s">
        <v>1786</v>
      </c>
      <c r="D1071" s="4" t="s">
        <v>578</v>
      </c>
      <c r="E1071" s="24" t="s">
        <v>441</v>
      </c>
      <c r="F1071" s="12" t="s">
        <v>453</v>
      </c>
      <c r="G1071" s="4" t="s">
        <v>1787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1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1</v>
      </c>
      <c r="T1071" s="3">
        <v>0</v>
      </c>
      <c r="U1071" s="3">
        <v>0</v>
      </c>
      <c r="V1071" s="3">
        <v>1</v>
      </c>
      <c r="W1071" s="3">
        <v>0</v>
      </c>
      <c r="X1071" s="3">
        <v>0</v>
      </c>
      <c r="Y1071" s="3">
        <v>2</v>
      </c>
      <c r="Z1071" s="3">
        <v>0</v>
      </c>
      <c r="AA1071" s="3">
        <v>0</v>
      </c>
      <c r="AB1071" s="3">
        <v>0</v>
      </c>
      <c r="AC1071" s="3">
        <v>0</v>
      </c>
      <c r="AD1071" s="3">
        <v>3</v>
      </c>
      <c r="AE1071" s="3">
        <v>0</v>
      </c>
      <c r="AF1071" s="3">
        <v>1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</row>
    <row r="1072" spans="1:49">
      <c r="A1072" s="4" t="s">
        <v>35</v>
      </c>
      <c r="B1072" s="4" t="str">
        <f t="shared" si="16"/>
        <v>Hair Color</v>
      </c>
      <c r="C1072" s="4" t="s">
        <v>1786</v>
      </c>
      <c r="D1072" s="4" t="s">
        <v>578</v>
      </c>
      <c r="E1072" s="24" t="s">
        <v>441</v>
      </c>
      <c r="F1072" s="12" t="s">
        <v>454</v>
      </c>
      <c r="G1072" s="4" t="s">
        <v>1787</v>
      </c>
      <c r="H1072" s="3">
        <v>0</v>
      </c>
      <c r="I1072" s="3">
        <v>3</v>
      </c>
      <c r="J1072" s="3">
        <v>0</v>
      </c>
      <c r="K1072" s="3">
        <v>2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1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</row>
    <row r="1073" spans="1:49">
      <c r="A1073" s="4" t="s">
        <v>35</v>
      </c>
      <c r="B1073" s="4" t="str">
        <f t="shared" si="16"/>
        <v>Hair Color</v>
      </c>
      <c r="C1073" s="4" t="s">
        <v>1786</v>
      </c>
      <c r="D1073" s="4" t="s">
        <v>578</v>
      </c>
      <c r="E1073" s="24" t="s">
        <v>441</v>
      </c>
      <c r="F1073" s="12" t="s">
        <v>455</v>
      </c>
      <c r="G1073" s="4" t="s">
        <v>1787</v>
      </c>
      <c r="H1073" s="3">
        <v>1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2</v>
      </c>
      <c r="O1073" s="3">
        <v>1</v>
      </c>
      <c r="P1073" s="3">
        <v>0</v>
      </c>
      <c r="Q1073" s="3">
        <v>0</v>
      </c>
      <c r="R1073" s="3">
        <v>0</v>
      </c>
      <c r="S1073" s="3">
        <v>2</v>
      </c>
      <c r="T1073" s="3">
        <v>0</v>
      </c>
      <c r="U1073" s="3">
        <v>0</v>
      </c>
      <c r="V1073" s="3">
        <v>0</v>
      </c>
      <c r="W1073" s="3">
        <v>0</v>
      </c>
      <c r="X1073" s="3">
        <v>1</v>
      </c>
      <c r="Y1073" s="3">
        <v>1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</row>
    <row r="1074" spans="1:49">
      <c r="A1074" s="4" t="s">
        <v>35</v>
      </c>
      <c r="B1074" s="4" t="str">
        <f t="shared" si="16"/>
        <v>Hair Color</v>
      </c>
      <c r="C1074" s="4" t="s">
        <v>1786</v>
      </c>
      <c r="D1074" s="4" t="s">
        <v>578</v>
      </c>
      <c r="E1074" s="24" t="s">
        <v>441</v>
      </c>
      <c r="F1074" s="12" t="s">
        <v>456</v>
      </c>
      <c r="G1074" s="4" t="s">
        <v>1787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1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</row>
    <row r="1075" spans="1:49">
      <c r="A1075" s="4" t="s">
        <v>35</v>
      </c>
      <c r="B1075" s="4" t="str">
        <f t="shared" si="16"/>
        <v>Hair Color</v>
      </c>
      <c r="C1075" s="4" t="s">
        <v>1786</v>
      </c>
      <c r="D1075" s="4" t="s">
        <v>578</v>
      </c>
      <c r="E1075" s="24" t="s">
        <v>441</v>
      </c>
      <c r="F1075" s="12" t="s">
        <v>457</v>
      </c>
      <c r="G1075" s="4" t="s">
        <v>1787</v>
      </c>
      <c r="H1075" s="3">
        <v>1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1</v>
      </c>
      <c r="O1075" s="3">
        <v>0</v>
      </c>
      <c r="P1075" s="3">
        <v>0</v>
      </c>
      <c r="Q1075" s="3">
        <v>3</v>
      </c>
      <c r="R1075" s="3">
        <v>1</v>
      </c>
      <c r="S1075" s="3">
        <v>0</v>
      </c>
      <c r="T1075" s="3">
        <v>1</v>
      </c>
      <c r="U1075" s="3">
        <v>5</v>
      </c>
      <c r="V1075" s="3">
        <v>0</v>
      </c>
      <c r="W1075" s="3">
        <v>1</v>
      </c>
      <c r="X1075" s="3">
        <v>2</v>
      </c>
      <c r="Y1075" s="3">
        <v>0</v>
      </c>
      <c r="Z1075" s="3">
        <v>2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2</v>
      </c>
      <c r="AG1075" s="3">
        <v>0</v>
      </c>
      <c r="AH1075" s="3">
        <v>1</v>
      </c>
      <c r="AI1075" s="3">
        <v>2</v>
      </c>
      <c r="AJ1075" s="3">
        <v>0</v>
      </c>
      <c r="AK1075" s="3">
        <v>1</v>
      </c>
      <c r="AL1075" s="3">
        <v>1</v>
      </c>
      <c r="AM1075" s="3">
        <v>1</v>
      </c>
      <c r="AN1075" s="3">
        <v>0</v>
      </c>
      <c r="AO1075" s="3">
        <v>0</v>
      </c>
      <c r="AP1075" s="3">
        <v>0</v>
      </c>
      <c r="AQ1075" s="3">
        <v>0</v>
      </c>
      <c r="AR1075" s="3">
        <v>1</v>
      </c>
      <c r="AS1075" s="3">
        <v>2</v>
      </c>
      <c r="AT1075" s="3">
        <v>0</v>
      </c>
      <c r="AU1075" s="3">
        <v>1</v>
      </c>
      <c r="AV1075" s="3">
        <v>2</v>
      </c>
      <c r="AW1075" s="3">
        <v>0</v>
      </c>
    </row>
    <row r="1076" spans="1:49">
      <c r="A1076" s="4" t="s">
        <v>35</v>
      </c>
      <c r="B1076" s="4" t="str">
        <f t="shared" si="16"/>
        <v>Hair Color</v>
      </c>
      <c r="C1076" s="4" t="s">
        <v>1786</v>
      </c>
      <c r="D1076" s="4" t="s">
        <v>578</v>
      </c>
      <c r="E1076" s="24" t="s">
        <v>441</v>
      </c>
      <c r="F1076" s="12" t="s">
        <v>460</v>
      </c>
      <c r="G1076" s="4" t="s">
        <v>1787</v>
      </c>
      <c r="H1076" s="3">
        <v>0</v>
      </c>
      <c r="I1076" s="3">
        <v>0</v>
      </c>
      <c r="J1076" s="3">
        <v>1</v>
      </c>
      <c r="K1076" s="3">
        <v>1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1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</row>
    <row r="1077" spans="1:49">
      <c r="A1077" s="4" t="s">
        <v>35</v>
      </c>
      <c r="B1077" s="4" t="str">
        <f t="shared" si="16"/>
        <v>Hair Color</v>
      </c>
      <c r="C1077" s="4" t="s">
        <v>1786</v>
      </c>
      <c r="D1077" s="4" t="s">
        <v>578</v>
      </c>
      <c r="E1077" s="24" t="s">
        <v>441</v>
      </c>
      <c r="F1077" s="12" t="s">
        <v>461</v>
      </c>
      <c r="G1077" s="4" t="s">
        <v>1787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1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</row>
    <row r="1078" spans="1:49">
      <c r="A1078" s="4" t="s">
        <v>35</v>
      </c>
      <c r="B1078" s="4" t="str">
        <f t="shared" si="16"/>
        <v>Hair Color</v>
      </c>
      <c r="C1078" s="4" t="s">
        <v>1786</v>
      </c>
      <c r="D1078" s="4" t="s">
        <v>578</v>
      </c>
      <c r="E1078" s="24" t="s">
        <v>441</v>
      </c>
      <c r="F1078" s="12" t="s">
        <v>462</v>
      </c>
      <c r="G1078" s="4" t="s">
        <v>1787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1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</row>
    <row r="1079" spans="1:49">
      <c r="A1079" s="4" t="s">
        <v>35</v>
      </c>
      <c r="B1079" s="4" t="str">
        <f t="shared" si="16"/>
        <v>Hair Color</v>
      </c>
      <c r="C1079" s="4" t="s">
        <v>1786</v>
      </c>
      <c r="D1079" s="4" t="s">
        <v>578</v>
      </c>
      <c r="E1079" s="24" t="s">
        <v>441</v>
      </c>
      <c r="F1079" s="12" t="s">
        <v>464</v>
      </c>
      <c r="G1079" s="4" t="s">
        <v>1787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3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1</v>
      </c>
      <c r="AN1079" s="3">
        <v>0</v>
      </c>
      <c r="AO1079" s="3">
        <v>0</v>
      </c>
      <c r="AP1079" s="3">
        <v>2</v>
      </c>
      <c r="AQ1079" s="3">
        <v>0</v>
      </c>
      <c r="AR1079" s="3">
        <v>0</v>
      </c>
      <c r="AS1079" s="3">
        <v>3</v>
      </c>
      <c r="AT1079" s="3">
        <v>0</v>
      </c>
      <c r="AU1079" s="3">
        <v>0</v>
      </c>
      <c r="AV1079" s="3">
        <v>0</v>
      </c>
      <c r="AW1079" s="3">
        <v>0</v>
      </c>
    </row>
    <row r="1080" spans="1:49">
      <c r="A1080" s="4" t="s">
        <v>35</v>
      </c>
      <c r="B1080" s="4" t="str">
        <f t="shared" si="16"/>
        <v>Hair Color</v>
      </c>
      <c r="C1080" s="4" t="s">
        <v>1786</v>
      </c>
      <c r="D1080" s="4" t="s">
        <v>578</v>
      </c>
      <c r="E1080" s="24" t="s">
        <v>441</v>
      </c>
      <c r="F1080" s="12" t="s">
        <v>466</v>
      </c>
      <c r="G1080" s="4" t="s">
        <v>1787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1</v>
      </c>
      <c r="N1080" s="3">
        <v>0</v>
      </c>
      <c r="O1080" s="3">
        <v>0</v>
      </c>
      <c r="P1080" s="3">
        <v>0</v>
      </c>
      <c r="Q1080" s="3">
        <v>1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1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</row>
    <row r="1081" spans="1:49">
      <c r="A1081" s="4" t="s">
        <v>35</v>
      </c>
      <c r="B1081" s="4" t="str">
        <f t="shared" si="16"/>
        <v>Hair Color</v>
      </c>
      <c r="C1081" s="4" t="s">
        <v>1786</v>
      </c>
      <c r="D1081" s="4" t="s">
        <v>578</v>
      </c>
      <c r="E1081" s="24" t="s">
        <v>441</v>
      </c>
      <c r="F1081" s="12" t="s">
        <v>467</v>
      </c>
      <c r="G1081" s="4" t="s">
        <v>1787</v>
      </c>
      <c r="H1081" s="3">
        <v>0</v>
      </c>
      <c r="I1081" s="3">
        <v>0</v>
      </c>
      <c r="J1081" s="3">
        <v>1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2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</row>
    <row r="1082" spans="1:49">
      <c r="A1082" s="4" t="s">
        <v>35</v>
      </c>
      <c r="B1082" s="4" t="str">
        <f t="shared" si="16"/>
        <v>Hair Color</v>
      </c>
      <c r="C1082" s="4" t="s">
        <v>1786</v>
      </c>
      <c r="D1082" s="4" t="s">
        <v>578</v>
      </c>
      <c r="E1082" s="24" t="s">
        <v>441</v>
      </c>
      <c r="F1082" s="12" t="s">
        <v>468</v>
      </c>
      <c r="G1082" s="4" t="s">
        <v>1787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2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</row>
    <row r="1083" spans="1:49">
      <c r="A1083" s="4" t="s">
        <v>35</v>
      </c>
      <c r="B1083" s="4" t="str">
        <f t="shared" si="16"/>
        <v>Hair Color</v>
      </c>
      <c r="C1083" s="4" t="s">
        <v>1786</v>
      </c>
      <c r="D1083" s="4" t="s">
        <v>578</v>
      </c>
      <c r="E1083" s="24" t="s">
        <v>441</v>
      </c>
      <c r="F1083" s="12" t="s">
        <v>469</v>
      </c>
      <c r="G1083" s="4" t="s">
        <v>1787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2</v>
      </c>
      <c r="AB1083" s="3">
        <v>0</v>
      </c>
      <c r="AC1083" s="3">
        <v>0</v>
      </c>
      <c r="AD1083" s="3">
        <v>0</v>
      </c>
      <c r="AE1083" s="3">
        <v>4</v>
      </c>
      <c r="AF1083" s="3">
        <v>4</v>
      </c>
      <c r="AG1083" s="3">
        <v>0</v>
      </c>
      <c r="AH1083" s="3">
        <v>2</v>
      </c>
      <c r="AI1083" s="3">
        <v>4</v>
      </c>
      <c r="AJ1083" s="3">
        <v>0</v>
      </c>
      <c r="AK1083" s="3">
        <v>0</v>
      </c>
      <c r="AL1083" s="3">
        <v>0</v>
      </c>
      <c r="AM1083" s="3">
        <v>6</v>
      </c>
      <c r="AN1083" s="3">
        <v>0</v>
      </c>
      <c r="AO1083" s="3">
        <v>0</v>
      </c>
      <c r="AP1083" s="3">
        <v>0</v>
      </c>
      <c r="AQ1083" s="3">
        <v>0</v>
      </c>
      <c r="AR1083" s="3">
        <v>1</v>
      </c>
      <c r="AS1083" s="3">
        <v>4</v>
      </c>
      <c r="AT1083" s="3">
        <v>0</v>
      </c>
      <c r="AU1083" s="3">
        <v>0</v>
      </c>
      <c r="AV1083" s="3">
        <v>0</v>
      </c>
      <c r="AW1083" s="3">
        <v>0</v>
      </c>
    </row>
    <row r="1084" spans="1:49">
      <c r="A1084" s="4" t="s">
        <v>35</v>
      </c>
      <c r="B1084" s="4" t="str">
        <f t="shared" si="16"/>
        <v>Hair Color</v>
      </c>
      <c r="C1084" s="4" t="s">
        <v>1786</v>
      </c>
      <c r="D1084" s="4" t="s">
        <v>578</v>
      </c>
      <c r="E1084" s="24" t="s">
        <v>441</v>
      </c>
      <c r="F1084" s="12" t="s">
        <v>470</v>
      </c>
      <c r="G1084" s="4" t="s">
        <v>1787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4</v>
      </c>
      <c r="AL1084" s="3">
        <v>0</v>
      </c>
      <c r="AM1084" s="3">
        <v>0</v>
      </c>
      <c r="AN1084" s="3">
        <v>0</v>
      </c>
      <c r="AO1084" s="3">
        <v>0</v>
      </c>
      <c r="AP1084" s="3">
        <v>4</v>
      </c>
      <c r="AQ1084" s="3">
        <v>1</v>
      </c>
      <c r="AR1084" s="3">
        <v>0</v>
      </c>
      <c r="AS1084" s="3">
        <v>0</v>
      </c>
      <c r="AT1084" s="3">
        <v>4</v>
      </c>
      <c r="AU1084" s="3">
        <v>0</v>
      </c>
      <c r="AV1084" s="3">
        <v>0</v>
      </c>
      <c r="AW1084" s="3">
        <v>0</v>
      </c>
    </row>
    <row r="1085" spans="1:49">
      <c r="A1085" s="4" t="s">
        <v>35</v>
      </c>
      <c r="B1085" s="4" t="str">
        <f t="shared" si="16"/>
        <v>Hair Color</v>
      </c>
      <c r="C1085" s="4" t="s">
        <v>1786</v>
      </c>
      <c r="D1085" s="4" t="s">
        <v>578</v>
      </c>
      <c r="E1085" s="24" t="s">
        <v>441</v>
      </c>
      <c r="F1085" s="12" t="s">
        <v>472</v>
      </c>
      <c r="G1085" s="4" t="s">
        <v>1787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1</v>
      </c>
      <c r="AB1085" s="3">
        <v>1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3</v>
      </c>
      <c r="AQ1085" s="3">
        <v>0</v>
      </c>
      <c r="AR1085" s="3">
        <v>2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</row>
    <row r="1086" spans="1:49">
      <c r="A1086" s="4" t="s">
        <v>35</v>
      </c>
      <c r="B1086" s="4" t="str">
        <f t="shared" si="16"/>
        <v>Hair Color</v>
      </c>
      <c r="C1086" s="4" t="s">
        <v>1786</v>
      </c>
      <c r="D1086" s="4" t="s">
        <v>578</v>
      </c>
      <c r="E1086" s="24" t="s">
        <v>441</v>
      </c>
      <c r="F1086" s="12" t="s">
        <v>473</v>
      </c>
      <c r="G1086" s="4" t="s">
        <v>1787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2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</row>
    <row r="1087" spans="1:49">
      <c r="A1087" s="4" t="s">
        <v>35</v>
      </c>
      <c r="B1087" s="4" t="str">
        <f t="shared" si="16"/>
        <v>Hair Color</v>
      </c>
      <c r="C1087" s="4" t="s">
        <v>1786</v>
      </c>
      <c r="D1087" s="4" t="s">
        <v>578</v>
      </c>
      <c r="E1087" s="24" t="s">
        <v>441</v>
      </c>
      <c r="F1087" s="12" t="s">
        <v>474</v>
      </c>
      <c r="G1087" s="4" t="s">
        <v>1787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2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6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</row>
    <row r="1088" spans="1:49">
      <c r="A1088" s="4" t="s">
        <v>35</v>
      </c>
      <c r="B1088" s="4" t="str">
        <f t="shared" si="16"/>
        <v>Hair Color</v>
      </c>
      <c r="C1088" s="4" t="s">
        <v>1786</v>
      </c>
      <c r="D1088" s="4" t="s">
        <v>578</v>
      </c>
      <c r="E1088" s="24" t="s">
        <v>441</v>
      </c>
      <c r="F1088" s="12" t="s">
        <v>475</v>
      </c>
      <c r="G1088" s="4" t="s">
        <v>1787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1</v>
      </c>
      <c r="AB1088" s="3">
        <v>0</v>
      </c>
      <c r="AC1088" s="3">
        <v>0</v>
      </c>
      <c r="AD1088" s="3">
        <v>0</v>
      </c>
      <c r="AE1088" s="3">
        <v>0</v>
      </c>
      <c r="AF1088" s="3">
        <v>1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</row>
    <row r="1089" spans="1:49">
      <c r="A1089" s="4" t="s">
        <v>35</v>
      </c>
      <c r="B1089" s="4" t="str">
        <f t="shared" si="16"/>
        <v>Hair Color</v>
      </c>
      <c r="C1089" s="4" t="s">
        <v>1786</v>
      </c>
      <c r="D1089" s="4" t="s">
        <v>578</v>
      </c>
      <c r="E1089" s="24" t="s">
        <v>441</v>
      </c>
      <c r="F1089" s="12" t="s">
        <v>476</v>
      </c>
      <c r="G1089" s="4" t="s">
        <v>1787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2</v>
      </c>
      <c r="AE1089" s="3">
        <v>0</v>
      </c>
      <c r="AF1089" s="3">
        <v>0</v>
      </c>
      <c r="AG1089" s="3">
        <v>0</v>
      </c>
      <c r="AH1089" s="3">
        <v>1</v>
      </c>
      <c r="AI1089" s="3">
        <v>0</v>
      </c>
      <c r="AJ1089" s="3">
        <v>0</v>
      </c>
      <c r="AK1089" s="3">
        <v>0</v>
      </c>
      <c r="AL1089" s="3">
        <v>0</v>
      </c>
      <c r="AM1089" s="3">
        <v>1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</row>
    <row r="1090" spans="1:49">
      <c r="A1090" s="4" t="s">
        <v>35</v>
      </c>
      <c r="B1090" s="4" t="str">
        <f t="shared" si="16"/>
        <v>Hair Color</v>
      </c>
      <c r="C1090" s="4" t="s">
        <v>1786</v>
      </c>
      <c r="D1090" s="4" t="s">
        <v>578</v>
      </c>
      <c r="E1090" s="24" t="s">
        <v>441</v>
      </c>
      <c r="F1090" s="12" t="s">
        <v>477</v>
      </c>
      <c r="G1090" s="4" t="s">
        <v>1787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1</v>
      </c>
      <c r="AI1090" s="3">
        <v>0</v>
      </c>
      <c r="AJ1090" s="3">
        <v>0</v>
      </c>
      <c r="AK1090" s="3">
        <v>0</v>
      </c>
      <c r="AL1090" s="3">
        <v>0</v>
      </c>
      <c r="AM1090" s="3">
        <v>1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</row>
    <row r="1091" spans="1:49">
      <c r="A1091" s="4" t="s">
        <v>35</v>
      </c>
      <c r="B1091" s="4" t="str">
        <f t="shared" ref="B1091:B1154" si="17">A1091</f>
        <v>Hair Color</v>
      </c>
      <c r="C1091" s="4" t="s">
        <v>1786</v>
      </c>
      <c r="D1091" s="4" t="s">
        <v>578</v>
      </c>
      <c r="E1091" s="24" t="s">
        <v>441</v>
      </c>
      <c r="F1091" s="12" t="s">
        <v>478</v>
      </c>
      <c r="G1091" s="4" t="s">
        <v>1787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1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</row>
    <row r="1092" spans="1:49">
      <c r="A1092" s="4" t="s">
        <v>35</v>
      </c>
      <c r="B1092" s="4" t="str">
        <f t="shared" si="17"/>
        <v>Hair Color</v>
      </c>
      <c r="C1092" s="4" t="s">
        <v>1786</v>
      </c>
      <c r="D1092" s="4" t="s">
        <v>578</v>
      </c>
      <c r="E1092" s="24" t="s">
        <v>441</v>
      </c>
      <c r="F1092" s="12" t="s">
        <v>483</v>
      </c>
      <c r="G1092" s="4" t="s">
        <v>1787</v>
      </c>
      <c r="H1092" s="3">
        <v>5</v>
      </c>
      <c r="I1092" s="3">
        <v>0</v>
      </c>
      <c r="J1092" s="3">
        <v>6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1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1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3</v>
      </c>
      <c r="AW1092" s="3">
        <v>0</v>
      </c>
    </row>
    <row r="1093" spans="1:49">
      <c r="A1093" s="4" t="s">
        <v>35</v>
      </c>
      <c r="B1093" s="4" t="str">
        <f t="shared" si="17"/>
        <v>Hair Color</v>
      </c>
      <c r="C1093" s="4" t="s">
        <v>1786</v>
      </c>
      <c r="D1093" s="4" t="s">
        <v>578</v>
      </c>
      <c r="E1093" s="24" t="s">
        <v>441</v>
      </c>
      <c r="F1093" s="12" t="s">
        <v>484</v>
      </c>
      <c r="G1093" s="4" t="s">
        <v>1787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1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</row>
    <row r="1094" spans="1:49">
      <c r="A1094" s="4" t="s">
        <v>35</v>
      </c>
      <c r="B1094" s="4" t="str">
        <f t="shared" si="17"/>
        <v>Hair Color</v>
      </c>
      <c r="C1094" s="4" t="s">
        <v>1786</v>
      </c>
      <c r="D1094" s="4" t="s">
        <v>578</v>
      </c>
      <c r="E1094" s="24" t="s">
        <v>441</v>
      </c>
      <c r="F1094" s="12" t="s">
        <v>485</v>
      </c>
      <c r="G1094" s="4" t="s">
        <v>1787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1</v>
      </c>
      <c r="R1094" s="3">
        <v>1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</row>
    <row r="1095" spans="1:49">
      <c r="A1095" s="4" t="s">
        <v>35</v>
      </c>
      <c r="B1095" s="4" t="str">
        <f t="shared" si="17"/>
        <v>Hair Color</v>
      </c>
      <c r="C1095" s="4" t="s">
        <v>1786</v>
      </c>
      <c r="D1095" s="4" t="s">
        <v>578</v>
      </c>
      <c r="E1095" s="24" t="s">
        <v>441</v>
      </c>
      <c r="F1095" s="12" t="s">
        <v>486</v>
      </c>
      <c r="G1095" s="4" t="s">
        <v>1787</v>
      </c>
      <c r="H1095" s="3">
        <v>1</v>
      </c>
      <c r="I1095" s="3">
        <v>2</v>
      </c>
      <c r="J1095" s="3">
        <v>0</v>
      </c>
      <c r="K1095" s="3">
        <v>1</v>
      </c>
      <c r="L1095" s="3">
        <v>10</v>
      </c>
      <c r="M1095" s="3">
        <v>0</v>
      </c>
      <c r="N1095" s="3">
        <v>1</v>
      </c>
      <c r="O1095" s="3">
        <v>8</v>
      </c>
      <c r="P1095" s="3">
        <v>1</v>
      </c>
      <c r="Q1095" s="3">
        <v>0</v>
      </c>
      <c r="R1095" s="3">
        <v>3</v>
      </c>
      <c r="S1095" s="3">
        <v>8</v>
      </c>
      <c r="T1095" s="3">
        <v>2</v>
      </c>
      <c r="U1095" s="3">
        <v>0</v>
      </c>
      <c r="V1095" s="3">
        <v>0</v>
      </c>
      <c r="W1095" s="3">
        <v>4</v>
      </c>
      <c r="X1095" s="3">
        <v>0</v>
      </c>
      <c r="Y1095" s="3">
        <v>3</v>
      </c>
      <c r="Z1095" s="3">
        <v>2</v>
      </c>
      <c r="AA1095" s="3">
        <v>5</v>
      </c>
      <c r="AB1095" s="3">
        <v>0</v>
      </c>
      <c r="AC1095" s="3">
        <v>0</v>
      </c>
      <c r="AD1095" s="3">
        <v>0</v>
      </c>
      <c r="AE1095" s="3">
        <v>2</v>
      </c>
      <c r="AF1095" s="3">
        <v>0</v>
      </c>
      <c r="AG1095" s="3">
        <v>0</v>
      </c>
      <c r="AH1095" s="3">
        <v>3</v>
      </c>
      <c r="AI1095" s="3">
        <v>3</v>
      </c>
      <c r="AJ1095" s="3">
        <v>0</v>
      </c>
      <c r="AK1095" s="3">
        <v>0</v>
      </c>
      <c r="AL1095" s="3">
        <v>0</v>
      </c>
      <c r="AM1095" s="3">
        <v>3</v>
      </c>
      <c r="AN1095" s="3">
        <v>0</v>
      </c>
      <c r="AO1095" s="3">
        <v>0</v>
      </c>
      <c r="AP1095" s="3">
        <v>3</v>
      </c>
      <c r="AQ1095" s="3">
        <v>0</v>
      </c>
      <c r="AR1095" s="3">
        <v>0</v>
      </c>
      <c r="AS1095" s="3">
        <v>0</v>
      </c>
      <c r="AT1095" s="3">
        <v>3</v>
      </c>
      <c r="AU1095" s="3">
        <v>0</v>
      </c>
      <c r="AV1095" s="3">
        <v>0</v>
      </c>
      <c r="AW1095" s="3">
        <v>0</v>
      </c>
    </row>
    <row r="1096" spans="1:49">
      <c r="A1096" s="4" t="s">
        <v>35</v>
      </c>
      <c r="B1096" s="4" t="str">
        <f t="shared" si="17"/>
        <v>Hair Color</v>
      </c>
      <c r="C1096" s="4" t="s">
        <v>1786</v>
      </c>
      <c r="D1096" s="4" t="s">
        <v>578</v>
      </c>
      <c r="E1096" s="24" t="s">
        <v>441</v>
      </c>
      <c r="F1096" s="12" t="s">
        <v>487</v>
      </c>
      <c r="G1096" s="4" t="s">
        <v>1787</v>
      </c>
      <c r="H1096" s="3">
        <v>1</v>
      </c>
      <c r="I1096" s="3">
        <v>0</v>
      </c>
      <c r="J1096" s="3">
        <v>1</v>
      </c>
      <c r="K1096" s="3">
        <v>0</v>
      </c>
      <c r="L1096" s="3">
        <v>0</v>
      </c>
      <c r="M1096" s="3">
        <v>0</v>
      </c>
      <c r="N1096" s="3">
        <v>2</v>
      </c>
      <c r="O1096" s="3">
        <v>0</v>
      </c>
      <c r="P1096" s="3">
        <v>0</v>
      </c>
      <c r="Q1096" s="3">
        <v>1</v>
      </c>
      <c r="R1096" s="3">
        <v>1</v>
      </c>
      <c r="S1096" s="3">
        <v>3</v>
      </c>
      <c r="T1096" s="3">
        <v>1</v>
      </c>
      <c r="U1096" s="3">
        <v>0</v>
      </c>
      <c r="V1096" s="3">
        <v>0</v>
      </c>
      <c r="W1096" s="3">
        <v>0</v>
      </c>
      <c r="X1096" s="3">
        <v>1</v>
      </c>
      <c r="Y1096" s="3">
        <v>0</v>
      </c>
      <c r="Z1096" s="3">
        <v>0</v>
      </c>
      <c r="AA1096" s="3">
        <v>0</v>
      </c>
      <c r="AB1096" s="3">
        <v>0</v>
      </c>
      <c r="AC1096" s="3">
        <v>1</v>
      </c>
      <c r="AD1096" s="3">
        <v>0</v>
      </c>
      <c r="AE1096" s="3">
        <v>0</v>
      </c>
      <c r="AF1096" s="3">
        <v>1</v>
      </c>
      <c r="AG1096" s="3">
        <v>0</v>
      </c>
      <c r="AH1096" s="3">
        <v>0</v>
      </c>
      <c r="AI1096" s="3">
        <v>3</v>
      </c>
      <c r="AJ1096" s="3">
        <v>0</v>
      </c>
      <c r="AK1096" s="3">
        <v>0</v>
      </c>
      <c r="AL1096" s="3">
        <v>0</v>
      </c>
      <c r="AM1096" s="3">
        <v>1</v>
      </c>
      <c r="AN1096" s="3">
        <v>0</v>
      </c>
      <c r="AO1096" s="3">
        <v>1</v>
      </c>
      <c r="AP1096" s="3">
        <v>1</v>
      </c>
      <c r="AQ1096" s="3">
        <v>1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</row>
    <row r="1097" spans="1:49">
      <c r="A1097" s="4" t="s">
        <v>35</v>
      </c>
      <c r="B1097" s="4" t="str">
        <f t="shared" si="17"/>
        <v>Hair Color</v>
      </c>
      <c r="C1097" s="4" t="s">
        <v>1786</v>
      </c>
      <c r="D1097" s="4" t="s">
        <v>578</v>
      </c>
      <c r="E1097" s="24" t="s">
        <v>441</v>
      </c>
      <c r="F1097" s="12" t="s">
        <v>489</v>
      </c>
      <c r="G1097" s="4" t="s">
        <v>1787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1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</row>
    <row r="1098" spans="1:49">
      <c r="A1098" s="4" t="s">
        <v>35</v>
      </c>
      <c r="B1098" s="4" t="str">
        <f t="shared" si="17"/>
        <v>Hair Color</v>
      </c>
      <c r="C1098" s="4" t="s">
        <v>1786</v>
      </c>
      <c r="D1098" s="4" t="s">
        <v>578</v>
      </c>
      <c r="E1098" s="24" t="s">
        <v>441</v>
      </c>
      <c r="F1098" s="12" t="s">
        <v>491</v>
      </c>
      <c r="G1098" s="4" t="s">
        <v>1787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1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</row>
    <row r="1099" spans="1:49">
      <c r="A1099" s="4" t="s">
        <v>35</v>
      </c>
      <c r="B1099" s="4" t="str">
        <f t="shared" si="17"/>
        <v>Hair Color</v>
      </c>
      <c r="C1099" s="4" t="s">
        <v>1786</v>
      </c>
      <c r="D1099" s="4" t="s">
        <v>578</v>
      </c>
      <c r="E1099" s="24" t="s">
        <v>441</v>
      </c>
      <c r="F1099" s="12" t="s">
        <v>492</v>
      </c>
      <c r="G1099" s="4" t="s">
        <v>1787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1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1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</row>
    <row r="1100" spans="1:49">
      <c r="A1100" s="4" t="s">
        <v>35</v>
      </c>
      <c r="B1100" s="4" t="str">
        <f t="shared" si="17"/>
        <v>Hair Color</v>
      </c>
      <c r="C1100" s="4" t="s">
        <v>1786</v>
      </c>
      <c r="D1100" s="4" t="s">
        <v>578</v>
      </c>
      <c r="E1100" s="24" t="s">
        <v>441</v>
      </c>
      <c r="F1100" s="12" t="s">
        <v>495</v>
      </c>
      <c r="G1100" s="4" t="s">
        <v>1787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</row>
    <row r="1101" spans="1:49">
      <c r="A1101" s="4" t="s">
        <v>35</v>
      </c>
      <c r="B1101" s="4" t="str">
        <f t="shared" si="17"/>
        <v>Hair Color</v>
      </c>
      <c r="C1101" s="4" t="s">
        <v>1786</v>
      </c>
      <c r="D1101" s="4" t="s">
        <v>578</v>
      </c>
      <c r="E1101" s="24" t="s">
        <v>36</v>
      </c>
      <c r="F1101" s="12" t="s">
        <v>496</v>
      </c>
      <c r="G1101" s="4" t="s">
        <v>1787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7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</row>
    <row r="1102" spans="1:49">
      <c r="A1102" s="4" t="s">
        <v>35</v>
      </c>
      <c r="B1102" s="4" t="str">
        <f t="shared" si="17"/>
        <v>Hair Color</v>
      </c>
      <c r="C1102" s="4" t="s">
        <v>1786</v>
      </c>
      <c r="D1102" s="4" t="s">
        <v>578</v>
      </c>
      <c r="E1102" s="24" t="s">
        <v>36</v>
      </c>
      <c r="F1102" s="12" t="s">
        <v>497</v>
      </c>
      <c r="G1102" s="4" t="s">
        <v>1787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6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</row>
    <row r="1103" spans="1:49">
      <c r="A1103" s="4" t="s">
        <v>35</v>
      </c>
      <c r="B1103" s="4" t="str">
        <f t="shared" si="17"/>
        <v>Hair Color</v>
      </c>
      <c r="C1103" s="4" t="s">
        <v>1786</v>
      </c>
      <c r="D1103" s="4" t="s">
        <v>578</v>
      </c>
      <c r="E1103" s="24" t="s">
        <v>36</v>
      </c>
      <c r="F1103" s="12" t="s">
        <v>497</v>
      </c>
      <c r="G1103" s="4" t="s">
        <v>1787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6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6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</row>
    <row r="1104" spans="1:49">
      <c r="A1104" s="4" t="s">
        <v>35</v>
      </c>
      <c r="B1104" s="4" t="str">
        <f t="shared" si="17"/>
        <v>Hair Color</v>
      </c>
      <c r="C1104" s="4" t="s">
        <v>1786</v>
      </c>
      <c r="D1104" s="4" t="s">
        <v>578</v>
      </c>
      <c r="E1104" s="24" t="s">
        <v>36</v>
      </c>
      <c r="F1104" s="12" t="s">
        <v>498</v>
      </c>
      <c r="G1104" s="4" t="s">
        <v>1787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6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</row>
    <row r="1105" spans="1:49">
      <c r="A1105" s="4" t="s">
        <v>35</v>
      </c>
      <c r="B1105" s="4" t="str">
        <f t="shared" si="17"/>
        <v>Hair Color</v>
      </c>
      <c r="C1105" s="4" t="s">
        <v>1786</v>
      </c>
      <c r="D1105" s="4" t="s">
        <v>578</v>
      </c>
      <c r="E1105" s="24" t="s">
        <v>36</v>
      </c>
      <c r="F1105" s="12" t="s">
        <v>499</v>
      </c>
      <c r="G1105" s="4" t="s">
        <v>1787</v>
      </c>
      <c r="H1105" s="3">
        <v>0</v>
      </c>
      <c r="I1105" s="3">
        <v>0</v>
      </c>
      <c r="J1105" s="3">
        <v>0</v>
      </c>
      <c r="K1105" s="3">
        <v>6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6</v>
      </c>
      <c r="Z1105" s="3">
        <v>0</v>
      </c>
      <c r="AA1105" s="3">
        <v>0</v>
      </c>
      <c r="AB1105" s="3">
        <v>0</v>
      </c>
      <c r="AC1105" s="3">
        <v>0</v>
      </c>
      <c r="AD1105" s="3">
        <v>6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</row>
    <row r="1106" spans="1:49">
      <c r="A1106" s="4" t="s">
        <v>35</v>
      </c>
      <c r="B1106" s="4" t="str">
        <f t="shared" si="17"/>
        <v>Hair Color</v>
      </c>
      <c r="C1106" s="4" t="s">
        <v>1786</v>
      </c>
      <c r="D1106" s="4" t="s">
        <v>578</v>
      </c>
      <c r="E1106" s="24" t="s">
        <v>36</v>
      </c>
      <c r="F1106" s="12" t="s">
        <v>501</v>
      </c>
      <c r="G1106" s="4" t="s">
        <v>1787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6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</row>
    <row r="1107" spans="1:49">
      <c r="A1107" s="4" t="s">
        <v>35</v>
      </c>
      <c r="B1107" s="4" t="str">
        <f t="shared" si="17"/>
        <v>Hair Color</v>
      </c>
      <c r="C1107" s="4" t="s">
        <v>1786</v>
      </c>
      <c r="D1107" s="4" t="s">
        <v>578</v>
      </c>
      <c r="E1107" s="24" t="s">
        <v>36</v>
      </c>
      <c r="F1107" s="12" t="s">
        <v>502</v>
      </c>
      <c r="G1107" s="4" t="s">
        <v>1787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6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</row>
    <row r="1108" spans="1:49">
      <c r="A1108" s="4" t="s">
        <v>35</v>
      </c>
      <c r="B1108" s="4" t="str">
        <f t="shared" si="17"/>
        <v>Hair Color</v>
      </c>
      <c r="C1108" s="4" t="s">
        <v>1786</v>
      </c>
      <c r="D1108" s="4" t="s">
        <v>578</v>
      </c>
      <c r="E1108" s="24" t="s">
        <v>503</v>
      </c>
      <c r="F1108" s="12" t="s">
        <v>504</v>
      </c>
      <c r="G1108" s="4" t="s">
        <v>1787</v>
      </c>
      <c r="H1108" s="3">
        <v>1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1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1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</row>
    <row r="1109" spans="1:49">
      <c r="A1109" s="4" t="s">
        <v>35</v>
      </c>
      <c r="B1109" s="4" t="str">
        <f t="shared" si="17"/>
        <v>Hair Color</v>
      </c>
      <c r="C1109" s="4" t="s">
        <v>1786</v>
      </c>
      <c r="D1109" s="4" t="s">
        <v>578</v>
      </c>
      <c r="E1109" s="24" t="s">
        <v>503</v>
      </c>
      <c r="F1109" s="12" t="s">
        <v>506</v>
      </c>
      <c r="G1109" s="4" t="s">
        <v>1787</v>
      </c>
      <c r="H1109" s="3">
        <v>0</v>
      </c>
      <c r="I1109" s="3">
        <v>0</v>
      </c>
      <c r="J1109" s="3">
        <v>5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</row>
    <row r="1110" spans="1:49">
      <c r="A1110" s="4" t="s">
        <v>35</v>
      </c>
      <c r="B1110" s="4" t="str">
        <f t="shared" si="17"/>
        <v>Hair Color</v>
      </c>
      <c r="C1110" s="4" t="s">
        <v>1786</v>
      </c>
      <c r="D1110" s="4" t="s">
        <v>578</v>
      </c>
      <c r="E1110" s="24" t="s">
        <v>503</v>
      </c>
      <c r="F1110" s="12" t="s">
        <v>507</v>
      </c>
      <c r="G1110" s="4" t="s">
        <v>1787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1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2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</row>
    <row r="1111" spans="1:49">
      <c r="A1111" s="4" t="s">
        <v>35</v>
      </c>
      <c r="B1111" s="4" t="str">
        <f t="shared" si="17"/>
        <v>Hair Color</v>
      </c>
      <c r="C1111" s="4" t="s">
        <v>1786</v>
      </c>
      <c r="D1111" s="4" t="s">
        <v>578</v>
      </c>
      <c r="E1111" s="24" t="s">
        <v>47</v>
      </c>
      <c r="F1111" s="12" t="s">
        <v>508</v>
      </c>
      <c r="G1111" s="4" t="s">
        <v>1787</v>
      </c>
      <c r="H1111" s="3">
        <v>0</v>
      </c>
      <c r="I1111" s="3">
        <v>1</v>
      </c>
      <c r="J1111" s="3">
        <v>0</v>
      </c>
      <c r="K1111" s="3">
        <v>0</v>
      </c>
      <c r="L1111" s="3">
        <v>3</v>
      </c>
      <c r="M1111" s="3">
        <v>0</v>
      </c>
      <c r="N1111" s="3">
        <v>2</v>
      </c>
      <c r="O1111" s="3">
        <v>0</v>
      </c>
      <c r="P1111" s="3">
        <v>0</v>
      </c>
      <c r="Q1111" s="3">
        <v>1</v>
      </c>
      <c r="R1111" s="3">
        <v>2</v>
      </c>
      <c r="S1111" s="3">
        <v>0</v>
      </c>
      <c r="T1111" s="3">
        <v>0</v>
      </c>
      <c r="U1111" s="3">
        <v>0</v>
      </c>
      <c r="V1111" s="3">
        <v>2</v>
      </c>
      <c r="W1111" s="3">
        <v>0</v>
      </c>
      <c r="X1111" s="3">
        <v>0</v>
      </c>
      <c r="Y1111" s="3">
        <v>1</v>
      </c>
      <c r="Z1111" s="3">
        <v>0</v>
      </c>
      <c r="AA1111" s="3">
        <v>1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1</v>
      </c>
      <c r="AM1111" s="3">
        <v>0</v>
      </c>
      <c r="AN1111" s="3">
        <v>0</v>
      </c>
      <c r="AO1111" s="3">
        <v>0</v>
      </c>
      <c r="AP1111" s="3">
        <v>1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</row>
    <row r="1112" spans="1:49">
      <c r="A1112" s="4" t="s">
        <v>35</v>
      </c>
      <c r="B1112" s="4" t="str">
        <f t="shared" si="17"/>
        <v>Hair Color</v>
      </c>
      <c r="C1112" s="4" t="s">
        <v>1786</v>
      </c>
      <c r="D1112" s="4" t="s">
        <v>578</v>
      </c>
      <c r="E1112" s="24" t="s">
        <v>47</v>
      </c>
      <c r="F1112" s="12" t="s">
        <v>509</v>
      </c>
      <c r="G1112" s="4" t="s">
        <v>1787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2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</row>
    <row r="1113" spans="1:49">
      <c r="A1113" s="4" t="s">
        <v>35</v>
      </c>
      <c r="B1113" s="4" t="str">
        <f t="shared" si="17"/>
        <v>Hair Color</v>
      </c>
      <c r="C1113" s="4" t="s">
        <v>1786</v>
      </c>
      <c r="D1113" s="4" t="s">
        <v>578</v>
      </c>
      <c r="E1113" s="24" t="s">
        <v>47</v>
      </c>
      <c r="F1113" s="12" t="s">
        <v>510</v>
      </c>
      <c r="G1113" s="4" t="s">
        <v>1787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1</v>
      </c>
      <c r="W1113" s="3">
        <v>0</v>
      </c>
      <c r="X1113" s="3">
        <v>2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3</v>
      </c>
      <c r="AS1113" s="3">
        <v>0</v>
      </c>
      <c r="AT1113" s="3">
        <v>1</v>
      </c>
      <c r="AU1113" s="3">
        <v>0</v>
      </c>
      <c r="AV1113" s="3">
        <v>1</v>
      </c>
      <c r="AW1113" s="3">
        <v>0</v>
      </c>
    </row>
    <row r="1114" spans="1:49">
      <c r="A1114" s="4" t="s">
        <v>35</v>
      </c>
      <c r="B1114" s="4" t="str">
        <f t="shared" si="17"/>
        <v>Hair Color</v>
      </c>
      <c r="C1114" s="4" t="s">
        <v>1786</v>
      </c>
      <c r="D1114" s="4" t="s">
        <v>578</v>
      </c>
      <c r="E1114" s="24" t="s">
        <v>47</v>
      </c>
      <c r="F1114" s="12" t="s">
        <v>511</v>
      </c>
      <c r="G1114" s="4" t="s">
        <v>1787</v>
      </c>
      <c r="H1114" s="3">
        <v>0</v>
      </c>
      <c r="I1114" s="3">
        <v>0</v>
      </c>
      <c r="J1114" s="3">
        <v>0</v>
      </c>
      <c r="K1114" s="3">
        <v>6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1</v>
      </c>
      <c r="U1114" s="3">
        <v>0</v>
      </c>
      <c r="V1114" s="3">
        <v>2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1</v>
      </c>
      <c r="AH1114" s="3">
        <v>1</v>
      </c>
      <c r="AI1114" s="3">
        <v>0</v>
      </c>
      <c r="AJ1114" s="3">
        <v>1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3</v>
      </c>
      <c r="AS1114" s="3">
        <v>0</v>
      </c>
      <c r="AT1114" s="3">
        <v>0</v>
      </c>
      <c r="AU1114" s="3">
        <v>0</v>
      </c>
      <c r="AV1114" s="3">
        <v>0</v>
      </c>
      <c r="AW1114" s="3">
        <v>1</v>
      </c>
    </row>
    <row r="1115" spans="1:49">
      <c r="A1115" s="4" t="s">
        <v>35</v>
      </c>
      <c r="B1115" s="4" t="str">
        <f t="shared" si="17"/>
        <v>Hair Color</v>
      </c>
      <c r="C1115" s="4" t="s">
        <v>1786</v>
      </c>
      <c r="D1115" s="4" t="s">
        <v>578</v>
      </c>
      <c r="E1115" s="24" t="s">
        <v>47</v>
      </c>
      <c r="F1115" s="12" t="s">
        <v>512</v>
      </c>
      <c r="G1115" s="4" t="s">
        <v>1787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3</v>
      </c>
      <c r="W1115" s="3">
        <v>0</v>
      </c>
      <c r="X1115" s="3">
        <v>2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3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</row>
    <row r="1116" spans="1:49">
      <c r="A1116" s="4" t="s">
        <v>35</v>
      </c>
      <c r="B1116" s="4" t="str">
        <f t="shared" si="17"/>
        <v>Hair Color</v>
      </c>
      <c r="C1116" s="4" t="s">
        <v>1786</v>
      </c>
      <c r="D1116" s="4" t="s">
        <v>578</v>
      </c>
      <c r="E1116" s="24" t="s">
        <v>47</v>
      </c>
      <c r="F1116" s="12" t="s">
        <v>513</v>
      </c>
      <c r="G1116" s="4" t="s">
        <v>1787</v>
      </c>
      <c r="H1116" s="3">
        <v>0</v>
      </c>
      <c r="I1116" s="3">
        <v>0</v>
      </c>
      <c r="J1116" s="3">
        <v>0</v>
      </c>
      <c r="K1116" s="3">
        <v>2</v>
      </c>
      <c r="L1116" s="3">
        <v>0</v>
      </c>
      <c r="M1116" s="3">
        <v>0</v>
      </c>
      <c r="N1116" s="3">
        <v>0</v>
      </c>
      <c r="O1116" s="3">
        <v>0</v>
      </c>
      <c r="P1116" s="3">
        <v>2</v>
      </c>
      <c r="Q1116" s="3">
        <v>0</v>
      </c>
      <c r="R1116" s="3">
        <v>0</v>
      </c>
      <c r="S1116" s="3">
        <v>0</v>
      </c>
      <c r="T1116" s="3">
        <v>1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2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1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6</v>
      </c>
      <c r="AS1116" s="3">
        <v>-3</v>
      </c>
      <c r="AT1116" s="3">
        <v>0</v>
      </c>
      <c r="AU1116" s="3">
        <v>0</v>
      </c>
      <c r="AV1116" s="3">
        <v>0</v>
      </c>
      <c r="AW1116" s="3">
        <v>0</v>
      </c>
    </row>
    <row r="1117" spans="1:49">
      <c r="A1117" s="4" t="s">
        <v>35</v>
      </c>
      <c r="B1117" s="4" t="str">
        <f t="shared" si="17"/>
        <v>Hair Color</v>
      </c>
      <c r="C1117" s="4" t="s">
        <v>1786</v>
      </c>
      <c r="D1117" s="4" t="s">
        <v>578</v>
      </c>
      <c r="E1117" s="24" t="s">
        <v>47</v>
      </c>
      <c r="F1117" s="12" t="s">
        <v>514</v>
      </c>
      <c r="G1117" s="4" t="s">
        <v>1787</v>
      </c>
      <c r="H1117" s="3">
        <v>1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1</v>
      </c>
      <c r="AS1117" s="3">
        <v>2</v>
      </c>
      <c r="AT1117" s="3">
        <v>0</v>
      </c>
      <c r="AU1117" s="3">
        <v>0</v>
      </c>
      <c r="AV1117" s="3">
        <v>0</v>
      </c>
      <c r="AW1117" s="3">
        <v>0</v>
      </c>
    </row>
    <row r="1118" spans="1:49">
      <c r="A1118" s="4" t="s">
        <v>35</v>
      </c>
      <c r="B1118" s="4" t="str">
        <f t="shared" si="17"/>
        <v>Hair Color</v>
      </c>
      <c r="C1118" s="4" t="s">
        <v>1786</v>
      </c>
      <c r="D1118" s="4" t="s">
        <v>578</v>
      </c>
      <c r="E1118" s="24" t="s">
        <v>47</v>
      </c>
      <c r="F1118" s="12" t="s">
        <v>515</v>
      </c>
      <c r="G1118" s="4" t="s">
        <v>1787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2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3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</row>
    <row r="1119" spans="1:49">
      <c r="A1119" s="4" t="s">
        <v>35</v>
      </c>
      <c r="B1119" s="4" t="str">
        <f t="shared" si="17"/>
        <v>Hair Color</v>
      </c>
      <c r="C1119" s="4" t="s">
        <v>1786</v>
      </c>
      <c r="D1119" s="4" t="s">
        <v>578</v>
      </c>
      <c r="E1119" s="24" t="s">
        <v>47</v>
      </c>
      <c r="F1119" s="12" t="s">
        <v>517</v>
      </c>
      <c r="G1119" s="4" t="s">
        <v>1787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3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3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</row>
    <row r="1120" spans="1:49">
      <c r="A1120" s="4" t="s">
        <v>35</v>
      </c>
      <c r="B1120" s="4" t="str">
        <f t="shared" si="17"/>
        <v>Hair Color</v>
      </c>
      <c r="C1120" s="4" t="s">
        <v>1786</v>
      </c>
      <c r="D1120" s="4" t="s">
        <v>578</v>
      </c>
      <c r="E1120" s="24" t="s">
        <v>47</v>
      </c>
      <c r="F1120" s="12" t="s">
        <v>518</v>
      </c>
      <c r="G1120" s="4" t="s">
        <v>1787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1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1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3</v>
      </c>
      <c r="AS1120" s="3">
        <v>0</v>
      </c>
      <c r="AT1120" s="3">
        <v>0</v>
      </c>
      <c r="AU1120" s="3">
        <v>1</v>
      </c>
      <c r="AV1120" s="3">
        <v>0</v>
      </c>
      <c r="AW1120" s="3">
        <v>0</v>
      </c>
    </row>
    <row r="1121" spans="1:49">
      <c r="A1121" s="4" t="s">
        <v>35</v>
      </c>
      <c r="B1121" s="4" t="str">
        <f t="shared" si="17"/>
        <v>Hair Color</v>
      </c>
      <c r="C1121" s="4" t="s">
        <v>1786</v>
      </c>
      <c r="D1121" s="4" t="s">
        <v>578</v>
      </c>
      <c r="E1121" s="24" t="s">
        <v>47</v>
      </c>
      <c r="F1121" s="12" t="s">
        <v>519</v>
      </c>
      <c r="G1121" s="4" t="s">
        <v>1787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1</v>
      </c>
      <c r="AB1121" s="3">
        <v>1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3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</row>
    <row r="1122" spans="1:49">
      <c r="A1122" s="4" t="s">
        <v>35</v>
      </c>
      <c r="B1122" s="4" t="str">
        <f t="shared" si="17"/>
        <v>Hair Color</v>
      </c>
      <c r="C1122" s="4" t="s">
        <v>1786</v>
      </c>
      <c r="D1122" s="4" t="s">
        <v>578</v>
      </c>
      <c r="E1122" s="24" t="s">
        <v>47</v>
      </c>
      <c r="F1122" s="12" t="s">
        <v>520</v>
      </c>
      <c r="G1122" s="4" t="s">
        <v>1787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3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</row>
    <row r="1123" spans="1:49">
      <c r="A1123" s="4" t="s">
        <v>35</v>
      </c>
      <c r="B1123" s="4" t="str">
        <f t="shared" si="17"/>
        <v>Hair Color</v>
      </c>
      <c r="C1123" s="4" t="s">
        <v>1786</v>
      </c>
      <c r="D1123" s="4" t="s">
        <v>578</v>
      </c>
      <c r="E1123" s="24" t="s">
        <v>47</v>
      </c>
      <c r="F1123" s="12" t="s">
        <v>526</v>
      </c>
      <c r="G1123" s="4" t="s">
        <v>1787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3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</row>
    <row r="1124" spans="1:49">
      <c r="A1124" s="4" t="s">
        <v>35</v>
      </c>
      <c r="B1124" s="4" t="str">
        <f t="shared" si="17"/>
        <v>Hair Color</v>
      </c>
      <c r="C1124" s="4" t="s">
        <v>1786</v>
      </c>
      <c r="D1124" s="4" t="s">
        <v>578</v>
      </c>
      <c r="E1124" s="24" t="s">
        <v>47</v>
      </c>
      <c r="F1124" s="12" t="s">
        <v>528</v>
      </c>
      <c r="G1124" s="4" t="s">
        <v>1787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1</v>
      </c>
      <c r="Y1124" s="3">
        <v>0</v>
      </c>
      <c r="Z1124" s="3">
        <v>2</v>
      </c>
      <c r="AA1124" s="3">
        <v>0</v>
      </c>
      <c r="AB1124" s="3">
        <v>0</v>
      </c>
      <c r="AC1124" s="3">
        <v>0</v>
      </c>
      <c r="AD1124" s="3">
        <v>4</v>
      </c>
      <c r="AE1124" s="3">
        <v>0</v>
      </c>
      <c r="AF1124" s="3">
        <v>0</v>
      </c>
      <c r="AG1124" s="3">
        <v>2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3</v>
      </c>
      <c r="AT1124" s="3">
        <v>0</v>
      </c>
      <c r="AU1124" s="3">
        <v>0</v>
      </c>
      <c r="AV1124" s="3">
        <v>0</v>
      </c>
      <c r="AW1124" s="3">
        <v>2</v>
      </c>
    </row>
    <row r="1125" spans="1:49">
      <c r="A1125" s="4" t="s">
        <v>35</v>
      </c>
      <c r="B1125" s="4" t="str">
        <f t="shared" si="17"/>
        <v>Hair Color</v>
      </c>
      <c r="C1125" s="4" t="s">
        <v>1786</v>
      </c>
      <c r="D1125" s="4" t="s">
        <v>578</v>
      </c>
      <c r="E1125" s="24" t="s">
        <v>47</v>
      </c>
      <c r="F1125" s="12" t="s">
        <v>530</v>
      </c>
      <c r="G1125" s="4" t="s">
        <v>1787</v>
      </c>
      <c r="H1125" s="3">
        <v>0</v>
      </c>
      <c r="I1125" s="3">
        <v>0</v>
      </c>
      <c r="J1125" s="3">
        <v>1</v>
      </c>
      <c r="K1125" s="3">
        <v>0</v>
      </c>
      <c r="L1125" s="3">
        <v>0</v>
      </c>
      <c r="M1125" s="3">
        <v>1</v>
      </c>
      <c r="N1125" s="3">
        <v>0</v>
      </c>
      <c r="O1125" s="3">
        <v>0</v>
      </c>
      <c r="P1125" s="3">
        <v>1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2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3</v>
      </c>
      <c r="AS1125" s="3">
        <v>0</v>
      </c>
      <c r="AT1125" s="3">
        <v>2</v>
      </c>
      <c r="AU1125" s="3">
        <v>0</v>
      </c>
      <c r="AV1125" s="3">
        <v>0</v>
      </c>
      <c r="AW1125" s="3">
        <v>0</v>
      </c>
    </row>
    <row r="1126" spans="1:49">
      <c r="A1126" s="4" t="s">
        <v>35</v>
      </c>
      <c r="B1126" s="4" t="str">
        <f t="shared" si="17"/>
        <v>Hair Color</v>
      </c>
      <c r="C1126" s="4" t="s">
        <v>1786</v>
      </c>
      <c r="D1126" s="4" t="s">
        <v>578</v>
      </c>
      <c r="E1126" s="24" t="s">
        <v>47</v>
      </c>
      <c r="F1126" s="12" t="s">
        <v>531</v>
      </c>
      <c r="G1126" s="4" t="s">
        <v>1787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2</v>
      </c>
      <c r="AQ1126" s="3">
        <v>0</v>
      </c>
      <c r="AR1126" s="3">
        <v>3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</row>
    <row r="1127" spans="1:49">
      <c r="A1127" s="4" t="s">
        <v>35</v>
      </c>
      <c r="B1127" s="4" t="str">
        <f t="shared" si="17"/>
        <v>Hair Color</v>
      </c>
      <c r="C1127" s="4" t="s">
        <v>1786</v>
      </c>
      <c r="D1127" s="4" t="s">
        <v>578</v>
      </c>
      <c r="E1127" s="24" t="s">
        <v>47</v>
      </c>
      <c r="F1127" s="12" t="s">
        <v>536</v>
      </c>
      <c r="G1127" s="4" t="s">
        <v>1787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1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</row>
    <row r="1128" spans="1:49">
      <c r="A1128" s="4" t="s">
        <v>35</v>
      </c>
      <c r="B1128" s="4" t="str">
        <f t="shared" si="17"/>
        <v>Hair Color</v>
      </c>
      <c r="C1128" s="4" t="s">
        <v>1786</v>
      </c>
      <c r="D1128" s="4" t="s">
        <v>578</v>
      </c>
      <c r="E1128" s="24" t="s">
        <v>47</v>
      </c>
      <c r="F1128" s="12" t="s">
        <v>538</v>
      </c>
      <c r="G1128" s="4" t="s">
        <v>1787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5</v>
      </c>
      <c r="AI1128" s="3">
        <v>1</v>
      </c>
      <c r="AJ1128" s="3">
        <v>1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</row>
    <row r="1129" spans="1:49">
      <c r="A1129" s="4" t="s">
        <v>35</v>
      </c>
      <c r="B1129" s="4" t="str">
        <f t="shared" si="17"/>
        <v>Hair Color</v>
      </c>
      <c r="C1129" s="4" t="s">
        <v>1786</v>
      </c>
      <c r="D1129" s="4" t="s">
        <v>578</v>
      </c>
      <c r="E1129" s="24" t="s">
        <v>47</v>
      </c>
      <c r="F1129" s="12" t="s">
        <v>542</v>
      </c>
      <c r="G1129" s="4" t="s">
        <v>1787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2</v>
      </c>
      <c r="AI1129" s="3">
        <v>0</v>
      </c>
      <c r="AJ1129" s="3">
        <v>1</v>
      </c>
      <c r="AK1129" s="3">
        <v>0</v>
      </c>
      <c r="AL1129" s="3">
        <v>0</v>
      </c>
      <c r="AM1129" s="3">
        <v>0</v>
      </c>
      <c r="AN1129" s="3">
        <v>3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</row>
    <row r="1130" spans="1:49">
      <c r="A1130" s="4" t="s">
        <v>35</v>
      </c>
      <c r="B1130" s="4" t="str">
        <f t="shared" si="17"/>
        <v>Hair Color</v>
      </c>
      <c r="C1130" s="4" t="s">
        <v>1786</v>
      </c>
      <c r="D1130" s="4" t="s">
        <v>578</v>
      </c>
      <c r="E1130" s="24" t="s">
        <v>47</v>
      </c>
      <c r="F1130" s="12" t="s">
        <v>543</v>
      </c>
      <c r="G1130" s="4" t="s">
        <v>1787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1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1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</row>
    <row r="1131" spans="1:49">
      <c r="A1131" s="4" t="s">
        <v>35</v>
      </c>
      <c r="B1131" s="4" t="str">
        <f t="shared" si="17"/>
        <v>Hair Color</v>
      </c>
      <c r="C1131" s="4" t="s">
        <v>1786</v>
      </c>
      <c r="D1131" s="4" t="s">
        <v>578</v>
      </c>
      <c r="E1131" s="24" t="s">
        <v>47</v>
      </c>
      <c r="F1131" s="12" t="s">
        <v>544</v>
      </c>
      <c r="G1131" s="4" t="s">
        <v>1787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2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2</v>
      </c>
      <c r="AQ1131" s="3">
        <v>0</v>
      </c>
      <c r="AR1131" s="3">
        <v>0</v>
      </c>
      <c r="AS1131" s="3">
        <v>2</v>
      </c>
      <c r="AT1131" s="3">
        <v>2</v>
      </c>
      <c r="AU1131" s="3">
        <v>0</v>
      </c>
      <c r="AV1131" s="3">
        <v>1</v>
      </c>
      <c r="AW1131" s="3">
        <v>0</v>
      </c>
    </row>
    <row r="1132" spans="1:49">
      <c r="A1132" s="4" t="s">
        <v>35</v>
      </c>
      <c r="B1132" s="4" t="str">
        <f t="shared" si="17"/>
        <v>Hair Color</v>
      </c>
      <c r="C1132" s="4" t="s">
        <v>1786</v>
      </c>
      <c r="D1132" s="4" t="s">
        <v>578</v>
      </c>
      <c r="E1132" s="24" t="s">
        <v>47</v>
      </c>
      <c r="F1132" s="12" t="s">
        <v>545</v>
      </c>
      <c r="G1132" s="4" t="s">
        <v>1787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1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</row>
    <row r="1133" spans="1:49">
      <c r="A1133" s="4" t="s">
        <v>35</v>
      </c>
      <c r="B1133" s="4" t="str">
        <f t="shared" si="17"/>
        <v>Hair Color</v>
      </c>
      <c r="C1133" s="4" t="s">
        <v>1786</v>
      </c>
      <c r="D1133" s="4" t="s">
        <v>578</v>
      </c>
      <c r="E1133" s="24" t="s">
        <v>47</v>
      </c>
      <c r="F1133" s="12" t="s">
        <v>546</v>
      </c>
      <c r="G1133" s="4" t="s">
        <v>1787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2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</row>
    <row r="1134" spans="1:49">
      <c r="A1134" s="4" t="s">
        <v>35</v>
      </c>
      <c r="B1134" s="4" t="str">
        <f t="shared" si="17"/>
        <v>Hair Color</v>
      </c>
      <c r="C1134" s="4" t="s">
        <v>1786</v>
      </c>
      <c r="D1134" s="4" t="s">
        <v>578</v>
      </c>
      <c r="E1134" s="24" t="s">
        <v>47</v>
      </c>
      <c r="F1134" s="12" t="s">
        <v>547</v>
      </c>
      <c r="G1134" s="4" t="s">
        <v>1787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4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</row>
    <row r="1135" spans="1:49">
      <c r="A1135" s="4" t="s">
        <v>35</v>
      </c>
      <c r="B1135" s="4" t="str">
        <f t="shared" si="17"/>
        <v>Hair Color</v>
      </c>
      <c r="C1135" s="4" t="s">
        <v>1786</v>
      </c>
      <c r="D1135" s="4" t="s">
        <v>578</v>
      </c>
      <c r="E1135" s="24" t="s">
        <v>47</v>
      </c>
      <c r="F1135" s="12" t="s">
        <v>550</v>
      </c>
      <c r="G1135" s="4" t="s">
        <v>1787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3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3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</row>
    <row r="1136" spans="1:49">
      <c r="A1136" s="4" t="s">
        <v>35</v>
      </c>
      <c r="B1136" s="4" t="str">
        <f t="shared" si="17"/>
        <v>Hair Color</v>
      </c>
      <c r="C1136" s="4" t="s">
        <v>1786</v>
      </c>
      <c r="D1136" s="4" t="s">
        <v>578</v>
      </c>
      <c r="E1136" s="24" t="s">
        <v>47</v>
      </c>
      <c r="F1136" s="12" t="s">
        <v>551</v>
      </c>
      <c r="G1136" s="4" t="s">
        <v>1787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2</v>
      </c>
      <c r="AF1136" s="3">
        <v>0</v>
      </c>
      <c r="AG1136" s="3">
        <v>0</v>
      </c>
      <c r="AH1136" s="3">
        <v>0</v>
      </c>
      <c r="AI1136" s="3">
        <v>2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3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</row>
    <row r="1137" spans="1:49">
      <c r="A1137" s="4" t="s">
        <v>35</v>
      </c>
      <c r="B1137" s="4" t="str">
        <f t="shared" si="17"/>
        <v>Hair Color</v>
      </c>
      <c r="C1137" s="4" t="s">
        <v>1786</v>
      </c>
      <c r="D1137" s="4" t="s">
        <v>578</v>
      </c>
      <c r="E1137" s="24" t="s">
        <v>47</v>
      </c>
      <c r="F1137" s="12" t="s">
        <v>556</v>
      </c>
      <c r="G1137" s="4" t="s">
        <v>1787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3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</row>
    <row r="1138" spans="1:49">
      <c r="A1138" s="4" t="s">
        <v>35</v>
      </c>
      <c r="B1138" s="4" t="str">
        <f t="shared" si="17"/>
        <v>Hair Color</v>
      </c>
      <c r="C1138" s="4" t="s">
        <v>1786</v>
      </c>
      <c r="D1138" s="4" t="s">
        <v>578</v>
      </c>
      <c r="E1138" s="24" t="s">
        <v>47</v>
      </c>
      <c r="F1138" s="12" t="s">
        <v>558</v>
      </c>
      <c r="G1138" s="4" t="s">
        <v>1787</v>
      </c>
      <c r="H1138" s="3">
        <v>2</v>
      </c>
      <c r="I1138" s="3">
        <v>0</v>
      </c>
      <c r="J1138" s="3">
        <v>1</v>
      </c>
      <c r="K1138" s="3">
        <v>1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</row>
    <row r="1139" spans="1:49">
      <c r="A1139" s="4" t="s">
        <v>35</v>
      </c>
      <c r="B1139" s="4" t="str">
        <f t="shared" si="17"/>
        <v>Hair Color</v>
      </c>
      <c r="C1139" s="4" t="s">
        <v>1786</v>
      </c>
      <c r="D1139" s="4" t="s">
        <v>578</v>
      </c>
      <c r="E1139" s="24" t="s">
        <v>47</v>
      </c>
      <c r="F1139" s="12" t="s">
        <v>565</v>
      </c>
      <c r="G1139" s="4" t="s">
        <v>1787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2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</row>
    <row r="1140" spans="1:49">
      <c r="A1140" s="4" t="s">
        <v>35</v>
      </c>
      <c r="B1140" s="4" t="str">
        <f t="shared" si="17"/>
        <v>Hair Color</v>
      </c>
      <c r="C1140" s="4" t="s">
        <v>1786</v>
      </c>
      <c r="D1140" s="4" t="s">
        <v>578</v>
      </c>
      <c r="E1140" s="24" t="s">
        <v>47</v>
      </c>
      <c r="F1140" s="12" t="s">
        <v>566</v>
      </c>
      <c r="G1140" s="4" t="s">
        <v>1787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1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</row>
    <row r="1141" spans="1:49">
      <c r="A1141" s="4" t="s">
        <v>35</v>
      </c>
      <c r="B1141" s="4" t="str">
        <f t="shared" si="17"/>
        <v>Hair Color</v>
      </c>
      <c r="C1141" s="4" t="s">
        <v>1786</v>
      </c>
      <c r="D1141" s="4" t="s">
        <v>578</v>
      </c>
      <c r="E1141" s="24" t="s">
        <v>47</v>
      </c>
      <c r="F1141" s="12" t="s">
        <v>567</v>
      </c>
      <c r="G1141" s="4" t="s">
        <v>1787</v>
      </c>
      <c r="H1141" s="3">
        <v>2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1</v>
      </c>
      <c r="S1141" s="3">
        <v>4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6</v>
      </c>
      <c r="AI1141" s="3">
        <v>0</v>
      </c>
      <c r="AJ1141" s="3">
        <v>0</v>
      </c>
      <c r="AK1141" s="3">
        <v>0</v>
      </c>
      <c r="AL1141" s="3">
        <v>6</v>
      </c>
      <c r="AM1141" s="3">
        <v>2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6</v>
      </c>
      <c r="AT1141" s="3">
        <v>0</v>
      </c>
      <c r="AU1141" s="3">
        <v>0</v>
      </c>
      <c r="AV1141" s="3">
        <v>0</v>
      </c>
      <c r="AW1141" s="3">
        <v>0</v>
      </c>
    </row>
    <row r="1142" spans="1:49">
      <c r="A1142" s="4" t="s">
        <v>35</v>
      </c>
      <c r="B1142" s="4" t="str">
        <f t="shared" si="17"/>
        <v>Hair Color</v>
      </c>
      <c r="C1142" s="4" t="s">
        <v>1786</v>
      </c>
      <c r="D1142" s="4" t="s">
        <v>578</v>
      </c>
      <c r="E1142" s="24" t="s">
        <v>47</v>
      </c>
      <c r="F1142" s="12" t="s">
        <v>568</v>
      </c>
      <c r="G1142" s="4" t="s">
        <v>1787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3</v>
      </c>
      <c r="Q1142" s="3">
        <v>0</v>
      </c>
      <c r="R1142" s="3">
        <v>1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1</v>
      </c>
      <c r="AA1142" s="3">
        <v>1</v>
      </c>
      <c r="AB1142" s="3">
        <v>1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3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</row>
    <row r="1143" spans="1:49">
      <c r="A1143" s="4" t="s">
        <v>35</v>
      </c>
      <c r="B1143" s="4" t="str">
        <f t="shared" si="17"/>
        <v>Hair Color</v>
      </c>
      <c r="C1143" s="4" t="s">
        <v>1786</v>
      </c>
      <c r="D1143" s="4" t="s">
        <v>578</v>
      </c>
      <c r="E1143" s="24" t="s">
        <v>47</v>
      </c>
      <c r="F1143" s="12" t="s">
        <v>569</v>
      </c>
      <c r="G1143" s="4" t="s">
        <v>1787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2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6</v>
      </c>
      <c r="AE1143" s="3">
        <v>0</v>
      </c>
      <c r="AF1143" s="3">
        <v>3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</row>
    <row r="1144" spans="1:49">
      <c r="A1144" s="4" t="s">
        <v>35</v>
      </c>
      <c r="B1144" s="4" t="str">
        <f t="shared" si="17"/>
        <v>Hair Color</v>
      </c>
      <c r="C1144" s="4" t="s">
        <v>1786</v>
      </c>
      <c r="D1144" s="4" t="s">
        <v>578</v>
      </c>
      <c r="E1144" s="24" t="s">
        <v>47</v>
      </c>
      <c r="F1144" s="12" t="s">
        <v>570</v>
      </c>
      <c r="G1144" s="4" t="s">
        <v>1787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2</v>
      </c>
      <c r="AN1144" s="3">
        <v>0</v>
      </c>
      <c r="AO1144" s="3">
        <v>6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</row>
    <row r="1145" spans="1:49">
      <c r="A1145" s="4" t="s">
        <v>35</v>
      </c>
      <c r="B1145" s="4" t="str">
        <f t="shared" si="17"/>
        <v>Hair Color</v>
      </c>
      <c r="C1145" s="4" t="s">
        <v>1786</v>
      </c>
      <c r="D1145" s="4" t="s">
        <v>578</v>
      </c>
      <c r="E1145" s="24" t="s">
        <v>47</v>
      </c>
      <c r="F1145" s="12" t="s">
        <v>571</v>
      </c>
      <c r="G1145" s="4" t="s">
        <v>1787</v>
      </c>
      <c r="H1145" s="3">
        <v>0</v>
      </c>
      <c r="I1145" s="3">
        <v>0</v>
      </c>
      <c r="J1145" s="3">
        <v>0</v>
      </c>
      <c r="K1145" s="3">
        <v>6</v>
      </c>
      <c r="L1145" s="3">
        <v>0</v>
      </c>
      <c r="M1145" s="3">
        <v>0</v>
      </c>
      <c r="N1145" s="3">
        <v>0</v>
      </c>
      <c r="O1145" s="3">
        <v>4</v>
      </c>
      <c r="P1145" s="3">
        <v>0</v>
      </c>
      <c r="Q1145" s="3">
        <v>0</v>
      </c>
      <c r="R1145" s="3">
        <v>0</v>
      </c>
      <c r="S1145" s="3">
        <v>0</v>
      </c>
      <c r="T1145" s="3">
        <v>13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18</v>
      </c>
      <c r="AM1145" s="3">
        <v>0</v>
      </c>
      <c r="AN1145" s="3">
        <v>0</v>
      </c>
      <c r="AO1145" s="3">
        <v>0</v>
      </c>
      <c r="AP1145" s="3">
        <v>0</v>
      </c>
      <c r="AQ1145" s="3">
        <v>1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19</v>
      </c>
    </row>
    <row r="1146" spans="1:49">
      <c r="A1146" s="4" t="s">
        <v>35</v>
      </c>
      <c r="B1146" s="4" t="str">
        <f t="shared" si="17"/>
        <v>Hair Color</v>
      </c>
      <c r="C1146" s="4" t="s">
        <v>1786</v>
      </c>
      <c r="D1146" s="4" t="s">
        <v>578</v>
      </c>
      <c r="E1146" s="24" t="s">
        <v>47</v>
      </c>
      <c r="F1146" s="12" t="s">
        <v>572</v>
      </c>
      <c r="G1146" s="4" t="s">
        <v>1787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3</v>
      </c>
      <c r="X1146" s="3">
        <v>0</v>
      </c>
      <c r="Y1146" s="3">
        <v>0</v>
      </c>
      <c r="Z1146" s="3">
        <v>3</v>
      </c>
      <c r="AA1146" s="3">
        <v>2</v>
      </c>
      <c r="AB1146" s="3">
        <v>0</v>
      </c>
      <c r="AC1146" s="3">
        <v>0</v>
      </c>
      <c r="AD1146" s="3">
        <v>3</v>
      </c>
      <c r="AE1146" s="3">
        <v>0</v>
      </c>
      <c r="AF1146" s="3">
        <v>0</v>
      </c>
      <c r="AG1146" s="3">
        <v>1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</row>
    <row r="1147" spans="1:49">
      <c r="A1147" s="4" t="s">
        <v>35</v>
      </c>
      <c r="B1147" s="4" t="str">
        <f t="shared" si="17"/>
        <v>Hair Color</v>
      </c>
      <c r="C1147" s="4" t="s">
        <v>1786</v>
      </c>
      <c r="D1147" s="4" t="s">
        <v>578</v>
      </c>
      <c r="E1147" s="24" t="s">
        <v>47</v>
      </c>
      <c r="F1147" s="12" t="s">
        <v>574</v>
      </c>
      <c r="G1147" s="4" t="s">
        <v>1787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3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</row>
    <row r="1148" spans="1:49">
      <c r="A1148" s="4" t="s">
        <v>40</v>
      </c>
      <c r="B1148" s="4" t="str">
        <f t="shared" si="17"/>
        <v>Hair Care</v>
      </c>
      <c r="C1148" s="4" t="s">
        <v>1786</v>
      </c>
      <c r="D1148" s="4" t="s">
        <v>579</v>
      </c>
      <c r="E1148" s="24" t="s">
        <v>151</v>
      </c>
      <c r="F1148" s="12" t="s">
        <v>152</v>
      </c>
      <c r="G1148" s="4" t="s">
        <v>1787</v>
      </c>
      <c r="H1148" s="3">
        <v>102</v>
      </c>
      <c r="I1148" s="3">
        <v>24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</row>
    <row r="1149" spans="1:49">
      <c r="A1149" s="4" t="s">
        <v>40</v>
      </c>
      <c r="B1149" s="4" t="str">
        <f t="shared" si="17"/>
        <v>Hair Care</v>
      </c>
      <c r="C1149" s="4" t="s">
        <v>1786</v>
      </c>
      <c r="D1149" s="4" t="s">
        <v>579</v>
      </c>
      <c r="E1149" s="24" t="s">
        <v>151</v>
      </c>
      <c r="F1149" s="12" t="s">
        <v>152</v>
      </c>
      <c r="G1149" s="4" t="s">
        <v>1787</v>
      </c>
      <c r="H1149" s="3">
        <v>72</v>
      </c>
      <c r="I1149" s="3">
        <v>96</v>
      </c>
      <c r="J1149" s="3">
        <v>0</v>
      </c>
      <c r="K1149" s="3">
        <v>0</v>
      </c>
      <c r="L1149" s="3">
        <v>1236</v>
      </c>
      <c r="M1149" s="3">
        <v>0</v>
      </c>
      <c r="N1149" s="3">
        <v>126</v>
      </c>
      <c r="O1149" s="3">
        <v>270</v>
      </c>
      <c r="P1149" s="3">
        <v>0</v>
      </c>
      <c r="Q1149" s="3">
        <v>0</v>
      </c>
      <c r="R1149" s="3">
        <v>2844</v>
      </c>
      <c r="S1149" s="3">
        <v>0</v>
      </c>
      <c r="T1149" s="3">
        <v>0</v>
      </c>
      <c r="U1149" s="3">
        <v>144</v>
      </c>
      <c r="V1149" s="3">
        <v>1500</v>
      </c>
      <c r="W1149" s="3">
        <v>114</v>
      </c>
      <c r="X1149" s="3">
        <v>72</v>
      </c>
      <c r="Y1149" s="3">
        <v>84</v>
      </c>
      <c r="Z1149" s="3">
        <v>-12</v>
      </c>
      <c r="AA1149" s="3">
        <v>162</v>
      </c>
      <c r="AB1149" s="3">
        <v>600</v>
      </c>
      <c r="AC1149" s="3">
        <v>30</v>
      </c>
      <c r="AD1149" s="3">
        <v>300</v>
      </c>
      <c r="AE1149" s="3">
        <v>552</v>
      </c>
      <c r="AF1149" s="3">
        <v>288</v>
      </c>
      <c r="AG1149" s="3">
        <v>96</v>
      </c>
      <c r="AH1149" s="3">
        <v>168</v>
      </c>
      <c r="AI1149" s="3">
        <v>240</v>
      </c>
      <c r="AJ1149" s="3">
        <v>222</v>
      </c>
      <c r="AK1149" s="3">
        <v>246</v>
      </c>
      <c r="AL1149" s="3">
        <v>192</v>
      </c>
      <c r="AM1149" s="3">
        <v>198</v>
      </c>
      <c r="AN1149" s="3">
        <v>324</v>
      </c>
      <c r="AO1149" s="3">
        <v>258</v>
      </c>
      <c r="AP1149" s="3">
        <v>330</v>
      </c>
      <c r="AQ1149" s="3">
        <v>876</v>
      </c>
      <c r="AR1149" s="3">
        <v>18</v>
      </c>
      <c r="AS1149" s="3">
        <v>168</v>
      </c>
      <c r="AT1149" s="3">
        <v>282</v>
      </c>
      <c r="AU1149" s="3">
        <v>678</v>
      </c>
      <c r="AV1149" s="3">
        <v>90</v>
      </c>
      <c r="AW1149" s="3">
        <v>78</v>
      </c>
    </row>
    <row r="1150" spans="1:49">
      <c r="A1150" s="4" t="s">
        <v>40</v>
      </c>
      <c r="B1150" s="4" t="str">
        <f t="shared" si="17"/>
        <v>Hair Care</v>
      </c>
      <c r="C1150" s="4" t="s">
        <v>1786</v>
      </c>
      <c r="D1150" s="4" t="s">
        <v>579</v>
      </c>
      <c r="E1150" s="24" t="s">
        <v>125</v>
      </c>
      <c r="F1150" s="12" t="s">
        <v>153</v>
      </c>
      <c r="G1150" s="4" t="s">
        <v>1787</v>
      </c>
      <c r="H1150" s="3">
        <v>2088</v>
      </c>
      <c r="I1150" s="3">
        <v>1146</v>
      </c>
      <c r="J1150" s="3">
        <v>864</v>
      </c>
      <c r="K1150" s="3">
        <v>1152</v>
      </c>
      <c r="L1150" s="3">
        <v>1212</v>
      </c>
      <c r="M1150" s="3">
        <v>1044</v>
      </c>
      <c r="N1150" s="3">
        <v>4554</v>
      </c>
      <c r="O1150" s="3">
        <v>1402</v>
      </c>
      <c r="P1150" s="3">
        <v>1836</v>
      </c>
      <c r="Q1150" s="3">
        <v>1736</v>
      </c>
      <c r="R1150" s="3">
        <v>1464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</row>
    <row r="1151" spans="1:49">
      <c r="A1151" s="4" t="s">
        <v>40</v>
      </c>
      <c r="B1151" s="4" t="str">
        <f t="shared" si="17"/>
        <v>Hair Care</v>
      </c>
      <c r="C1151" s="4" t="s">
        <v>1786</v>
      </c>
      <c r="D1151" s="4" t="s">
        <v>579</v>
      </c>
      <c r="E1151" s="24" t="s">
        <v>125</v>
      </c>
      <c r="F1151" s="12" t="s">
        <v>154</v>
      </c>
      <c r="G1151" s="4" t="s">
        <v>1787</v>
      </c>
      <c r="H1151" s="3">
        <v>1398</v>
      </c>
      <c r="I1151" s="3">
        <v>540</v>
      </c>
      <c r="J1151" s="3">
        <v>306</v>
      </c>
      <c r="K1151" s="3">
        <v>504</v>
      </c>
      <c r="L1151" s="3">
        <v>588</v>
      </c>
      <c r="M1151" s="3">
        <v>564</v>
      </c>
      <c r="N1151" s="3">
        <v>3732</v>
      </c>
      <c r="O1151" s="3">
        <v>440</v>
      </c>
      <c r="P1151" s="3">
        <v>1296</v>
      </c>
      <c r="Q1151" s="3">
        <v>1088</v>
      </c>
      <c r="R1151" s="3">
        <v>1032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</row>
    <row r="1152" spans="1:49">
      <c r="A1152" s="4" t="s">
        <v>40</v>
      </c>
      <c r="B1152" s="4" t="str">
        <f t="shared" si="17"/>
        <v>Hair Care</v>
      </c>
      <c r="C1152" s="4" t="s">
        <v>1786</v>
      </c>
      <c r="D1152" s="4" t="s">
        <v>579</v>
      </c>
      <c r="E1152" s="24" t="s">
        <v>125</v>
      </c>
      <c r="F1152" s="12" t="s">
        <v>155</v>
      </c>
      <c r="G1152" s="4" t="s">
        <v>1787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240</v>
      </c>
      <c r="AE1152" s="3">
        <v>-6</v>
      </c>
      <c r="AF1152" s="3">
        <v>84</v>
      </c>
      <c r="AG1152" s="3">
        <v>0</v>
      </c>
      <c r="AH1152" s="3">
        <v>60</v>
      </c>
      <c r="AI1152" s="3">
        <v>0</v>
      </c>
      <c r="AJ1152" s="3">
        <v>24</v>
      </c>
      <c r="AK1152" s="3">
        <v>105</v>
      </c>
      <c r="AL1152" s="3">
        <v>30</v>
      </c>
      <c r="AM1152" s="3">
        <v>18</v>
      </c>
      <c r="AN1152" s="3">
        <v>12</v>
      </c>
      <c r="AO1152" s="3">
        <v>12</v>
      </c>
      <c r="AP1152" s="3">
        <v>24</v>
      </c>
      <c r="AQ1152" s="3">
        <v>48</v>
      </c>
      <c r="AR1152" s="3">
        <v>0</v>
      </c>
      <c r="AS1152" s="3">
        <v>12</v>
      </c>
      <c r="AT1152" s="3">
        <v>24</v>
      </c>
      <c r="AU1152" s="3">
        <v>0</v>
      </c>
      <c r="AV1152" s="3">
        <v>0</v>
      </c>
      <c r="AW1152" s="3">
        <v>72</v>
      </c>
    </row>
    <row r="1153" spans="1:49">
      <c r="A1153" s="4" t="s">
        <v>40</v>
      </c>
      <c r="B1153" s="4" t="str">
        <f t="shared" si="17"/>
        <v>Hair Care</v>
      </c>
      <c r="C1153" s="4" t="s">
        <v>1786</v>
      </c>
      <c r="D1153" s="4" t="s">
        <v>579</v>
      </c>
      <c r="E1153" s="24" t="s">
        <v>125</v>
      </c>
      <c r="F1153" s="12" t="s">
        <v>156</v>
      </c>
      <c r="G1153" s="4" t="s">
        <v>1787</v>
      </c>
      <c r="H1153" s="3">
        <v>2772</v>
      </c>
      <c r="I1153" s="3">
        <v>594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</row>
    <row r="1154" spans="1:49">
      <c r="A1154" s="4" t="s">
        <v>40</v>
      </c>
      <c r="B1154" s="4" t="str">
        <f t="shared" si="17"/>
        <v>Hair Care</v>
      </c>
      <c r="C1154" s="4" t="s">
        <v>1786</v>
      </c>
      <c r="D1154" s="4" t="s">
        <v>579</v>
      </c>
      <c r="E1154" s="24" t="s">
        <v>125</v>
      </c>
      <c r="F1154" s="12" t="s">
        <v>157</v>
      </c>
      <c r="G1154" s="4" t="s">
        <v>1787</v>
      </c>
      <c r="H1154" s="3">
        <v>1140</v>
      </c>
      <c r="I1154" s="3">
        <v>2118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</row>
    <row r="1155" spans="1:49">
      <c r="A1155" s="4" t="s">
        <v>40</v>
      </c>
      <c r="B1155" s="4" t="str">
        <f t="shared" ref="B1155:B1218" si="18">A1155</f>
        <v>Hair Care</v>
      </c>
      <c r="C1155" s="4" t="s">
        <v>1786</v>
      </c>
      <c r="D1155" s="4" t="s">
        <v>579</v>
      </c>
      <c r="E1155" s="24" t="s">
        <v>125</v>
      </c>
      <c r="F1155" s="12" t="s">
        <v>158</v>
      </c>
      <c r="G1155" s="4" t="s">
        <v>1787</v>
      </c>
      <c r="H1155" s="3">
        <v>1506</v>
      </c>
      <c r="I1155" s="3">
        <v>1218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</row>
    <row r="1156" spans="1:49">
      <c r="A1156" s="4" t="s">
        <v>40</v>
      </c>
      <c r="B1156" s="4" t="str">
        <f t="shared" si="18"/>
        <v>Hair Care</v>
      </c>
      <c r="C1156" s="4" t="s">
        <v>1786</v>
      </c>
      <c r="D1156" s="4" t="s">
        <v>579</v>
      </c>
      <c r="E1156" s="24" t="s">
        <v>125</v>
      </c>
      <c r="F1156" s="12" t="s">
        <v>159</v>
      </c>
      <c r="G1156" s="4" t="s">
        <v>1787</v>
      </c>
      <c r="H1156" s="3">
        <v>144</v>
      </c>
      <c r="I1156" s="3">
        <v>768</v>
      </c>
      <c r="J1156" s="3">
        <v>840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</row>
    <row r="1157" spans="1:49">
      <c r="A1157" s="4" t="s">
        <v>40</v>
      </c>
      <c r="B1157" s="4" t="str">
        <f t="shared" si="18"/>
        <v>Hair Care</v>
      </c>
      <c r="C1157" s="4" t="s">
        <v>1786</v>
      </c>
      <c r="D1157" s="4" t="s">
        <v>579</v>
      </c>
      <c r="E1157" s="24" t="s">
        <v>125</v>
      </c>
      <c r="F1157" s="12" t="s">
        <v>160</v>
      </c>
      <c r="G1157" s="4" t="s">
        <v>1787</v>
      </c>
      <c r="H1157" s="3">
        <v>192</v>
      </c>
      <c r="I1157" s="3">
        <v>351</v>
      </c>
      <c r="J1157" s="3">
        <v>135</v>
      </c>
      <c r="K1157" s="3">
        <v>108</v>
      </c>
      <c r="L1157" s="3">
        <v>180</v>
      </c>
      <c r="M1157" s="3">
        <v>135</v>
      </c>
      <c r="N1157" s="3">
        <v>93</v>
      </c>
      <c r="O1157" s="3">
        <v>279</v>
      </c>
      <c r="P1157" s="3">
        <v>135</v>
      </c>
      <c r="Q1157" s="3">
        <v>99</v>
      </c>
      <c r="R1157" s="3">
        <v>390</v>
      </c>
      <c r="S1157" s="3">
        <v>543</v>
      </c>
      <c r="T1157" s="3">
        <v>351</v>
      </c>
      <c r="U1157" s="3">
        <v>45</v>
      </c>
      <c r="V1157" s="3">
        <v>228</v>
      </c>
      <c r="W1157" s="3">
        <v>120</v>
      </c>
      <c r="X1157" s="3">
        <v>171</v>
      </c>
      <c r="Y1157" s="3">
        <v>252</v>
      </c>
      <c r="Z1157" s="3">
        <v>57</v>
      </c>
      <c r="AA1157" s="3">
        <v>180</v>
      </c>
      <c r="AB1157" s="3">
        <v>159</v>
      </c>
      <c r="AC1157" s="3">
        <v>15</v>
      </c>
      <c r="AD1157" s="3">
        <v>147</v>
      </c>
      <c r="AE1157" s="3">
        <v>186</v>
      </c>
      <c r="AF1157" s="3">
        <v>372</v>
      </c>
      <c r="AG1157" s="3">
        <v>51</v>
      </c>
      <c r="AH1157" s="3">
        <v>0</v>
      </c>
      <c r="AI1157" s="3">
        <v>123</v>
      </c>
      <c r="AJ1157" s="3">
        <v>336</v>
      </c>
      <c r="AK1157" s="3">
        <v>279</v>
      </c>
      <c r="AL1157" s="3">
        <v>0</v>
      </c>
      <c r="AM1157" s="3">
        <v>108</v>
      </c>
      <c r="AN1157" s="3">
        <v>114</v>
      </c>
      <c r="AO1157" s="3">
        <v>117</v>
      </c>
      <c r="AP1157" s="3">
        <v>288</v>
      </c>
      <c r="AQ1157" s="3">
        <v>231</v>
      </c>
      <c r="AR1157" s="3">
        <v>213</v>
      </c>
      <c r="AS1157" s="3">
        <v>165</v>
      </c>
      <c r="AT1157" s="3">
        <v>222</v>
      </c>
      <c r="AU1157" s="3">
        <v>225</v>
      </c>
      <c r="AV1157" s="3">
        <v>171</v>
      </c>
      <c r="AW1157" s="3">
        <v>144</v>
      </c>
    </row>
    <row r="1158" spans="1:49">
      <c r="A1158" s="4" t="s">
        <v>40</v>
      </c>
      <c r="B1158" s="4" t="str">
        <f t="shared" si="18"/>
        <v>Hair Care</v>
      </c>
      <c r="C1158" s="4" t="s">
        <v>1786</v>
      </c>
      <c r="D1158" s="4" t="s">
        <v>579</v>
      </c>
      <c r="E1158" s="24" t="s">
        <v>125</v>
      </c>
      <c r="F1158" s="12" t="s">
        <v>161</v>
      </c>
      <c r="G1158" s="4" t="s">
        <v>1787</v>
      </c>
      <c r="H1158" s="3">
        <v>1560</v>
      </c>
      <c r="I1158" s="3">
        <v>996</v>
      </c>
      <c r="J1158" s="3">
        <v>888</v>
      </c>
      <c r="K1158" s="3">
        <v>600</v>
      </c>
      <c r="L1158" s="3">
        <v>1020</v>
      </c>
      <c r="M1158" s="3">
        <v>360</v>
      </c>
      <c r="N1158" s="3">
        <v>528</v>
      </c>
      <c r="O1158" s="3">
        <v>1596</v>
      </c>
      <c r="P1158" s="3">
        <v>2050</v>
      </c>
      <c r="Q1158" s="3">
        <v>1728</v>
      </c>
      <c r="R1158" s="3">
        <v>564</v>
      </c>
      <c r="S1158" s="3">
        <v>312</v>
      </c>
      <c r="T1158" s="3">
        <v>432</v>
      </c>
      <c r="U1158" s="3">
        <v>540</v>
      </c>
      <c r="V1158" s="3">
        <v>630</v>
      </c>
      <c r="W1158" s="3">
        <v>328</v>
      </c>
      <c r="X1158" s="3">
        <v>1076</v>
      </c>
      <c r="Y1158" s="3">
        <v>864</v>
      </c>
      <c r="Z1158" s="3">
        <v>108</v>
      </c>
      <c r="AA1158" s="3">
        <v>336</v>
      </c>
      <c r="AB1158" s="3">
        <v>1140</v>
      </c>
      <c r="AC1158" s="3">
        <v>240</v>
      </c>
      <c r="AD1158" s="3">
        <v>252</v>
      </c>
      <c r="AE1158" s="3">
        <v>0</v>
      </c>
      <c r="AF1158" s="3">
        <v>648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</row>
    <row r="1159" spans="1:49">
      <c r="A1159" s="4" t="s">
        <v>40</v>
      </c>
      <c r="B1159" s="4" t="str">
        <f t="shared" si="18"/>
        <v>Hair Care</v>
      </c>
      <c r="C1159" s="4" t="s">
        <v>1786</v>
      </c>
      <c r="D1159" s="4" t="s">
        <v>579</v>
      </c>
      <c r="E1159" s="24" t="s">
        <v>125</v>
      </c>
      <c r="F1159" s="12" t="s">
        <v>162</v>
      </c>
      <c r="G1159" s="4" t="s">
        <v>1787</v>
      </c>
      <c r="H1159" s="3">
        <v>588</v>
      </c>
      <c r="I1159" s="3">
        <v>228</v>
      </c>
      <c r="J1159" s="3">
        <v>1264</v>
      </c>
      <c r="K1159" s="3">
        <v>36</v>
      </c>
      <c r="L1159" s="3">
        <v>232</v>
      </c>
      <c r="M1159" s="3">
        <v>36</v>
      </c>
      <c r="N1159" s="3">
        <v>24</v>
      </c>
      <c r="O1159" s="3">
        <v>1140</v>
      </c>
      <c r="P1159" s="3">
        <v>118</v>
      </c>
      <c r="Q1159" s="3">
        <v>0</v>
      </c>
      <c r="R1159" s="3">
        <v>0</v>
      </c>
      <c r="S1159" s="3">
        <v>0</v>
      </c>
      <c r="T1159" s="3">
        <v>0</v>
      </c>
      <c r="U1159" s="3">
        <v>24</v>
      </c>
      <c r="V1159" s="3">
        <v>270</v>
      </c>
      <c r="W1159" s="3">
        <v>148</v>
      </c>
      <c r="X1159" s="3">
        <v>212</v>
      </c>
      <c r="Y1159" s="3">
        <v>168</v>
      </c>
      <c r="Z1159" s="3">
        <v>24</v>
      </c>
      <c r="AA1159" s="3">
        <v>96</v>
      </c>
      <c r="AB1159" s="3">
        <v>612</v>
      </c>
      <c r="AC1159" s="3">
        <v>24</v>
      </c>
      <c r="AD1159" s="3">
        <v>216</v>
      </c>
      <c r="AE1159" s="3">
        <v>624</v>
      </c>
      <c r="AF1159" s="3">
        <v>276</v>
      </c>
      <c r="AG1159" s="3">
        <v>0</v>
      </c>
      <c r="AH1159" s="3">
        <v>798</v>
      </c>
      <c r="AI1159" s="3">
        <v>168</v>
      </c>
      <c r="AJ1159" s="3">
        <v>228</v>
      </c>
      <c r="AK1159" s="3">
        <v>732</v>
      </c>
      <c r="AL1159" s="3">
        <v>144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</row>
    <row r="1160" spans="1:49">
      <c r="A1160" s="4" t="s">
        <v>40</v>
      </c>
      <c r="B1160" s="4" t="str">
        <f t="shared" si="18"/>
        <v>Hair Care</v>
      </c>
      <c r="C1160" s="4" t="s">
        <v>1786</v>
      </c>
      <c r="D1160" s="4" t="s">
        <v>579</v>
      </c>
      <c r="E1160" s="24" t="s">
        <v>125</v>
      </c>
      <c r="F1160" s="12" t="s">
        <v>163</v>
      </c>
      <c r="G1160" s="4" t="s">
        <v>1787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12</v>
      </c>
      <c r="X1160" s="3">
        <v>72</v>
      </c>
      <c r="Y1160" s="3">
        <v>108</v>
      </c>
      <c r="Z1160" s="3">
        <v>36</v>
      </c>
      <c r="AA1160" s="3">
        <v>12</v>
      </c>
      <c r="AB1160" s="3">
        <v>84</v>
      </c>
      <c r="AC1160" s="3">
        <v>108</v>
      </c>
      <c r="AD1160" s="3">
        <v>132</v>
      </c>
      <c r="AE1160" s="3">
        <v>72</v>
      </c>
      <c r="AF1160" s="3">
        <v>48</v>
      </c>
      <c r="AG1160" s="3">
        <v>96</v>
      </c>
      <c r="AH1160" s="3">
        <v>552</v>
      </c>
      <c r="AI1160" s="3">
        <v>60</v>
      </c>
      <c r="AJ1160" s="3">
        <v>60</v>
      </c>
      <c r="AK1160" s="3">
        <v>120</v>
      </c>
      <c r="AL1160" s="3">
        <v>84</v>
      </c>
      <c r="AM1160" s="3">
        <v>72</v>
      </c>
      <c r="AN1160" s="3">
        <v>252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</row>
    <row r="1161" spans="1:49">
      <c r="A1161" s="4" t="s">
        <v>40</v>
      </c>
      <c r="B1161" s="4" t="str">
        <f t="shared" si="18"/>
        <v>Hair Care</v>
      </c>
      <c r="C1161" s="4" t="s">
        <v>1786</v>
      </c>
      <c r="D1161" s="4" t="s">
        <v>579</v>
      </c>
      <c r="E1161" s="24" t="s">
        <v>125</v>
      </c>
      <c r="F1161" s="12" t="s">
        <v>164</v>
      </c>
      <c r="G1161" s="4" t="s">
        <v>1787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24</v>
      </c>
      <c r="P1161" s="3">
        <v>84</v>
      </c>
      <c r="Q1161" s="3">
        <v>0</v>
      </c>
      <c r="R1161" s="3">
        <v>804</v>
      </c>
      <c r="S1161" s="3">
        <v>228</v>
      </c>
      <c r="T1161" s="3">
        <v>3162</v>
      </c>
      <c r="U1161" s="3">
        <v>2232</v>
      </c>
      <c r="V1161" s="3">
        <v>2820</v>
      </c>
      <c r="W1161" s="3">
        <v>984</v>
      </c>
      <c r="X1161" s="3">
        <v>924</v>
      </c>
      <c r="Y1161" s="3">
        <v>324</v>
      </c>
      <c r="Z1161" s="3">
        <v>954</v>
      </c>
      <c r="AA1161" s="3">
        <v>1806</v>
      </c>
      <c r="AB1161" s="3">
        <v>582</v>
      </c>
      <c r="AC1161" s="3">
        <v>252</v>
      </c>
      <c r="AD1161" s="3">
        <v>192</v>
      </c>
      <c r="AE1161" s="3">
        <v>150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</row>
    <row r="1162" spans="1:49">
      <c r="A1162" s="4" t="s">
        <v>40</v>
      </c>
      <c r="B1162" s="4" t="str">
        <f t="shared" si="18"/>
        <v>Hair Care</v>
      </c>
      <c r="C1162" s="4" t="s">
        <v>1786</v>
      </c>
      <c r="D1162" s="4" t="s">
        <v>579</v>
      </c>
      <c r="E1162" s="24" t="s">
        <v>125</v>
      </c>
      <c r="F1162" s="12" t="s">
        <v>165</v>
      </c>
      <c r="G1162" s="4" t="s">
        <v>1787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72</v>
      </c>
      <c r="AM1162" s="3">
        <v>12</v>
      </c>
      <c r="AN1162" s="3">
        <v>72</v>
      </c>
      <c r="AO1162" s="3">
        <v>84</v>
      </c>
      <c r="AP1162" s="3">
        <v>36</v>
      </c>
      <c r="AQ1162" s="3">
        <v>60</v>
      </c>
      <c r="AR1162" s="3">
        <v>12</v>
      </c>
      <c r="AS1162" s="3">
        <v>36</v>
      </c>
      <c r="AT1162" s="3">
        <v>36</v>
      </c>
      <c r="AU1162" s="3">
        <v>12</v>
      </c>
      <c r="AV1162" s="3">
        <v>3948</v>
      </c>
      <c r="AW1162" s="3">
        <v>72</v>
      </c>
    </row>
    <row r="1163" spans="1:49">
      <c r="A1163" s="4" t="s">
        <v>40</v>
      </c>
      <c r="B1163" s="4" t="str">
        <f t="shared" si="18"/>
        <v>Hair Care</v>
      </c>
      <c r="C1163" s="4" t="s">
        <v>1786</v>
      </c>
      <c r="D1163" s="4" t="s">
        <v>579</v>
      </c>
      <c r="E1163" s="24" t="s">
        <v>125</v>
      </c>
      <c r="F1163" s="12" t="s">
        <v>166</v>
      </c>
      <c r="G1163" s="4" t="s">
        <v>1787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36</v>
      </c>
      <c r="AK1163" s="3">
        <v>192</v>
      </c>
      <c r="AL1163" s="3">
        <v>24</v>
      </c>
      <c r="AM1163" s="3">
        <v>24</v>
      </c>
      <c r="AN1163" s="3">
        <v>72</v>
      </c>
      <c r="AO1163" s="3">
        <v>24</v>
      </c>
      <c r="AP1163" s="3">
        <v>12</v>
      </c>
      <c r="AQ1163" s="3">
        <v>156</v>
      </c>
      <c r="AR1163" s="3">
        <v>96</v>
      </c>
      <c r="AS1163" s="3">
        <v>120</v>
      </c>
      <c r="AT1163" s="3">
        <v>84</v>
      </c>
      <c r="AU1163" s="3">
        <v>72</v>
      </c>
      <c r="AV1163" s="3">
        <v>1980</v>
      </c>
      <c r="AW1163" s="3">
        <v>0</v>
      </c>
    </row>
    <row r="1164" spans="1:49">
      <c r="A1164" s="4" t="s">
        <v>40</v>
      </c>
      <c r="B1164" s="4" t="str">
        <f t="shared" si="18"/>
        <v>Hair Care</v>
      </c>
      <c r="C1164" s="4" t="s">
        <v>1786</v>
      </c>
      <c r="D1164" s="4" t="s">
        <v>579</v>
      </c>
      <c r="E1164" s="24" t="s">
        <v>125</v>
      </c>
      <c r="F1164" s="12" t="s">
        <v>167</v>
      </c>
      <c r="G1164" s="4" t="s">
        <v>1787</v>
      </c>
      <c r="H1164" s="3">
        <v>360</v>
      </c>
      <c r="I1164" s="3">
        <v>144</v>
      </c>
      <c r="J1164" s="3">
        <v>132</v>
      </c>
      <c r="K1164" s="3">
        <v>216</v>
      </c>
      <c r="L1164" s="3">
        <v>252</v>
      </c>
      <c r="M1164" s="3">
        <v>216</v>
      </c>
      <c r="N1164" s="3">
        <v>60</v>
      </c>
      <c r="O1164" s="3">
        <v>156</v>
      </c>
      <c r="P1164" s="3">
        <v>912</v>
      </c>
      <c r="Q1164" s="3">
        <v>12</v>
      </c>
      <c r="R1164" s="3">
        <v>336</v>
      </c>
      <c r="S1164" s="3">
        <v>24</v>
      </c>
      <c r="T1164" s="3">
        <v>84</v>
      </c>
      <c r="U1164" s="3">
        <v>60</v>
      </c>
      <c r="V1164" s="3">
        <v>132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</row>
    <row r="1165" spans="1:49">
      <c r="A1165" s="4" t="s">
        <v>40</v>
      </c>
      <c r="B1165" s="4" t="str">
        <f t="shared" si="18"/>
        <v>Hair Care</v>
      </c>
      <c r="C1165" s="4" t="s">
        <v>1786</v>
      </c>
      <c r="D1165" s="4" t="s">
        <v>579</v>
      </c>
      <c r="E1165" s="24" t="s">
        <v>125</v>
      </c>
      <c r="F1165" s="12" t="s">
        <v>168</v>
      </c>
      <c r="G1165" s="4" t="s">
        <v>1787</v>
      </c>
      <c r="H1165" s="3">
        <v>108</v>
      </c>
      <c r="I1165" s="3">
        <v>60</v>
      </c>
      <c r="J1165" s="3">
        <v>36</v>
      </c>
      <c r="K1165" s="3">
        <v>36</v>
      </c>
      <c r="L1165" s="3">
        <v>36</v>
      </c>
      <c r="M1165" s="3">
        <v>24</v>
      </c>
      <c r="N1165" s="3">
        <v>24</v>
      </c>
      <c r="O1165" s="3">
        <v>12</v>
      </c>
      <c r="P1165" s="3">
        <v>0</v>
      </c>
      <c r="Q1165" s="3">
        <v>24</v>
      </c>
      <c r="R1165" s="3">
        <v>144</v>
      </c>
      <c r="S1165" s="3">
        <v>0</v>
      </c>
      <c r="T1165" s="3">
        <v>12</v>
      </c>
      <c r="U1165" s="3">
        <v>12</v>
      </c>
      <c r="V1165" s="3">
        <v>0</v>
      </c>
      <c r="W1165" s="3">
        <v>12</v>
      </c>
      <c r="X1165" s="3">
        <v>84</v>
      </c>
      <c r="Y1165" s="3">
        <v>24</v>
      </c>
      <c r="Z1165" s="3">
        <v>0</v>
      </c>
      <c r="AA1165" s="3">
        <v>0</v>
      </c>
      <c r="AB1165" s="3">
        <v>12</v>
      </c>
      <c r="AC1165" s="3">
        <v>12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</row>
    <row r="1166" spans="1:49">
      <c r="A1166" s="4" t="s">
        <v>40</v>
      </c>
      <c r="B1166" s="4" t="str">
        <f t="shared" si="18"/>
        <v>Hair Care</v>
      </c>
      <c r="C1166" s="4" t="s">
        <v>1786</v>
      </c>
      <c r="D1166" s="4" t="s">
        <v>579</v>
      </c>
      <c r="E1166" s="24" t="s">
        <v>125</v>
      </c>
      <c r="F1166" s="12" t="s">
        <v>169</v>
      </c>
      <c r="G1166" s="4" t="s">
        <v>1787</v>
      </c>
      <c r="H1166" s="3">
        <v>288</v>
      </c>
      <c r="I1166" s="3">
        <v>3834</v>
      </c>
      <c r="J1166" s="3">
        <v>2046</v>
      </c>
      <c r="K1166" s="3">
        <v>2520</v>
      </c>
      <c r="L1166" s="3">
        <v>2790</v>
      </c>
      <c r="M1166" s="3">
        <v>1386</v>
      </c>
      <c r="N1166" s="3">
        <v>1866</v>
      </c>
      <c r="O1166" s="3">
        <v>192</v>
      </c>
      <c r="P1166" s="3">
        <v>714</v>
      </c>
      <c r="Q1166" s="3">
        <v>2160</v>
      </c>
      <c r="R1166" s="3">
        <v>66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</row>
    <row r="1167" spans="1:49">
      <c r="A1167" s="4" t="s">
        <v>40</v>
      </c>
      <c r="B1167" s="4" t="str">
        <f t="shared" si="18"/>
        <v>Hair Care</v>
      </c>
      <c r="C1167" s="4" t="s">
        <v>1786</v>
      </c>
      <c r="D1167" s="4" t="s">
        <v>579</v>
      </c>
      <c r="E1167" s="24" t="s">
        <v>125</v>
      </c>
      <c r="F1167" s="12" t="s">
        <v>170</v>
      </c>
      <c r="G1167" s="4" t="s">
        <v>1787</v>
      </c>
      <c r="H1167" s="3">
        <v>174</v>
      </c>
      <c r="I1167" s="3">
        <v>30</v>
      </c>
      <c r="J1167" s="3">
        <v>159</v>
      </c>
      <c r="K1167" s="3">
        <v>78</v>
      </c>
      <c r="L1167" s="3">
        <v>102</v>
      </c>
      <c r="M1167" s="3">
        <v>84</v>
      </c>
      <c r="N1167" s="3">
        <v>51</v>
      </c>
      <c r="O1167" s="3">
        <v>177</v>
      </c>
      <c r="P1167" s="3">
        <v>36</v>
      </c>
      <c r="Q1167" s="3">
        <v>51</v>
      </c>
      <c r="R1167" s="3">
        <v>150</v>
      </c>
      <c r="S1167" s="3">
        <v>357</v>
      </c>
      <c r="T1167" s="3">
        <v>138</v>
      </c>
      <c r="U1167" s="3">
        <v>0</v>
      </c>
      <c r="V1167" s="3">
        <v>141</v>
      </c>
      <c r="W1167" s="3">
        <v>27</v>
      </c>
      <c r="X1167" s="3">
        <v>66</v>
      </c>
      <c r="Y1167" s="3">
        <v>141</v>
      </c>
      <c r="Z1167" s="3">
        <v>3</v>
      </c>
      <c r="AA1167" s="3">
        <v>30</v>
      </c>
      <c r="AB1167" s="3">
        <v>42</v>
      </c>
      <c r="AC1167" s="3">
        <v>15</v>
      </c>
      <c r="AD1167" s="3">
        <v>12</v>
      </c>
      <c r="AE1167" s="3">
        <v>39</v>
      </c>
      <c r="AF1167" s="3">
        <v>0</v>
      </c>
      <c r="AG1167" s="3">
        <v>0</v>
      </c>
      <c r="AH1167" s="3">
        <v>0</v>
      </c>
      <c r="AI1167" s="3">
        <v>114</v>
      </c>
      <c r="AJ1167" s="3">
        <v>15</v>
      </c>
      <c r="AK1167" s="3">
        <v>69</v>
      </c>
      <c r="AL1167" s="3">
        <v>39</v>
      </c>
      <c r="AM1167" s="3">
        <v>3</v>
      </c>
      <c r="AN1167" s="3">
        <v>30</v>
      </c>
      <c r="AO1167" s="3">
        <v>42</v>
      </c>
      <c r="AP1167" s="3">
        <v>54</v>
      </c>
      <c r="AQ1167" s="3">
        <v>93</v>
      </c>
      <c r="AR1167" s="3">
        <v>72</v>
      </c>
      <c r="AS1167" s="3">
        <v>60</v>
      </c>
      <c r="AT1167" s="3">
        <v>0</v>
      </c>
      <c r="AU1167" s="3">
        <v>39</v>
      </c>
      <c r="AV1167" s="3">
        <v>111</v>
      </c>
      <c r="AW1167" s="3">
        <v>12</v>
      </c>
    </row>
    <row r="1168" spans="1:49">
      <c r="A1168" s="4" t="s">
        <v>40</v>
      </c>
      <c r="B1168" s="4" t="str">
        <f t="shared" si="18"/>
        <v>Hair Care</v>
      </c>
      <c r="C1168" s="4" t="s">
        <v>1786</v>
      </c>
      <c r="D1168" s="4" t="s">
        <v>579</v>
      </c>
      <c r="E1168" s="24" t="s">
        <v>125</v>
      </c>
      <c r="F1168" s="12" t="s">
        <v>171</v>
      </c>
      <c r="G1168" s="4" t="s">
        <v>1787</v>
      </c>
      <c r="H1168" s="3">
        <v>0</v>
      </c>
      <c r="I1168" s="3">
        <v>924</v>
      </c>
      <c r="J1168" s="3">
        <v>888</v>
      </c>
      <c r="K1168" s="3">
        <v>2184</v>
      </c>
      <c r="L1168" s="3">
        <v>468</v>
      </c>
      <c r="M1168" s="3">
        <v>630</v>
      </c>
      <c r="N1168" s="3">
        <v>672</v>
      </c>
      <c r="O1168" s="3">
        <v>360</v>
      </c>
      <c r="P1168" s="3">
        <v>336</v>
      </c>
      <c r="Q1168" s="3">
        <v>456</v>
      </c>
      <c r="R1168" s="3">
        <v>720</v>
      </c>
      <c r="S1168" s="3">
        <v>534</v>
      </c>
      <c r="T1168" s="3">
        <v>780</v>
      </c>
      <c r="U1168" s="3">
        <v>450</v>
      </c>
      <c r="V1168" s="3">
        <v>636</v>
      </c>
      <c r="W1168" s="3">
        <v>696</v>
      </c>
      <c r="X1168" s="3">
        <v>1116</v>
      </c>
      <c r="Y1168" s="3">
        <v>186</v>
      </c>
      <c r="Z1168" s="3">
        <v>276</v>
      </c>
      <c r="AA1168" s="3">
        <v>660</v>
      </c>
      <c r="AB1168" s="3">
        <v>774</v>
      </c>
      <c r="AC1168" s="3">
        <v>162</v>
      </c>
      <c r="AD1168" s="3">
        <v>642</v>
      </c>
      <c r="AE1168" s="3">
        <v>774</v>
      </c>
      <c r="AF1168" s="3">
        <v>1656</v>
      </c>
      <c r="AG1168" s="3">
        <v>1530</v>
      </c>
      <c r="AH1168" s="3">
        <v>1554</v>
      </c>
      <c r="AI1168" s="3">
        <v>660</v>
      </c>
      <c r="AJ1168" s="3">
        <v>1308</v>
      </c>
      <c r="AK1168" s="3">
        <v>96</v>
      </c>
      <c r="AL1168" s="3">
        <v>1314</v>
      </c>
      <c r="AM1168" s="3">
        <v>318</v>
      </c>
      <c r="AN1168" s="3">
        <v>1182</v>
      </c>
      <c r="AO1168" s="3">
        <v>12</v>
      </c>
      <c r="AP1168" s="3">
        <v>942</v>
      </c>
      <c r="AQ1168" s="3">
        <v>-12</v>
      </c>
      <c r="AR1168" s="3">
        <v>924</v>
      </c>
      <c r="AS1168" s="3">
        <v>492</v>
      </c>
      <c r="AT1168" s="3">
        <v>984</v>
      </c>
      <c r="AU1168" s="3">
        <v>408</v>
      </c>
      <c r="AV1168" s="3">
        <v>834</v>
      </c>
      <c r="AW1168" s="3">
        <v>1710</v>
      </c>
    </row>
    <row r="1169" spans="1:49">
      <c r="A1169" s="4" t="s">
        <v>40</v>
      </c>
      <c r="B1169" s="4" t="str">
        <f t="shared" si="18"/>
        <v>Hair Care</v>
      </c>
      <c r="C1169" s="4" t="s">
        <v>1786</v>
      </c>
      <c r="D1169" s="4" t="s">
        <v>579</v>
      </c>
      <c r="E1169" s="24" t="s">
        <v>125</v>
      </c>
      <c r="F1169" s="12" t="s">
        <v>172</v>
      </c>
      <c r="G1169" s="4" t="s">
        <v>1787</v>
      </c>
      <c r="H1169" s="3">
        <v>960</v>
      </c>
      <c r="I1169" s="3">
        <v>2010</v>
      </c>
      <c r="J1169" s="3">
        <v>12</v>
      </c>
      <c r="K1169" s="3">
        <v>0</v>
      </c>
      <c r="L1169" s="3">
        <v>1962</v>
      </c>
      <c r="M1169" s="3">
        <v>1578</v>
      </c>
      <c r="N1169" s="3">
        <v>522</v>
      </c>
      <c r="O1169" s="3">
        <v>198</v>
      </c>
      <c r="P1169" s="3">
        <v>294</v>
      </c>
      <c r="Q1169" s="3">
        <v>684</v>
      </c>
      <c r="R1169" s="3">
        <v>534</v>
      </c>
      <c r="S1169" s="3">
        <v>348</v>
      </c>
      <c r="T1169" s="3">
        <v>624</v>
      </c>
      <c r="U1169" s="3">
        <v>630</v>
      </c>
      <c r="V1169" s="3">
        <v>474</v>
      </c>
      <c r="W1169" s="3">
        <v>762</v>
      </c>
      <c r="X1169" s="3">
        <v>684</v>
      </c>
      <c r="Y1169" s="3">
        <v>234</v>
      </c>
      <c r="Z1169" s="3">
        <v>348</v>
      </c>
      <c r="AA1169" s="3">
        <v>786</v>
      </c>
      <c r="AB1169" s="3">
        <v>846</v>
      </c>
      <c r="AC1169" s="3">
        <v>150</v>
      </c>
      <c r="AD1169" s="3">
        <v>528</v>
      </c>
      <c r="AE1169" s="3">
        <v>516</v>
      </c>
      <c r="AF1169" s="3">
        <v>1380</v>
      </c>
      <c r="AG1169" s="3">
        <v>1728</v>
      </c>
      <c r="AH1169" s="3">
        <v>1536</v>
      </c>
      <c r="AI1169" s="3">
        <v>540</v>
      </c>
      <c r="AJ1169" s="3">
        <v>1416</v>
      </c>
      <c r="AK1169" s="3">
        <v>24</v>
      </c>
      <c r="AL1169" s="3">
        <v>750</v>
      </c>
      <c r="AM1169" s="3">
        <v>300</v>
      </c>
      <c r="AN1169" s="3">
        <v>396</v>
      </c>
      <c r="AO1169" s="3">
        <v>2790</v>
      </c>
      <c r="AP1169" s="3">
        <v>24</v>
      </c>
      <c r="AQ1169" s="3">
        <v>834</v>
      </c>
      <c r="AR1169" s="3">
        <v>564</v>
      </c>
      <c r="AS1169" s="3">
        <v>552</v>
      </c>
      <c r="AT1169" s="3">
        <v>330</v>
      </c>
      <c r="AU1169" s="3">
        <v>570</v>
      </c>
      <c r="AV1169" s="3">
        <v>372</v>
      </c>
      <c r="AW1169" s="3">
        <v>684</v>
      </c>
    </row>
    <row r="1170" spans="1:49">
      <c r="A1170" s="4" t="s">
        <v>40</v>
      </c>
      <c r="B1170" s="4" t="str">
        <f t="shared" si="18"/>
        <v>Hair Care</v>
      </c>
      <c r="C1170" s="4" t="s">
        <v>1786</v>
      </c>
      <c r="D1170" s="4" t="s">
        <v>579</v>
      </c>
      <c r="E1170" s="24" t="s">
        <v>125</v>
      </c>
      <c r="F1170" s="12" t="s">
        <v>173</v>
      </c>
      <c r="G1170" s="4" t="s">
        <v>1787</v>
      </c>
      <c r="H1170" s="3">
        <v>426</v>
      </c>
      <c r="I1170" s="3">
        <v>876</v>
      </c>
      <c r="J1170" s="3">
        <v>270</v>
      </c>
      <c r="K1170" s="3">
        <v>2298</v>
      </c>
      <c r="L1170" s="3">
        <v>456</v>
      </c>
      <c r="M1170" s="3">
        <v>12</v>
      </c>
      <c r="N1170" s="3">
        <v>204</v>
      </c>
      <c r="O1170" s="3">
        <v>84</v>
      </c>
      <c r="P1170" s="3">
        <v>342</v>
      </c>
      <c r="Q1170" s="3">
        <v>78</v>
      </c>
      <c r="R1170" s="3">
        <v>258</v>
      </c>
      <c r="S1170" s="3">
        <v>72</v>
      </c>
      <c r="T1170" s="3">
        <v>198</v>
      </c>
      <c r="U1170" s="3">
        <v>318</v>
      </c>
      <c r="V1170" s="3">
        <v>144</v>
      </c>
      <c r="W1170" s="3">
        <v>882</v>
      </c>
      <c r="X1170" s="3">
        <v>234</v>
      </c>
      <c r="Y1170" s="3">
        <v>42</v>
      </c>
      <c r="Z1170" s="3">
        <v>42</v>
      </c>
      <c r="AA1170" s="3">
        <v>198</v>
      </c>
      <c r="AB1170" s="3">
        <v>384</v>
      </c>
      <c r="AC1170" s="3">
        <v>30</v>
      </c>
      <c r="AD1170" s="3">
        <v>474</v>
      </c>
      <c r="AE1170" s="3">
        <v>96</v>
      </c>
      <c r="AF1170" s="3">
        <v>816</v>
      </c>
      <c r="AG1170" s="3">
        <v>672</v>
      </c>
      <c r="AH1170" s="3">
        <v>648</v>
      </c>
      <c r="AI1170" s="3">
        <v>336</v>
      </c>
      <c r="AJ1170" s="3">
        <v>330</v>
      </c>
      <c r="AK1170" s="3">
        <v>1548</v>
      </c>
      <c r="AL1170" s="3">
        <v>12</v>
      </c>
      <c r="AM1170" s="3">
        <v>24</v>
      </c>
      <c r="AN1170" s="3">
        <v>24</v>
      </c>
      <c r="AO1170" s="3">
        <v>12</v>
      </c>
      <c r="AP1170" s="3">
        <v>0</v>
      </c>
      <c r="AQ1170" s="3">
        <v>24</v>
      </c>
      <c r="AR1170" s="3">
        <v>0</v>
      </c>
      <c r="AS1170" s="3">
        <v>12</v>
      </c>
      <c r="AT1170" s="3">
        <v>0</v>
      </c>
      <c r="AU1170" s="3">
        <v>12</v>
      </c>
      <c r="AV1170" s="3">
        <v>1932</v>
      </c>
      <c r="AW1170" s="3">
        <v>0</v>
      </c>
    </row>
    <row r="1171" spans="1:49">
      <c r="A1171" s="4" t="s">
        <v>40</v>
      </c>
      <c r="B1171" s="4" t="str">
        <f t="shared" si="18"/>
        <v>Hair Care</v>
      </c>
      <c r="C1171" s="4" t="s">
        <v>1786</v>
      </c>
      <c r="D1171" s="4" t="s">
        <v>579</v>
      </c>
      <c r="E1171" s="24" t="s">
        <v>125</v>
      </c>
      <c r="F1171" s="12" t="s">
        <v>174</v>
      </c>
      <c r="G1171" s="4" t="s">
        <v>1787</v>
      </c>
      <c r="H1171" s="3">
        <v>462</v>
      </c>
      <c r="I1171" s="3">
        <v>1380</v>
      </c>
      <c r="J1171" s="3">
        <v>48</v>
      </c>
      <c r="K1171" s="3">
        <v>36</v>
      </c>
      <c r="L1171" s="3">
        <v>12</v>
      </c>
      <c r="M1171" s="3">
        <v>24</v>
      </c>
      <c r="N1171" s="3">
        <v>84</v>
      </c>
      <c r="O1171" s="3">
        <v>36</v>
      </c>
      <c r="P1171" s="3">
        <v>0</v>
      </c>
      <c r="Q1171" s="3">
        <v>0</v>
      </c>
      <c r="R1171" s="3">
        <v>36</v>
      </c>
      <c r="S1171" s="3">
        <v>12</v>
      </c>
      <c r="T1171" s="3">
        <v>48</v>
      </c>
      <c r="U1171" s="3">
        <v>24</v>
      </c>
      <c r="V1171" s="3">
        <v>12</v>
      </c>
      <c r="W1171" s="3">
        <v>36</v>
      </c>
      <c r="X1171" s="3">
        <v>12</v>
      </c>
      <c r="Y1171" s="3">
        <v>12</v>
      </c>
      <c r="Z1171" s="3">
        <v>12</v>
      </c>
      <c r="AA1171" s="3">
        <v>0</v>
      </c>
      <c r="AB1171" s="3">
        <v>24</v>
      </c>
      <c r="AC1171" s="3">
        <v>12</v>
      </c>
      <c r="AD1171" s="3">
        <v>0</v>
      </c>
      <c r="AE1171" s="3">
        <v>0</v>
      </c>
      <c r="AF1171" s="3">
        <v>24</v>
      </c>
      <c r="AG1171" s="3">
        <v>0</v>
      </c>
      <c r="AH1171" s="3">
        <v>72</v>
      </c>
      <c r="AI1171" s="3">
        <v>60</v>
      </c>
      <c r="AJ1171" s="3">
        <v>120</v>
      </c>
      <c r="AK1171" s="3">
        <v>180</v>
      </c>
      <c r="AL1171" s="3">
        <v>12</v>
      </c>
      <c r="AM1171" s="3">
        <v>720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</row>
    <row r="1172" spans="1:49">
      <c r="A1172" s="4" t="s">
        <v>40</v>
      </c>
      <c r="B1172" s="4" t="str">
        <f t="shared" si="18"/>
        <v>Hair Care</v>
      </c>
      <c r="C1172" s="4" t="s">
        <v>1786</v>
      </c>
      <c r="D1172" s="4" t="s">
        <v>579</v>
      </c>
      <c r="E1172" s="24" t="s">
        <v>125</v>
      </c>
      <c r="F1172" s="12" t="s">
        <v>175</v>
      </c>
      <c r="G1172" s="4" t="s">
        <v>1787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1032</v>
      </c>
      <c r="S1172" s="3">
        <v>564</v>
      </c>
      <c r="T1172" s="3">
        <v>408</v>
      </c>
      <c r="U1172" s="3">
        <v>576</v>
      </c>
      <c r="V1172" s="3">
        <v>144</v>
      </c>
      <c r="W1172" s="3">
        <v>84</v>
      </c>
      <c r="X1172" s="3">
        <v>204</v>
      </c>
      <c r="Y1172" s="3">
        <v>336</v>
      </c>
      <c r="Z1172" s="3">
        <v>48</v>
      </c>
      <c r="AA1172" s="3">
        <v>36</v>
      </c>
      <c r="AB1172" s="3">
        <v>168</v>
      </c>
      <c r="AC1172" s="3">
        <v>12</v>
      </c>
      <c r="AD1172" s="3">
        <v>36</v>
      </c>
      <c r="AE1172" s="3">
        <v>36</v>
      </c>
      <c r="AF1172" s="3">
        <v>48</v>
      </c>
      <c r="AG1172" s="3">
        <v>48</v>
      </c>
      <c r="AH1172" s="3">
        <v>540</v>
      </c>
      <c r="AI1172" s="3">
        <v>84</v>
      </c>
      <c r="AJ1172" s="3">
        <v>-24</v>
      </c>
      <c r="AK1172" s="3">
        <v>84</v>
      </c>
      <c r="AL1172" s="3">
        <v>24</v>
      </c>
      <c r="AM1172" s="3">
        <v>0</v>
      </c>
      <c r="AN1172" s="3">
        <v>48</v>
      </c>
      <c r="AO1172" s="3">
        <v>24</v>
      </c>
      <c r="AP1172" s="3">
        <v>180</v>
      </c>
      <c r="AQ1172" s="3">
        <v>24</v>
      </c>
      <c r="AR1172" s="3">
        <v>84</v>
      </c>
      <c r="AS1172" s="3">
        <v>-24</v>
      </c>
      <c r="AT1172" s="3">
        <v>48</v>
      </c>
      <c r="AU1172" s="3">
        <v>12</v>
      </c>
      <c r="AV1172" s="3">
        <v>84</v>
      </c>
      <c r="AW1172" s="3">
        <v>144</v>
      </c>
    </row>
    <row r="1173" spans="1:49">
      <c r="A1173" s="4" t="s">
        <v>40</v>
      </c>
      <c r="B1173" s="4" t="str">
        <f t="shared" si="18"/>
        <v>Hair Care</v>
      </c>
      <c r="C1173" s="4" t="s">
        <v>1786</v>
      </c>
      <c r="D1173" s="4" t="s">
        <v>579</v>
      </c>
      <c r="E1173" s="24" t="s">
        <v>125</v>
      </c>
      <c r="F1173" s="12" t="s">
        <v>176</v>
      </c>
      <c r="G1173" s="4" t="s">
        <v>1787</v>
      </c>
      <c r="H1173" s="3">
        <v>1086</v>
      </c>
      <c r="I1173" s="3">
        <v>2610</v>
      </c>
      <c r="J1173" s="3">
        <v>432</v>
      </c>
      <c r="K1173" s="3">
        <v>12</v>
      </c>
      <c r="L1173" s="3">
        <v>60</v>
      </c>
      <c r="M1173" s="3">
        <v>0</v>
      </c>
      <c r="N1173" s="3">
        <v>12</v>
      </c>
      <c r="O1173" s="3">
        <v>24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12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</row>
    <row r="1174" spans="1:49">
      <c r="A1174" s="4" t="s">
        <v>40</v>
      </c>
      <c r="B1174" s="4" t="str">
        <f t="shared" si="18"/>
        <v>Hair Care</v>
      </c>
      <c r="C1174" s="4" t="s">
        <v>1786</v>
      </c>
      <c r="D1174" s="4" t="s">
        <v>579</v>
      </c>
      <c r="E1174" s="24" t="s">
        <v>125</v>
      </c>
      <c r="F1174" s="12" t="s">
        <v>177</v>
      </c>
      <c r="G1174" s="4" t="s">
        <v>1787</v>
      </c>
      <c r="H1174" s="3">
        <v>978</v>
      </c>
      <c r="I1174" s="3">
        <v>2706</v>
      </c>
      <c r="J1174" s="3">
        <v>1356</v>
      </c>
      <c r="K1174" s="3">
        <v>846</v>
      </c>
      <c r="L1174" s="3">
        <v>2832</v>
      </c>
      <c r="M1174" s="3">
        <v>264</v>
      </c>
      <c r="N1174" s="3">
        <v>864</v>
      </c>
      <c r="O1174" s="3">
        <v>456</v>
      </c>
      <c r="P1174" s="3">
        <v>1206</v>
      </c>
      <c r="Q1174" s="3">
        <v>1074</v>
      </c>
      <c r="R1174" s="3">
        <v>264</v>
      </c>
      <c r="S1174" s="3">
        <v>180</v>
      </c>
      <c r="T1174" s="3">
        <v>1680</v>
      </c>
      <c r="U1174" s="3">
        <v>1188</v>
      </c>
      <c r="V1174" s="3">
        <v>966</v>
      </c>
      <c r="W1174" s="3">
        <v>300</v>
      </c>
      <c r="X1174" s="3">
        <v>336</v>
      </c>
      <c r="Y1174" s="3">
        <v>78</v>
      </c>
      <c r="Z1174" s="3">
        <v>444</v>
      </c>
      <c r="AA1174" s="3">
        <v>444</v>
      </c>
      <c r="AB1174" s="3">
        <v>522</v>
      </c>
      <c r="AC1174" s="3">
        <v>120</v>
      </c>
      <c r="AD1174" s="3">
        <v>48</v>
      </c>
      <c r="AE1174" s="3">
        <v>342</v>
      </c>
      <c r="AF1174" s="3">
        <v>366</v>
      </c>
      <c r="AG1174" s="3">
        <v>918</v>
      </c>
      <c r="AH1174" s="3">
        <v>1608</v>
      </c>
      <c r="AI1174" s="3">
        <v>624</v>
      </c>
      <c r="AJ1174" s="3">
        <v>12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</row>
    <row r="1175" spans="1:49">
      <c r="A1175" s="4" t="s">
        <v>40</v>
      </c>
      <c r="B1175" s="4" t="str">
        <f t="shared" si="18"/>
        <v>Hair Care</v>
      </c>
      <c r="C1175" s="4" t="s">
        <v>1786</v>
      </c>
      <c r="D1175" s="4" t="s">
        <v>579</v>
      </c>
      <c r="E1175" s="24" t="s">
        <v>125</v>
      </c>
      <c r="F1175" s="12" t="s">
        <v>178</v>
      </c>
      <c r="G1175" s="4" t="s">
        <v>1787</v>
      </c>
      <c r="H1175" s="3">
        <v>142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</row>
    <row r="1176" spans="1:49">
      <c r="A1176" s="4" t="s">
        <v>40</v>
      </c>
      <c r="B1176" s="4" t="str">
        <f t="shared" si="18"/>
        <v>Hair Care</v>
      </c>
      <c r="C1176" s="4" t="s">
        <v>1786</v>
      </c>
      <c r="D1176" s="4" t="s">
        <v>579</v>
      </c>
      <c r="E1176" s="24" t="s">
        <v>125</v>
      </c>
      <c r="F1176" s="12" t="s">
        <v>179</v>
      </c>
      <c r="G1176" s="4" t="s">
        <v>1787</v>
      </c>
      <c r="H1176" s="3">
        <v>336</v>
      </c>
      <c r="I1176" s="3">
        <v>156</v>
      </c>
      <c r="J1176" s="3">
        <v>84</v>
      </c>
      <c r="K1176" s="3">
        <v>0</v>
      </c>
      <c r="L1176" s="3">
        <v>132</v>
      </c>
      <c r="M1176" s="3">
        <v>84</v>
      </c>
      <c r="N1176" s="3">
        <v>72</v>
      </c>
      <c r="O1176" s="3">
        <v>108</v>
      </c>
      <c r="P1176" s="3">
        <v>588</v>
      </c>
      <c r="Q1176" s="3">
        <v>0</v>
      </c>
      <c r="R1176" s="3">
        <v>144</v>
      </c>
      <c r="S1176" s="3">
        <v>24</v>
      </c>
      <c r="T1176" s="3">
        <v>144</v>
      </c>
      <c r="U1176" s="3">
        <v>24</v>
      </c>
      <c r="V1176" s="3">
        <v>12</v>
      </c>
      <c r="W1176" s="3">
        <v>72</v>
      </c>
      <c r="X1176" s="3">
        <v>132</v>
      </c>
      <c r="Y1176" s="3">
        <v>72</v>
      </c>
      <c r="Z1176" s="3">
        <v>-48</v>
      </c>
      <c r="AA1176" s="3">
        <v>0</v>
      </c>
      <c r="AB1176" s="3">
        <v>120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</row>
    <row r="1177" spans="1:49">
      <c r="A1177" s="4" t="s">
        <v>40</v>
      </c>
      <c r="B1177" s="4" t="str">
        <f t="shared" si="18"/>
        <v>Hair Care</v>
      </c>
      <c r="C1177" s="4" t="s">
        <v>1786</v>
      </c>
      <c r="D1177" s="4" t="s">
        <v>579</v>
      </c>
      <c r="E1177" s="24" t="s">
        <v>125</v>
      </c>
      <c r="F1177" s="12" t="s">
        <v>180</v>
      </c>
      <c r="G1177" s="4" t="s">
        <v>1787</v>
      </c>
      <c r="H1177" s="3">
        <v>132</v>
      </c>
      <c r="I1177" s="3">
        <v>231</v>
      </c>
      <c r="J1177" s="3">
        <v>33</v>
      </c>
      <c r="K1177" s="3">
        <v>111</v>
      </c>
      <c r="L1177" s="3">
        <v>39</v>
      </c>
      <c r="M1177" s="3">
        <v>42</v>
      </c>
      <c r="N1177" s="3">
        <v>21</v>
      </c>
      <c r="O1177" s="3">
        <v>93</v>
      </c>
      <c r="P1177" s="3">
        <v>39</v>
      </c>
      <c r="Q1177" s="3">
        <v>54</v>
      </c>
      <c r="R1177" s="3">
        <v>30</v>
      </c>
      <c r="S1177" s="3">
        <v>90</v>
      </c>
      <c r="T1177" s="3">
        <v>36</v>
      </c>
      <c r="U1177" s="3">
        <v>219</v>
      </c>
      <c r="V1177" s="3">
        <v>30</v>
      </c>
      <c r="W1177" s="3">
        <v>39</v>
      </c>
      <c r="X1177" s="3">
        <v>18</v>
      </c>
      <c r="Y1177" s="3">
        <v>111</v>
      </c>
      <c r="Z1177" s="3">
        <v>-9</v>
      </c>
      <c r="AA1177" s="3">
        <v>21</v>
      </c>
      <c r="AB1177" s="3">
        <v>39</v>
      </c>
      <c r="AC1177" s="3">
        <v>3</v>
      </c>
      <c r="AD1177" s="3">
        <v>18</v>
      </c>
      <c r="AE1177" s="3">
        <v>63</v>
      </c>
      <c r="AF1177" s="3">
        <v>108</v>
      </c>
      <c r="AG1177" s="3">
        <v>36</v>
      </c>
      <c r="AH1177" s="3">
        <v>111</v>
      </c>
      <c r="AI1177" s="3">
        <v>0</v>
      </c>
      <c r="AJ1177" s="3">
        <v>18</v>
      </c>
      <c r="AK1177" s="3">
        <v>15</v>
      </c>
      <c r="AL1177" s="3">
        <v>0</v>
      </c>
      <c r="AM1177" s="3">
        <v>3</v>
      </c>
      <c r="AN1177" s="3">
        <v>12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</row>
    <row r="1178" spans="1:49">
      <c r="A1178" s="4" t="s">
        <v>40</v>
      </c>
      <c r="B1178" s="4" t="str">
        <f t="shared" si="18"/>
        <v>Hair Care</v>
      </c>
      <c r="C1178" s="4" t="s">
        <v>1786</v>
      </c>
      <c r="D1178" s="4" t="s">
        <v>579</v>
      </c>
      <c r="E1178" s="24" t="s">
        <v>125</v>
      </c>
      <c r="F1178" s="12" t="s">
        <v>181</v>
      </c>
      <c r="G1178" s="4" t="s">
        <v>1787</v>
      </c>
      <c r="H1178" s="3">
        <v>1434</v>
      </c>
      <c r="I1178" s="3">
        <v>1002</v>
      </c>
      <c r="J1178" s="3">
        <v>930</v>
      </c>
      <c r="K1178" s="3">
        <v>1014</v>
      </c>
      <c r="L1178" s="3">
        <v>1242</v>
      </c>
      <c r="M1178" s="3">
        <v>1968</v>
      </c>
      <c r="N1178" s="3">
        <v>1308</v>
      </c>
      <c r="O1178" s="3">
        <v>414</v>
      </c>
      <c r="P1178" s="3">
        <v>1062</v>
      </c>
      <c r="Q1178" s="3">
        <v>1314</v>
      </c>
      <c r="R1178" s="3">
        <v>288</v>
      </c>
      <c r="S1178" s="3">
        <v>192</v>
      </c>
      <c r="T1178" s="3">
        <v>2694</v>
      </c>
      <c r="U1178" s="3">
        <v>1368</v>
      </c>
      <c r="V1178" s="3">
        <v>2082</v>
      </c>
      <c r="W1178" s="3">
        <v>420</v>
      </c>
      <c r="X1178" s="3">
        <v>1392</v>
      </c>
      <c r="Y1178" s="3">
        <v>306</v>
      </c>
      <c r="Z1178" s="3">
        <v>1944</v>
      </c>
      <c r="AA1178" s="3">
        <v>330</v>
      </c>
      <c r="AB1178" s="3">
        <v>504</v>
      </c>
      <c r="AC1178" s="3">
        <v>90</v>
      </c>
      <c r="AD1178" s="3">
        <v>1404</v>
      </c>
      <c r="AE1178" s="3">
        <v>1416</v>
      </c>
      <c r="AF1178" s="3">
        <v>144</v>
      </c>
      <c r="AG1178" s="3">
        <v>288</v>
      </c>
      <c r="AH1178" s="3">
        <v>1530</v>
      </c>
      <c r="AI1178" s="3">
        <v>2322</v>
      </c>
      <c r="AJ1178" s="3">
        <v>1050</v>
      </c>
      <c r="AK1178" s="3">
        <v>72</v>
      </c>
      <c r="AL1178" s="3">
        <v>24</v>
      </c>
      <c r="AM1178" s="3">
        <v>312</v>
      </c>
      <c r="AN1178" s="3">
        <v>240</v>
      </c>
      <c r="AO1178" s="3">
        <v>12</v>
      </c>
      <c r="AP1178" s="3">
        <v>24</v>
      </c>
      <c r="AQ1178" s="3">
        <v>72</v>
      </c>
      <c r="AR1178" s="3">
        <v>72</v>
      </c>
      <c r="AS1178" s="3">
        <v>108</v>
      </c>
      <c r="AT1178" s="3">
        <v>48</v>
      </c>
      <c r="AU1178" s="3">
        <v>0</v>
      </c>
      <c r="AV1178" s="3">
        <v>0</v>
      </c>
      <c r="AW1178" s="3">
        <v>0</v>
      </c>
    </row>
    <row r="1179" spans="1:49">
      <c r="A1179" s="4" t="s">
        <v>40</v>
      </c>
      <c r="B1179" s="4" t="str">
        <f t="shared" si="18"/>
        <v>Hair Care</v>
      </c>
      <c r="C1179" s="4" t="s">
        <v>1786</v>
      </c>
      <c r="D1179" s="4" t="s">
        <v>579</v>
      </c>
      <c r="E1179" s="24" t="s">
        <v>125</v>
      </c>
      <c r="F1179" s="12" t="s">
        <v>182</v>
      </c>
      <c r="G1179" s="4" t="s">
        <v>1787</v>
      </c>
      <c r="H1179" s="3">
        <v>228</v>
      </c>
      <c r="I1179" s="3">
        <v>264</v>
      </c>
      <c r="J1179" s="3">
        <v>204</v>
      </c>
      <c r="K1179" s="3">
        <v>0</v>
      </c>
      <c r="L1179" s="3">
        <v>132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</row>
    <row r="1180" spans="1:49">
      <c r="A1180" s="4" t="s">
        <v>40</v>
      </c>
      <c r="B1180" s="4" t="str">
        <f t="shared" si="18"/>
        <v>Hair Care</v>
      </c>
      <c r="C1180" s="4" t="s">
        <v>1786</v>
      </c>
      <c r="D1180" s="4" t="s">
        <v>579</v>
      </c>
      <c r="E1180" s="24" t="s">
        <v>125</v>
      </c>
      <c r="F1180" s="12" t="s">
        <v>183</v>
      </c>
      <c r="G1180" s="4" t="s">
        <v>1787</v>
      </c>
      <c r="H1180" s="3">
        <v>828</v>
      </c>
      <c r="I1180" s="3">
        <v>60</v>
      </c>
      <c r="J1180" s="3">
        <v>36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</row>
    <row r="1181" spans="1:49">
      <c r="A1181" s="4" t="s">
        <v>40</v>
      </c>
      <c r="B1181" s="4" t="str">
        <f t="shared" si="18"/>
        <v>Hair Care</v>
      </c>
      <c r="C1181" s="4" t="s">
        <v>1786</v>
      </c>
      <c r="D1181" s="4" t="s">
        <v>579</v>
      </c>
      <c r="E1181" s="24" t="s">
        <v>125</v>
      </c>
      <c r="F1181" s="12" t="s">
        <v>184</v>
      </c>
      <c r="G1181" s="4" t="s">
        <v>1787</v>
      </c>
      <c r="H1181" s="3">
        <v>60</v>
      </c>
      <c r="I1181" s="3">
        <v>120</v>
      </c>
      <c r="J1181" s="3">
        <v>12</v>
      </c>
      <c r="K1181" s="3">
        <v>0</v>
      </c>
      <c r="L1181" s="3">
        <v>24</v>
      </c>
      <c r="M1181" s="3">
        <v>12</v>
      </c>
      <c r="N1181" s="3">
        <v>48</v>
      </c>
      <c r="O1181" s="3">
        <v>0</v>
      </c>
      <c r="P1181" s="3">
        <v>24</v>
      </c>
      <c r="Q1181" s="3">
        <v>24</v>
      </c>
      <c r="R1181" s="3">
        <v>24</v>
      </c>
      <c r="S1181" s="3">
        <v>12</v>
      </c>
      <c r="T1181" s="3">
        <v>24</v>
      </c>
      <c r="U1181" s="3">
        <v>48</v>
      </c>
      <c r="V1181" s="3">
        <v>24</v>
      </c>
      <c r="W1181" s="3">
        <v>0</v>
      </c>
      <c r="X1181" s="3">
        <v>12</v>
      </c>
      <c r="Y1181" s="3">
        <v>0</v>
      </c>
      <c r="Z1181" s="3">
        <v>12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</row>
    <row r="1182" spans="1:49">
      <c r="A1182" s="4" t="s">
        <v>40</v>
      </c>
      <c r="B1182" s="4" t="str">
        <f t="shared" si="18"/>
        <v>Hair Care</v>
      </c>
      <c r="C1182" s="4" t="s">
        <v>1786</v>
      </c>
      <c r="D1182" s="4" t="s">
        <v>579</v>
      </c>
      <c r="E1182" s="24" t="s">
        <v>125</v>
      </c>
      <c r="F1182" s="12" t="s">
        <v>185</v>
      </c>
      <c r="G1182" s="4" t="s">
        <v>1787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36</v>
      </c>
      <c r="P1182" s="3">
        <v>648</v>
      </c>
      <c r="Q1182" s="3">
        <v>48</v>
      </c>
      <c r="R1182" s="3">
        <v>264</v>
      </c>
      <c r="S1182" s="3">
        <v>60</v>
      </c>
      <c r="T1182" s="3">
        <v>96</v>
      </c>
      <c r="U1182" s="3">
        <v>108</v>
      </c>
      <c r="V1182" s="3">
        <v>72</v>
      </c>
      <c r="W1182" s="3">
        <v>12</v>
      </c>
      <c r="X1182" s="3">
        <v>12</v>
      </c>
      <c r="Y1182" s="3">
        <v>72</v>
      </c>
      <c r="Z1182" s="3">
        <v>0</v>
      </c>
      <c r="AA1182" s="3">
        <v>12</v>
      </c>
      <c r="AB1182" s="3">
        <v>108</v>
      </c>
      <c r="AC1182" s="3">
        <v>0</v>
      </c>
      <c r="AD1182" s="3">
        <v>96</v>
      </c>
      <c r="AE1182" s="3">
        <v>24</v>
      </c>
      <c r="AF1182" s="3">
        <v>36</v>
      </c>
      <c r="AG1182" s="3">
        <v>48</v>
      </c>
      <c r="AH1182" s="3">
        <v>156</v>
      </c>
      <c r="AI1182" s="3">
        <v>48</v>
      </c>
      <c r="AJ1182" s="3">
        <v>12</v>
      </c>
      <c r="AK1182" s="3">
        <v>48</v>
      </c>
      <c r="AL1182" s="3">
        <v>84</v>
      </c>
      <c r="AM1182" s="3">
        <v>12</v>
      </c>
      <c r="AN1182" s="3">
        <v>84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</row>
    <row r="1183" spans="1:49">
      <c r="A1183" s="4" t="s">
        <v>40</v>
      </c>
      <c r="B1183" s="4" t="str">
        <f t="shared" si="18"/>
        <v>Hair Care</v>
      </c>
      <c r="C1183" s="4" t="s">
        <v>1786</v>
      </c>
      <c r="D1183" s="4" t="s">
        <v>579</v>
      </c>
      <c r="E1183" s="24" t="s">
        <v>125</v>
      </c>
      <c r="F1183" s="12" t="s">
        <v>186</v>
      </c>
      <c r="G1183" s="4" t="s">
        <v>1787</v>
      </c>
      <c r="H1183" s="3">
        <v>996</v>
      </c>
      <c r="I1183" s="3">
        <v>2298</v>
      </c>
      <c r="J1183" s="3">
        <v>1866</v>
      </c>
      <c r="K1183" s="3">
        <v>1320</v>
      </c>
      <c r="L1183" s="3">
        <v>2418</v>
      </c>
      <c r="M1183" s="3">
        <v>798</v>
      </c>
      <c r="N1183" s="3">
        <v>882</v>
      </c>
      <c r="O1183" s="3">
        <v>174</v>
      </c>
      <c r="P1183" s="3">
        <v>750</v>
      </c>
      <c r="Q1183" s="3">
        <v>1128</v>
      </c>
      <c r="R1183" s="3">
        <v>156</v>
      </c>
      <c r="S1183" s="3">
        <v>192</v>
      </c>
      <c r="T1183" s="3">
        <v>1254</v>
      </c>
      <c r="U1183" s="3">
        <v>948</v>
      </c>
      <c r="V1183" s="3">
        <v>2088</v>
      </c>
      <c r="W1183" s="3">
        <v>756</v>
      </c>
      <c r="X1183" s="3">
        <v>324</v>
      </c>
      <c r="Y1183" s="3">
        <v>36</v>
      </c>
      <c r="Z1183" s="3">
        <v>0</v>
      </c>
      <c r="AA1183" s="3">
        <v>612</v>
      </c>
      <c r="AB1183" s="3">
        <v>96</v>
      </c>
      <c r="AC1183" s="3">
        <v>12</v>
      </c>
      <c r="AD1183" s="3">
        <v>12</v>
      </c>
      <c r="AE1183" s="3">
        <v>12</v>
      </c>
      <c r="AF1183" s="3">
        <v>108</v>
      </c>
      <c r="AG1183" s="3">
        <v>0</v>
      </c>
      <c r="AH1183" s="3">
        <v>72</v>
      </c>
      <c r="AI1183" s="3">
        <v>24</v>
      </c>
      <c r="AJ1183" s="3">
        <v>264</v>
      </c>
      <c r="AK1183" s="3">
        <v>12</v>
      </c>
      <c r="AL1183" s="3">
        <v>84</v>
      </c>
      <c r="AM1183" s="3">
        <v>12</v>
      </c>
      <c r="AN1183" s="3">
        <v>60</v>
      </c>
      <c r="AO1183" s="3">
        <v>96</v>
      </c>
      <c r="AP1183" s="3">
        <v>132</v>
      </c>
      <c r="AQ1183" s="3">
        <v>36</v>
      </c>
      <c r="AR1183" s="3">
        <v>0</v>
      </c>
      <c r="AS1183" s="3">
        <v>12</v>
      </c>
      <c r="AT1183" s="3">
        <v>156</v>
      </c>
      <c r="AU1183" s="3">
        <v>0</v>
      </c>
      <c r="AV1183" s="3">
        <v>0</v>
      </c>
      <c r="AW1183" s="3">
        <v>0</v>
      </c>
    </row>
    <row r="1184" spans="1:49">
      <c r="A1184" s="4" t="s">
        <v>40</v>
      </c>
      <c r="B1184" s="4" t="str">
        <f t="shared" si="18"/>
        <v>Hair Care</v>
      </c>
      <c r="C1184" s="4" t="s">
        <v>1786</v>
      </c>
      <c r="D1184" s="4" t="s">
        <v>579</v>
      </c>
      <c r="E1184" s="24" t="s">
        <v>125</v>
      </c>
      <c r="F1184" s="12" t="s">
        <v>187</v>
      </c>
      <c r="G1184" s="4" t="s">
        <v>1787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636</v>
      </c>
      <c r="T1184" s="3">
        <v>1140</v>
      </c>
      <c r="U1184" s="3">
        <v>1008</v>
      </c>
      <c r="V1184" s="3">
        <v>828</v>
      </c>
      <c r="W1184" s="3">
        <v>744</v>
      </c>
      <c r="X1184" s="3">
        <v>768</v>
      </c>
      <c r="Y1184" s="3">
        <v>2424</v>
      </c>
      <c r="Z1184" s="3">
        <v>360</v>
      </c>
      <c r="AA1184" s="3">
        <v>756</v>
      </c>
      <c r="AB1184" s="3">
        <v>1728</v>
      </c>
      <c r="AC1184" s="3">
        <v>252</v>
      </c>
      <c r="AD1184" s="3">
        <v>636</v>
      </c>
      <c r="AE1184" s="3">
        <v>1524</v>
      </c>
      <c r="AF1184" s="3">
        <v>2280</v>
      </c>
      <c r="AG1184" s="3">
        <v>912</v>
      </c>
      <c r="AH1184" s="3">
        <v>60</v>
      </c>
      <c r="AI1184" s="3">
        <v>840</v>
      </c>
      <c r="AJ1184" s="3">
        <v>1260</v>
      </c>
      <c r="AK1184" s="3">
        <v>1920</v>
      </c>
      <c r="AL1184" s="3">
        <v>1356</v>
      </c>
      <c r="AM1184" s="3">
        <v>960</v>
      </c>
      <c r="AN1184" s="3">
        <v>876</v>
      </c>
      <c r="AO1184" s="3">
        <v>2268</v>
      </c>
      <c r="AP1184" s="3">
        <v>924</v>
      </c>
      <c r="AQ1184" s="3">
        <v>36</v>
      </c>
      <c r="AR1184" s="3">
        <v>3180</v>
      </c>
      <c r="AS1184" s="3">
        <v>1296</v>
      </c>
      <c r="AT1184" s="3">
        <v>1560</v>
      </c>
      <c r="AU1184" s="3">
        <v>564</v>
      </c>
      <c r="AV1184" s="3">
        <v>0</v>
      </c>
      <c r="AW1184" s="3">
        <v>0</v>
      </c>
    </row>
    <row r="1185" spans="1:49">
      <c r="A1185" s="4" t="s">
        <v>40</v>
      </c>
      <c r="B1185" s="4" t="str">
        <f t="shared" si="18"/>
        <v>Hair Care</v>
      </c>
      <c r="C1185" s="4" t="s">
        <v>1786</v>
      </c>
      <c r="D1185" s="4" t="s">
        <v>579</v>
      </c>
      <c r="E1185" s="24" t="s">
        <v>125</v>
      </c>
      <c r="F1185" s="12" t="s">
        <v>188</v>
      </c>
      <c r="G1185" s="4" t="s">
        <v>1787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264</v>
      </c>
      <c r="Q1185" s="3">
        <v>1008</v>
      </c>
      <c r="R1185" s="3">
        <v>108</v>
      </c>
      <c r="S1185" s="3">
        <v>252</v>
      </c>
      <c r="T1185" s="3">
        <v>618</v>
      </c>
      <c r="U1185" s="3">
        <v>342</v>
      </c>
      <c r="V1185" s="3">
        <v>228</v>
      </c>
      <c r="W1185" s="3">
        <v>330</v>
      </c>
      <c r="X1185" s="3">
        <v>336</v>
      </c>
      <c r="Y1185" s="3">
        <v>1197</v>
      </c>
      <c r="Z1185" s="3">
        <v>288</v>
      </c>
      <c r="AA1185" s="3">
        <v>330</v>
      </c>
      <c r="AB1185" s="3">
        <v>903</v>
      </c>
      <c r="AC1185" s="3">
        <v>78</v>
      </c>
      <c r="AD1185" s="3">
        <v>216</v>
      </c>
      <c r="AE1185" s="3">
        <v>570</v>
      </c>
      <c r="AF1185" s="3">
        <v>1044</v>
      </c>
      <c r="AG1185" s="3">
        <v>432</v>
      </c>
      <c r="AH1185" s="3">
        <v>1002</v>
      </c>
      <c r="AI1185" s="3">
        <v>132</v>
      </c>
      <c r="AJ1185" s="3">
        <v>176</v>
      </c>
      <c r="AK1185" s="3">
        <v>597</v>
      </c>
      <c r="AL1185" s="3">
        <v>232</v>
      </c>
      <c r="AM1185" s="3">
        <v>564</v>
      </c>
      <c r="AN1185" s="3">
        <v>120</v>
      </c>
      <c r="AO1185" s="3">
        <v>519</v>
      </c>
      <c r="AP1185" s="3">
        <v>990</v>
      </c>
      <c r="AQ1185" s="3">
        <v>554</v>
      </c>
      <c r="AR1185" s="3">
        <v>924</v>
      </c>
      <c r="AS1185" s="3">
        <v>432</v>
      </c>
      <c r="AT1185" s="3">
        <v>624</v>
      </c>
      <c r="AU1185" s="3">
        <v>348</v>
      </c>
      <c r="AV1185" s="3">
        <v>0</v>
      </c>
      <c r="AW1185" s="3">
        <v>24</v>
      </c>
    </row>
    <row r="1186" spans="1:49">
      <c r="A1186" s="4" t="s">
        <v>40</v>
      </c>
      <c r="B1186" s="4" t="str">
        <f t="shared" si="18"/>
        <v>Hair Care</v>
      </c>
      <c r="C1186" s="4" t="s">
        <v>1786</v>
      </c>
      <c r="D1186" s="4" t="s">
        <v>579</v>
      </c>
      <c r="E1186" s="24" t="s">
        <v>125</v>
      </c>
      <c r="F1186" s="12" t="s">
        <v>189</v>
      </c>
      <c r="G1186" s="4" t="s">
        <v>1787</v>
      </c>
      <c r="H1186" s="3">
        <v>156</v>
      </c>
      <c r="I1186" s="3">
        <v>0</v>
      </c>
      <c r="J1186" s="3">
        <v>0</v>
      </c>
      <c r="K1186" s="3">
        <v>0</v>
      </c>
      <c r="L1186" s="3">
        <v>0</v>
      </c>
      <c r="M1186" s="3">
        <v>84</v>
      </c>
      <c r="N1186" s="3">
        <v>120</v>
      </c>
      <c r="O1186" s="3">
        <v>90</v>
      </c>
      <c r="P1186" s="3">
        <v>42</v>
      </c>
      <c r="Q1186" s="3">
        <v>90</v>
      </c>
      <c r="R1186" s="3">
        <v>30</v>
      </c>
      <c r="S1186" s="3">
        <v>240</v>
      </c>
      <c r="T1186" s="3">
        <v>72</v>
      </c>
      <c r="U1186" s="3">
        <v>144</v>
      </c>
      <c r="V1186" s="3">
        <v>24</v>
      </c>
      <c r="W1186" s="3">
        <v>0</v>
      </c>
      <c r="X1186" s="3">
        <v>0</v>
      </c>
      <c r="Y1186" s="3">
        <v>42</v>
      </c>
      <c r="Z1186" s="3">
        <v>60</v>
      </c>
      <c r="AA1186" s="3">
        <v>30</v>
      </c>
      <c r="AB1186" s="3">
        <v>0</v>
      </c>
      <c r="AC1186" s="3">
        <v>6</v>
      </c>
      <c r="AD1186" s="3">
        <v>24</v>
      </c>
      <c r="AE1186" s="3">
        <v>12</v>
      </c>
      <c r="AF1186" s="3">
        <v>42</v>
      </c>
      <c r="AG1186" s="3">
        <v>0</v>
      </c>
      <c r="AH1186" s="3">
        <v>0</v>
      </c>
      <c r="AI1186" s="3">
        <v>24</v>
      </c>
      <c r="AJ1186" s="3">
        <v>84</v>
      </c>
      <c r="AK1186" s="3">
        <v>24</v>
      </c>
      <c r="AL1186" s="3">
        <v>12</v>
      </c>
      <c r="AM1186" s="3">
        <v>6</v>
      </c>
      <c r="AN1186" s="3">
        <v>0</v>
      </c>
      <c r="AO1186" s="3">
        <v>12</v>
      </c>
      <c r="AP1186" s="3">
        <v>36</v>
      </c>
      <c r="AQ1186" s="3">
        <v>6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</row>
    <row r="1187" spans="1:49">
      <c r="A1187" s="4" t="s">
        <v>40</v>
      </c>
      <c r="B1187" s="4" t="str">
        <f t="shared" si="18"/>
        <v>Hair Care</v>
      </c>
      <c r="C1187" s="4" t="s">
        <v>1786</v>
      </c>
      <c r="D1187" s="4" t="s">
        <v>579</v>
      </c>
      <c r="E1187" s="24" t="s">
        <v>125</v>
      </c>
      <c r="F1187" s="12" t="s">
        <v>190</v>
      </c>
      <c r="G1187" s="4" t="s">
        <v>1787</v>
      </c>
      <c r="H1187" s="3">
        <v>3264</v>
      </c>
      <c r="I1187" s="3">
        <v>2292</v>
      </c>
      <c r="J1187" s="3">
        <v>2284</v>
      </c>
      <c r="K1187" s="3">
        <v>756</v>
      </c>
      <c r="L1187" s="3">
        <v>1048</v>
      </c>
      <c r="M1187" s="3">
        <v>840</v>
      </c>
      <c r="N1187" s="3">
        <v>456</v>
      </c>
      <c r="O1187" s="3">
        <v>1476</v>
      </c>
      <c r="P1187" s="3">
        <v>1798</v>
      </c>
      <c r="Q1187" s="3">
        <v>1920</v>
      </c>
      <c r="R1187" s="3">
        <v>528</v>
      </c>
      <c r="S1187" s="3">
        <v>276</v>
      </c>
      <c r="T1187" s="3">
        <v>612</v>
      </c>
      <c r="U1187" s="3">
        <v>912</v>
      </c>
      <c r="V1187" s="3">
        <v>738</v>
      </c>
      <c r="W1187" s="3">
        <v>340</v>
      </c>
      <c r="X1187" s="3">
        <v>896</v>
      </c>
      <c r="Y1187" s="3">
        <v>948</v>
      </c>
      <c r="Z1187" s="3">
        <v>156</v>
      </c>
      <c r="AA1187" s="3">
        <v>564</v>
      </c>
      <c r="AB1187" s="3">
        <v>1308</v>
      </c>
      <c r="AC1187" s="3">
        <v>24</v>
      </c>
      <c r="AD1187" s="3">
        <v>432</v>
      </c>
      <c r="AE1187" s="3">
        <v>216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</row>
    <row r="1188" spans="1:49">
      <c r="A1188" s="4" t="s">
        <v>40</v>
      </c>
      <c r="B1188" s="4" t="str">
        <f t="shared" si="18"/>
        <v>Hair Care</v>
      </c>
      <c r="C1188" s="4" t="s">
        <v>1786</v>
      </c>
      <c r="D1188" s="4" t="s">
        <v>579</v>
      </c>
      <c r="E1188" s="24" t="s">
        <v>125</v>
      </c>
      <c r="F1188" s="12" t="s">
        <v>191</v>
      </c>
      <c r="G1188" s="4" t="s">
        <v>1787</v>
      </c>
      <c r="H1188" s="3">
        <v>3528</v>
      </c>
      <c r="I1188" s="3">
        <v>1272</v>
      </c>
      <c r="J1188" s="3">
        <v>432</v>
      </c>
      <c r="K1188" s="3">
        <v>5724</v>
      </c>
      <c r="L1188" s="3">
        <v>4818</v>
      </c>
      <c r="M1188" s="3">
        <v>3810</v>
      </c>
      <c r="N1188" s="3">
        <v>3792</v>
      </c>
      <c r="O1188" s="3">
        <v>1740</v>
      </c>
      <c r="P1188" s="3">
        <v>2634</v>
      </c>
      <c r="Q1188" s="3">
        <v>5862</v>
      </c>
      <c r="R1188" s="3">
        <v>846</v>
      </c>
      <c r="S1188" s="3">
        <v>2954</v>
      </c>
      <c r="T1188" s="3">
        <v>4842</v>
      </c>
      <c r="U1188" s="3">
        <v>4152</v>
      </c>
      <c r="V1188" s="3">
        <v>920</v>
      </c>
      <c r="W1188" s="3">
        <v>1680</v>
      </c>
      <c r="X1188" s="3">
        <v>2928</v>
      </c>
      <c r="Y1188" s="3">
        <v>3564</v>
      </c>
      <c r="Z1188" s="3">
        <v>6828</v>
      </c>
      <c r="AA1188" s="3">
        <v>3726</v>
      </c>
      <c r="AB1188" s="3">
        <v>2442</v>
      </c>
      <c r="AC1188" s="3">
        <v>234</v>
      </c>
      <c r="AD1188" s="3">
        <v>948</v>
      </c>
      <c r="AE1188" s="3">
        <v>2100</v>
      </c>
      <c r="AF1188" s="3">
        <v>444</v>
      </c>
      <c r="AG1188" s="3">
        <v>1992</v>
      </c>
      <c r="AH1188" s="3">
        <v>900</v>
      </c>
      <c r="AI1188" s="3">
        <v>600</v>
      </c>
      <c r="AJ1188" s="3">
        <v>1272</v>
      </c>
      <c r="AK1188" s="3">
        <v>6366</v>
      </c>
      <c r="AL1188" s="3">
        <v>4206</v>
      </c>
      <c r="AM1188" s="3">
        <v>216</v>
      </c>
      <c r="AN1188" s="3">
        <v>7698</v>
      </c>
      <c r="AO1188" s="3">
        <v>4848</v>
      </c>
      <c r="AP1188" s="3">
        <v>774</v>
      </c>
      <c r="AQ1188" s="3">
        <v>2406</v>
      </c>
      <c r="AR1188" s="3">
        <v>2886</v>
      </c>
      <c r="AS1188" s="3">
        <v>5094</v>
      </c>
      <c r="AT1188" s="3">
        <v>2664</v>
      </c>
      <c r="AU1188" s="3">
        <v>1068</v>
      </c>
      <c r="AV1188" s="3">
        <v>966</v>
      </c>
      <c r="AW1188" s="3">
        <v>4278</v>
      </c>
    </row>
    <row r="1189" spans="1:49">
      <c r="A1189" s="4" t="s">
        <v>40</v>
      </c>
      <c r="B1189" s="4" t="str">
        <f t="shared" si="18"/>
        <v>Hair Care</v>
      </c>
      <c r="C1189" s="4" t="s">
        <v>1786</v>
      </c>
      <c r="D1189" s="4" t="s">
        <v>579</v>
      </c>
      <c r="E1189" s="24" t="s">
        <v>125</v>
      </c>
      <c r="F1189" s="12" t="s">
        <v>192</v>
      </c>
      <c r="G1189" s="4" t="s">
        <v>1787</v>
      </c>
      <c r="H1189" s="3">
        <v>384</v>
      </c>
      <c r="I1189" s="3">
        <v>432</v>
      </c>
      <c r="J1189" s="3">
        <v>3356</v>
      </c>
      <c r="K1189" s="3">
        <v>2538</v>
      </c>
      <c r="L1189" s="3">
        <v>2046</v>
      </c>
      <c r="M1189" s="3">
        <v>846</v>
      </c>
      <c r="N1189" s="3">
        <v>384</v>
      </c>
      <c r="O1189" s="3">
        <v>192</v>
      </c>
      <c r="P1189" s="3">
        <v>642</v>
      </c>
      <c r="Q1189" s="3">
        <v>840</v>
      </c>
      <c r="R1189" s="3">
        <v>804</v>
      </c>
      <c r="S1189" s="3">
        <v>594</v>
      </c>
      <c r="T1189" s="3">
        <v>1104</v>
      </c>
      <c r="U1189" s="3">
        <v>618</v>
      </c>
      <c r="V1189" s="3">
        <v>1380</v>
      </c>
      <c r="W1189" s="3">
        <v>774</v>
      </c>
      <c r="X1189" s="3">
        <v>762</v>
      </c>
      <c r="Y1189" s="3">
        <v>624</v>
      </c>
      <c r="Z1189" s="3">
        <v>336</v>
      </c>
      <c r="AA1189" s="3">
        <v>1014</v>
      </c>
      <c r="AB1189" s="3">
        <v>1224</v>
      </c>
      <c r="AC1189" s="3">
        <v>192</v>
      </c>
      <c r="AD1189" s="3">
        <v>636</v>
      </c>
      <c r="AE1189" s="3">
        <v>960</v>
      </c>
      <c r="AF1189" s="3">
        <v>3048</v>
      </c>
      <c r="AG1189" s="3">
        <v>2160</v>
      </c>
      <c r="AH1189" s="3">
        <v>354</v>
      </c>
      <c r="AI1189" s="3">
        <v>522</v>
      </c>
      <c r="AJ1189" s="3">
        <v>1992</v>
      </c>
      <c r="AK1189" s="3">
        <v>1488</v>
      </c>
      <c r="AL1189" s="3">
        <v>1254</v>
      </c>
      <c r="AM1189" s="3">
        <v>246</v>
      </c>
      <c r="AN1189" s="3">
        <v>1068</v>
      </c>
      <c r="AO1189" s="3">
        <v>2196</v>
      </c>
      <c r="AP1189" s="3">
        <v>96</v>
      </c>
      <c r="AQ1189" s="3">
        <v>90</v>
      </c>
      <c r="AR1189" s="3">
        <v>480</v>
      </c>
      <c r="AS1189" s="3">
        <v>1770</v>
      </c>
      <c r="AT1189" s="3">
        <v>186</v>
      </c>
      <c r="AU1189" s="3">
        <v>222</v>
      </c>
      <c r="AV1189" s="3">
        <v>702</v>
      </c>
      <c r="AW1189" s="3">
        <v>2628</v>
      </c>
    </row>
    <row r="1190" spans="1:49">
      <c r="A1190" s="4" t="s">
        <v>40</v>
      </c>
      <c r="B1190" s="4" t="str">
        <f t="shared" si="18"/>
        <v>Hair Care</v>
      </c>
      <c r="C1190" s="4" t="s">
        <v>1786</v>
      </c>
      <c r="D1190" s="4" t="s">
        <v>579</v>
      </c>
      <c r="E1190" s="24" t="s">
        <v>125</v>
      </c>
      <c r="F1190" s="12" t="s">
        <v>193</v>
      </c>
      <c r="G1190" s="4" t="s">
        <v>1787</v>
      </c>
      <c r="H1190" s="3">
        <v>3972</v>
      </c>
      <c r="I1190" s="3">
        <v>2004</v>
      </c>
      <c r="J1190" s="3">
        <v>2068</v>
      </c>
      <c r="K1190" s="3">
        <v>6096</v>
      </c>
      <c r="L1190" s="3">
        <v>4990</v>
      </c>
      <c r="M1190" s="3">
        <v>4230</v>
      </c>
      <c r="N1190" s="3">
        <v>4212</v>
      </c>
      <c r="O1190" s="3">
        <v>2322</v>
      </c>
      <c r="P1190" s="3">
        <v>3616</v>
      </c>
      <c r="Q1190" s="3">
        <v>6798</v>
      </c>
      <c r="R1190" s="3">
        <v>1338</v>
      </c>
      <c r="S1190" s="3">
        <v>2286</v>
      </c>
      <c r="T1190" s="3">
        <v>5322</v>
      </c>
      <c r="U1190" s="3">
        <v>4308</v>
      </c>
      <c r="V1190" s="3">
        <v>1194</v>
      </c>
      <c r="W1190" s="3">
        <v>1852</v>
      </c>
      <c r="X1190" s="3">
        <v>3296</v>
      </c>
      <c r="Y1190" s="3">
        <v>3864</v>
      </c>
      <c r="Z1190" s="3">
        <v>6936</v>
      </c>
      <c r="AA1190" s="3">
        <v>4050</v>
      </c>
      <c r="AB1190" s="3">
        <v>2766</v>
      </c>
      <c r="AC1190" s="3">
        <v>426</v>
      </c>
      <c r="AD1190" s="3">
        <v>1296</v>
      </c>
      <c r="AE1190" s="3">
        <v>2244</v>
      </c>
      <c r="AF1190" s="3">
        <v>708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</row>
    <row r="1191" spans="1:49">
      <c r="A1191" s="4" t="s">
        <v>40</v>
      </c>
      <c r="B1191" s="4" t="str">
        <f t="shared" si="18"/>
        <v>Hair Care</v>
      </c>
      <c r="C1191" s="4" t="s">
        <v>1786</v>
      </c>
      <c r="D1191" s="4" t="s">
        <v>579</v>
      </c>
      <c r="E1191" s="24" t="s">
        <v>125</v>
      </c>
      <c r="F1191" s="12" t="s">
        <v>194</v>
      </c>
      <c r="G1191" s="4" t="s">
        <v>1787</v>
      </c>
      <c r="H1191" s="3">
        <v>1608</v>
      </c>
      <c r="I1191" s="3">
        <v>1512</v>
      </c>
      <c r="J1191" s="3">
        <v>3800</v>
      </c>
      <c r="K1191" s="3">
        <v>3498</v>
      </c>
      <c r="L1191" s="3">
        <v>2526</v>
      </c>
      <c r="M1191" s="3">
        <v>1302</v>
      </c>
      <c r="N1191" s="3">
        <v>600</v>
      </c>
      <c r="O1191" s="3">
        <v>636</v>
      </c>
      <c r="P1191" s="3">
        <v>1062</v>
      </c>
      <c r="Q1191" s="3">
        <v>1764</v>
      </c>
      <c r="R1191" s="3">
        <v>1260</v>
      </c>
      <c r="S1191" s="3">
        <v>1754</v>
      </c>
      <c r="T1191" s="3">
        <v>1788</v>
      </c>
      <c r="U1191" s="3">
        <v>1002</v>
      </c>
      <c r="V1191" s="3">
        <v>1904</v>
      </c>
      <c r="W1191" s="3">
        <v>990</v>
      </c>
      <c r="X1191" s="3">
        <v>1002</v>
      </c>
      <c r="Y1191" s="3">
        <v>1080</v>
      </c>
      <c r="Z1191" s="3">
        <v>456</v>
      </c>
      <c r="AA1191" s="3">
        <v>1446</v>
      </c>
      <c r="AB1191" s="3">
        <v>1860</v>
      </c>
      <c r="AC1191" s="3">
        <v>168</v>
      </c>
      <c r="AD1191" s="3">
        <v>876</v>
      </c>
      <c r="AE1191" s="3">
        <v>1380</v>
      </c>
      <c r="AF1191" s="3">
        <v>3660</v>
      </c>
      <c r="AG1191" s="3">
        <v>3684</v>
      </c>
      <c r="AH1191" s="3">
        <v>546</v>
      </c>
      <c r="AI1191" s="3">
        <v>786</v>
      </c>
      <c r="AJ1191" s="3">
        <v>2652</v>
      </c>
      <c r="AK1191" s="3">
        <v>2244</v>
      </c>
      <c r="AL1191" s="3">
        <v>1638</v>
      </c>
      <c r="AM1191" s="3">
        <v>498</v>
      </c>
      <c r="AN1191" s="3">
        <v>1584</v>
      </c>
      <c r="AO1191" s="3">
        <v>2304</v>
      </c>
      <c r="AP1191" s="3">
        <v>564</v>
      </c>
      <c r="AQ1191" s="3">
        <v>354</v>
      </c>
      <c r="AR1191" s="3">
        <v>1020</v>
      </c>
      <c r="AS1191" s="3">
        <v>2358</v>
      </c>
      <c r="AT1191" s="3">
        <v>774</v>
      </c>
      <c r="AU1191" s="3">
        <v>534</v>
      </c>
      <c r="AV1191" s="3">
        <v>378</v>
      </c>
      <c r="AW1191" s="3">
        <v>3120</v>
      </c>
    </row>
    <row r="1192" spans="1:49">
      <c r="A1192" s="4" t="s">
        <v>40</v>
      </c>
      <c r="B1192" s="4" t="str">
        <f t="shared" si="18"/>
        <v>Hair Care</v>
      </c>
      <c r="C1192" s="4" t="s">
        <v>1786</v>
      </c>
      <c r="D1192" s="4" t="s">
        <v>579</v>
      </c>
      <c r="E1192" s="24" t="s">
        <v>125</v>
      </c>
      <c r="F1192" s="12" t="s">
        <v>195</v>
      </c>
      <c r="G1192" s="4" t="s">
        <v>1787</v>
      </c>
      <c r="H1192" s="3">
        <v>1026</v>
      </c>
      <c r="I1192" s="3">
        <v>906</v>
      </c>
      <c r="J1192" s="3">
        <v>390</v>
      </c>
      <c r="K1192" s="3">
        <v>432</v>
      </c>
      <c r="L1192" s="3">
        <v>264</v>
      </c>
      <c r="M1192" s="3">
        <v>144</v>
      </c>
      <c r="N1192" s="3">
        <v>270</v>
      </c>
      <c r="O1192" s="3">
        <v>540</v>
      </c>
      <c r="P1192" s="3">
        <v>162</v>
      </c>
      <c r="Q1192" s="3">
        <v>702</v>
      </c>
      <c r="R1192" s="3">
        <v>330</v>
      </c>
      <c r="S1192" s="3">
        <v>678</v>
      </c>
      <c r="T1192" s="3">
        <v>660</v>
      </c>
      <c r="U1192" s="3">
        <v>618</v>
      </c>
      <c r="V1192" s="3">
        <v>162</v>
      </c>
      <c r="W1192" s="3">
        <v>192</v>
      </c>
      <c r="X1192" s="3">
        <v>150</v>
      </c>
      <c r="Y1192" s="3">
        <v>390</v>
      </c>
      <c r="Z1192" s="3">
        <v>66</v>
      </c>
      <c r="AA1192" s="3">
        <v>132</v>
      </c>
      <c r="AB1192" s="3">
        <v>330</v>
      </c>
      <c r="AC1192" s="3">
        <v>78</v>
      </c>
      <c r="AD1192" s="3">
        <v>144</v>
      </c>
      <c r="AE1192" s="3">
        <v>180</v>
      </c>
      <c r="AF1192" s="3">
        <v>330</v>
      </c>
      <c r="AG1192" s="3">
        <v>0</v>
      </c>
      <c r="AH1192" s="3">
        <v>0</v>
      </c>
      <c r="AI1192" s="3">
        <v>222</v>
      </c>
      <c r="AJ1192" s="3">
        <v>282</v>
      </c>
      <c r="AK1192" s="3">
        <v>402</v>
      </c>
      <c r="AL1192" s="3">
        <v>198</v>
      </c>
      <c r="AM1192" s="3">
        <v>192</v>
      </c>
      <c r="AN1192" s="3">
        <v>96</v>
      </c>
      <c r="AO1192" s="3">
        <v>120</v>
      </c>
      <c r="AP1192" s="3">
        <v>252</v>
      </c>
      <c r="AQ1192" s="3">
        <v>222</v>
      </c>
      <c r="AR1192" s="3">
        <v>348</v>
      </c>
      <c r="AS1192" s="3">
        <v>186</v>
      </c>
      <c r="AT1192" s="3">
        <v>144</v>
      </c>
      <c r="AU1192" s="3">
        <v>204</v>
      </c>
      <c r="AV1192" s="3">
        <v>252</v>
      </c>
      <c r="AW1192" s="3">
        <v>168</v>
      </c>
    </row>
    <row r="1193" spans="1:49">
      <c r="A1193" s="4" t="s">
        <v>40</v>
      </c>
      <c r="B1193" s="4" t="str">
        <f t="shared" si="18"/>
        <v>Hair Care</v>
      </c>
      <c r="C1193" s="4" t="s">
        <v>1786</v>
      </c>
      <c r="D1193" s="4" t="s">
        <v>579</v>
      </c>
      <c r="E1193" s="24" t="s">
        <v>125</v>
      </c>
      <c r="F1193" s="12" t="s">
        <v>196</v>
      </c>
      <c r="G1193" s="4" t="s">
        <v>1787</v>
      </c>
      <c r="H1193" s="3">
        <v>60</v>
      </c>
      <c r="I1193" s="3">
        <v>5232</v>
      </c>
      <c r="J1193" s="3">
        <v>3377</v>
      </c>
      <c r="K1193" s="3">
        <v>3312</v>
      </c>
      <c r="L1193" s="3">
        <v>3534</v>
      </c>
      <c r="M1193" s="3">
        <v>6672</v>
      </c>
      <c r="N1193" s="3">
        <v>3276</v>
      </c>
      <c r="O1193" s="3">
        <v>504</v>
      </c>
      <c r="P1193" s="3">
        <v>978</v>
      </c>
      <c r="Q1193" s="3">
        <v>6084</v>
      </c>
      <c r="R1193" s="3">
        <v>642</v>
      </c>
      <c r="S1193" s="3">
        <v>1254</v>
      </c>
      <c r="T1193" s="3">
        <v>5154</v>
      </c>
      <c r="U1193" s="3">
        <v>1086</v>
      </c>
      <c r="V1193" s="3">
        <v>3774</v>
      </c>
      <c r="W1193" s="3">
        <v>3246</v>
      </c>
      <c r="X1193" s="3">
        <v>912</v>
      </c>
      <c r="Y1193" s="3">
        <v>3594</v>
      </c>
      <c r="Z1193" s="3">
        <v>2544</v>
      </c>
      <c r="AA1193" s="3">
        <v>3066</v>
      </c>
      <c r="AB1193" s="3">
        <v>1674</v>
      </c>
      <c r="AC1193" s="3">
        <v>288</v>
      </c>
      <c r="AD1193" s="3">
        <v>642</v>
      </c>
      <c r="AE1193" s="3">
        <v>3564</v>
      </c>
      <c r="AF1193" s="3">
        <v>1128</v>
      </c>
      <c r="AG1193" s="3">
        <v>1632</v>
      </c>
      <c r="AH1193" s="3">
        <v>5538</v>
      </c>
      <c r="AI1193" s="3">
        <v>2994</v>
      </c>
      <c r="AJ1193" s="3">
        <v>1926</v>
      </c>
      <c r="AK1193" s="3">
        <v>2148</v>
      </c>
      <c r="AL1193" s="3">
        <v>2142</v>
      </c>
      <c r="AM1193" s="3">
        <v>210</v>
      </c>
      <c r="AN1193" s="3">
        <v>3270</v>
      </c>
      <c r="AO1193" s="3">
        <v>4302</v>
      </c>
      <c r="AP1193" s="3">
        <v>504</v>
      </c>
      <c r="AQ1193" s="3">
        <v>1116</v>
      </c>
      <c r="AR1193" s="3">
        <v>3930</v>
      </c>
      <c r="AS1193" s="3">
        <v>5328</v>
      </c>
      <c r="AT1193" s="3">
        <v>3474</v>
      </c>
      <c r="AU1193" s="3">
        <v>1008</v>
      </c>
      <c r="AV1193" s="3">
        <v>1440</v>
      </c>
      <c r="AW1193" s="3">
        <v>4086</v>
      </c>
    </row>
    <row r="1194" spans="1:49">
      <c r="A1194" s="4" t="s">
        <v>40</v>
      </c>
      <c r="B1194" s="4" t="str">
        <f t="shared" si="18"/>
        <v>Hair Care</v>
      </c>
      <c r="C1194" s="4" t="s">
        <v>1786</v>
      </c>
      <c r="D1194" s="4" t="s">
        <v>579</v>
      </c>
      <c r="E1194" s="24" t="s">
        <v>125</v>
      </c>
      <c r="F1194" s="12" t="s">
        <v>197</v>
      </c>
      <c r="G1194" s="4" t="s">
        <v>1787</v>
      </c>
      <c r="H1194" s="3">
        <v>0</v>
      </c>
      <c r="I1194" s="3">
        <v>0</v>
      </c>
      <c r="J1194" s="3">
        <v>24</v>
      </c>
      <c r="K1194" s="3">
        <v>0</v>
      </c>
      <c r="L1194" s="3">
        <v>0</v>
      </c>
      <c r="M1194" s="3">
        <v>0</v>
      </c>
      <c r="N1194" s="3">
        <v>12</v>
      </c>
      <c r="O1194" s="3">
        <v>0</v>
      </c>
      <c r="P1194" s="3">
        <v>12</v>
      </c>
      <c r="Q1194" s="3">
        <v>24</v>
      </c>
      <c r="R1194" s="3">
        <v>12</v>
      </c>
      <c r="S1194" s="3">
        <v>12</v>
      </c>
      <c r="T1194" s="3">
        <v>12</v>
      </c>
      <c r="U1194" s="3">
        <v>24</v>
      </c>
      <c r="V1194" s="3">
        <v>12</v>
      </c>
      <c r="W1194" s="3">
        <v>12</v>
      </c>
      <c r="X1194" s="3">
        <v>0</v>
      </c>
      <c r="Y1194" s="3">
        <v>24</v>
      </c>
      <c r="Z1194" s="3">
        <v>12</v>
      </c>
      <c r="AA1194" s="3">
        <v>12</v>
      </c>
      <c r="AB1194" s="3">
        <v>12</v>
      </c>
      <c r="AC1194" s="3">
        <v>0</v>
      </c>
      <c r="AD1194" s="3">
        <v>120</v>
      </c>
      <c r="AE1194" s="3">
        <v>24</v>
      </c>
      <c r="AF1194" s="3">
        <v>0</v>
      </c>
      <c r="AG1194" s="3">
        <v>0</v>
      </c>
      <c r="AH1194" s="3">
        <v>0</v>
      </c>
      <c r="AI1194" s="3">
        <v>24</v>
      </c>
      <c r="AJ1194" s="3">
        <v>12</v>
      </c>
      <c r="AK1194" s="3">
        <v>36</v>
      </c>
      <c r="AL1194" s="3">
        <v>0</v>
      </c>
      <c r="AM1194" s="3">
        <v>0</v>
      </c>
      <c r="AN1194" s="3">
        <v>0</v>
      </c>
      <c r="AO1194" s="3">
        <v>48</v>
      </c>
      <c r="AP1194" s="3">
        <v>72</v>
      </c>
      <c r="AQ1194" s="3">
        <v>84</v>
      </c>
      <c r="AR1194" s="3">
        <v>96</v>
      </c>
      <c r="AS1194" s="3">
        <v>84</v>
      </c>
      <c r="AT1194" s="3">
        <v>96</v>
      </c>
      <c r="AU1194" s="3">
        <v>72</v>
      </c>
      <c r="AV1194" s="3">
        <v>12</v>
      </c>
      <c r="AW1194" s="3">
        <v>84</v>
      </c>
    </row>
    <row r="1195" spans="1:49">
      <c r="A1195" s="4" t="s">
        <v>40</v>
      </c>
      <c r="B1195" s="4" t="str">
        <f t="shared" si="18"/>
        <v>Hair Care</v>
      </c>
      <c r="C1195" s="4" t="s">
        <v>1786</v>
      </c>
      <c r="D1195" s="4" t="s">
        <v>579</v>
      </c>
      <c r="E1195" s="24" t="s">
        <v>125</v>
      </c>
      <c r="F1195" s="12" t="s">
        <v>198</v>
      </c>
      <c r="G1195" s="4" t="s">
        <v>1787</v>
      </c>
      <c r="H1195" s="3">
        <v>0</v>
      </c>
      <c r="I1195" s="3">
        <v>12</v>
      </c>
      <c r="J1195" s="3">
        <v>258</v>
      </c>
      <c r="K1195" s="3">
        <v>2310</v>
      </c>
      <c r="L1195" s="3">
        <v>480</v>
      </c>
      <c r="M1195" s="3">
        <v>12</v>
      </c>
      <c r="N1195" s="3">
        <v>216</v>
      </c>
      <c r="O1195" s="3">
        <v>96</v>
      </c>
      <c r="P1195" s="3">
        <v>318</v>
      </c>
      <c r="Q1195" s="3">
        <v>102</v>
      </c>
      <c r="R1195" s="3">
        <v>282</v>
      </c>
      <c r="S1195" s="3">
        <v>84</v>
      </c>
      <c r="T1195" s="3">
        <v>222</v>
      </c>
      <c r="U1195" s="3">
        <v>294</v>
      </c>
      <c r="V1195" s="3">
        <v>168</v>
      </c>
      <c r="W1195" s="3">
        <v>894</v>
      </c>
      <c r="X1195" s="3">
        <v>270</v>
      </c>
      <c r="Y1195" s="3">
        <v>54</v>
      </c>
      <c r="Z1195" s="3">
        <v>42</v>
      </c>
      <c r="AA1195" s="3">
        <v>210</v>
      </c>
      <c r="AB1195" s="3">
        <v>372</v>
      </c>
      <c r="AC1195" s="3">
        <v>54</v>
      </c>
      <c r="AD1195" s="3">
        <v>450</v>
      </c>
      <c r="AE1195" s="3">
        <v>132</v>
      </c>
      <c r="AF1195" s="3">
        <v>804</v>
      </c>
      <c r="AG1195" s="3">
        <v>660</v>
      </c>
      <c r="AH1195" s="3">
        <v>828</v>
      </c>
      <c r="AI1195" s="3">
        <v>360</v>
      </c>
      <c r="AJ1195" s="3">
        <v>318</v>
      </c>
      <c r="AK1195" s="3">
        <v>1632</v>
      </c>
      <c r="AL1195" s="3">
        <v>36</v>
      </c>
      <c r="AM1195" s="3">
        <v>0</v>
      </c>
      <c r="AN1195" s="3">
        <v>0</v>
      </c>
      <c r="AO1195" s="3">
        <v>84</v>
      </c>
      <c r="AP1195" s="3">
        <v>12</v>
      </c>
      <c r="AQ1195" s="3">
        <v>12</v>
      </c>
      <c r="AR1195" s="3">
        <v>60</v>
      </c>
      <c r="AS1195" s="3">
        <v>36</v>
      </c>
      <c r="AT1195" s="3">
        <v>60</v>
      </c>
      <c r="AU1195" s="3">
        <v>24</v>
      </c>
      <c r="AV1195" s="3">
        <v>156</v>
      </c>
      <c r="AW1195" s="3">
        <v>48</v>
      </c>
    </row>
    <row r="1196" spans="1:49">
      <c r="A1196" s="4" t="s">
        <v>40</v>
      </c>
      <c r="B1196" s="4" t="str">
        <f t="shared" si="18"/>
        <v>Hair Care</v>
      </c>
      <c r="C1196" s="4" t="s">
        <v>1786</v>
      </c>
      <c r="D1196" s="4" t="s">
        <v>579</v>
      </c>
      <c r="E1196" s="24" t="s">
        <v>125</v>
      </c>
      <c r="F1196" s="12" t="s">
        <v>199</v>
      </c>
      <c r="G1196" s="4" t="s">
        <v>1787</v>
      </c>
      <c r="H1196" s="3">
        <v>0</v>
      </c>
      <c r="I1196" s="3">
        <v>0</v>
      </c>
      <c r="J1196" s="3">
        <v>1272</v>
      </c>
      <c r="K1196" s="3">
        <v>786</v>
      </c>
      <c r="L1196" s="3">
        <v>1182</v>
      </c>
      <c r="M1196" s="3">
        <v>1932</v>
      </c>
      <c r="N1196" s="3">
        <v>1224</v>
      </c>
      <c r="O1196" s="3">
        <v>234</v>
      </c>
      <c r="P1196" s="3">
        <v>330</v>
      </c>
      <c r="Q1196" s="3">
        <v>1302</v>
      </c>
      <c r="R1196" s="3">
        <v>264</v>
      </c>
      <c r="S1196" s="3">
        <v>168</v>
      </c>
      <c r="T1196" s="3">
        <v>2586</v>
      </c>
      <c r="U1196" s="3">
        <v>1344</v>
      </c>
      <c r="V1196" s="3">
        <v>1062</v>
      </c>
      <c r="W1196" s="3">
        <v>300</v>
      </c>
      <c r="X1196" s="3">
        <v>1380</v>
      </c>
      <c r="Y1196" s="3">
        <v>198</v>
      </c>
      <c r="Z1196" s="3">
        <v>1920</v>
      </c>
      <c r="AA1196" s="3">
        <v>354</v>
      </c>
      <c r="AB1196" s="3">
        <v>408</v>
      </c>
      <c r="AC1196" s="3">
        <v>66</v>
      </c>
      <c r="AD1196" s="3">
        <v>1392</v>
      </c>
      <c r="AE1196" s="3">
        <v>1356</v>
      </c>
      <c r="AF1196" s="3">
        <v>156</v>
      </c>
      <c r="AG1196" s="3">
        <v>228</v>
      </c>
      <c r="AH1196" s="3">
        <v>1482</v>
      </c>
      <c r="AI1196" s="3">
        <v>2262</v>
      </c>
      <c r="AJ1196" s="3">
        <v>1050</v>
      </c>
      <c r="AK1196" s="3">
        <v>36</v>
      </c>
      <c r="AL1196" s="3">
        <v>36</v>
      </c>
      <c r="AM1196" s="3">
        <v>312</v>
      </c>
      <c r="AN1196" s="3">
        <v>96</v>
      </c>
      <c r="AO1196" s="3">
        <v>36</v>
      </c>
      <c r="AP1196" s="3">
        <v>24</v>
      </c>
      <c r="AQ1196" s="3">
        <v>12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</row>
    <row r="1197" spans="1:49">
      <c r="A1197" s="4" t="s">
        <v>40</v>
      </c>
      <c r="B1197" s="4" t="str">
        <f t="shared" si="18"/>
        <v>Hair Care</v>
      </c>
      <c r="C1197" s="4" t="s">
        <v>1786</v>
      </c>
      <c r="D1197" s="4" t="s">
        <v>579</v>
      </c>
      <c r="E1197" s="24" t="s">
        <v>125</v>
      </c>
      <c r="F1197" s="12" t="s">
        <v>200</v>
      </c>
      <c r="G1197" s="4" t="s">
        <v>1787</v>
      </c>
      <c r="H1197" s="3">
        <v>0</v>
      </c>
      <c r="I1197" s="3">
        <v>0</v>
      </c>
      <c r="J1197" s="3">
        <v>828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12</v>
      </c>
      <c r="Q1197" s="3">
        <v>12</v>
      </c>
      <c r="R1197" s="3">
        <v>24</v>
      </c>
      <c r="S1197" s="3">
        <v>12</v>
      </c>
      <c r="T1197" s="3">
        <v>24</v>
      </c>
      <c r="U1197" s="3">
        <v>24</v>
      </c>
      <c r="V1197" s="3">
        <v>48</v>
      </c>
      <c r="W1197" s="3">
        <v>24</v>
      </c>
      <c r="X1197" s="3">
        <v>24</v>
      </c>
      <c r="Y1197" s="3">
        <v>144</v>
      </c>
      <c r="Z1197" s="3">
        <v>24</v>
      </c>
      <c r="AA1197" s="3">
        <v>12</v>
      </c>
      <c r="AB1197" s="3">
        <v>48</v>
      </c>
      <c r="AC1197" s="3">
        <v>12</v>
      </c>
      <c r="AD1197" s="3">
        <v>0</v>
      </c>
      <c r="AE1197" s="3">
        <v>36</v>
      </c>
      <c r="AF1197" s="3">
        <v>84</v>
      </c>
      <c r="AG1197" s="3">
        <v>96</v>
      </c>
      <c r="AH1197" s="3">
        <v>96</v>
      </c>
      <c r="AI1197" s="3">
        <v>12</v>
      </c>
      <c r="AJ1197" s="3">
        <v>24</v>
      </c>
      <c r="AK1197" s="3">
        <v>12</v>
      </c>
      <c r="AL1197" s="3">
        <v>24</v>
      </c>
      <c r="AM1197" s="3">
        <v>24</v>
      </c>
      <c r="AN1197" s="3">
        <v>12</v>
      </c>
      <c r="AO1197" s="3">
        <v>24</v>
      </c>
      <c r="AP1197" s="3">
        <v>24</v>
      </c>
      <c r="AQ1197" s="3">
        <v>120</v>
      </c>
      <c r="AR1197" s="3">
        <v>36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</row>
    <row r="1198" spans="1:49">
      <c r="A1198" s="4" t="s">
        <v>40</v>
      </c>
      <c r="B1198" s="4" t="str">
        <f t="shared" si="18"/>
        <v>Hair Care</v>
      </c>
      <c r="C1198" s="4" t="s">
        <v>1786</v>
      </c>
      <c r="D1198" s="4" t="s">
        <v>579</v>
      </c>
      <c r="E1198" s="24" t="s">
        <v>125</v>
      </c>
      <c r="F1198" s="12" t="s">
        <v>201</v>
      </c>
      <c r="G1198" s="4" t="s">
        <v>1787</v>
      </c>
      <c r="H1198" s="3">
        <v>0</v>
      </c>
      <c r="I1198" s="3">
        <v>0</v>
      </c>
      <c r="J1198" s="3">
        <v>24</v>
      </c>
      <c r="K1198" s="3">
        <v>0</v>
      </c>
      <c r="L1198" s="3">
        <v>48</v>
      </c>
      <c r="M1198" s="3">
        <v>84</v>
      </c>
      <c r="N1198" s="3">
        <v>36</v>
      </c>
      <c r="O1198" s="3">
        <v>72</v>
      </c>
      <c r="P1198" s="3">
        <v>48</v>
      </c>
      <c r="Q1198" s="3">
        <v>60</v>
      </c>
      <c r="R1198" s="3">
        <v>60</v>
      </c>
      <c r="S1198" s="3">
        <v>84</v>
      </c>
      <c r="T1198" s="3">
        <v>96</v>
      </c>
      <c r="U1198" s="3">
        <v>60</v>
      </c>
      <c r="V1198" s="3">
        <v>168</v>
      </c>
      <c r="W1198" s="3">
        <v>48</v>
      </c>
      <c r="X1198" s="3">
        <v>96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</row>
    <row r="1199" spans="1:49">
      <c r="A1199" s="4" t="s">
        <v>40</v>
      </c>
      <c r="B1199" s="4" t="str">
        <f t="shared" si="18"/>
        <v>Hair Care</v>
      </c>
      <c r="C1199" s="4" t="s">
        <v>1786</v>
      </c>
      <c r="D1199" s="4" t="s">
        <v>579</v>
      </c>
      <c r="E1199" s="24" t="s">
        <v>125</v>
      </c>
      <c r="F1199" s="12" t="s">
        <v>202</v>
      </c>
      <c r="G1199" s="4" t="s">
        <v>1787</v>
      </c>
      <c r="H1199" s="3">
        <v>60</v>
      </c>
      <c r="I1199" s="3">
        <v>2910</v>
      </c>
      <c r="J1199" s="3">
        <v>2106</v>
      </c>
      <c r="K1199" s="3">
        <v>2460</v>
      </c>
      <c r="L1199" s="3">
        <v>2718</v>
      </c>
      <c r="M1199" s="3">
        <v>1290</v>
      </c>
      <c r="N1199" s="3">
        <v>1914</v>
      </c>
      <c r="O1199" s="3">
        <v>336</v>
      </c>
      <c r="P1199" s="3">
        <v>798</v>
      </c>
      <c r="Q1199" s="3">
        <v>2172</v>
      </c>
      <c r="R1199" s="3">
        <v>534</v>
      </c>
      <c r="S1199" s="3">
        <v>324</v>
      </c>
      <c r="T1199" s="3">
        <v>3090</v>
      </c>
      <c r="U1199" s="3">
        <v>2147</v>
      </c>
      <c r="V1199" s="3">
        <v>2676</v>
      </c>
      <c r="W1199" s="3">
        <v>1008</v>
      </c>
      <c r="X1199" s="3">
        <v>1032</v>
      </c>
      <c r="Y1199" s="3">
        <v>276</v>
      </c>
      <c r="Z1199" s="3">
        <v>954</v>
      </c>
      <c r="AA1199" s="3">
        <v>1758</v>
      </c>
      <c r="AB1199" s="3">
        <v>462</v>
      </c>
      <c r="AC1199" s="3">
        <v>120</v>
      </c>
      <c r="AD1199" s="3">
        <v>192</v>
      </c>
      <c r="AE1199" s="3">
        <v>102</v>
      </c>
      <c r="AF1199" s="3">
        <v>96</v>
      </c>
      <c r="AG1199" s="3">
        <v>204</v>
      </c>
      <c r="AH1199" s="3">
        <v>228</v>
      </c>
      <c r="AI1199" s="3">
        <v>0</v>
      </c>
      <c r="AJ1199" s="3">
        <v>144</v>
      </c>
      <c r="AK1199" s="3">
        <v>204</v>
      </c>
      <c r="AL1199" s="3">
        <v>84</v>
      </c>
      <c r="AM1199" s="3">
        <v>0</v>
      </c>
      <c r="AN1199" s="3">
        <v>36</v>
      </c>
      <c r="AO1199" s="3">
        <v>408</v>
      </c>
      <c r="AP1199" s="3">
        <v>2052</v>
      </c>
      <c r="AQ1199" s="3">
        <v>0</v>
      </c>
      <c r="AR1199" s="3">
        <v>0</v>
      </c>
      <c r="AS1199" s="3">
        <v>2832</v>
      </c>
      <c r="AT1199" s="3">
        <v>-3</v>
      </c>
      <c r="AU1199" s="3">
        <v>0</v>
      </c>
      <c r="AV1199" s="3">
        <v>0</v>
      </c>
      <c r="AW1199" s="3">
        <v>0</v>
      </c>
    </row>
    <row r="1200" spans="1:49">
      <c r="A1200" s="4" t="s">
        <v>40</v>
      </c>
      <c r="B1200" s="4" t="str">
        <f t="shared" si="18"/>
        <v>Hair Care</v>
      </c>
      <c r="C1200" s="4" t="s">
        <v>1786</v>
      </c>
      <c r="D1200" s="4" t="s">
        <v>579</v>
      </c>
      <c r="E1200" s="24" t="s">
        <v>125</v>
      </c>
      <c r="F1200" s="12" t="s">
        <v>203</v>
      </c>
      <c r="G1200" s="4" t="s">
        <v>1787</v>
      </c>
      <c r="H1200" s="3">
        <v>0</v>
      </c>
      <c r="I1200" s="3">
        <v>24</v>
      </c>
      <c r="J1200" s="3">
        <v>36</v>
      </c>
      <c r="K1200" s="3">
        <v>0</v>
      </c>
      <c r="L1200" s="3">
        <v>36</v>
      </c>
      <c r="M1200" s="3">
        <v>96</v>
      </c>
      <c r="N1200" s="3">
        <v>36</v>
      </c>
      <c r="O1200" s="3">
        <v>36</v>
      </c>
      <c r="P1200" s="3">
        <v>60</v>
      </c>
      <c r="Q1200" s="3">
        <v>72</v>
      </c>
      <c r="R1200" s="3">
        <v>48</v>
      </c>
      <c r="S1200" s="3">
        <v>324</v>
      </c>
      <c r="T1200" s="3">
        <v>36</v>
      </c>
      <c r="U1200" s="3">
        <v>60</v>
      </c>
      <c r="V1200" s="3">
        <v>84</v>
      </c>
      <c r="W1200" s="3">
        <v>36</v>
      </c>
      <c r="X1200" s="3">
        <v>60</v>
      </c>
      <c r="Y1200" s="3">
        <v>204</v>
      </c>
      <c r="Z1200" s="3">
        <v>36</v>
      </c>
      <c r="AA1200" s="3">
        <v>36</v>
      </c>
      <c r="AB1200" s="3">
        <v>84</v>
      </c>
      <c r="AC1200" s="3">
        <v>24</v>
      </c>
      <c r="AD1200" s="3">
        <v>12</v>
      </c>
      <c r="AE1200" s="3">
        <v>108</v>
      </c>
      <c r="AF1200" s="3">
        <v>108</v>
      </c>
      <c r="AG1200" s="3">
        <v>144</v>
      </c>
      <c r="AH1200" s="3">
        <v>240</v>
      </c>
      <c r="AI1200" s="3">
        <v>12</v>
      </c>
      <c r="AJ1200" s="3">
        <v>24</v>
      </c>
      <c r="AK1200" s="3">
        <v>0</v>
      </c>
      <c r="AL1200" s="3">
        <v>0</v>
      </c>
      <c r="AM1200" s="3">
        <v>720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</row>
    <row r="1201" spans="1:49">
      <c r="A1201" s="4" t="s">
        <v>40</v>
      </c>
      <c r="B1201" s="4" t="str">
        <f t="shared" si="18"/>
        <v>Hair Care</v>
      </c>
      <c r="C1201" s="4" t="s">
        <v>1786</v>
      </c>
      <c r="D1201" s="4" t="s">
        <v>579</v>
      </c>
      <c r="E1201" s="24" t="s">
        <v>125</v>
      </c>
      <c r="F1201" s="12" t="s">
        <v>204</v>
      </c>
      <c r="G1201" s="4" t="s">
        <v>1787</v>
      </c>
      <c r="H1201" s="3">
        <v>0</v>
      </c>
      <c r="I1201" s="3">
        <v>0</v>
      </c>
      <c r="J1201" s="3">
        <v>888</v>
      </c>
      <c r="K1201" s="3">
        <v>786</v>
      </c>
      <c r="L1201" s="3">
        <v>2496</v>
      </c>
      <c r="M1201" s="3">
        <v>264</v>
      </c>
      <c r="N1201" s="3">
        <v>840</v>
      </c>
      <c r="O1201" s="3">
        <v>252</v>
      </c>
      <c r="P1201" s="3">
        <v>702</v>
      </c>
      <c r="Q1201" s="3">
        <v>1098</v>
      </c>
      <c r="R1201" s="3">
        <v>132</v>
      </c>
      <c r="S1201" s="3">
        <v>156</v>
      </c>
      <c r="T1201" s="3">
        <v>1656</v>
      </c>
      <c r="U1201" s="3">
        <v>1188</v>
      </c>
      <c r="V1201" s="3">
        <v>978</v>
      </c>
      <c r="W1201" s="3">
        <v>312</v>
      </c>
      <c r="X1201" s="3">
        <v>348</v>
      </c>
      <c r="Y1201" s="3">
        <v>42</v>
      </c>
      <c r="Z1201" s="3">
        <v>432</v>
      </c>
      <c r="AA1201" s="3">
        <v>396</v>
      </c>
      <c r="AB1201" s="3">
        <v>450</v>
      </c>
      <c r="AC1201" s="3">
        <v>84</v>
      </c>
      <c r="AD1201" s="3">
        <v>36</v>
      </c>
      <c r="AE1201" s="3">
        <v>342</v>
      </c>
      <c r="AF1201" s="3">
        <v>318</v>
      </c>
      <c r="AG1201" s="3">
        <v>906</v>
      </c>
      <c r="AH1201" s="3">
        <v>1596</v>
      </c>
      <c r="AI1201" s="3">
        <v>576</v>
      </c>
      <c r="AJ1201" s="3">
        <v>252</v>
      </c>
      <c r="AK1201" s="3">
        <v>0</v>
      </c>
      <c r="AL1201" s="3">
        <v>0</v>
      </c>
      <c r="AM1201" s="3">
        <v>0</v>
      </c>
      <c r="AN1201" s="3">
        <v>0</v>
      </c>
      <c r="AO1201" s="3">
        <v>372</v>
      </c>
      <c r="AP1201" s="3">
        <v>336</v>
      </c>
      <c r="AQ1201" s="3">
        <v>-12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</row>
    <row r="1202" spans="1:49">
      <c r="A1202" s="4" t="s">
        <v>40</v>
      </c>
      <c r="B1202" s="4" t="str">
        <f t="shared" si="18"/>
        <v>Hair Care</v>
      </c>
      <c r="C1202" s="4" t="s">
        <v>1786</v>
      </c>
      <c r="D1202" s="4" t="s">
        <v>579</v>
      </c>
      <c r="E1202" s="24" t="s">
        <v>125</v>
      </c>
      <c r="F1202" s="12" t="s">
        <v>205</v>
      </c>
      <c r="G1202" s="4" t="s">
        <v>1787</v>
      </c>
      <c r="H1202" s="3">
        <v>0</v>
      </c>
      <c r="I1202" s="3">
        <v>2190</v>
      </c>
      <c r="J1202" s="3">
        <v>2934</v>
      </c>
      <c r="K1202" s="3">
        <v>1320</v>
      </c>
      <c r="L1202" s="3">
        <v>2394</v>
      </c>
      <c r="M1202" s="3">
        <v>810</v>
      </c>
      <c r="N1202" s="3">
        <v>846</v>
      </c>
      <c r="O1202" s="3">
        <v>138</v>
      </c>
      <c r="P1202" s="3">
        <v>246</v>
      </c>
      <c r="Q1202" s="3">
        <v>1140</v>
      </c>
      <c r="R1202" s="3">
        <v>36</v>
      </c>
      <c r="S1202" s="3">
        <v>300</v>
      </c>
      <c r="T1202" s="3">
        <v>1374</v>
      </c>
      <c r="U1202" s="3">
        <v>936</v>
      </c>
      <c r="V1202" s="3">
        <v>2076</v>
      </c>
      <c r="W1202" s="3">
        <v>720</v>
      </c>
      <c r="X1202" s="3">
        <v>348</v>
      </c>
      <c r="Y1202" s="3">
        <v>84</v>
      </c>
      <c r="Z1202" s="3">
        <v>12</v>
      </c>
      <c r="AA1202" s="3">
        <v>612</v>
      </c>
      <c r="AB1202" s="3">
        <v>168</v>
      </c>
      <c r="AC1202" s="3">
        <v>24</v>
      </c>
      <c r="AD1202" s="3">
        <v>0</v>
      </c>
      <c r="AE1202" s="3">
        <v>12</v>
      </c>
      <c r="AF1202" s="3">
        <v>24</v>
      </c>
      <c r="AG1202" s="3">
        <v>60</v>
      </c>
      <c r="AH1202" s="3">
        <v>120</v>
      </c>
      <c r="AI1202" s="3">
        <v>36</v>
      </c>
      <c r="AJ1202" s="3">
        <v>264</v>
      </c>
      <c r="AK1202" s="3">
        <v>0</v>
      </c>
      <c r="AL1202" s="3">
        <v>24</v>
      </c>
      <c r="AM1202" s="3">
        <v>0</v>
      </c>
      <c r="AN1202" s="3">
        <v>156</v>
      </c>
      <c r="AO1202" s="3">
        <v>384</v>
      </c>
      <c r="AP1202" s="3">
        <v>1500</v>
      </c>
      <c r="AQ1202" s="3">
        <v>-108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</row>
    <row r="1203" spans="1:49">
      <c r="A1203" s="4" t="s">
        <v>40</v>
      </c>
      <c r="B1203" s="4" t="str">
        <f t="shared" si="18"/>
        <v>Hair Care</v>
      </c>
      <c r="C1203" s="4" t="s">
        <v>1786</v>
      </c>
      <c r="D1203" s="4" t="s">
        <v>579</v>
      </c>
      <c r="E1203" s="24" t="s">
        <v>125</v>
      </c>
      <c r="F1203" s="12" t="s">
        <v>206</v>
      </c>
      <c r="G1203" s="4" t="s">
        <v>1787</v>
      </c>
      <c r="H1203" s="3">
        <v>1392</v>
      </c>
      <c r="I1203" s="3">
        <v>924</v>
      </c>
      <c r="J1203" s="3">
        <v>246</v>
      </c>
      <c r="K1203" s="3">
        <v>612</v>
      </c>
      <c r="L1203" s="3">
        <v>360</v>
      </c>
      <c r="M1203" s="3">
        <v>276</v>
      </c>
      <c r="N1203" s="3">
        <v>366</v>
      </c>
      <c r="O1203" s="3">
        <v>1386</v>
      </c>
      <c r="P1203" s="3">
        <v>468</v>
      </c>
      <c r="Q1203" s="3">
        <v>672</v>
      </c>
      <c r="R1203" s="3">
        <v>366</v>
      </c>
      <c r="S1203" s="3">
        <v>600</v>
      </c>
      <c r="T1203" s="3">
        <v>540</v>
      </c>
      <c r="U1203" s="3">
        <v>510</v>
      </c>
      <c r="V1203" s="3">
        <v>288</v>
      </c>
      <c r="W1203" s="3">
        <v>90</v>
      </c>
      <c r="X1203" s="3">
        <v>150</v>
      </c>
      <c r="Y1203" s="3">
        <v>558</v>
      </c>
      <c r="Z1203" s="3">
        <v>66</v>
      </c>
      <c r="AA1203" s="3">
        <v>204</v>
      </c>
      <c r="AB1203" s="3">
        <v>408</v>
      </c>
      <c r="AC1203" s="3">
        <v>6</v>
      </c>
      <c r="AD1203" s="3">
        <v>84</v>
      </c>
      <c r="AE1203" s="3">
        <v>306</v>
      </c>
      <c r="AF1203" s="3">
        <v>384</v>
      </c>
      <c r="AG1203" s="3">
        <v>324</v>
      </c>
      <c r="AH1203" s="3">
        <v>0</v>
      </c>
      <c r="AI1203" s="3">
        <v>246</v>
      </c>
      <c r="AJ1203" s="3">
        <v>222</v>
      </c>
      <c r="AK1203" s="3">
        <v>546</v>
      </c>
      <c r="AL1203" s="3">
        <v>378</v>
      </c>
      <c r="AM1203" s="3">
        <v>144</v>
      </c>
      <c r="AN1203" s="3">
        <v>198</v>
      </c>
      <c r="AO1203" s="3">
        <v>300</v>
      </c>
      <c r="AP1203" s="3">
        <v>396</v>
      </c>
      <c r="AQ1203" s="3">
        <v>421</v>
      </c>
      <c r="AR1203" s="3">
        <v>168</v>
      </c>
      <c r="AS1203" s="3">
        <v>0</v>
      </c>
      <c r="AT1203" s="3">
        <v>318</v>
      </c>
      <c r="AU1203" s="3">
        <v>534</v>
      </c>
      <c r="AV1203" s="3">
        <v>480</v>
      </c>
      <c r="AW1203" s="3">
        <v>186</v>
      </c>
    </row>
    <row r="1204" spans="1:49">
      <c r="A1204" s="4" t="s">
        <v>40</v>
      </c>
      <c r="B1204" s="4" t="str">
        <f t="shared" si="18"/>
        <v>Hair Care</v>
      </c>
      <c r="C1204" s="4" t="s">
        <v>1786</v>
      </c>
      <c r="D1204" s="4" t="s">
        <v>579</v>
      </c>
      <c r="E1204" s="24" t="s">
        <v>125</v>
      </c>
      <c r="F1204" s="12" t="s">
        <v>207</v>
      </c>
      <c r="G1204" s="4" t="s">
        <v>1787</v>
      </c>
      <c r="H1204" s="3">
        <v>0</v>
      </c>
      <c r="I1204" s="3">
        <v>4656</v>
      </c>
      <c r="J1204" s="3">
        <v>2742</v>
      </c>
      <c r="K1204" s="3">
        <v>2783</v>
      </c>
      <c r="L1204" s="3">
        <v>4548</v>
      </c>
      <c r="M1204" s="3">
        <v>4002</v>
      </c>
      <c r="N1204" s="3">
        <v>3240</v>
      </c>
      <c r="O1204" s="3">
        <v>282</v>
      </c>
      <c r="P1204" s="3">
        <v>666</v>
      </c>
      <c r="Q1204" s="3">
        <v>6030</v>
      </c>
      <c r="R1204" s="3">
        <v>582</v>
      </c>
      <c r="S1204" s="3">
        <v>1842</v>
      </c>
      <c r="T1204" s="3">
        <v>4938</v>
      </c>
      <c r="U1204" s="3">
        <v>3024</v>
      </c>
      <c r="V1204" s="3">
        <v>4698</v>
      </c>
      <c r="W1204" s="3">
        <v>2910</v>
      </c>
      <c r="X1204" s="3">
        <v>600</v>
      </c>
      <c r="Y1204" s="3">
        <v>2058</v>
      </c>
      <c r="Z1204" s="3">
        <v>5130</v>
      </c>
      <c r="AA1204" s="3">
        <v>2880</v>
      </c>
      <c r="AB1204" s="3">
        <v>1086</v>
      </c>
      <c r="AC1204" s="3">
        <v>570</v>
      </c>
      <c r="AD1204" s="3">
        <v>900</v>
      </c>
      <c r="AE1204" s="3">
        <v>2634</v>
      </c>
      <c r="AF1204" s="3">
        <v>1278</v>
      </c>
      <c r="AG1204" s="3">
        <v>3456</v>
      </c>
      <c r="AH1204" s="3">
        <v>4686</v>
      </c>
      <c r="AI1204" s="3">
        <v>2460</v>
      </c>
      <c r="AJ1204" s="3">
        <v>1128</v>
      </c>
      <c r="AK1204" s="3">
        <v>3678</v>
      </c>
      <c r="AL1204" s="3">
        <v>2832</v>
      </c>
      <c r="AM1204" s="3">
        <v>534</v>
      </c>
      <c r="AN1204" s="3">
        <v>5370</v>
      </c>
      <c r="AO1204" s="3">
        <v>1758</v>
      </c>
      <c r="AP1204" s="3">
        <v>1434</v>
      </c>
      <c r="AQ1204" s="3">
        <v>546</v>
      </c>
      <c r="AR1204" s="3">
        <v>2832</v>
      </c>
      <c r="AS1204" s="3">
        <v>2148</v>
      </c>
      <c r="AT1204" s="3">
        <v>3330</v>
      </c>
      <c r="AU1204" s="3">
        <v>1902</v>
      </c>
      <c r="AV1204" s="3">
        <v>2058</v>
      </c>
      <c r="AW1204" s="3">
        <v>3480</v>
      </c>
    </row>
    <row r="1205" spans="1:49">
      <c r="A1205" s="4" t="s">
        <v>40</v>
      </c>
      <c r="B1205" s="4" t="str">
        <f t="shared" si="18"/>
        <v>Hair Care</v>
      </c>
      <c r="C1205" s="4" t="s">
        <v>1786</v>
      </c>
      <c r="D1205" s="4" t="s">
        <v>579</v>
      </c>
      <c r="E1205" s="24" t="s">
        <v>125</v>
      </c>
      <c r="F1205" s="12" t="s">
        <v>208</v>
      </c>
      <c r="G1205" s="4" t="s">
        <v>1787</v>
      </c>
      <c r="H1205" s="3">
        <v>180</v>
      </c>
      <c r="I1205" s="3">
        <v>12</v>
      </c>
      <c r="J1205" s="3">
        <v>240</v>
      </c>
      <c r="K1205" s="3">
        <v>2292</v>
      </c>
      <c r="L1205" s="3">
        <v>768</v>
      </c>
      <c r="M1205" s="3">
        <v>882</v>
      </c>
      <c r="N1205" s="3">
        <v>744</v>
      </c>
      <c r="O1205" s="3">
        <v>528</v>
      </c>
      <c r="P1205" s="3">
        <v>468</v>
      </c>
      <c r="Q1205" s="3">
        <v>1248</v>
      </c>
      <c r="R1205" s="3">
        <v>852</v>
      </c>
      <c r="S1205" s="3">
        <v>894</v>
      </c>
      <c r="T1205" s="3">
        <v>936</v>
      </c>
      <c r="U1205" s="3">
        <v>534</v>
      </c>
      <c r="V1205" s="3">
        <v>858</v>
      </c>
      <c r="W1205" s="3">
        <v>888</v>
      </c>
      <c r="X1205" s="3">
        <v>1416</v>
      </c>
      <c r="Y1205" s="3">
        <v>606</v>
      </c>
      <c r="Z1205" s="3">
        <v>300</v>
      </c>
      <c r="AA1205" s="3">
        <v>768</v>
      </c>
      <c r="AB1205" s="3">
        <v>894</v>
      </c>
      <c r="AC1205" s="3">
        <v>270</v>
      </c>
      <c r="AD1205" s="3">
        <v>666</v>
      </c>
      <c r="AE1205" s="3">
        <v>1086</v>
      </c>
      <c r="AF1205" s="3">
        <v>2088</v>
      </c>
      <c r="AG1205" s="3">
        <v>3018</v>
      </c>
      <c r="AH1205" s="3">
        <v>1458</v>
      </c>
      <c r="AI1205" s="3">
        <v>768</v>
      </c>
      <c r="AJ1205" s="3">
        <v>1680</v>
      </c>
      <c r="AK1205" s="3">
        <v>360</v>
      </c>
      <c r="AL1205" s="3">
        <v>1506</v>
      </c>
      <c r="AM1205" s="3">
        <v>498</v>
      </c>
      <c r="AN1205" s="3">
        <v>1518</v>
      </c>
      <c r="AO1205" s="3">
        <v>96</v>
      </c>
      <c r="AP1205" s="3">
        <v>1386</v>
      </c>
      <c r="AQ1205" s="3">
        <v>240</v>
      </c>
      <c r="AR1205" s="3">
        <v>1224</v>
      </c>
      <c r="AS1205" s="3">
        <v>984</v>
      </c>
      <c r="AT1205" s="3">
        <v>1656</v>
      </c>
      <c r="AU1205" s="3">
        <v>1116</v>
      </c>
      <c r="AV1205" s="3">
        <v>558</v>
      </c>
      <c r="AW1205" s="3">
        <v>1746</v>
      </c>
    </row>
    <row r="1206" spans="1:49">
      <c r="A1206" s="4" t="s">
        <v>40</v>
      </c>
      <c r="B1206" s="4" t="str">
        <f t="shared" si="18"/>
        <v>Hair Care</v>
      </c>
      <c r="C1206" s="4" t="s">
        <v>1786</v>
      </c>
      <c r="D1206" s="4" t="s">
        <v>579</v>
      </c>
      <c r="E1206" s="24" t="s">
        <v>125</v>
      </c>
      <c r="F1206" s="12" t="s">
        <v>209</v>
      </c>
      <c r="G1206" s="4" t="s">
        <v>1787</v>
      </c>
      <c r="H1206" s="3">
        <v>0</v>
      </c>
      <c r="I1206" s="3">
        <v>0</v>
      </c>
      <c r="J1206" s="3">
        <v>48</v>
      </c>
      <c r="K1206" s="3">
        <v>24</v>
      </c>
      <c r="L1206" s="3">
        <v>84</v>
      </c>
      <c r="M1206" s="3">
        <v>48</v>
      </c>
      <c r="N1206" s="3">
        <v>60</v>
      </c>
      <c r="O1206" s="3">
        <v>36</v>
      </c>
      <c r="P1206" s="3">
        <v>12</v>
      </c>
      <c r="Q1206" s="3">
        <v>24</v>
      </c>
      <c r="R1206" s="3">
        <v>12</v>
      </c>
      <c r="S1206" s="3">
        <v>84</v>
      </c>
      <c r="T1206" s="3">
        <v>144</v>
      </c>
      <c r="U1206" s="3">
        <v>60</v>
      </c>
      <c r="V1206" s="3">
        <v>24</v>
      </c>
      <c r="W1206" s="3">
        <v>36</v>
      </c>
      <c r="X1206" s="3">
        <v>48</v>
      </c>
      <c r="Y1206" s="3">
        <v>48</v>
      </c>
      <c r="Z1206" s="3">
        <v>48</v>
      </c>
      <c r="AA1206" s="3">
        <v>48</v>
      </c>
      <c r="AB1206" s="3">
        <v>60</v>
      </c>
      <c r="AC1206" s="3">
        <v>0</v>
      </c>
      <c r="AD1206" s="3">
        <v>36</v>
      </c>
      <c r="AE1206" s="3">
        <v>48</v>
      </c>
      <c r="AF1206" s="3">
        <v>84</v>
      </c>
      <c r="AG1206" s="3">
        <v>84</v>
      </c>
      <c r="AH1206" s="3">
        <v>0</v>
      </c>
      <c r="AI1206" s="3">
        <v>48</v>
      </c>
      <c r="AJ1206" s="3">
        <v>48</v>
      </c>
      <c r="AK1206" s="3">
        <v>48</v>
      </c>
      <c r="AL1206" s="3">
        <v>24</v>
      </c>
      <c r="AM1206" s="3">
        <v>24</v>
      </c>
      <c r="AN1206" s="3">
        <v>96</v>
      </c>
      <c r="AO1206" s="3">
        <v>24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</row>
    <row r="1207" spans="1:49">
      <c r="A1207" s="4" t="s">
        <v>40</v>
      </c>
      <c r="B1207" s="4" t="str">
        <f t="shared" si="18"/>
        <v>Hair Care</v>
      </c>
      <c r="C1207" s="4" t="s">
        <v>1786</v>
      </c>
      <c r="D1207" s="4" t="s">
        <v>579</v>
      </c>
      <c r="E1207" s="24" t="s">
        <v>125</v>
      </c>
      <c r="F1207" s="12" t="s">
        <v>210</v>
      </c>
      <c r="G1207" s="4" t="s">
        <v>1787</v>
      </c>
      <c r="H1207" s="3">
        <v>0</v>
      </c>
      <c r="I1207" s="3">
        <v>0</v>
      </c>
      <c r="J1207" s="3">
        <v>24</v>
      </c>
      <c r="K1207" s="3">
        <v>0</v>
      </c>
      <c r="L1207" s="3">
        <v>36</v>
      </c>
      <c r="M1207" s="3">
        <v>0</v>
      </c>
      <c r="N1207" s="3">
        <v>0</v>
      </c>
      <c r="O1207" s="3">
        <v>24</v>
      </c>
      <c r="P1207" s="3">
        <v>12</v>
      </c>
      <c r="Q1207" s="3">
        <v>96</v>
      </c>
      <c r="R1207" s="3">
        <v>12</v>
      </c>
      <c r="S1207" s="3">
        <v>36</v>
      </c>
      <c r="T1207" s="3">
        <v>84</v>
      </c>
      <c r="U1207" s="3">
        <v>12</v>
      </c>
      <c r="V1207" s="3">
        <v>36</v>
      </c>
      <c r="W1207" s="3">
        <v>12</v>
      </c>
      <c r="X1207" s="3">
        <v>168</v>
      </c>
      <c r="Y1207" s="3">
        <v>60</v>
      </c>
      <c r="Z1207" s="3">
        <v>12</v>
      </c>
      <c r="AA1207" s="3">
        <v>24</v>
      </c>
      <c r="AB1207" s="3">
        <v>60</v>
      </c>
      <c r="AC1207" s="3">
        <v>0</v>
      </c>
      <c r="AD1207" s="3">
        <v>36</v>
      </c>
      <c r="AE1207" s="3">
        <v>12</v>
      </c>
      <c r="AF1207" s="3">
        <v>60</v>
      </c>
      <c r="AG1207" s="3">
        <v>48</v>
      </c>
      <c r="AH1207" s="3">
        <v>156</v>
      </c>
      <c r="AI1207" s="3">
        <v>24</v>
      </c>
      <c r="AJ1207" s="3">
        <v>132</v>
      </c>
      <c r="AK1207" s="3">
        <v>0</v>
      </c>
      <c r="AL1207" s="3">
        <v>60</v>
      </c>
      <c r="AM1207" s="3">
        <v>48</v>
      </c>
      <c r="AN1207" s="3">
        <v>12</v>
      </c>
      <c r="AO1207" s="3">
        <v>12</v>
      </c>
      <c r="AP1207" s="3">
        <v>24</v>
      </c>
      <c r="AQ1207" s="3">
        <v>0</v>
      </c>
      <c r="AR1207" s="3">
        <v>0</v>
      </c>
      <c r="AS1207" s="3">
        <v>0</v>
      </c>
      <c r="AT1207" s="3">
        <v>120</v>
      </c>
      <c r="AU1207" s="3">
        <v>156</v>
      </c>
      <c r="AV1207" s="3">
        <v>912</v>
      </c>
      <c r="AW1207" s="3">
        <v>0</v>
      </c>
    </row>
    <row r="1208" spans="1:49">
      <c r="A1208" s="4" t="s">
        <v>40</v>
      </c>
      <c r="B1208" s="4" t="str">
        <f t="shared" si="18"/>
        <v>Hair Care</v>
      </c>
      <c r="C1208" s="4" t="s">
        <v>1786</v>
      </c>
      <c r="D1208" s="4" t="s">
        <v>579</v>
      </c>
      <c r="E1208" s="24" t="s">
        <v>125</v>
      </c>
      <c r="F1208" s="12" t="s">
        <v>211</v>
      </c>
      <c r="G1208" s="4" t="s">
        <v>1787</v>
      </c>
      <c r="H1208" s="3">
        <v>0</v>
      </c>
      <c r="I1208" s="3">
        <v>24</v>
      </c>
      <c r="J1208" s="3">
        <v>60</v>
      </c>
      <c r="K1208" s="3">
        <v>0</v>
      </c>
      <c r="L1208" s="3">
        <v>12</v>
      </c>
      <c r="M1208" s="3">
        <v>72</v>
      </c>
      <c r="N1208" s="3">
        <v>0</v>
      </c>
      <c r="O1208" s="3">
        <v>24</v>
      </c>
      <c r="P1208" s="3">
        <v>24</v>
      </c>
      <c r="Q1208" s="3">
        <v>12</v>
      </c>
      <c r="R1208" s="3">
        <v>84</v>
      </c>
      <c r="S1208" s="3">
        <v>72</v>
      </c>
      <c r="T1208" s="3">
        <v>72</v>
      </c>
      <c r="U1208" s="3">
        <v>12</v>
      </c>
      <c r="V1208" s="3">
        <v>72</v>
      </c>
      <c r="W1208" s="3">
        <v>24</v>
      </c>
      <c r="X1208" s="3">
        <v>12</v>
      </c>
      <c r="Y1208" s="3">
        <v>60</v>
      </c>
      <c r="Z1208" s="3">
        <v>24</v>
      </c>
      <c r="AA1208" s="3">
        <v>12</v>
      </c>
      <c r="AB1208" s="3">
        <v>0</v>
      </c>
      <c r="AC1208" s="3">
        <v>48</v>
      </c>
      <c r="AD1208" s="3">
        <v>0</v>
      </c>
      <c r="AE1208" s="3">
        <v>0</v>
      </c>
      <c r="AF1208" s="3">
        <v>0</v>
      </c>
      <c r="AG1208" s="3">
        <v>48</v>
      </c>
      <c r="AH1208" s="3">
        <v>180</v>
      </c>
      <c r="AI1208" s="3">
        <v>36</v>
      </c>
      <c r="AJ1208" s="3">
        <v>60</v>
      </c>
      <c r="AK1208" s="3">
        <v>96</v>
      </c>
      <c r="AL1208" s="3">
        <v>156</v>
      </c>
      <c r="AM1208" s="3">
        <v>24</v>
      </c>
      <c r="AN1208" s="3">
        <v>0</v>
      </c>
      <c r="AO1208" s="3">
        <v>12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</row>
    <row r="1209" spans="1:49">
      <c r="A1209" s="4" t="s">
        <v>40</v>
      </c>
      <c r="B1209" s="4" t="str">
        <f t="shared" si="18"/>
        <v>Hair Care</v>
      </c>
      <c r="C1209" s="4" t="s">
        <v>1786</v>
      </c>
      <c r="D1209" s="4" t="s">
        <v>579</v>
      </c>
      <c r="E1209" s="24" t="s">
        <v>125</v>
      </c>
      <c r="F1209" s="12" t="s">
        <v>212</v>
      </c>
      <c r="G1209" s="4" t="s">
        <v>1787</v>
      </c>
      <c r="H1209" s="3">
        <v>0</v>
      </c>
      <c r="I1209" s="3">
        <v>84</v>
      </c>
      <c r="J1209" s="3">
        <v>72</v>
      </c>
      <c r="K1209" s="3">
        <v>36</v>
      </c>
      <c r="L1209" s="3">
        <v>132</v>
      </c>
      <c r="M1209" s="3">
        <v>36</v>
      </c>
      <c r="N1209" s="3">
        <v>36</v>
      </c>
      <c r="O1209" s="3">
        <v>72</v>
      </c>
      <c r="P1209" s="3">
        <v>84</v>
      </c>
      <c r="Q1209" s="3">
        <v>12</v>
      </c>
      <c r="R1209" s="3">
        <v>108</v>
      </c>
      <c r="S1209" s="3">
        <v>48</v>
      </c>
      <c r="T1209" s="3">
        <v>24</v>
      </c>
      <c r="U1209" s="3">
        <v>72</v>
      </c>
      <c r="V1209" s="3">
        <v>84</v>
      </c>
      <c r="W1209" s="3">
        <v>72</v>
      </c>
      <c r="X1209" s="3">
        <v>84</v>
      </c>
      <c r="Y1209" s="3">
        <v>156</v>
      </c>
      <c r="Z1209" s="3">
        <v>36</v>
      </c>
      <c r="AA1209" s="3">
        <v>12</v>
      </c>
      <c r="AB1209" s="3">
        <v>72</v>
      </c>
      <c r="AC1209" s="3">
        <v>0</v>
      </c>
      <c r="AD1209" s="3">
        <v>24</v>
      </c>
      <c r="AE1209" s="3">
        <v>60</v>
      </c>
      <c r="AF1209" s="3">
        <v>0</v>
      </c>
      <c r="AG1209" s="3">
        <v>108</v>
      </c>
      <c r="AH1209" s="3">
        <v>60</v>
      </c>
      <c r="AI1209" s="3">
        <v>24</v>
      </c>
      <c r="AJ1209" s="3">
        <v>48</v>
      </c>
      <c r="AK1209" s="3">
        <v>96</v>
      </c>
      <c r="AL1209" s="3">
        <v>36</v>
      </c>
      <c r="AM1209" s="3">
        <v>72</v>
      </c>
      <c r="AN1209" s="3">
        <v>132</v>
      </c>
      <c r="AO1209" s="3">
        <v>12</v>
      </c>
      <c r="AP1209" s="3">
        <v>60</v>
      </c>
      <c r="AQ1209" s="3">
        <v>-12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</row>
    <row r="1210" spans="1:49">
      <c r="A1210" s="4" t="s">
        <v>40</v>
      </c>
      <c r="B1210" s="4" t="str">
        <f t="shared" si="18"/>
        <v>Hair Care</v>
      </c>
      <c r="C1210" s="4" t="s">
        <v>1786</v>
      </c>
      <c r="D1210" s="4" t="s">
        <v>579</v>
      </c>
      <c r="E1210" s="24" t="s">
        <v>125</v>
      </c>
      <c r="F1210" s="12" t="s">
        <v>213</v>
      </c>
      <c r="G1210" s="4" t="s">
        <v>1787</v>
      </c>
      <c r="H1210" s="3">
        <v>0</v>
      </c>
      <c r="I1210" s="3">
        <v>24</v>
      </c>
      <c r="J1210" s="3">
        <v>24</v>
      </c>
      <c r="K1210" s="3">
        <v>0</v>
      </c>
      <c r="L1210" s="3">
        <v>48</v>
      </c>
      <c r="M1210" s="3">
        <v>48</v>
      </c>
      <c r="N1210" s="3">
        <v>36</v>
      </c>
      <c r="O1210" s="3">
        <v>48</v>
      </c>
      <c r="P1210" s="3">
        <v>24</v>
      </c>
      <c r="Q1210" s="3">
        <v>36</v>
      </c>
      <c r="R1210" s="3">
        <v>48</v>
      </c>
      <c r="S1210" s="3">
        <v>36</v>
      </c>
      <c r="T1210" s="3">
        <v>84</v>
      </c>
      <c r="U1210" s="3">
        <v>48</v>
      </c>
      <c r="V1210" s="3">
        <v>84</v>
      </c>
      <c r="W1210" s="3">
        <v>12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</row>
    <row r="1211" spans="1:49">
      <c r="A1211" s="4" t="s">
        <v>40</v>
      </c>
      <c r="B1211" s="4" t="str">
        <f t="shared" si="18"/>
        <v>Hair Care</v>
      </c>
      <c r="C1211" s="4" t="s">
        <v>1786</v>
      </c>
      <c r="D1211" s="4" t="s">
        <v>579</v>
      </c>
      <c r="E1211" s="24" t="s">
        <v>125</v>
      </c>
      <c r="F1211" s="12" t="s">
        <v>214</v>
      </c>
      <c r="G1211" s="4" t="s">
        <v>1787</v>
      </c>
      <c r="H1211" s="3">
        <v>0</v>
      </c>
      <c r="I1211" s="3">
        <v>0</v>
      </c>
      <c r="J1211" s="3">
        <v>1128</v>
      </c>
      <c r="K1211" s="3">
        <v>12</v>
      </c>
      <c r="L1211" s="3">
        <v>0</v>
      </c>
      <c r="M1211" s="3">
        <v>0</v>
      </c>
      <c r="N1211" s="3">
        <v>0</v>
      </c>
      <c r="O1211" s="3">
        <v>12</v>
      </c>
      <c r="P1211" s="3">
        <v>12</v>
      </c>
      <c r="Q1211" s="3">
        <v>12</v>
      </c>
      <c r="R1211" s="3">
        <v>12</v>
      </c>
      <c r="S1211" s="3">
        <v>0</v>
      </c>
      <c r="T1211" s="3">
        <v>84</v>
      </c>
      <c r="U1211" s="3">
        <v>24</v>
      </c>
      <c r="V1211" s="3">
        <v>12</v>
      </c>
      <c r="W1211" s="3">
        <v>12</v>
      </c>
      <c r="X1211" s="3">
        <v>12</v>
      </c>
      <c r="Y1211" s="3">
        <v>36</v>
      </c>
      <c r="Z1211" s="3">
        <v>12</v>
      </c>
      <c r="AA1211" s="3">
        <v>0</v>
      </c>
      <c r="AB1211" s="3">
        <v>12</v>
      </c>
      <c r="AC1211" s="3">
        <v>12</v>
      </c>
      <c r="AD1211" s="3">
        <v>0</v>
      </c>
      <c r="AE1211" s="3">
        <v>24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</row>
    <row r="1212" spans="1:49">
      <c r="A1212" s="4" t="s">
        <v>40</v>
      </c>
      <c r="B1212" s="4" t="str">
        <f t="shared" si="18"/>
        <v>Hair Care</v>
      </c>
      <c r="C1212" s="4" t="s">
        <v>1786</v>
      </c>
      <c r="D1212" s="4" t="s">
        <v>579</v>
      </c>
      <c r="E1212" s="24" t="s">
        <v>125</v>
      </c>
      <c r="F1212" s="12" t="s">
        <v>215</v>
      </c>
      <c r="G1212" s="4" t="s">
        <v>1787</v>
      </c>
      <c r="H1212" s="3">
        <v>0</v>
      </c>
      <c r="I1212" s="3">
        <v>0</v>
      </c>
      <c r="J1212" s="3">
        <v>84</v>
      </c>
      <c r="K1212" s="3">
        <v>12</v>
      </c>
      <c r="L1212" s="3">
        <v>108</v>
      </c>
      <c r="M1212" s="3">
        <v>24</v>
      </c>
      <c r="N1212" s="3">
        <v>12</v>
      </c>
      <c r="O1212" s="3">
        <v>36</v>
      </c>
      <c r="P1212" s="3">
        <v>24</v>
      </c>
      <c r="Q1212" s="3">
        <v>48</v>
      </c>
      <c r="R1212" s="3">
        <v>24</v>
      </c>
      <c r="S1212" s="3">
        <v>72</v>
      </c>
      <c r="T1212" s="3">
        <v>12</v>
      </c>
      <c r="U1212" s="3">
        <v>60</v>
      </c>
      <c r="V1212" s="3">
        <v>24</v>
      </c>
      <c r="W1212" s="3">
        <v>48</v>
      </c>
      <c r="X1212" s="3">
        <v>84</v>
      </c>
      <c r="Y1212" s="3">
        <v>48</v>
      </c>
      <c r="Z1212" s="3">
        <v>12</v>
      </c>
      <c r="AA1212" s="3">
        <v>0</v>
      </c>
      <c r="AB1212" s="3">
        <v>48</v>
      </c>
      <c r="AC1212" s="3">
        <v>12</v>
      </c>
      <c r="AD1212" s="3">
        <v>12</v>
      </c>
      <c r="AE1212" s="3">
        <v>96</v>
      </c>
      <c r="AF1212" s="3">
        <v>72</v>
      </c>
      <c r="AG1212" s="3">
        <v>48</v>
      </c>
      <c r="AH1212" s="3">
        <v>60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</row>
    <row r="1213" spans="1:49">
      <c r="A1213" s="4" t="s">
        <v>40</v>
      </c>
      <c r="B1213" s="4" t="str">
        <f t="shared" si="18"/>
        <v>Hair Care</v>
      </c>
      <c r="C1213" s="4" t="s">
        <v>1786</v>
      </c>
      <c r="D1213" s="4" t="s">
        <v>579</v>
      </c>
      <c r="E1213" s="24" t="s">
        <v>125</v>
      </c>
      <c r="F1213" s="12" t="s">
        <v>216</v>
      </c>
      <c r="G1213" s="4" t="s">
        <v>1787</v>
      </c>
      <c r="H1213" s="3">
        <v>0</v>
      </c>
      <c r="I1213" s="3">
        <v>0</v>
      </c>
      <c r="J1213" s="3">
        <v>384</v>
      </c>
      <c r="K1213" s="3">
        <v>264</v>
      </c>
      <c r="L1213" s="3">
        <v>2298</v>
      </c>
      <c r="M1213" s="3">
        <v>2964</v>
      </c>
      <c r="N1213" s="3">
        <v>738</v>
      </c>
      <c r="O1213" s="3">
        <v>318</v>
      </c>
      <c r="P1213" s="3">
        <v>462</v>
      </c>
      <c r="Q1213" s="3">
        <v>1356</v>
      </c>
      <c r="R1213" s="3">
        <v>654</v>
      </c>
      <c r="S1213" s="3">
        <v>720</v>
      </c>
      <c r="T1213" s="3">
        <v>924</v>
      </c>
      <c r="U1213" s="3">
        <v>810</v>
      </c>
      <c r="V1213" s="3">
        <v>1242</v>
      </c>
      <c r="W1213" s="3">
        <v>954</v>
      </c>
      <c r="X1213" s="3">
        <v>1104</v>
      </c>
      <c r="Y1213" s="3">
        <v>606</v>
      </c>
      <c r="Z1213" s="3">
        <v>444</v>
      </c>
      <c r="AA1213" s="3">
        <v>954</v>
      </c>
      <c r="AB1213" s="3">
        <v>1050</v>
      </c>
      <c r="AC1213" s="3">
        <v>210</v>
      </c>
      <c r="AD1213" s="3">
        <v>588</v>
      </c>
      <c r="AE1213" s="3">
        <v>768</v>
      </c>
      <c r="AF1213" s="3">
        <v>1776</v>
      </c>
      <c r="AG1213" s="3">
        <v>2148</v>
      </c>
      <c r="AH1213" s="3">
        <v>1416</v>
      </c>
      <c r="AI1213" s="3">
        <v>540</v>
      </c>
      <c r="AJ1213" s="3">
        <v>1728</v>
      </c>
      <c r="AK1213" s="3">
        <v>504</v>
      </c>
      <c r="AL1213" s="3">
        <v>1014</v>
      </c>
      <c r="AM1213" s="3">
        <v>336</v>
      </c>
      <c r="AN1213" s="3">
        <v>624</v>
      </c>
      <c r="AO1213" s="3">
        <v>2862</v>
      </c>
      <c r="AP1213" s="3">
        <v>408</v>
      </c>
      <c r="AQ1213" s="3">
        <v>1350</v>
      </c>
      <c r="AR1213" s="3">
        <v>684</v>
      </c>
      <c r="AS1213" s="3">
        <v>1008</v>
      </c>
      <c r="AT1213" s="3">
        <v>954</v>
      </c>
      <c r="AU1213" s="3">
        <v>798</v>
      </c>
      <c r="AV1213" s="3">
        <v>144</v>
      </c>
      <c r="AW1213" s="3">
        <v>864</v>
      </c>
    </row>
    <row r="1214" spans="1:49">
      <c r="A1214" s="4" t="s">
        <v>40</v>
      </c>
      <c r="B1214" s="4" t="str">
        <f t="shared" si="18"/>
        <v>Hair Care</v>
      </c>
      <c r="C1214" s="4" t="s">
        <v>1786</v>
      </c>
      <c r="D1214" s="4" t="s">
        <v>579</v>
      </c>
      <c r="E1214" s="24" t="s">
        <v>125</v>
      </c>
      <c r="F1214" s="12" t="s">
        <v>217</v>
      </c>
      <c r="G1214" s="4" t="s">
        <v>1787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6</v>
      </c>
      <c r="U1214" s="3">
        <v>177</v>
      </c>
      <c r="V1214" s="3">
        <v>0</v>
      </c>
      <c r="W1214" s="3">
        <v>0</v>
      </c>
      <c r="X1214" s="3">
        <v>24</v>
      </c>
      <c r="Y1214" s="3">
        <v>66</v>
      </c>
      <c r="Z1214" s="3">
        <v>18</v>
      </c>
      <c r="AA1214" s="3">
        <v>69</v>
      </c>
      <c r="AB1214" s="3">
        <v>30</v>
      </c>
      <c r="AC1214" s="3">
        <v>9</v>
      </c>
      <c r="AD1214" s="3">
        <v>15</v>
      </c>
      <c r="AE1214" s="3">
        <v>12</v>
      </c>
      <c r="AF1214" s="3">
        <v>54</v>
      </c>
      <c r="AG1214" s="3">
        <v>24</v>
      </c>
      <c r="AH1214" s="3">
        <v>507</v>
      </c>
      <c r="AI1214" s="3">
        <v>138</v>
      </c>
      <c r="AJ1214" s="3">
        <v>30</v>
      </c>
      <c r="AK1214" s="3">
        <v>63</v>
      </c>
      <c r="AL1214" s="3">
        <v>3</v>
      </c>
      <c r="AM1214" s="3">
        <v>6</v>
      </c>
      <c r="AN1214" s="3">
        <v>6</v>
      </c>
      <c r="AO1214" s="3">
        <v>15</v>
      </c>
      <c r="AP1214" s="3">
        <v>3</v>
      </c>
      <c r="AQ1214" s="3">
        <v>0</v>
      </c>
      <c r="AR1214" s="3">
        <v>0</v>
      </c>
      <c r="AS1214" s="3">
        <v>48</v>
      </c>
      <c r="AT1214" s="3">
        <v>48</v>
      </c>
      <c r="AU1214" s="3">
        <v>75</v>
      </c>
      <c r="AV1214" s="3">
        <v>87</v>
      </c>
      <c r="AW1214" s="3">
        <v>72</v>
      </c>
    </row>
    <row r="1215" spans="1:49">
      <c r="A1215" s="4" t="s">
        <v>40</v>
      </c>
      <c r="B1215" s="4" t="str">
        <f t="shared" si="18"/>
        <v>Hair Care</v>
      </c>
      <c r="C1215" s="4" t="s">
        <v>1786</v>
      </c>
      <c r="D1215" s="4" t="s">
        <v>579</v>
      </c>
      <c r="E1215" s="24" t="s">
        <v>125</v>
      </c>
      <c r="F1215" s="12" t="s">
        <v>218</v>
      </c>
      <c r="G1215" s="4" t="s">
        <v>1787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3552</v>
      </c>
      <c r="X1215" s="3">
        <v>1944</v>
      </c>
      <c r="Y1215" s="3">
        <v>480</v>
      </c>
      <c r="Z1215" s="3">
        <v>1586</v>
      </c>
      <c r="AA1215" s="3">
        <v>540</v>
      </c>
      <c r="AB1215" s="3">
        <v>1392</v>
      </c>
      <c r="AC1215" s="3">
        <v>72</v>
      </c>
      <c r="AD1215" s="3">
        <v>204</v>
      </c>
      <c r="AE1215" s="3">
        <v>348</v>
      </c>
      <c r="AF1215" s="3">
        <v>948</v>
      </c>
      <c r="AG1215" s="3">
        <v>2616</v>
      </c>
      <c r="AH1215" s="3">
        <v>3906</v>
      </c>
      <c r="AI1215" s="3">
        <v>276</v>
      </c>
      <c r="AJ1215" s="3">
        <v>3102</v>
      </c>
      <c r="AK1215" s="3">
        <v>972</v>
      </c>
      <c r="AL1215" s="3">
        <v>2508</v>
      </c>
      <c r="AM1215" s="3">
        <v>360</v>
      </c>
      <c r="AN1215" s="3">
        <v>6732</v>
      </c>
      <c r="AO1215" s="3">
        <v>2484</v>
      </c>
      <c r="AP1215" s="3">
        <v>438</v>
      </c>
      <c r="AQ1215" s="3">
        <v>1950</v>
      </c>
      <c r="AR1215" s="3">
        <v>1632</v>
      </c>
      <c r="AS1215" s="3">
        <v>4284</v>
      </c>
      <c r="AT1215" s="3">
        <v>1944</v>
      </c>
      <c r="AU1215" s="3">
        <v>1062</v>
      </c>
      <c r="AV1215" s="3">
        <v>4584</v>
      </c>
      <c r="AW1215" s="3">
        <v>3660</v>
      </c>
    </row>
    <row r="1216" spans="1:49">
      <c r="A1216" s="4" t="s">
        <v>40</v>
      </c>
      <c r="B1216" s="4" t="str">
        <f t="shared" si="18"/>
        <v>Hair Care</v>
      </c>
      <c r="C1216" s="4" t="s">
        <v>1786</v>
      </c>
      <c r="D1216" s="4" t="s">
        <v>579</v>
      </c>
      <c r="E1216" s="24" t="s">
        <v>125</v>
      </c>
      <c r="F1216" s="12" t="s">
        <v>219</v>
      </c>
      <c r="G1216" s="4" t="s">
        <v>1787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1764</v>
      </c>
      <c r="X1216" s="3">
        <v>708</v>
      </c>
      <c r="Y1216" s="3">
        <v>144</v>
      </c>
      <c r="Z1216" s="3">
        <v>168</v>
      </c>
      <c r="AA1216" s="3">
        <v>420</v>
      </c>
      <c r="AB1216" s="3">
        <v>630</v>
      </c>
      <c r="AC1216" s="3">
        <v>138</v>
      </c>
      <c r="AD1216" s="3">
        <v>120</v>
      </c>
      <c r="AE1216" s="3">
        <v>288</v>
      </c>
      <c r="AF1216" s="3">
        <v>1224</v>
      </c>
      <c r="AG1216" s="3">
        <v>108</v>
      </c>
      <c r="AH1216" s="3">
        <v>120</v>
      </c>
      <c r="AI1216" s="3">
        <v>84</v>
      </c>
      <c r="AJ1216" s="3">
        <v>96</v>
      </c>
      <c r="AK1216" s="3">
        <v>420</v>
      </c>
      <c r="AL1216" s="3">
        <v>1002</v>
      </c>
      <c r="AM1216" s="3">
        <v>234</v>
      </c>
      <c r="AN1216" s="3">
        <v>36</v>
      </c>
      <c r="AO1216" s="3">
        <v>588</v>
      </c>
      <c r="AP1216" s="3">
        <v>1398</v>
      </c>
      <c r="AQ1216" s="3">
        <v>852</v>
      </c>
      <c r="AR1216" s="3">
        <v>1098</v>
      </c>
      <c r="AS1216" s="3">
        <v>1050</v>
      </c>
      <c r="AT1216" s="3">
        <v>528</v>
      </c>
      <c r="AU1216" s="3">
        <v>198</v>
      </c>
      <c r="AV1216" s="3">
        <v>546</v>
      </c>
      <c r="AW1216" s="3">
        <v>456</v>
      </c>
    </row>
    <row r="1217" spans="1:49">
      <c r="A1217" s="4" t="s">
        <v>40</v>
      </c>
      <c r="B1217" s="4" t="str">
        <f t="shared" si="18"/>
        <v>Hair Care</v>
      </c>
      <c r="C1217" s="4" t="s">
        <v>1786</v>
      </c>
      <c r="D1217" s="4" t="s">
        <v>579</v>
      </c>
      <c r="E1217" s="24" t="s">
        <v>125</v>
      </c>
      <c r="F1217" s="12" t="s">
        <v>220</v>
      </c>
      <c r="G1217" s="4" t="s">
        <v>1787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3540</v>
      </c>
      <c r="X1217" s="3">
        <v>1896</v>
      </c>
      <c r="Y1217" s="3">
        <v>480</v>
      </c>
      <c r="Z1217" s="3">
        <v>1694</v>
      </c>
      <c r="AA1217" s="3">
        <v>372</v>
      </c>
      <c r="AB1217" s="3">
        <v>1194</v>
      </c>
      <c r="AC1217" s="3">
        <v>198</v>
      </c>
      <c r="AD1217" s="3">
        <v>444</v>
      </c>
      <c r="AE1217" s="3">
        <v>600</v>
      </c>
      <c r="AF1217" s="3">
        <v>1812</v>
      </c>
      <c r="AG1217" s="3">
        <v>2544</v>
      </c>
      <c r="AH1217" s="3">
        <v>528</v>
      </c>
      <c r="AI1217" s="3">
        <v>228</v>
      </c>
      <c r="AJ1217" s="3">
        <v>300</v>
      </c>
      <c r="AK1217" s="3">
        <v>828</v>
      </c>
      <c r="AL1217" s="3">
        <v>1278</v>
      </c>
      <c r="AM1217" s="3">
        <v>330</v>
      </c>
      <c r="AN1217" s="3">
        <v>216</v>
      </c>
      <c r="AO1217" s="3">
        <v>636</v>
      </c>
      <c r="AP1217" s="3">
        <v>1674</v>
      </c>
      <c r="AQ1217" s="3">
        <v>984</v>
      </c>
      <c r="AR1217" s="3">
        <v>1338</v>
      </c>
      <c r="AS1217" s="3">
        <v>1326</v>
      </c>
      <c r="AT1217" s="3">
        <v>1200</v>
      </c>
      <c r="AU1217" s="3">
        <v>366</v>
      </c>
      <c r="AV1217" s="3">
        <v>522</v>
      </c>
      <c r="AW1217" s="3">
        <v>456</v>
      </c>
    </row>
    <row r="1218" spans="1:49">
      <c r="A1218" s="4" t="s">
        <v>40</v>
      </c>
      <c r="B1218" s="4" t="str">
        <f t="shared" si="18"/>
        <v>Hair Care</v>
      </c>
      <c r="C1218" s="4" t="s">
        <v>1786</v>
      </c>
      <c r="D1218" s="4" t="s">
        <v>579</v>
      </c>
      <c r="E1218" s="24" t="s">
        <v>125</v>
      </c>
      <c r="F1218" s="12" t="s">
        <v>221</v>
      </c>
      <c r="G1218" s="4" t="s">
        <v>1787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1746</v>
      </c>
      <c r="X1218" s="3">
        <v>834</v>
      </c>
      <c r="Y1218" s="3">
        <v>228</v>
      </c>
      <c r="Z1218" s="3">
        <v>54</v>
      </c>
      <c r="AA1218" s="3">
        <v>42</v>
      </c>
      <c r="AB1218" s="3">
        <v>72</v>
      </c>
      <c r="AC1218" s="3">
        <v>30</v>
      </c>
      <c r="AD1218" s="3">
        <v>162</v>
      </c>
      <c r="AE1218" s="3">
        <v>162</v>
      </c>
      <c r="AF1218" s="3">
        <v>660</v>
      </c>
      <c r="AG1218" s="3">
        <v>78</v>
      </c>
      <c r="AH1218" s="3">
        <v>132</v>
      </c>
      <c r="AI1218" s="3">
        <v>210</v>
      </c>
      <c r="AJ1218" s="3">
        <v>276</v>
      </c>
      <c r="AK1218" s="3">
        <v>360</v>
      </c>
      <c r="AL1218" s="3">
        <v>144</v>
      </c>
      <c r="AM1218" s="3">
        <v>66</v>
      </c>
      <c r="AN1218" s="3">
        <v>72</v>
      </c>
      <c r="AO1218" s="3">
        <v>30</v>
      </c>
      <c r="AP1218" s="3">
        <v>372</v>
      </c>
      <c r="AQ1218" s="3">
        <v>288</v>
      </c>
      <c r="AR1218" s="3">
        <v>204</v>
      </c>
      <c r="AS1218" s="3">
        <v>168</v>
      </c>
      <c r="AT1218" s="3">
        <v>228</v>
      </c>
      <c r="AU1218" s="3">
        <v>318</v>
      </c>
      <c r="AV1218" s="3">
        <v>228</v>
      </c>
      <c r="AW1218" s="3">
        <v>186</v>
      </c>
    </row>
    <row r="1219" spans="1:49">
      <c r="A1219" s="4" t="s">
        <v>40</v>
      </c>
      <c r="B1219" s="4" t="str">
        <f t="shared" ref="B1219:B1282" si="19">A1219</f>
        <v>Hair Care</v>
      </c>
      <c r="C1219" s="4" t="s">
        <v>1786</v>
      </c>
      <c r="D1219" s="4" t="s">
        <v>579</v>
      </c>
      <c r="E1219" s="24" t="s">
        <v>125</v>
      </c>
      <c r="F1219" s="12" t="s">
        <v>222</v>
      </c>
      <c r="G1219" s="4" t="s">
        <v>1787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1164</v>
      </c>
      <c r="AG1219" s="3">
        <v>72</v>
      </c>
      <c r="AH1219" s="3">
        <v>1524</v>
      </c>
      <c r="AI1219" s="3">
        <v>-48</v>
      </c>
      <c r="AJ1219" s="3">
        <v>240</v>
      </c>
      <c r="AK1219" s="3">
        <v>600</v>
      </c>
      <c r="AL1219" s="3">
        <v>324</v>
      </c>
      <c r="AM1219" s="3">
        <v>156</v>
      </c>
      <c r="AN1219" s="3">
        <v>360</v>
      </c>
      <c r="AO1219" s="3">
        <v>372</v>
      </c>
      <c r="AP1219" s="3">
        <v>624</v>
      </c>
      <c r="AQ1219" s="3">
        <v>1008</v>
      </c>
      <c r="AR1219" s="3">
        <v>456</v>
      </c>
      <c r="AS1219" s="3">
        <v>336</v>
      </c>
      <c r="AT1219" s="3">
        <v>348</v>
      </c>
      <c r="AU1219" s="3">
        <v>552</v>
      </c>
      <c r="AV1219" s="3">
        <v>120</v>
      </c>
      <c r="AW1219" s="3">
        <v>132</v>
      </c>
    </row>
    <row r="1220" spans="1:49">
      <c r="A1220" s="4" t="s">
        <v>40</v>
      </c>
      <c r="B1220" s="4" t="str">
        <f t="shared" si="19"/>
        <v>Hair Care</v>
      </c>
      <c r="C1220" s="4" t="s">
        <v>1786</v>
      </c>
      <c r="D1220" s="4" t="s">
        <v>579</v>
      </c>
      <c r="E1220" s="24" t="s">
        <v>125</v>
      </c>
      <c r="F1220" s="12" t="s">
        <v>223</v>
      </c>
      <c r="G1220" s="4" t="s">
        <v>1787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996</v>
      </c>
      <c r="AG1220" s="3">
        <v>72</v>
      </c>
      <c r="AH1220" s="3">
        <v>3834</v>
      </c>
      <c r="AI1220" s="3">
        <v>-12</v>
      </c>
      <c r="AJ1220" s="3">
        <v>3126</v>
      </c>
      <c r="AK1220" s="3">
        <v>636</v>
      </c>
      <c r="AL1220" s="3">
        <v>2436</v>
      </c>
      <c r="AM1220" s="3">
        <v>720</v>
      </c>
      <c r="AN1220" s="3">
        <v>6780</v>
      </c>
      <c r="AO1220" s="3">
        <v>2640</v>
      </c>
      <c r="AP1220" s="3">
        <v>378</v>
      </c>
      <c r="AQ1220" s="3">
        <v>1818</v>
      </c>
      <c r="AR1220" s="3">
        <v>1704</v>
      </c>
      <c r="AS1220" s="3">
        <v>3660</v>
      </c>
      <c r="AT1220" s="3">
        <v>1980</v>
      </c>
      <c r="AU1220" s="3">
        <v>1098</v>
      </c>
      <c r="AV1220" s="3">
        <v>1500</v>
      </c>
      <c r="AW1220" s="3">
        <v>3624</v>
      </c>
    </row>
    <row r="1221" spans="1:49">
      <c r="A1221" s="4" t="s">
        <v>40</v>
      </c>
      <c r="B1221" s="4" t="str">
        <f t="shared" si="19"/>
        <v>Hair Care</v>
      </c>
      <c r="C1221" s="4" t="s">
        <v>1786</v>
      </c>
      <c r="D1221" s="4" t="s">
        <v>579</v>
      </c>
      <c r="E1221" s="24" t="s">
        <v>125</v>
      </c>
      <c r="F1221" s="12" t="s">
        <v>224</v>
      </c>
      <c r="G1221" s="4" t="s">
        <v>1787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312</v>
      </c>
      <c r="AB1221" s="3">
        <v>132</v>
      </c>
      <c r="AC1221" s="3">
        <v>6</v>
      </c>
      <c r="AD1221" s="3">
        <v>0</v>
      </c>
      <c r="AE1221" s="3">
        <v>12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24</v>
      </c>
      <c r="AR1221" s="3">
        <v>6</v>
      </c>
      <c r="AS1221" s="3">
        <v>0</v>
      </c>
      <c r="AT1221" s="3">
        <v>48</v>
      </c>
      <c r="AU1221" s="3">
        <v>6882</v>
      </c>
      <c r="AV1221" s="3">
        <v>0</v>
      </c>
      <c r="AW1221" s="3">
        <v>0</v>
      </c>
    </row>
    <row r="1222" spans="1:49">
      <c r="A1222" s="4" t="s">
        <v>40</v>
      </c>
      <c r="B1222" s="4" t="str">
        <f t="shared" si="19"/>
        <v>Hair Care</v>
      </c>
      <c r="C1222" s="4" t="s">
        <v>1786</v>
      </c>
      <c r="D1222" s="4" t="s">
        <v>579</v>
      </c>
      <c r="E1222" s="24" t="s">
        <v>125</v>
      </c>
      <c r="F1222" s="12" t="s">
        <v>225</v>
      </c>
      <c r="G1222" s="4" t="s">
        <v>1787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1092</v>
      </c>
      <c r="AE1222" s="3">
        <v>1212</v>
      </c>
      <c r="AF1222" s="3">
        <v>336</v>
      </c>
      <c r="AG1222" s="3">
        <v>132</v>
      </c>
      <c r="AH1222" s="3">
        <v>0</v>
      </c>
      <c r="AI1222" s="3">
        <v>168</v>
      </c>
      <c r="AJ1222" s="3">
        <v>0</v>
      </c>
      <c r="AK1222" s="3">
        <v>744</v>
      </c>
      <c r="AL1222" s="3">
        <v>564</v>
      </c>
      <c r="AM1222" s="3">
        <v>36</v>
      </c>
      <c r="AN1222" s="3">
        <v>324</v>
      </c>
      <c r="AO1222" s="3">
        <v>108</v>
      </c>
      <c r="AP1222" s="3">
        <v>276</v>
      </c>
      <c r="AQ1222" s="3">
        <v>264</v>
      </c>
      <c r="AR1222" s="3">
        <v>144</v>
      </c>
      <c r="AS1222" s="3">
        <v>624</v>
      </c>
      <c r="AT1222" s="3">
        <v>336</v>
      </c>
      <c r="AU1222" s="3">
        <v>636</v>
      </c>
      <c r="AV1222" s="3">
        <v>144</v>
      </c>
      <c r="AW1222" s="3">
        <v>156</v>
      </c>
    </row>
    <row r="1223" spans="1:49">
      <c r="A1223" s="4" t="s">
        <v>40</v>
      </c>
      <c r="B1223" s="4" t="str">
        <f t="shared" si="19"/>
        <v>Hair Care</v>
      </c>
      <c r="C1223" s="4" t="s">
        <v>1786</v>
      </c>
      <c r="D1223" s="4" t="s">
        <v>579</v>
      </c>
      <c r="E1223" s="24" t="s">
        <v>125</v>
      </c>
      <c r="F1223" s="12" t="s">
        <v>226</v>
      </c>
      <c r="G1223" s="4" t="s">
        <v>1787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1152</v>
      </c>
      <c r="AE1223" s="3">
        <v>888</v>
      </c>
      <c r="AF1223" s="3">
        <v>348</v>
      </c>
      <c r="AG1223" s="3">
        <v>132</v>
      </c>
      <c r="AH1223" s="3">
        <v>108</v>
      </c>
      <c r="AI1223" s="3">
        <v>312</v>
      </c>
      <c r="AJ1223" s="3">
        <v>156</v>
      </c>
      <c r="AK1223" s="3">
        <v>468</v>
      </c>
      <c r="AL1223" s="3">
        <v>204</v>
      </c>
      <c r="AM1223" s="3">
        <v>60</v>
      </c>
      <c r="AN1223" s="3">
        <v>180</v>
      </c>
      <c r="AO1223" s="3">
        <v>72</v>
      </c>
      <c r="AP1223" s="3">
        <v>300</v>
      </c>
      <c r="AQ1223" s="3">
        <v>324</v>
      </c>
      <c r="AR1223" s="3">
        <v>168</v>
      </c>
      <c r="AS1223" s="3">
        <v>300</v>
      </c>
      <c r="AT1223" s="3">
        <v>252</v>
      </c>
      <c r="AU1223" s="3">
        <v>84</v>
      </c>
      <c r="AV1223" s="3">
        <v>120</v>
      </c>
      <c r="AW1223" s="3">
        <v>108</v>
      </c>
    </row>
    <row r="1224" spans="1:49">
      <c r="A1224" s="4" t="s">
        <v>40</v>
      </c>
      <c r="B1224" s="4" t="str">
        <f t="shared" si="19"/>
        <v>Hair Care</v>
      </c>
      <c r="C1224" s="4" t="s">
        <v>1786</v>
      </c>
      <c r="D1224" s="4" t="s">
        <v>579</v>
      </c>
      <c r="E1224" s="24" t="s">
        <v>125</v>
      </c>
      <c r="F1224" s="12" t="s">
        <v>227</v>
      </c>
      <c r="G1224" s="4" t="s">
        <v>1787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462</v>
      </c>
      <c r="AE1224" s="3">
        <v>120</v>
      </c>
      <c r="AF1224" s="3">
        <v>0</v>
      </c>
      <c r="AG1224" s="3">
        <v>0</v>
      </c>
      <c r="AH1224" s="3">
        <v>0</v>
      </c>
      <c r="AI1224" s="3">
        <v>132</v>
      </c>
      <c r="AJ1224" s="3">
        <v>72</v>
      </c>
      <c r="AK1224" s="3">
        <v>222</v>
      </c>
      <c r="AL1224" s="3">
        <v>96</v>
      </c>
      <c r="AM1224" s="3">
        <v>30</v>
      </c>
      <c r="AN1224" s="3">
        <v>0</v>
      </c>
      <c r="AO1224" s="3">
        <v>90</v>
      </c>
      <c r="AP1224" s="3">
        <v>132</v>
      </c>
      <c r="AQ1224" s="3">
        <v>102</v>
      </c>
      <c r="AR1224" s="3">
        <v>108</v>
      </c>
      <c r="AS1224" s="3">
        <v>126</v>
      </c>
      <c r="AT1224" s="3">
        <v>78</v>
      </c>
      <c r="AU1224" s="3">
        <v>120</v>
      </c>
      <c r="AV1224" s="3">
        <v>102</v>
      </c>
      <c r="AW1224" s="3">
        <v>96</v>
      </c>
    </row>
    <row r="1225" spans="1:49">
      <c r="A1225" s="4" t="s">
        <v>40</v>
      </c>
      <c r="B1225" s="4" t="str">
        <f t="shared" si="19"/>
        <v>Hair Care</v>
      </c>
      <c r="C1225" s="4" t="s">
        <v>1786</v>
      </c>
      <c r="D1225" s="4" t="s">
        <v>579</v>
      </c>
      <c r="E1225" s="24" t="s">
        <v>125</v>
      </c>
      <c r="F1225" s="12" t="s">
        <v>228</v>
      </c>
      <c r="G1225" s="4" t="s">
        <v>1787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456</v>
      </c>
      <c r="AE1225" s="3">
        <v>384</v>
      </c>
      <c r="AF1225" s="3">
        <v>174</v>
      </c>
      <c r="AG1225" s="3">
        <v>90</v>
      </c>
      <c r="AH1225" s="3">
        <v>174</v>
      </c>
      <c r="AI1225" s="3">
        <v>138</v>
      </c>
      <c r="AJ1225" s="3">
        <v>30</v>
      </c>
      <c r="AK1225" s="3">
        <v>198</v>
      </c>
      <c r="AL1225" s="3">
        <v>48</v>
      </c>
      <c r="AM1225" s="3">
        <v>6</v>
      </c>
      <c r="AN1225" s="3">
        <v>0</v>
      </c>
      <c r="AO1225" s="3">
        <v>48</v>
      </c>
      <c r="AP1225" s="3">
        <v>156</v>
      </c>
      <c r="AQ1225" s="3">
        <v>90</v>
      </c>
      <c r="AR1225" s="3">
        <v>78</v>
      </c>
      <c r="AS1225" s="3">
        <v>24</v>
      </c>
      <c r="AT1225" s="3">
        <v>48</v>
      </c>
      <c r="AU1225" s="3">
        <v>84</v>
      </c>
      <c r="AV1225" s="3">
        <v>78</v>
      </c>
      <c r="AW1225" s="3">
        <v>30</v>
      </c>
    </row>
    <row r="1226" spans="1:49">
      <c r="A1226" s="4" t="s">
        <v>40</v>
      </c>
      <c r="B1226" s="4" t="str">
        <f t="shared" si="19"/>
        <v>Hair Care</v>
      </c>
      <c r="C1226" s="4" t="s">
        <v>1786</v>
      </c>
      <c r="D1226" s="4" t="s">
        <v>579</v>
      </c>
      <c r="E1226" s="24" t="s">
        <v>125</v>
      </c>
      <c r="F1226" s="12" t="s">
        <v>229</v>
      </c>
      <c r="G1226" s="4" t="s">
        <v>1787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468</v>
      </c>
      <c r="AK1226" s="3">
        <v>1092</v>
      </c>
      <c r="AL1226" s="3">
        <v>540</v>
      </c>
      <c r="AM1226" s="3">
        <v>372</v>
      </c>
      <c r="AN1226" s="3">
        <v>1610</v>
      </c>
      <c r="AO1226" s="3">
        <v>192</v>
      </c>
      <c r="AP1226" s="3">
        <v>1068</v>
      </c>
      <c r="AQ1226" s="3">
        <v>984</v>
      </c>
      <c r="AR1226" s="3">
        <v>624</v>
      </c>
      <c r="AS1226" s="3">
        <v>408</v>
      </c>
      <c r="AT1226" s="3">
        <v>600</v>
      </c>
      <c r="AU1226" s="3">
        <v>1044</v>
      </c>
      <c r="AV1226" s="3">
        <v>132</v>
      </c>
      <c r="AW1226" s="3">
        <v>348</v>
      </c>
    </row>
    <row r="1227" spans="1:49">
      <c r="A1227" s="4" t="s">
        <v>40</v>
      </c>
      <c r="B1227" s="4" t="str">
        <f t="shared" si="19"/>
        <v>Hair Care</v>
      </c>
      <c r="C1227" s="4" t="s">
        <v>1786</v>
      </c>
      <c r="D1227" s="4" t="s">
        <v>579</v>
      </c>
      <c r="E1227" s="24" t="s">
        <v>125</v>
      </c>
      <c r="F1227" s="12" t="s">
        <v>230</v>
      </c>
      <c r="G1227" s="4" t="s">
        <v>1787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300</v>
      </c>
      <c r="AJ1227" s="3">
        <v>672</v>
      </c>
      <c r="AK1227" s="3">
        <v>1290</v>
      </c>
      <c r="AL1227" s="3">
        <v>4338</v>
      </c>
      <c r="AM1227" s="3">
        <v>216</v>
      </c>
      <c r="AN1227" s="3">
        <v>8912</v>
      </c>
      <c r="AO1227" s="3">
        <v>4896</v>
      </c>
      <c r="AP1227" s="3">
        <v>1146</v>
      </c>
      <c r="AQ1227" s="3">
        <v>2526</v>
      </c>
      <c r="AR1227" s="3">
        <v>3282</v>
      </c>
      <c r="AS1227" s="3">
        <v>4698</v>
      </c>
      <c r="AT1227" s="3">
        <v>2832</v>
      </c>
      <c r="AU1227" s="3">
        <v>1140</v>
      </c>
      <c r="AV1227" s="3">
        <v>1050</v>
      </c>
      <c r="AW1227" s="3">
        <v>4446</v>
      </c>
    </row>
    <row r="1228" spans="1:49">
      <c r="A1228" s="4" t="s">
        <v>40</v>
      </c>
      <c r="B1228" s="4" t="str">
        <f t="shared" si="19"/>
        <v>Hair Care</v>
      </c>
      <c r="C1228" s="4" t="s">
        <v>1786</v>
      </c>
      <c r="D1228" s="4" t="s">
        <v>579</v>
      </c>
      <c r="E1228" s="24" t="s">
        <v>125</v>
      </c>
      <c r="F1228" s="12" t="s">
        <v>231</v>
      </c>
      <c r="G1228" s="4" t="s">
        <v>1787</v>
      </c>
      <c r="H1228" s="3">
        <v>3660</v>
      </c>
      <c r="I1228" s="3">
        <v>6174</v>
      </c>
      <c r="J1228" s="3">
        <v>3641</v>
      </c>
      <c r="K1228" s="3">
        <v>3672</v>
      </c>
      <c r="L1228" s="3">
        <v>3750</v>
      </c>
      <c r="M1228" s="3">
        <v>5658</v>
      </c>
      <c r="N1228" s="3">
        <v>3372</v>
      </c>
      <c r="O1228" s="3">
        <v>1572</v>
      </c>
      <c r="P1228" s="3">
        <v>2356</v>
      </c>
      <c r="Q1228" s="3">
        <v>6960</v>
      </c>
      <c r="R1228" s="3">
        <v>906</v>
      </c>
      <c r="S1228" s="3">
        <v>1434</v>
      </c>
      <c r="T1228" s="3">
        <v>4974</v>
      </c>
      <c r="U1228" s="3">
        <v>1338</v>
      </c>
      <c r="V1228" s="3">
        <v>3432</v>
      </c>
      <c r="W1228" s="3">
        <v>3370</v>
      </c>
      <c r="X1228" s="3">
        <v>1364</v>
      </c>
      <c r="Y1228" s="3">
        <v>3858</v>
      </c>
      <c r="Z1228" s="3">
        <v>2472</v>
      </c>
      <c r="AA1228" s="3">
        <v>3054</v>
      </c>
      <c r="AB1228" s="3">
        <v>2214</v>
      </c>
      <c r="AC1228" s="3">
        <v>384</v>
      </c>
      <c r="AD1228" s="3">
        <v>726</v>
      </c>
      <c r="AE1228" s="3">
        <v>3828</v>
      </c>
      <c r="AF1228" s="3">
        <v>1308</v>
      </c>
      <c r="AG1228" s="3">
        <v>1572</v>
      </c>
      <c r="AH1228" s="3">
        <v>7320</v>
      </c>
      <c r="AI1228" s="3">
        <v>2790</v>
      </c>
      <c r="AJ1228" s="3">
        <v>1890</v>
      </c>
      <c r="AK1228" s="3">
        <v>1740</v>
      </c>
      <c r="AL1228" s="3">
        <v>2166</v>
      </c>
      <c r="AM1228" s="3">
        <v>438</v>
      </c>
      <c r="AN1228" s="3">
        <v>3162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s="3">
        <v>18</v>
      </c>
      <c r="AV1228" s="3">
        <v>0</v>
      </c>
      <c r="AW1228" s="3">
        <v>0</v>
      </c>
    </row>
    <row r="1229" spans="1:49">
      <c r="A1229" s="4" t="s">
        <v>40</v>
      </c>
      <c r="B1229" s="4" t="str">
        <f t="shared" si="19"/>
        <v>Hair Care</v>
      </c>
      <c r="C1229" s="4" t="s">
        <v>1786</v>
      </c>
      <c r="D1229" s="4" t="s">
        <v>579</v>
      </c>
      <c r="E1229" s="24" t="s">
        <v>125</v>
      </c>
      <c r="F1229" s="12" t="s">
        <v>232</v>
      </c>
      <c r="G1229" s="4" t="s">
        <v>1787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180</v>
      </c>
      <c r="AJ1229" s="3">
        <v>0</v>
      </c>
      <c r="AK1229" s="3">
        <v>144</v>
      </c>
      <c r="AL1229" s="3">
        <v>24</v>
      </c>
      <c r="AM1229" s="3">
        <v>180</v>
      </c>
      <c r="AN1229" s="3">
        <v>228</v>
      </c>
      <c r="AO1229" s="3">
        <v>12</v>
      </c>
      <c r="AP1229" s="3">
        <v>84</v>
      </c>
      <c r="AQ1229" s="3">
        <v>168</v>
      </c>
      <c r="AR1229" s="3">
        <v>72</v>
      </c>
      <c r="AS1229" s="3">
        <v>216</v>
      </c>
      <c r="AT1229" s="3">
        <v>324</v>
      </c>
      <c r="AU1229" s="3">
        <v>168</v>
      </c>
      <c r="AV1229" s="3">
        <v>96</v>
      </c>
      <c r="AW1229" s="3">
        <v>48</v>
      </c>
    </row>
    <row r="1230" spans="1:49">
      <c r="A1230" s="4" t="s">
        <v>40</v>
      </c>
      <c r="B1230" s="4" t="str">
        <f t="shared" si="19"/>
        <v>Hair Care</v>
      </c>
      <c r="C1230" s="4" t="s">
        <v>1786</v>
      </c>
      <c r="D1230" s="4" t="s">
        <v>579</v>
      </c>
      <c r="E1230" s="24" t="s">
        <v>125</v>
      </c>
      <c r="F1230" s="12" t="s">
        <v>233</v>
      </c>
      <c r="G1230" s="4" t="s">
        <v>1787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96</v>
      </c>
      <c r="AK1230" s="3">
        <v>180</v>
      </c>
      <c r="AL1230" s="3">
        <v>0</v>
      </c>
      <c r="AM1230" s="3">
        <v>0</v>
      </c>
      <c r="AN1230" s="3">
        <v>1418</v>
      </c>
      <c r="AO1230" s="3">
        <v>384</v>
      </c>
      <c r="AP1230" s="3">
        <v>996</v>
      </c>
      <c r="AQ1230" s="3">
        <v>864</v>
      </c>
      <c r="AR1230" s="3">
        <v>600</v>
      </c>
      <c r="AS1230" s="3">
        <v>204</v>
      </c>
      <c r="AT1230" s="3">
        <v>552</v>
      </c>
      <c r="AU1230" s="3">
        <v>1080</v>
      </c>
      <c r="AV1230" s="3">
        <v>336</v>
      </c>
      <c r="AW1230" s="3">
        <v>2580</v>
      </c>
    </row>
    <row r="1231" spans="1:49">
      <c r="A1231" s="4" t="s">
        <v>40</v>
      </c>
      <c r="B1231" s="4" t="str">
        <f t="shared" si="19"/>
        <v>Hair Care</v>
      </c>
      <c r="C1231" s="4" t="s">
        <v>1786</v>
      </c>
      <c r="D1231" s="4" t="s">
        <v>579</v>
      </c>
      <c r="E1231" s="24" t="s">
        <v>125</v>
      </c>
      <c r="F1231" s="12" t="s">
        <v>234</v>
      </c>
      <c r="G1231" s="4" t="s">
        <v>1787</v>
      </c>
      <c r="H1231" s="3">
        <v>1998</v>
      </c>
      <c r="I1231" s="3">
        <v>6138</v>
      </c>
      <c r="J1231" s="3">
        <v>4186</v>
      </c>
      <c r="K1231" s="3">
        <v>3071</v>
      </c>
      <c r="L1231" s="3">
        <v>4840</v>
      </c>
      <c r="M1231" s="3">
        <v>4026</v>
      </c>
      <c r="N1231" s="3">
        <v>3348</v>
      </c>
      <c r="O1231" s="3">
        <v>1410</v>
      </c>
      <c r="P1231" s="3">
        <v>952</v>
      </c>
      <c r="Q1231" s="3">
        <v>6678</v>
      </c>
      <c r="R1231" s="3">
        <v>810</v>
      </c>
      <c r="S1231" s="3">
        <v>1854</v>
      </c>
      <c r="T1231" s="3">
        <v>4674</v>
      </c>
      <c r="U1231" s="3">
        <v>3144</v>
      </c>
      <c r="V1231" s="3">
        <v>4542</v>
      </c>
      <c r="W1231" s="3">
        <v>2962</v>
      </c>
      <c r="X1231" s="3">
        <v>644</v>
      </c>
      <c r="Y1231" s="3">
        <v>1854</v>
      </c>
      <c r="Z1231" s="3">
        <v>5118</v>
      </c>
      <c r="AA1231" s="3">
        <v>2952</v>
      </c>
      <c r="AB1231" s="3">
        <v>1938</v>
      </c>
      <c r="AC1231" s="3">
        <v>522</v>
      </c>
      <c r="AD1231" s="3">
        <v>1092</v>
      </c>
      <c r="AE1231" s="3">
        <v>2658</v>
      </c>
      <c r="AF1231" s="3">
        <v>1242</v>
      </c>
      <c r="AG1231" s="3">
        <v>2208</v>
      </c>
      <c r="AH1231" s="3">
        <v>5460</v>
      </c>
      <c r="AI1231" s="3">
        <v>2508</v>
      </c>
      <c r="AJ1231" s="3">
        <v>1344</v>
      </c>
      <c r="AK1231" s="3">
        <v>3726</v>
      </c>
      <c r="AL1231" s="3">
        <v>2832</v>
      </c>
      <c r="AM1231" s="3">
        <v>594</v>
      </c>
      <c r="AN1231" s="3">
        <v>6260</v>
      </c>
      <c r="AO1231" s="3">
        <v>1890</v>
      </c>
      <c r="AP1231" s="3">
        <v>1254</v>
      </c>
      <c r="AQ1231" s="3">
        <v>-6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</row>
    <row r="1232" spans="1:49">
      <c r="A1232" s="4" t="s">
        <v>40</v>
      </c>
      <c r="B1232" s="4" t="str">
        <f t="shared" si="19"/>
        <v>Hair Care</v>
      </c>
      <c r="C1232" s="4" t="s">
        <v>1786</v>
      </c>
      <c r="D1232" s="4" t="s">
        <v>579</v>
      </c>
      <c r="E1232" s="24" t="s">
        <v>125</v>
      </c>
      <c r="F1232" s="12" t="s">
        <v>235</v>
      </c>
      <c r="G1232" s="4" t="s">
        <v>1787</v>
      </c>
      <c r="H1232" s="3">
        <v>252</v>
      </c>
      <c r="I1232" s="3">
        <v>279</v>
      </c>
      <c r="J1232" s="3">
        <v>216</v>
      </c>
      <c r="K1232" s="3">
        <v>144</v>
      </c>
      <c r="L1232" s="3">
        <v>129</v>
      </c>
      <c r="M1232" s="3">
        <v>72</v>
      </c>
      <c r="N1232" s="3">
        <v>171</v>
      </c>
      <c r="O1232" s="3">
        <v>243</v>
      </c>
      <c r="P1232" s="3">
        <v>78</v>
      </c>
      <c r="Q1232" s="3">
        <v>102</v>
      </c>
      <c r="R1232" s="3">
        <v>159</v>
      </c>
      <c r="S1232" s="3">
        <v>276</v>
      </c>
      <c r="T1232" s="3">
        <v>279</v>
      </c>
      <c r="U1232" s="3">
        <v>168</v>
      </c>
      <c r="V1232" s="3">
        <v>63</v>
      </c>
      <c r="W1232" s="3">
        <v>39</v>
      </c>
      <c r="X1232" s="3">
        <v>48</v>
      </c>
      <c r="Y1232" s="3">
        <v>204</v>
      </c>
      <c r="Z1232" s="3">
        <v>72</v>
      </c>
      <c r="AA1232" s="3">
        <v>69</v>
      </c>
      <c r="AB1232" s="3">
        <v>81</v>
      </c>
      <c r="AC1232" s="3">
        <v>15</v>
      </c>
      <c r="AD1232" s="3">
        <v>45</v>
      </c>
      <c r="AE1232" s="3">
        <v>150</v>
      </c>
      <c r="AF1232" s="3">
        <v>126</v>
      </c>
      <c r="AG1232" s="3">
        <v>27</v>
      </c>
      <c r="AH1232" s="3">
        <v>36</v>
      </c>
      <c r="AI1232" s="3">
        <v>255</v>
      </c>
      <c r="AJ1232" s="3">
        <v>123</v>
      </c>
      <c r="AK1232" s="3">
        <v>72</v>
      </c>
      <c r="AL1232" s="3">
        <v>60</v>
      </c>
      <c r="AM1232" s="3">
        <v>129</v>
      </c>
      <c r="AN1232" s="3">
        <v>3</v>
      </c>
      <c r="AO1232" s="3">
        <v>51</v>
      </c>
      <c r="AP1232" s="3">
        <v>75</v>
      </c>
      <c r="AQ1232" s="3">
        <v>54</v>
      </c>
      <c r="AR1232" s="3">
        <v>303</v>
      </c>
      <c r="AS1232" s="3">
        <v>222</v>
      </c>
      <c r="AT1232" s="3">
        <v>0</v>
      </c>
      <c r="AU1232" s="3">
        <v>0</v>
      </c>
      <c r="AV1232" s="3">
        <v>48</v>
      </c>
      <c r="AW1232" s="3">
        <v>129</v>
      </c>
    </row>
    <row r="1233" spans="1:49">
      <c r="A1233" s="4" t="s">
        <v>40</v>
      </c>
      <c r="B1233" s="4" t="str">
        <f t="shared" si="19"/>
        <v>Hair Care</v>
      </c>
      <c r="C1233" s="4" t="s">
        <v>1786</v>
      </c>
      <c r="D1233" s="4" t="s">
        <v>579</v>
      </c>
      <c r="E1233" s="24" t="s">
        <v>125</v>
      </c>
      <c r="F1233" s="12" t="s">
        <v>236</v>
      </c>
      <c r="G1233" s="4" t="s">
        <v>1787</v>
      </c>
      <c r="H1233" s="3">
        <v>414</v>
      </c>
      <c r="I1233" s="3">
        <v>69</v>
      </c>
      <c r="J1233" s="3">
        <v>162</v>
      </c>
      <c r="K1233" s="3">
        <v>345</v>
      </c>
      <c r="L1233" s="3">
        <v>270</v>
      </c>
      <c r="M1233" s="3">
        <v>144</v>
      </c>
      <c r="N1233" s="3">
        <v>246</v>
      </c>
      <c r="O1233" s="3">
        <v>312</v>
      </c>
      <c r="P1233" s="3">
        <v>216</v>
      </c>
      <c r="Q1233" s="3">
        <v>156</v>
      </c>
      <c r="R1233" s="3">
        <v>219</v>
      </c>
      <c r="S1233" s="3">
        <v>480</v>
      </c>
      <c r="T1233" s="3">
        <v>396</v>
      </c>
      <c r="U1233" s="3">
        <v>198</v>
      </c>
      <c r="V1233" s="3">
        <v>60</v>
      </c>
      <c r="W1233" s="3">
        <v>207</v>
      </c>
      <c r="X1233" s="3">
        <v>108</v>
      </c>
      <c r="Y1233" s="3">
        <v>450</v>
      </c>
      <c r="Z1233" s="3">
        <v>60</v>
      </c>
      <c r="AA1233" s="3">
        <v>150</v>
      </c>
      <c r="AB1233" s="3">
        <v>225</v>
      </c>
      <c r="AC1233" s="3">
        <v>45</v>
      </c>
      <c r="AD1233" s="3">
        <v>54</v>
      </c>
      <c r="AE1233" s="3">
        <v>282</v>
      </c>
      <c r="AF1233" s="3">
        <v>321</v>
      </c>
      <c r="AG1233" s="3">
        <v>9</v>
      </c>
      <c r="AH1233" s="3">
        <v>60</v>
      </c>
      <c r="AI1233" s="3">
        <v>234</v>
      </c>
      <c r="AJ1233" s="3">
        <v>195</v>
      </c>
      <c r="AK1233" s="3">
        <v>241</v>
      </c>
      <c r="AL1233" s="3">
        <v>54</v>
      </c>
      <c r="AM1233" s="3">
        <v>93</v>
      </c>
      <c r="AN1233" s="3">
        <v>198</v>
      </c>
      <c r="AO1233" s="3">
        <v>192</v>
      </c>
      <c r="AP1233" s="3">
        <v>489</v>
      </c>
      <c r="AQ1233" s="3">
        <v>300</v>
      </c>
      <c r="AR1233" s="3">
        <v>300</v>
      </c>
      <c r="AS1233" s="3">
        <v>201</v>
      </c>
      <c r="AT1233" s="3">
        <v>354</v>
      </c>
      <c r="AU1233" s="3">
        <v>390</v>
      </c>
      <c r="AV1233" s="3">
        <v>297</v>
      </c>
      <c r="AW1233" s="3">
        <v>267</v>
      </c>
    </row>
    <row r="1234" spans="1:49">
      <c r="A1234" s="4" t="s">
        <v>40</v>
      </c>
      <c r="B1234" s="4" t="str">
        <f t="shared" si="19"/>
        <v>Hair Care</v>
      </c>
      <c r="C1234" s="4" t="s">
        <v>1786</v>
      </c>
      <c r="D1234" s="4" t="s">
        <v>579</v>
      </c>
      <c r="E1234" s="24" t="s">
        <v>125</v>
      </c>
      <c r="F1234" s="12" t="s">
        <v>237</v>
      </c>
      <c r="G1234" s="4" t="s">
        <v>1787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2988</v>
      </c>
      <c r="AS1234" s="3">
        <v>1812</v>
      </c>
      <c r="AT1234" s="3">
        <v>3306</v>
      </c>
      <c r="AU1234" s="3">
        <v>1506</v>
      </c>
      <c r="AV1234" s="3">
        <v>2226</v>
      </c>
      <c r="AW1234" s="3">
        <v>3444</v>
      </c>
    </row>
    <row r="1235" spans="1:49">
      <c r="A1235" s="4" t="s">
        <v>40</v>
      </c>
      <c r="B1235" s="4" t="str">
        <f t="shared" si="19"/>
        <v>Hair Care</v>
      </c>
      <c r="C1235" s="4" t="s">
        <v>1786</v>
      </c>
      <c r="D1235" s="4" t="s">
        <v>579</v>
      </c>
      <c r="E1235" s="24" t="s">
        <v>125</v>
      </c>
      <c r="F1235" s="12" t="s">
        <v>238</v>
      </c>
      <c r="G1235" s="4" t="s">
        <v>1787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60</v>
      </c>
      <c r="AL1235" s="3">
        <v>12</v>
      </c>
      <c r="AM1235" s="3">
        <v>132</v>
      </c>
      <c r="AN1235" s="3">
        <v>72</v>
      </c>
      <c r="AO1235" s="3">
        <v>4266</v>
      </c>
      <c r="AP1235" s="3">
        <v>888</v>
      </c>
      <c r="AQ1235" s="3">
        <v>1356</v>
      </c>
      <c r="AR1235" s="3">
        <v>4074</v>
      </c>
      <c r="AS1235" s="3">
        <v>5016</v>
      </c>
      <c r="AT1235" s="3">
        <v>3654</v>
      </c>
      <c r="AU1235" s="3">
        <v>1326</v>
      </c>
      <c r="AV1235" s="3">
        <v>1332</v>
      </c>
      <c r="AW1235" s="3">
        <v>4278</v>
      </c>
    </row>
    <row r="1236" spans="1:49">
      <c r="A1236" s="4" t="s">
        <v>40</v>
      </c>
      <c r="B1236" s="4" t="str">
        <f t="shared" si="19"/>
        <v>Hair Care</v>
      </c>
      <c r="C1236" s="4" t="s">
        <v>1786</v>
      </c>
      <c r="D1236" s="4" t="s">
        <v>579</v>
      </c>
      <c r="E1236" s="24" t="s">
        <v>125</v>
      </c>
      <c r="F1236" s="12" t="s">
        <v>239</v>
      </c>
      <c r="G1236" s="4" t="s">
        <v>1787</v>
      </c>
      <c r="H1236" s="3">
        <v>1332</v>
      </c>
      <c r="I1236" s="3">
        <v>714</v>
      </c>
      <c r="J1236" s="3">
        <v>369</v>
      </c>
      <c r="K1236" s="3">
        <v>273</v>
      </c>
      <c r="L1236" s="3">
        <v>882</v>
      </c>
      <c r="M1236" s="3">
        <v>267</v>
      </c>
      <c r="N1236" s="3">
        <v>237</v>
      </c>
      <c r="O1236" s="3">
        <v>774</v>
      </c>
      <c r="P1236" s="3">
        <v>537</v>
      </c>
      <c r="Q1236" s="3">
        <v>177</v>
      </c>
      <c r="R1236" s="3">
        <v>225</v>
      </c>
      <c r="S1236" s="3">
        <v>381</v>
      </c>
      <c r="T1236" s="3">
        <v>144</v>
      </c>
      <c r="U1236" s="3">
        <v>480</v>
      </c>
      <c r="V1236" s="3">
        <v>687</v>
      </c>
      <c r="W1236" s="3">
        <v>141</v>
      </c>
      <c r="X1236" s="3">
        <v>249</v>
      </c>
      <c r="Y1236" s="3">
        <v>1320</v>
      </c>
      <c r="Z1236" s="3">
        <v>0</v>
      </c>
      <c r="AA1236" s="3">
        <v>0</v>
      </c>
      <c r="AB1236" s="3">
        <v>0</v>
      </c>
      <c r="AC1236" s="3">
        <v>726</v>
      </c>
      <c r="AD1236" s="3">
        <v>2253</v>
      </c>
      <c r="AE1236" s="3">
        <v>72</v>
      </c>
      <c r="AF1236" s="3">
        <v>522</v>
      </c>
      <c r="AG1236" s="3">
        <v>0</v>
      </c>
      <c r="AH1236" s="3">
        <v>-12</v>
      </c>
      <c r="AI1236" s="3">
        <v>2250</v>
      </c>
      <c r="AJ1236" s="3">
        <v>198</v>
      </c>
      <c r="AK1236" s="3">
        <v>828</v>
      </c>
      <c r="AL1236" s="3">
        <v>1011</v>
      </c>
      <c r="AM1236" s="3">
        <v>510</v>
      </c>
      <c r="AN1236" s="3">
        <v>246</v>
      </c>
      <c r="AO1236" s="3">
        <v>864</v>
      </c>
      <c r="AP1236" s="3">
        <v>708</v>
      </c>
      <c r="AQ1236" s="3">
        <v>84</v>
      </c>
      <c r="AR1236" s="3">
        <v>1893</v>
      </c>
      <c r="AS1236" s="3">
        <v>102</v>
      </c>
      <c r="AT1236" s="3">
        <v>2499</v>
      </c>
      <c r="AU1236" s="3">
        <v>480</v>
      </c>
      <c r="AV1236" s="3">
        <v>408</v>
      </c>
      <c r="AW1236" s="3">
        <v>714</v>
      </c>
    </row>
    <row r="1237" spans="1:49">
      <c r="A1237" s="4" t="s">
        <v>40</v>
      </c>
      <c r="B1237" s="4" t="str">
        <f t="shared" si="19"/>
        <v>Hair Care</v>
      </c>
      <c r="C1237" s="4" t="s">
        <v>1786</v>
      </c>
      <c r="D1237" s="4" t="s">
        <v>579</v>
      </c>
      <c r="E1237" s="24" t="s">
        <v>125</v>
      </c>
      <c r="F1237" s="12" t="s">
        <v>240</v>
      </c>
      <c r="G1237" s="4" t="s">
        <v>1787</v>
      </c>
      <c r="H1237" s="3">
        <v>132</v>
      </c>
      <c r="I1237" s="3">
        <v>60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</row>
    <row r="1238" spans="1:49">
      <c r="A1238" s="4" t="s">
        <v>40</v>
      </c>
      <c r="B1238" s="4" t="str">
        <f t="shared" si="19"/>
        <v>Hair Care</v>
      </c>
      <c r="C1238" s="4" t="s">
        <v>1786</v>
      </c>
      <c r="D1238" s="4" t="s">
        <v>579</v>
      </c>
      <c r="E1238" s="24" t="s">
        <v>125</v>
      </c>
      <c r="F1238" s="12" t="s">
        <v>241</v>
      </c>
      <c r="G1238" s="4" t="s">
        <v>1787</v>
      </c>
      <c r="H1238" s="3">
        <v>180</v>
      </c>
      <c r="I1238" s="3">
        <v>132</v>
      </c>
      <c r="J1238" s="3">
        <v>12</v>
      </c>
      <c r="K1238" s="3">
        <v>36</v>
      </c>
      <c r="L1238" s="3">
        <v>60</v>
      </c>
      <c r="M1238" s="3">
        <v>12</v>
      </c>
      <c r="N1238" s="3">
        <v>12</v>
      </c>
      <c r="O1238" s="3">
        <v>48</v>
      </c>
      <c r="P1238" s="3">
        <v>12</v>
      </c>
      <c r="Q1238" s="3">
        <v>12</v>
      </c>
      <c r="R1238" s="3">
        <v>0</v>
      </c>
      <c r="S1238" s="3">
        <v>24</v>
      </c>
      <c r="T1238" s="3">
        <v>0</v>
      </c>
      <c r="U1238" s="3">
        <v>48</v>
      </c>
      <c r="V1238" s="3">
        <v>24</v>
      </c>
      <c r="W1238" s="3">
        <v>36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</row>
    <row r="1239" spans="1:49">
      <c r="A1239" s="4" t="s">
        <v>40</v>
      </c>
      <c r="B1239" s="4" t="str">
        <f t="shared" si="19"/>
        <v>Hair Care</v>
      </c>
      <c r="C1239" s="4" t="s">
        <v>1786</v>
      </c>
      <c r="D1239" s="4" t="s">
        <v>579</v>
      </c>
      <c r="E1239" s="24" t="s">
        <v>125</v>
      </c>
      <c r="F1239" s="12" t="s">
        <v>242</v>
      </c>
      <c r="G1239" s="4" t="s">
        <v>1787</v>
      </c>
      <c r="H1239" s="3">
        <v>0</v>
      </c>
      <c r="I1239" s="3">
        <v>0</v>
      </c>
      <c r="J1239" s="3">
        <v>0</v>
      </c>
      <c r="K1239" s="3">
        <v>0</v>
      </c>
      <c r="L1239" s="3">
        <v>2</v>
      </c>
      <c r="M1239" s="3">
        <v>0</v>
      </c>
      <c r="N1239" s="3">
        <v>192</v>
      </c>
      <c r="O1239" s="3">
        <v>132</v>
      </c>
      <c r="P1239" s="3">
        <v>120</v>
      </c>
      <c r="Q1239" s="3">
        <v>54</v>
      </c>
      <c r="R1239" s="3">
        <v>21</v>
      </c>
      <c r="S1239" s="3">
        <v>99</v>
      </c>
      <c r="T1239" s="3">
        <v>174</v>
      </c>
      <c r="U1239" s="3">
        <v>90</v>
      </c>
      <c r="V1239" s="3">
        <v>84</v>
      </c>
      <c r="W1239" s="3">
        <v>102</v>
      </c>
      <c r="X1239" s="3">
        <v>0</v>
      </c>
      <c r="Y1239" s="3">
        <v>183</v>
      </c>
      <c r="Z1239" s="3">
        <v>27</v>
      </c>
      <c r="AA1239" s="3">
        <v>6</v>
      </c>
      <c r="AB1239" s="3">
        <v>81</v>
      </c>
      <c r="AC1239" s="3">
        <v>0</v>
      </c>
      <c r="AD1239" s="3">
        <v>48</v>
      </c>
      <c r="AE1239" s="3">
        <v>87</v>
      </c>
      <c r="AF1239" s="3">
        <v>45</v>
      </c>
      <c r="AG1239" s="3">
        <v>81</v>
      </c>
      <c r="AH1239" s="3">
        <v>0</v>
      </c>
      <c r="AI1239" s="3">
        <v>114</v>
      </c>
      <c r="AJ1239" s="3">
        <v>102</v>
      </c>
      <c r="AK1239" s="3">
        <v>12</v>
      </c>
      <c r="AL1239" s="3">
        <v>0</v>
      </c>
      <c r="AM1239" s="3">
        <v>6</v>
      </c>
      <c r="AN1239" s="3">
        <v>24</v>
      </c>
      <c r="AO1239" s="3">
        <v>24</v>
      </c>
      <c r="AP1239" s="3">
        <v>48</v>
      </c>
      <c r="AQ1239" s="3">
        <v>54</v>
      </c>
      <c r="AR1239" s="3">
        <v>195</v>
      </c>
      <c r="AS1239" s="3">
        <v>102</v>
      </c>
      <c r="AT1239" s="3">
        <v>0</v>
      </c>
      <c r="AU1239" s="3">
        <v>0</v>
      </c>
      <c r="AV1239" s="3">
        <v>0</v>
      </c>
      <c r="AW1239" s="3">
        <v>459</v>
      </c>
    </row>
    <row r="1240" spans="1:49">
      <c r="A1240" s="4" t="s">
        <v>40</v>
      </c>
      <c r="B1240" s="4" t="str">
        <f t="shared" si="19"/>
        <v>Hair Care</v>
      </c>
      <c r="C1240" s="4" t="s">
        <v>1786</v>
      </c>
      <c r="D1240" s="4" t="s">
        <v>579</v>
      </c>
      <c r="E1240" s="24" t="s">
        <v>125</v>
      </c>
      <c r="F1240" s="12" t="s">
        <v>243</v>
      </c>
      <c r="G1240" s="4" t="s">
        <v>1787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420</v>
      </c>
      <c r="AK1240" s="3">
        <v>1728</v>
      </c>
      <c r="AL1240" s="3">
        <v>624</v>
      </c>
      <c r="AM1240" s="3">
        <v>276</v>
      </c>
      <c r="AN1240" s="3">
        <v>768</v>
      </c>
      <c r="AO1240" s="3">
        <v>456</v>
      </c>
      <c r="AP1240" s="3">
        <v>1536</v>
      </c>
      <c r="AQ1240" s="3">
        <v>1380</v>
      </c>
      <c r="AR1240" s="3">
        <v>672</v>
      </c>
      <c r="AS1240" s="3">
        <v>672</v>
      </c>
      <c r="AT1240" s="3">
        <v>564</v>
      </c>
      <c r="AU1240" s="3">
        <v>1812</v>
      </c>
      <c r="AV1240" s="3">
        <v>240</v>
      </c>
      <c r="AW1240" s="3">
        <v>2556</v>
      </c>
    </row>
    <row r="1241" spans="1:49">
      <c r="A1241" s="4" t="s">
        <v>40</v>
      </c>
      <c r="B1241" s="4" t="str">
        <f t="shared" si="19"/>
        <v>Hair Care</v>
      </c>
      <c r="C1241" s="4" t="s">
        <v>1786</v>
      </c>
      <c r="D1241" s="4" t="s">
        <v>579</v>
      </c>
      <c r="E1241" s="24" t="s">
        <v>125</v>
      </c>
      <c r="F1241" s="12" t="s">
        <v>244</v>
      </c>
      <c r="G1241" s="4" t="s">
        <v>1787</v>
      </c>
      <c r="H1241" s="3">
        <v>72</v>
      </c>
      <c r="I1241" s="3">
        <v>0</v>
      </c>
      <c r="J1241" s="3">
        <v>12</v>
      </c>
      <c r="K1241" s="3">
        <v>12</v>
      </c>
      <c r="L1241" s="3">
        <v>60</v>
      </c>
      <c r="M1241" s="3">
        <v>12</v>
      </c>
      <c r="N1241" s="3">
        <v>12</v>
      </c>
      <c r="O1241" s="3">
        <v>24</v>
      </c>
      <c r="P1241" s="3">
        <v>24</v>
      </c>
      <c r="Q1241" s="3">
        <v>12</v>
      </c>
      <c r="R1241" s="3">
        <v>12</v>
      </c>
      <c r="S1241" s="3">
        <v>36</v>
      </c>
      <c r="T1241" s="3">
        <v>24</v>
      </c>
      <c r="U1241" s="3">
        <v>12</v>
      </c>
      <c r="V1241" s="3">
        <v>12</v>
      </c>
      <c r="W1241" s="3">
        <v>0</v>
      </c>
      <c r="X1241" s="3">
        <v>12</v>
      </c>
      <c r="Y1241" s="3">
        <v>60</v>
      </c>
      <c r="Z1241" s="3">
        <v>24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</row>
    <row r="1242" spans="1:49">
      <c r="A1242" s="4" t="s">
        <v>40</v>
      </c>
      <c r="B1242" s="4" t="str">
        <f t="shared" si="19"/>
        <v>Hair Care</v>
      </c>
      <c r="C1242" s="4" t="s">
        <v>1786</v>
      </c>
      <c r="D1242" s="4" t="s">
        <v>579</v>
      </c>
      <c r="E1242" s="24" t="s">
        <v>125</v>
      </c>
      <c r="F1242" s="12" t="s">
        <v>245</v>
      </c>
      <c r="G1242" s="4" t="s">
        <v>1787</v>
      </c>
      <c r="H1242" s="3">
        <v>402</v>
      </c>
      <c r="I1242" s="3">
        <v>840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</row>
    <row r="1243" spans="1:49">
      <c r="A1243" s="4" t="s">
        <v>40</v>
      </c>
      <c r="B1243" s="4" t="str">
        <f t="shared" si="19"/>
        <v>Hair Care</v>
      </c>
      <c r="C1243" s="4" t="s">
        <v>1786</v>
      </c>
      <c r="D1243" s="4" t="s">
        <v>579</v>
      </c>
      <c r="E1243" s="24" t="s">
        <v>125</v>
      </c>
      <c r="F1243" s="12" t="s">
        <v>246</v>
      </c>
      <c r="G1243" s="4" t="s">
        <v>1787</v>
      </c>
      <c r="H1243" s="3">
        <v>2418</v>
      </c>
      <c r="I1243" s="3">
        <v>2880</v>
      </c>
      <c r="J1243" s="3">
        <v>366</v>
      </c>
      <c r="K1243" s="3">
        <v>84</v>
      </c>
      <c r="L1243" s="3">
        <v>60</v>
      </c>
      <c r="M1243" s="3">
        <v>36</v>
      </c>
      <c r="N1243" s="3">
        <v>24</v>
      </c>
      <c r="O1243" s="3">
        <v>12</v>
      </c>
      <c r="P1243" s="3">
        <v>0</v>
      </c>
      <c r="Q1243" s="3">
        <v>0</v>
      </c>
      <c r="R1243" s="3">
        <v>0</v>
      </c>
      <c r="S1243" s="3">
        <v>12</v>
      </c>
      <c r="T1243" s="3">
        <v>12</v>
      </c>
      <c r="U1243" s="3">
        <v>0</v>
      </c>
      <c r="V1243" s="3">
        <v>12</v>
      </c>
      <c r="W1243" s="3">
        <v>0</v>
      </c>
      <c r="X1243" s="3">
        <v>24</v>
      </c>
      <c r="Y1243" s="3">
        <v>24</v>
      </c>
      <c r="Z1243" s="3">
        <v>12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</row>
    <row r="1244" spans="1:49">
      <c r="A1244" s="4" t="s">
        <v>40</v>
      </c>
      <c r="B1244" s="4" t="str">
        <f t="shared" si="19"/>
        <v>Hair Care</v>
      </c>
      <c r="C1244" s="4" t="s">
        <v>1786</v>
      </c>
      <c r="D1244" s="4" t="s">
        <v>579</v>
      </c>
      <c r="E1244" s="24" t="s">
        <v>125</v>
      </c>
      <c r="F1244" s="12" t="s">
        <v>247</v>
      </c>
      <c r="G1244" s="4" t="s">
        <v>1787</v>
      </c>
      <c r="H1244" s="3">
        <v>234</v>
      </c>
      <c r="I1244" s="3">
        <v>84</v>
      </c>
      <c r="J1244" s="3">
        <v>72</v>
      </c>
      <c r="K1244" s="3">
        <v>24</v>
      </c>
      <c r="L1244" s="3">
        <v>96</v>
      </c>
      <c r="M1244" s="3">
        <v>36</v>
      </c>
      <c r="N1244" s="3">
        <v>48</v>
      </c>
      <c r="O1244" s="3">
        <v>0</v>
      </c>
      <c r="P1244" s="3">
        <v>0</v>
      </c>
      <c r="Q1244" s="3">
        <v>60</v>
      </c>
      <c r="R1244" s="3">
        <v>0</v>
      </c>
      <c r="S1244" s="3">
        <v>12</v>
      </c>
      <c r="T1244" s="3">
        <v>24</v>
      </c>
      <c r="U1244" s="3">
        <v>24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</row>
    <row r="1245" spans="1:49">
      <c r="A1245" s="4" t="s">
        <v>40</v>
      </c>
      <c r="B1245" s="4" t="str">
        <f t="shared" si="19"/>
        <v>Hair Care</v>
      </c>
      <c r="C1245" s="4" t="s">
        <v>1786</v>
      </c>
      <c r="D1245" s="4" t="s">
        <v>579</v>
      </c>
      <c r="E1245" s="24" t="s">
        <v>125</v>
      </c>
      <c r="F1245" s="12" t="s">
        <v>248</v>
      </c>
      <c r="G1245" s="4" t="s">
        <v>1787</v>
      </c>
      <c r="H1245" s="3">
        <v>141</v>
      </c>
      <c r="I1245" s="3">
        <v>183</v>
      </c>
      <c r="J1245" s="3">
        <v>132</v>
      </c>
      <c r="K1245" s="3">
        <v>168</v>
      </c>
      <c r="L1245" s="3">
        <v>150</v>
      </c>
      <c r="M1245" s="3">
        <v>93</v>
      </c>
      <c r="N1245" s="3">
        <v>132</v>
      </c>
      <c r="O1245" s="3">
        <v>168</v>
      </c>
      <c r="P1245" s="3">
        <v>84</v>
      </c>
      <c r="Q1245" s="3">
        <v>66</v>
      </c>
      <c r="R1245" s="3">
        <v>120</v>
      </c>
      <c r="S1245" s="3">
        <v>384</v>
      </c>
      <c r="T1245" s="3">
        <v>66</v>
      </c>
      <c r="U1245" s="3">
        <v>192</v>
      </c>
      <c r="V1245" s="3">
        <v>78</v>
      </c>
      <c r="W1245" s="3">
        <v>0</v>
      </c>
      <c r="X1245" s="3">
        <v>0</v>
      </c>
      <c r="Y1245" s="3">
        <v>6</v>
      </c>
      <c r="Z1245" s="3">
        <v>21</v>
      </c>
      <c r="AA1245" s="3">
        <v>51</v>
      </c>
      <c r="AB1245" s="3">
        <v>81</v>
      </c>
      <c r="AC1245" s="3">
        <v>12</v>
      </c>
      <c r="AD1245" s="3">
        <v>24</v>
      </c>
      <c r="AE1245" s="3">
        <v>60</v>
      </c>
      <c r="AF1245" s="3">
        <v>120</v>
      </c>
      <c r="AG1245" s="3">
        <v>78</v>
      </c>
      <c r="AH1245" s="3">
        <v>114</v>
      </c>
      <c r="AI1245" s="3">
        <v>138</v>
      </c>
      <c r="AJ1245" s="3">
        <v>93</v>
      </c>
      <c r="AK1245" s="3">
        <v>36</v>
      </c>
      <c r="AL1245" s="3">
        <v>24</v>
      </c>
      <c r="AM1245" s="3">
        <v>18</v>
      </c>
      <c r="AN1245" s="3">
        <v>12</v>
      </c>
      <c r="AO1245" s="3">
        <v>54</v>
      </c>
      <c r="AP1245" s="3">
        <v>129</v>
      </c>
      <c r="AQ1245" s="3">
        <v>105</v>
      </c>
      <c r="AR1245" s="3">
        <v>57</v>
      </c>
      <c r="AS1245" s="3">
        <v>51</v>
      </c>
      <c r="AT1245" s="3">
        <v>117</v>
      </c>
      <c r="AU1245" s="3">
        <v>99</v>
      </c>
      <c r="AV1245" s="3">
        <v>1284</v>
      </c>
      <c r="AW1245" s="3">
        <v>24</v>
      </c>
    </row>
    <row r="1246" spans="1:49">
      <c r="A1246" s="4" t="s">
        <v>40</v>
      </c>
      <c r="B1246" s="4" t="str">
        <f t="shared" si="19"/>
        <v>Hair Care</v>
      </c>
      <c r="C1246" s="4" t="s">
        <v>1786</v>
      </c>
      <c r="D1246" s="4" t="s">
        <v>579</v>
      </c>
      <c r="E1246" s="24" t="s">
        <v>125</v>
      </c>
      <c r="F1246" s="12" t="s">
        <v>249</v>
      </c>
      <c r="G1246" s="4" t="s">
        <v>1787</v>
      </c>
      <c r="H1246" s="3">
        <v>240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624</v>
      </c>
      <c r="S1246" s="3">
        <v>108</v>
      </c>
      <c r="T1246" s="3">
        <v>36</v>
      </c>
      <c r="U1246" s="3">
        <v>24</v>
      </c>
      <c r="V1246" s="3">
        <v>96</v>
      </c>
      <c r="W1246" s="3">
        <v>96</v>
      </c>
      <c r="X1246" s="3">
        <v>0</v>
      </c>
      <c r="Y1246" s="3">
        <v>0</v>
      </c>
      <c r="Z1246" s="3">
        <v>12</v>
      </c>
      <c r="AA1246" s="3">
        <v>108</v>
      </c>
      <c r="AB1246" s="3">
        <v>252</v>
      </c>
      <c r="AC1246" s="3">
        <v>24</v>
      </c>
      <c r="AD1246" s="3">
        <v>84</v>
      </c>
      <c r="AE1246" s="3">
        <v>144</v>
      </c>
      <c r="AF1246" s="3">
        <v>168</v>
      </c>
      <c r="AG1246" s="3">
        <v>12</v>
      </c>
      <c r="AH1246" s="3">
        <v>204</v>
      </c>
      <c r="AI1246" s="3">
        <v>132</v>
      </c>
      <c r="AJ1246" s="3">
        <v>12</v>
      </c>
      <c r="AK1246" s="3">
        <v>120</v>
      </c>
      <c r="AL1246" s="3">
        <v>72</v>
      </c>
      <c r="AM1246" s="3">
        <v>24</v>
      </c>
      <c r="AN1246" s="3">
        <v>72</v>
      </c>
      <c r="AO1246" s="3">
        <v>36</v>
      </c>
      <c r="AP1246" s="3">
        <v>132</v>
      </c>
      <c r="AQ1246" s="3">
        <v>84</v>
      </c>
      <c r="AR1246" s="3">
        <v>144</v>
      </c>
      <c r="AS1246" s="3">
        <v>216</v>
      </c>
      <c r="AT1246" s="3">
        <v>0</v>
      </c>
      <c r="AU1246" s="3">
        <v>168</v>
      </c>
      <c r="AV1246" s="3">
        <v>96</v>
      </c>
      <c r="AW1246" s="3">
        <v>84</v>
      </c>
    </row>
    <row r="1247" spans="1:49">
      <c r="A1247" s="4" t="s">
        <v>40</v>
      </c>
      <c r="B1247" s="4" t="str">
        <f t="shared" si="19"/>
        <v>Hair Care</v>
      </c>
      <c r="C1247" s="4" t="s">
        <v>1786</v>
      </c>
      <c r="D1247" s="4" t="s">
        <v>579</v>
      </c>
      <c r="E1247" s="24" t="s">
        <v>125</v>
      </c>
      <c r="F1247" s="12" t="s">
        <v>250</v>
      </c>
      <c r="G1247" s="4" t="s">
        <v>1787</v>
      </c>
      <c r="H1247" s="3">
        <v>48</v>
      </c>
      <c r="I1247" s="3">
        <v>72</v>
      </c>
      <c r="J1247" s="3">
        <v>0</v>
      </c>
      <c r="K1247" s="3">
        <v>12</v>
      </c>
      <c r="L1247" s="3">
        <v>72</v>
      </c>
      <c r="M1247" s="3">
        <v>72</v>
      </c>
      <c r="N1247" s="3">
        <v>36</v>
      </c>
      <c r="O1247" s="3">
        <v>12</v>
      </c>
      <c r="P1247" s="3">
        <v>24</v>
      </c>
      <c r="Q1247" s="3">
        <v>0</v>
      </c>
      <c r="R1247" s="3">
        <v>24</v>
      </c>
      <c r="S1247" s="3">
        <v>12</v>
      </c>
      <c r="T1247" s="3">
        <v>12</v>
      </c>
      <c r="U1247" s="3">
        <v>12</v>
      </c>
      <c r="V1247" s="3">
        <v>12</v>
      </c>
      <c r="W1247" s="3">
        <v>12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</row>
    <row r="1248" spans="1:49">
      <c r="A1248" s="4" t="s">
        <v>40</v>
      </c>
      <c r="B1248" s="4" t="str">
        <f t="shared" si="19"/>
        <v>Hair Care</v>
      </c>
      <c r="C1248" s="4" t="s">
        <v>1786</v>
      </c>
      <c r="D1248" s="4" t="s">
        <v>579</v>
      </c>
      <c r="E1248" s="24" t="s">
        <v>125</v>
      </c>
      <c r="F1248" s="12" t="s">
        <v>251</v>
      </c>
      <c r="G1248" s="4" t="s">
        <v>1787</v>
      </c>
      <c r="H1248" s="3">
        <v>264</v>
      </c>
      <c r="I1248" s="3">
        <v>540</v>
      </c>
      <c r="J1248" s="3">
        <v>213</v>
      </c>
      <c r="K1248" s="3">
        <v>324</v>
      </c>
      <c r="L1248" s="3">
        <v>180</v>
      </c>
      <c r="M1248" s="3">
        <v>192</v>
      </c>
      <c r="N1248" s="3">
        <v>81</v>
      </c>
      <c r="O1248" s="3">
        <v>324</v>
      </c>
      <c r="P1248" s="3">
        <v>168</v>
      </c>
      <c r="Q1248" s="3">
        <v>141</v>
      </c>
      <c r="R1248" s="3">
        <v>291</v>
      </c>
      <c r="S1248" s="3">
        <v>663</v>
      </c>
      <c r="T1248" s="3">
        <v>105</v>
      </c>
      <c r="U1248" s="3">
        <v>0</v>
      </c>
      <c r="V1248" s="3">
        <v>102</v>
      </c>
      <c r="W1248" s="3">
        <v>114</v>
      </c>
      <c r="X1248" s="3">
        <v>162</v>
      </c>
      <c r="Y1248" s="3">
        <v>204</v>
      </c>
      <c r="Z1248" s="3">
        <v>81</v>
      </c>
      <c r="AA1248" s="3">
        <v>108</v>
      </c>
      <c r="AB1248" s="3">
        <v>153</v>
      </c>
      <c r="AC1248" s="3">
        <v>24</v>
      </c>
      <c r="AD1248" s="3">
        <v>87</v>
      </c>
      <c r="AE1248" s="3">
        <v>165</v>
      </c>
      <c r="AF1248" s="3">
        <v>297</v>
      </c>
      <c r="AG1248" s="3">
        <v>55</v>
      </c>
      <c r="AH1248" s="3">
        <v>0</v>
      </c>
      <c r="AI1248" s="3">
        <v>159</v>
      </c>
      <c r="AJ1248" s="3">
        <v>108</v>
      </c>
      <c r="AK1248" s="3">
        <v>102</v>
      </c>
      <c r="AL1248" s="3">
        <v>0</v>
      </c>
      <c r="AM1248" s="3">
        <v>9</v>
      </c>
      <c r="AN1248" s="3">
        <v>39</v>
      </c>
      <c r="AO1248" s="3">
        <v>87</v>
      </c>
      <c r="AP1248" s="3">
        <v>33</v>
      </c>
      <c r="AQ1248" s="3">
        <v>198</v>
      </c>
      <c r="AR1248" s="3">
        <v>120</v>
      </c>
      <c r="AS1248" s="3">
        <v>132</v>
      </c>
      <c r="AT1248" s="3">
        <v>159</v>
      </c>
      <c r="AU1248" s="3">
        <v>117</v>
      </c>
      <c r="AV1248" s="3">
        <v>123</v>
      </c>
      <c r="AW1248" s="3">
        <v>96</v>
      </c>
    </row>
    <row r="1249" spans="1:49">
      <c r="A1249" s="4" t="s">
        <v>40</v>
      </c>
      <c r="B1249" s="4" t="str">
        <f t="shared" si="19"/>
        <v>Hair Care</v>
      </c>
      <c r="C1249" s="4" t="s">
        <v>1786</v>
      </c>
      <c r="D1249" s="4" t="s">
        <v>579</v>
      </c>
      <c r="E1249" s="24" t="s">
        <v>125</v>
      </c>
      <c r="F1249" s="12" t="s">
        <v>252</v>
      </c>
      <c r="G1249" s="4" t="s">
        <v>1787</v>
      </c>
      <c r="H1249" s="3">
        <v>180</v>
      </c>
      <c r="I1249" s="3">
        <v>168</v>
      </c>
      <c r="J1249" s="3">
        <v>72</v>
      </c>
      <c r="K1249" s="3">
        <v>96</v>
      </c>
      <c r="L1249" s="3">
        <v>120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</row>
    <row r="1250" spans="1:49">
      <c r="A1250" s="4" t="s">
        <v>40</v>
      </c>
      <c r="B1250" s="4" t="str">
        <f t="shared" si="19"/>
        <v>Hair Care</v>
      </c>
      <c r="C1250" s="4" t="s">
        <v>1786</v>
      </c>
      <c r="D1250" s="4" t="s">
        <v>579</v>
      </c>
      <c r="E1250" s="24" t="s">
        <v>125</v>
      </c>
      <c r="F1250" s="12" t="s">
        <v>253</v>
      </c>
      <c r="G1250" s="4" t="s">
        <v>1787</v>
      </c>
      <c r="H1250" s="3">
        <v>120</v>
      </c>
      <c r="I1250" s="3">
        <v>156</v>
      </c>
      <c r="J1250" s="3">
        <v>0</v>
      </c>
      <c r="K1250" s="3">
        <v>72</v>
      </c>
      <c r="L1250" s="3">
        <v>60</v>
      </c>
      <c r="M1250" s="3">
        <v>12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</row>
    <row r="1251" spans="1:49">
      <c r="A1251" s="4" t="s">
        <v>40</v>
      </c>
      <c r="B1251" s="4" t="str">
        <f t="shared" si="19"/>
        <v>Hair Care</v>
      </c>
      <c r="C1251" s="4" t="s">
        <v>1786</v>
      </c>
      <c r="D1251" s="4" t="s">
        <v>579</v>
      </c>
      <c r="E1251" s="24" t="s">
        <v>125</v>
      </c>
      <c r="F1251" s="12" t="s">
        <v>254</v>
      </c>
      <c r="G1251" s="4" t="s">
        <v>1787</v>
      </c>
      <c r="H1251" s="3">
        <v>60</v>
      </c>
      <c r="I1251" s="3">
        <v>876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</row>
    <row r="1252" spans="1:49">
      <c r="A1252" s="4" t="s">
        <v>40</v>
      </c>
      <c r="B1252" s="4" t="str">
        <f t="shared" si="19"/>
        <v>Hair Care</v>
      </c>
      <c r="C1252" s="4" t="s">
        <v>1786</v>
      </c>
      <c r="D1252" s="4" t="s">
        <v>579</v>
      </c>
      <c r="E1252" s="24" t="s">
        <v>125</v>
      </c>
      <c r="F1252" s="12" t="s">
        <v>255</v>
      </c>
      <c r="G1252" s="4" t="s">
        <v>1787</v>
      </c>
      <c r="H1252" s="3">
        <v>762</v>
      </c>
      <c r="I1252" s="3">
        <v>1656</v>
      </c>
      <c r="J1252" s="3">
        <v>48</v>
      </c>
      <c r="K1252" s="3">
        <v>36</v>
      </c>
      <c r="L1252" s="3">
        <v>72</v>
      </c>
      <c r="M1252" s="3">
        <v>60</v>
      </c>
      <c r="N1252" s="3">
        <v>24</v>
      </c>
      <c r="O1252" s="3">
        <v>96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</row>
    <row r="1253" spans="1:49">
      <c r="A1253" s="4" t="s">
        <v>40</v>
      </c>
      <c r="B1253" s="4" t="str">
        <f t="shared" si="19"/>
        <v>Hair Care</v>
      </c>
      <c r="C1253" s="4" t="s">
        <v>1786</v>
      </c>
      <c r="D1253" s="4" t="s">
        <v>579</v>
      </c>
      <c r="E1253" s="24" t="s">
        <v>125</v>
      </c>
      <c r="F1253" s="12" t="s">
        <v>256</v>
      </c>
      <c r="G1253" s="4" t="s">
        <v>1787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1158</v>
      </c>
      <c r="AI1253" s="3">
        <v>978</v>
      </c>
      <c r="AJ1253" s="3">
        <v>-21</v>
      </c>
      <c r="AK1253" s="3">
        <v>411</v>
      </c>
      <c r="AL1253" s="3">
        <v>462</v>
      </c>
      <c r="AM1253" s="3">
        <v>318</v>
      </c>
      <c r="AN1253" s="3">
        <v>330</v>
      </c>
      <c r="AO1253" s="3">
        <v>336</v>
      </c>
      <c r="AP1253" s="3">
        <v>411</v>
      </c>
      <c r="AQ1253" s="3">
        <v>468</v>
      </c>
      <c r="AR1253" s="3">
        <v>315</v>
      </c>
      <c r="AS1253" s="3">
        <v>384</v>
      </c>
      <c r="AT1253" s="3">
        <v>189</v>
      </c>
      <c r="AU1253" s="3">
        <v>366</v>
      </c>
      <c r="AV1253" s="3">
        <v>306</v>
      </c>
      <c r="AW1253" s="3">
        <v>264</v>
      </c>
    </row>
    <row r="1254" spans="1:49">
      <c r="A1254" s="4" t="s">
        <v>40</v>
      </c>
      <c r="B1254" s="4" t="str">
        <f t="shared" si="19"/>
        <v>Hair Care</v>
      </c>
      <c r="C1254" s="4" t="s">
        <v>1786</v>
      </c>
      <c r="D1254" s="4" t="s">
        <v>579</v>
      </c>
      <c r="E1254" s="24" t="s">
        <v>125</v>
      </c>
      <c r="F1254" s="12" t="s">
        <v>257</v>
      </c>
      <c r="G1254" s="4" t="s">
        <v>1787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756</v>
      </c>
      <c r="AL1254" s="3">
        <v>120</v>
      </c>
      <c r="AM1254" s="3">
        <v>18</v>
      </c>
      <c r="AN1254" s="3">
        <v>18</v>
      </c>
      <c r="AO1254" s="3">
        <v>21</v>
      </c>
      <c r="AP1254" s="3">
        <v>24</v>
      </c>
      <c r="AQ1254" s="3">
        <v>12</v>
      </c>
      <c r="AR1254" s="3">
        <v>24</v>
      </c>
      <c r="AS1254" s="3">
        <v>3</v>
      </c>
      <c r="AT1254" s="3">
        <v>6</v>
      </c>
      <c r="AU1254" s="3">
        <v>12</v>
      </c>
      <c r="AV1254" s="3">
        <v>42</v>
      </c>
      <c r="AW1254" s="3">
        <v>0</v>
      </c>
    </row>
    <row r="1255" spans="1:49">
      <c r="A1255" s="4" t="s">
        <v>40</v>
      </c>
      <c r="B1255" s="4" t="str">
        <f t="shared" si="19"/>
        <v>Hair Care</v>
      </c>
      <c r="C1255" s="4" t="s">
        <v>1786</v>
      </c>
      <c r="D1255" s="4" t="s">
        <v>579</v>
      </c>
      <c r="E1255" s="24" t="s">
        <v>125</v>
      </c>
      <c r="F1255" s="12" t="s">
        <v>258</v>
      </c>
      <c r="G1255" s="4" t="s">
        <v>1787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984</v>
      </c>
      <c r="AI1255" s="3">
        <v>948</v>
      </c>
      <c r="AJ1255" s="3">
        <v>36</v>
      </c>
      <c r="AK1255" s="3">
        <v>108</v>
      </c>
      <c r="AL1255" s="3">
        <v>1596</v>
      </c>
      <c r="AM1255" s="3">
        <v>858</v>
      </c>
      <c r="AN1255" s="3">
        <v>2706</v>
      </c>
      <c r="AO1255" s="3">
        <v>2352</v>
      </c>
      <c r="AP1255" s="3">
        <v>318</v>
      </c>
      <c r="AQ1255" s="3">
        <v>1908</v>
      </c>
      <c r="AR1255" s="3">
        <v>1404</v>
      </c>
      <c r="AS1255" s="3">
        <v>1200</v>
      </c>
      <c r="AT1255" s="3">
        <v>408</v>
      </c>
      <c r="AU1255" s="3">
        <v>186</v>
      </c>
      <c r="AV1255" s="3">
        <v>786</v>
      </c>
      <c r="AW1255" s="3">
        <v>3012</v>
      </c>
    </row>
    <row r="1256" spans="1:49">
      <c r="A1256" s="4" t="s">
        <v>40</v>
      </c>
      <c r="B1256" s="4" t="str">
        <f t="shared" si="19"/>
        <v>Hair Care</v>
      </c>
      <c r="C1256" s="4" t="s">
        <v>1786</v>
      </c>
      <c r="D1256" s="4" t="s">
        <v>579</v>
      </c>
      <c r="E1256" s="24" t="s">
        <v>125</v>
      </c>
      <c r="F1256" s="12" t="s">
        <v>259</v>
      </c>
      <c r="G1256" s="4" t="s">
        <v>1787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3960</v>
      </c>
      <c r="AI1256" s="3">
        <v>2316</v>
      </c>
      <c r="AJ1256" s="3">
        <v>-456</v>
      </c>
      <c r="AK1256" s="3">
        <v>840</v>
      </c>
      <c r="AL1256" s="3">
        <v>2280</v>
      </c>
      <c r="AM1256" s="3">
        <v>1230</v>
      </c>
      <c r="AN1256" s="3">
        <v>2970</v>
      </c>
      <c r="AO1256" s="3">
        <v>2676</v>
      </c>
      <c r="AP1256" s="3">
        <v>666</v>
      </c>
      <c r="AQ1256" s="3">
        <v>2196</v>
      </c>
      <c r="AR1256" s="3">
        <v>1860</v>
      </c>
      <c r="AS1256" s="3">
        <v>1836</v>
      </c>
      <c r="AT1256" s="3">
        <v>996</v>
      </c>
      <c r="AU1256" s="3">
        <v>498</v>
      </c>
      <c r="AV1256" s="3">
        <v>666</v>
      </c>
      <c r="AW1256" s="3">
        <v>3264</v>
      </c>
    </row>
    <row r="1257" spans="1:49">
      <c r="A1257" s="4" t="s">
        <v>40</v>
      </c>
      <c r="B1257" s="4" t="str">
        <f t="shared" si="19"/>
        <v>Hair Care</v>
      </c>
      <c r="C1257" s="4" t="s">
        <v>1786</v>
      </c>
      <c r="D1257" s="4" t="s">
        <v>579</v>
      </c>
      <c r="E1257" s="24" t="s">
        <v>125</v>
      </c>
      <c r="F1257" s="12" t="s">
        <v>260</v>
      </c>
      <c r="G1257" s="4" t="s">
        <v>1787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1098</v>
      </c>
      <c r="AI1257" s="3">
        <v>885</v>
      </c>
      <c r="AJ1257" s="3">
        <v>78</v>
      </c>
      <c r="AK1257" s="3">
        <v>396</v>
      </c>
      <c r="AL1257" s="3">
        <v>72</v>
      </c>
      <c r="AM1257" s="3">
        <v>87</v>
      </c>
      <c r="AN1257" s="3">
        <v>84</v>
      </c>
      <c r="AO1257" s="3">
        <v>156</v>
      </c>
      <c r="AP1257" s="3">
        <v>293</v>
      </c>
      <c r="AQ1257" s="3">
        <v>357</v>
      </c>
      <c r="AR1257" s="3">
        <v>222</v>
      </c>
      <c r="AS1257" s="3">
        <v>0</v>
      </c>
      <c r="AT1257" s="3">
        <v>206</v>
      </c>
      <c r="AU1257" s="3">
        <v>294</v>
      </c>
      <c r="AV1257" s="3">
        <v>201</v>
      </c>
      <c r="AW1257" s="3">
        <v>204</v>
      </c>
    </row>
    <row r="1258" spans="1:49">
      <c r="A1258" s="4" t="s">
        <v>40</v>
      </c>
      <c r="B1258" s="4" t="str">
        <f t="shared" si="19"/>
        <v>Hair Care</v>
      </c>
      <c r="C1258" s="4" t="s">
        <v>1786</v>
      </c>
      <c r="D1258" s="4" t="s">
        <v>579</v>
      </c>
      <c r="E1258" s="24" t="s">
        <v>125</v>
      </c>
      <c r="F1258" s="12" t="s">
        <v>261</v>
      </c>
      <c r="G1258" s="4" t="s">
        <v>1787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840</v>
      </c>
      <c r="AM1258" s="3">
        <v>36</v>
      </c>
      <c r="AN1258" s="3">
        <v>42</v>
      </c>
      <c r="AO1258" s="3">
        <v>42</v>
      </c>
      <c r="AP1258" s="3">
        <v>36</v>
      </c>
      <c r="AQ1258" s="3">
        <v>36</v>
      </c>
      <c r="AR1258" s="3">
        <v>36</v>
      </c>
      <c r="AS1258" s="3">
        <v>36</v>
      </c>
      <c r="AT1258" s="3">
        <v>0</v>
      </c>
      <c r="AU1258" s="3">
        <v>0</v>
      </c>
      <c r="AV1258" s="3">
        <v>24</v>
      </c>
      <c r="AW1258" s="3">
        <v>0</v>
      </c>
    </row>
    <row r="1259" spans="1:49">
      <c r="A1259" s="4" t="s">
        <v>40</v>
      </c>
      <c r="B1259" s="4" t="str">
        <f t="shared" si="19"/>
        <v>Hair Care</v>
      </c>
      <c r="C1259" s="4" t="s">
        <v>1786</v>
      </c>
      <c r="D1259" s="4" t="s">
        <v>579</v>
      </c>
      <c r="E1259" s="24" t="s">
        <v>125</v>
      </c>
      <c r="F1259" s="12" t="s">
        <v>262</v>
      </c>
      <c r="G1259" s="4" t="s">
        <v>1787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1296</v>
      </c>
      <c r="AM1259" s="3">
        <v>2490</v>
      </c>
      <c r="AN1259" s="3">
        <v>6848</v>
      </c>
      <c r="AO1259" s="3">
        <v>3756</v>
      </c>
      <c r="AP1259" s="3">
        <v>516</v>
      </c>
      <c r="AQ1259" s="3">
        <v>516</v>
      </c>
      <c r="AR1259" s="3">
        <v>5142</v>
      </c>
      <c r="AS1259" s="3">
        <v>2286</v>
      </c>
      <c r="AT1259" s="3">
        <v>2232</v>
      </c>
      <c r="AU1259" s="3">
        <v>2208</v>
      </c>
      <c r="AV1259" s="3">
        <v>8130</v>
      </c>
      <c r="AW1259" s="3">
        <v>2502</v>
      </c>
    </row>
    <row r="1260" spans="1:49">
      <c r="A1260" s="4" t="s">
        <v>40</v>
      </c>
      <c r="B1260" s="4" t="str">
        <f t="shared" si="19"/>
        <v>Hair Care</v>
      </c>
      <c r="C1260" s="4" t="s">
        <v>1786</v>
      </c>
      <c r="D1260" s="4" t="s">
        <v>579</v>
      </c>
      <c r="E1260" s="24" t="s">
        <v>125</v>
      </c>
      <c r="F1260" s="12" t="s">
        <v>263</v>
      </c>
      <c r="G1260" s="4" t="s">
        <v>1787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3960</v>
      </c>
      <c r="AI1260" s="3">
        <v>2352</v>
      </c>
      <c r="AJ1260" s="3">
        <v>-456</v>
      </c>
      <c r="AK1260" s="3">
        <v>696</v>
      </c>
      <c r="AL1260" s="3">
        <v>1020</v>
      </c>
      <c r="AM1260" s="3">
        <v>2178</v>
      </c>
      <c r="AN1260" s="3">
        <v>5034</v>
      </c>
      <c r="AO1260" s="3">
        <v>3576</v>
      </c>
      <c r="AP1260" s="3">
        <v>492</v>
      </c>
      <c r="AQ1260" s="3">
        <v>348</v>
      </c>
      <c r="AR1260" s="3">
        <v>4806</v>
      </c>
      <c r="AS1260" s="3">
        <v>2862</v>
      </c>
      <c r="AT1260" s="3">
        <v>2148</v>
      </c>
      <c r="AU1260" s="3">
        <v>1428</v>
      </c>
      <c r="AV1260" s="3">
        <v>8310</v>
      </c>
      <c r="AW1260" s="3">
        <v>2238</v>
      </c>
    </row>
    <row r="1261" spans="1:49">
      <c r="A1261" s="4" t="s">
        <v>40</v>
      </c>
      <c r="B1261" s="4" t="str">
        <f t="shared" si="19"/>
        <v>Hair Care</v>
      </c>
      <c r="C1261" s="4" t="s">
        <v>1786</v>
      </c>
      <c r="D1261" s="4" t="s">
        <v>579</v>
      </c>
      <c r="E1261" s="24" t="s">
        <v>125</v>
      </c>
      <c r="F1261" s="12" t="s">
        <v>264</v>
      </c>
      <c r="G1261" s="4" t="s">
        <v>1787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1368</v>
      </c>
      <c r="AM1261" s="3">
        <v>576</v>
      </c>
      <c r="AN1261" s="3">
        <v>2078</v>
      </c>
      <c r="AO1261" s="3">
        <v>264</v>
      </c>
      <c r="AP1261" s="3">
        <v>1440</v>
      </c>
      <c r="AQ1261" s="3">
        <v>1008</v>
      </c>
      <c r="AR1261" s="3">
        <v>684</v>
      </c>
      <c r="AS1261" s="3">
        <v>384</v>
      </c>
      <c r="AT1261" s="3">
        <v>480</v>
      </c>
      <c r="AU1261" s="3">
        <v>1476</v>
      </c>
      <c r="AV1261" s="3">
        <v>144</v>
      </c>
      <c r="AW1261" s="3">
        <v>96</v>
      </c>
    </row>
    <row r="1262" spans="1:49">
      <c r="A1262" s="4" t="s">
        <v>40</v>
      </c>
      <c r="B1262" s="4" t="str">
        <f t="shared" si="19"/>
        <v>Hair Care</v>
      </c>
      <c r="C1262" s="4" t="s">
        <v>1786</v>
      </c>
      <c r="D1262" s="4" t="s">
        <v>579</v>
      </c>
      <c r="E1262" s="24" t="s">
        <v>125</v>
      </c>
      <c r="F1262" s="12" t="s">
        <v>265</v>
      </c>
      <c r="G1262" s="4" t="s">
        <v>1787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1524</v>
      </c>
    </row>
    <row r="1263" spans="1:49">
      <c r="A1263" s="4" t="s">
        <v>40</v>
      </c>
      <c r="B1263" s="4" t="str">
        <f t="shared" si="19"/>
        <v>Hair Care</v>
      </c>
      <c r="C1263" s="4" t="s">
        <v>1786</v>
      </c>
      <c r="D1263" s="4" t="s">
        <v>579</v>
      </c>
      <c r="E1263" s="24" t="s">
        <v>125</v>
      </c>
      <c r="F1263" s="12" t="s">
        <v>266</v>
      </c>
      <c r="G1263" s="4" t="s">
        <v>1787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3372</v>
      </c>
    </row>
    <row r="1264" spans="1:49">
      <c r="A1264" s="4" t="s">
        <v>40</v>
      </c>
      <c r="B1264" s="4" t="str">
        <f t="shared" si="19"/>
        <v>Hair Care</v>
      </c>
      <c r="C1264" s="4" t="s">
        <v>1786</v>
      </c>
      <c r="D1264" s="4" t="s">
        <v>579</v>
      </c>
      <c r="E1264" s="24" t="s">
        <v>125</v>
      </c>
      <c r="F1264" s="12" t="s">
        <v>267</v>
      </c>
      <c r="G1264" s="4" t="s">
        <v>1787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1311</v>
      </c>
    </row>
    <row r="1265" spans="1:49">
      <c r="A1265" s="4" t="s">
        <v>40</v>
      </c>
      <c r="B1265" s="4" t="str">
        <f t="shared" si="19"/>
        <v>Hair Care</v>
      </c>
      <c r="C1265" s="4" t="s">
        <v>1786</v>
      </c>
      <c r="D1265" s="4" t="s">
        <v>579</v>
      </c>
      <c r="E1265" s="24" t="s">
        <v>125</v>
      </c>
      <c r="F1265" s="12" t="s">
        <v>268</v>
      </c>
      <c r="G1265" s="4" t="s">
        <v>1787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3408</v>
      </c>
    </row>
    <row r="1266" spans="1:49">
      <c r="A1266" s="4" t="s">
        <v>40</v>
      </c>
      <c r="B1266" s="4" t="str">
        <f t="shared" si="19"/>
        <v>Hair Care</v>
      </c>
      <c r="C1266" s="4" t="s">
        <v>1786</v>
      </c>
      <c r="D1266" s="4" t="s">
        <v>579</v>
      </c>
      <c r="E1266" s="24" t="s">
        <v>125</v>
      </c>
      <c r="F1266" s="12" t="s">
        <v>269</v>
      </c>
      <c r="G1266" s="4" t="s">
        <v>1787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4236</v>
      </c>
    </row>
    <row r="1267" spans="1:49">
      <c r="A1267" s="4" t="s">
        <v>40</v>
      </c>
      <c r="B1267" s="4" t="str">
        <f t="shared" si="19"/>
        <v>Hair Care</v>
      </c>
      <c r="C1267" s="4" t="s">
        <v>1786</v>
      </c>
      <c r="D1267" s="4" t="s">
        <v>579</v>
      </c>
      <c r="E1267" s="24" t="s">
        <v>125</v>
      </c>
      <c r="F1267" s="12" t="s">
        <v>270</v>
      </c>
      <c r="G1267" s="4" t="s">
        <v>1787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4320</v>
      </c>
    </row>
    <row r="1268" spans="1:49">
      <c r="A1268" s="4" t="s">
        <v>40</v>
      </c>
      <c r="B1268" s="4" t="str">
        <f t="shared" si="19"/>
        <v>Hair Care</v>
      </c>
      <c r="C1268" s="4" t="s">
        <v>1786</v>
      </c>
      <c r="D1268" s="4" t="s">
        <v>579</v>
      </c>
      <c r="E1268" s="24" t="s">
        <v>125</v>
      </c>
      <c r="F1268" s="12" t="s">
        <v>271</v>
      </c>
      <c r="G1268" s="4" t="s">
        <v>1787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636</v>
      </c>
    </row>
    <row r="1269" spans="1:49">
      <c r="A1269" s="4" t="s">
        <v>40</v>
      </c>
      <c r="B1269" s="4" t="str">
        <f t="shared" si="19"/>
        <v>Hair Care</v>
      </c>
      <c r="C1269" s="4" t="s">
        <v>1786</v>
      </c>
      <c r="D1269" s="4" t="s">
        <v>579</v>
      </c>
      <c r="E1269" s="24" t="s">
        <v>125</v>
      </c>
      <c r="F1269" s="12" t="s">
        <v>272</v>
      </c>
      <c r="G1269" s="4" t="s">
        <v>1787</v>
      </c>
      <c r="H1269" s="3">
        <v>0</v>
      </c>
      <c r="I1269" s="3">
        <v>4188</v>
      </c>
      <c r="J1269" s="3">
        <v>1524</v>
      </c>
      <c r="K1269" s="3">
        <v>0</v>
      </c>
      <c r="L1269" s="3">
        <v>0</v>
      </c>
      <c r="M1269" s="3">
        <v>0</v>
      </c>
      <c r="N1269" s="3">
        <v>0</v>
      </c>
      <c r="O1269" s="3">
        <v>3024</v>
      </c>
      <c r="P1269" s="3">
        <v>588</v>
      </c>
      <c r="Q1269" s="3">
        <v>1368</v>
      </c>
      <c r="R1269" s="3">
        <v>0</v>
      </c>
      <c r="S1269" s="3">
        <v>156</v>
      </c>
      <c r="T1269" s="3">
        <v>96</v>
      </c>
      <c r="U1269" s="3">
        <v>84</v>
      </c>
      <c r="V1269" s="3">
        <v>1032</v>
      </c>
      <c r="W1269" s="3">
        <v>180</v>
      </c>
      <c r="X1269" s="3">
        <v>168</v>
      </c>
      <c r="Y1269" s="3">
        <v>240</v>
      </c>
      <c r="Z1269" s="3">
        <v>24</v>
      </c>
      <c r="AA1269" s="3">
        <v>180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</row>
    <row r="1270" spans="1:49">
      <c r="A1270" s="4" t="s">
        <v>40</v>
      </c>
      <c r="B1270" s="4" t="str">
        <f t="shared" si="19"/>
        <v>Hair Care</v>
      </c>
      <c r="C1270" s="4" t="s">
        <v>1786</v>
      </c>
      <c r="D1270" s="4" t="s">
        <v>579</v>
      </c>
      <c r="E1270" s="24" t="s">
        <v>125</v>
      </c>
      <c r="F1270" s="12" t="s">
        <v>576</v>
      </c>
      <c r="G1270" s="4" t="s">
        <v>1787</v>
      </c>
      <c r="H1270" s="3">
        <v>120</v>
      </c>
      <c r="I1270" s="3">
        <v>0</v>
      </c>
      <c r="J1270" s="3">
        <v>60</v>
      </c>
      <c r="K1270" s="3">
        <v>0</v>
      </c>
      <c r="L1270" s="3">
        <v>132</v>
      </c>
      <c r="M1270" s="3">
        <v>0</v>
      </c>
      <c r="N1270" s="3">
        <v>0</v>
      </c>
      <c r="O1270" s="3">
        <v>3540</v>
      </c>
      <c r="P1270" s="3">
        <v>480</v>
      </c>
      <c r="Q1270" s="3">
        <v>0</v>
      </c>
      <c r="R1270" s="3">
        <v>36</v>
      </c>
      <c r="S1270" s="3">
        <v>60</v>
      </c>
      <c r="T1270" s="3">
        <v>48</v>
      </c>
      <c r="U1270" s="3">
        <v>0</v>
      </c>
      <c r="V1270" s="3">
        <v>1140</v>
      </c>
      <c r="W1270" s="3">
        <v>0</v>
      </c>
      <c r="X1270" s="3">
        <v>0</v>
      </c>
      <c r="Y1270" s="3">
        <v>0</v>
      </c>
      <c r="Z1270" s="3">
        <v>12</v>
      </c>
      <c r="AA1270" s="3">
        <v>228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</row>
    <row r="1271" spans="1:49">
      <c r="A1271" s="4" t="s">
        <v>40</v>
      </c>
      <c r="B1271" s="4" t="str">
        <f t="shared" si="19"/>
        <v>Hair Care</v>
      </c>
      <c r="C1271" s="4" t="s">
        <v>1786</v>
      </c>
      <c r="D1271" s="4" t="s">
        <v>579</v>
      </c>
      <c r="E1271" s="24" t="s">
        <v>125</v>
      </c>
      <c r="F1271" s="12" t="s">
        <v>273</v>
      </c>
      <c r="G1271" s="4" t="s">
        <v>1787</v>
      </c>
      <c r="H1271" s="3">
        <v>456</v>
      </c>
      <c r="I1271" s="3">
        <v>420</v>
      </c>
      <c r="J1271" s="3">
        <v>180</v>
      </c>
      <c r="K1271" s="3">
        <v>348</v>
      </c>
      <c r="L1271" s="3">
        <v>60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</row>
    <row r="1272" spans="1:49">
      <c r="A1272" s="4" t="s">
        <v>40</v>
      </c>
      <c r="B1272" s="4" t="str">
        <f t="shared" si="19"/>
        <v>Hair Care</v>
      </c>
      <c r="C1272" s="4" t="s">
        <v>1786</v>
      </c>
      <c r="D1272" s="4" t="s">
        <v>579</v>
      </c>
      <c r="E1272" s="24" t="s">
        <v>125</v>
      </c>
      <c r="F1272" s="12" t="s">
        <v>274</v>
      </c>
      <c r="G1272" s="4" t="s">
        <v>1787</v>
      </c>
      <c r="H1272" s="3">
        <v>312</v>
      </c>
      <c r="I1272" s="3">
        <v>300</v>
      </c>
      <c r="J1272" s="3">
        <v>120</v>
      </c>
      <c r="K1272" s="3">
        <v>60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</row>
    <row r="1273" spans="1:49">
      <c r="A1273" s="4" t="s">
        <v>40</v>
      </c>
      <c r="B1273" s="4" t="str">
        <f t="shared" si="19"/>
        <v>Hair Care</v>
      </c>
      <c r="C1273" s="4" t="s">
        <v>1786</v>
      </c>
      <c r="D1273" s="4" t="s">
        <v>579</v>
      </c>
      <c r="E1273" s="24" t="s">
        <v>125</v>
      </c>
      <c r="F1273" s="12" t="s">
        <v>275</v>
      </c>
      <c r="G1273" s="4" t="s">
        <v>1787</v>
      </c>
      <c r="H1273" s="3">
        <v>0</v>
      </c>
      <c r="I1273" s="3">
        <v>426</v>
      </c>
      <c r="J1273" s="3">
        <v>93</v>
      </c>
      <c r="K1273" s="3">
        <v>153</v>
      </c>
      <c r="L1273" s="3">
        <v>471</v>
      </c>
      <c r="M1273" s="3">
        <v>246</v>
      </c>
      <c r="N1273" s="3">
        <v>84</v>
      </c>
      <c r="O1273" s="3">
        <v>447</v>
      </c>
      <c r="P1273" s="3">
        <v>114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</row>
    <row r="1274" spans="1:49">
      <c r="A1274" s="4" t="s">
        <v>40</v>
      </c>
      <c r="B1274" s="4" t="str">
        <f t="shared" si="19"/>
        <v>Hair Care</v>
      </c>
      <c r="C1274" s="4" t="s">
        <v>1786</v>
      </c>
      <c r="D1274" s="4" t="s">
        <v>579</v>
      </c>
      <c r="E1274" s="24" t="s">
        <v>125</v>
      </c>
      <c r="F1274" s="12" t="s">
        <v>276</v>
      </c>
      <c r="G1274" s="4" t="s">
        <v>1787</v>
      </c>
      <c r="H1274" s="3">
        <v>108</v>
      </c>
      <c r="I1274" s="3">
        <v>300</v>
      </c>
      <c r="J1274" s="3">
        <v>228</v>
      </c>
      <c r="K1274" s="3">
        <v>0</v>
      </c>
      <c r="L1274" s="3">
        <v>60</v>
      </c>
      <c r="M1274" s="3">
        <v>24</v>
      </c>
      <c r="N1274" s="3">
        <v>84</v>
      </c>
      <c r="O1274" s="3">
        <v>156</v>
      </c>
      <c r="P1274" s="3">
        <v>624</v>
      </c>
      <c r="Q1274" s="3">
        <v>12</v>
      </c>
      <c r="R1274" s="3">
        <v>24</v>
      </c>
      <c r="S1274" s="3">
        <v>84</v>
      </c>
      <c r="T1274" s="3">
        <v>192</v>
      </c>
      <c r="U1274" s="3">
        <v>60</v>
      </c>
      <c r="V1274" s="3">
        <v>36</v>
      </c>
      <c r="W1274" s="3">
        <v>24</v>
      </c>
      <c r="X1274" s="3">
        <v>120</v>
      </c>
      <c r="Y1274" s="3">
        <v>24</v>
      </c>
      <c r="Z1274" s="3">
        <v>60</v>
      </c>
      <c r="AA1274" s="3">
        <v>24</v>
      </c>
      <c r="AB1274" s="3">
        <v>204</v>
      </c>
      <c r="AC1274" s="3">
        <v>12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</row>
    <row r="1275" spans="1:49">
      <c r="A1275" s="4" t="s">
        <v>40</v>
      </c>
      <c r="B1275" s="4" t="str">
        <f t="shared" si="19"/>
        <v>Hair Care</v>
      </c>
      <c r="C1275" s="4" t="s">
        <v>1786</v>
      </c>
      <c r="D1275" s="4" t="s">
        <v>579</v>
      </c>
      <c r="E1275" s="24" t="s">
        <v>125</v>
      </c>
      <c r="F1275" s="12" t="s">
        <v>277</v>
      </c>
      <c r="G1275" s="4" t="s">
        <v>1787</v>
      </c>
      <c r="H1275" s="3">
        <v>168</v>
      </c>
      <c r="I1275" s="3">
        <v>60</v>
      </c>
      <c r="J1275" s="3">
        <v>108</v>
      </c>
      <c r="K1275" s="3">
        <v>24</v>
      </c>
      <c r="L1275" s="3">
        <v>48</v>
      </c>
      <c r="M1275" s="3">
        <v>36</v>
      </c>
      <c r="N1275" s="3">
        <v>36</v>
      </c>
      <c r="O1275" s="3">
        <v>108</v>
      </c>
      <c r="P1275" s="3">
        <v>768</v>
      </c>
      <c r="Q1275" s="3">
        <v>0</v>
      </c>
      <c r="R1275" s="3">
        <v>48</v>
      </c>
      <c r="S1275" s="3">
        <v>72</v>
      </c>
      <c r="T1275" s="3">
        <v>108</v>
      </c>
      <c r="U1275" s="3">
        <v>24</v>
      </c>
      <c r="V1275" s="3">
        <v>120</v>
      </c>
      <c r="W1275" s="3">
        <v>84</v>
      </c>
      <c r="X1275" s="3">
        <v>12</v>
      </c>
      <c r="Y1275" s="3">
        <v>72</v>
      </c>
      <c r="Z1275" s="3">
        <v>0</v>
      </c>
      <c r="AA1275" s="3">
        <v>36</v>
      </c>
      <c r="AB1275" s="3">
        <v>156</v>
      </c>
      <c r="AC1275" s="3">
        <v>24</v>
      </c>
      <c r="AD1275" s="3">
        <v>12</v>
      </c>
      <c r="AE1275" s="3">
        <v>72</v>
      </c>
      <c r="AF1275" s="3">
        <v>12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</row>
    <row r="1276" spans="1:49">
      <c r="A1276" s="4" t="s">
        <v>40</v>
      </c>
      <c r="B1276" s="4" t="str">
        <f t="shared" si="19"/>
        <v>Hair Care</v>
      </c>
      <c r="C1276" s="4" t="s">
        <v>1786</v>
      </c>
      <c r="D1276" s="4" t="s">
        <v>579</v>
      </c>
      <c r="E1276" s="24" t="s">
        <v>125</v>
      </c>
      <c r="F1276" s="12" t="s">
        <v>278</v>
      </c>
      <c r="G1276" s="4" t="s">
        <v>1787</v>
      </c>
      <c r="H1276" s="3">
        <v>1044</v>
      </c>
      <c r="I1276" s="3">
        <v>1938</v>
      </c>
      <c r="J1276" s="3">
        <v>1264</v>
      </c>
      <c r="K1276" s="3">
        <v>72</v>
      </c>
      <c r="L1276" s="3">
        <v>220</v>
      </c>
      <c r="M1276" s="3">
        <v>0</v>
      </c>
      <c r="N1276" s="3">
        <v>0</v>
      </c>
      <c r="O1276" s="3">
        <v>24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132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</row>
    <row r="1277" spans="1:49">
      <c r="A1277" s="4" t="s">
        <v>40</v>
      </c>
      <c r="B1277" s="4" t="str">
        <f t="shared" si="19"/>
        <v>Hair Care</v>
      </c>
      <c r="C1277" s="4" t="s">
        <v>1786</v>
      </c>
      <c r="D1277" s="4" t="s">
        <v>579</v>
      </c>
      <c r="E1277" s="24" t="s">
        <v>125</v>
      </c>
      <c r="F1277" s="12" t="s">
        <v>279</v>
      </c>
      <c r="G1277" s="4" t="s">
        <v>1787</v>
      </c>
      <c r="H1277" s="3">
        <v>192</v>
      </c>
      <c r="I1277" s="3">
        <v>2832</v>
      </c>
      <c r="J1277" s="3">
        <v>2560</v>
      </c>
      <c r="K1277" s="3">
        <v>0</v>
      </c>
      <c r="L1277" s="3">
        <v>184</v>
      </c>
      <c r="M1277" s="3">
        <v>36</v>
      </c>
      <c r="N1277" s="3">
        <v>60</v>
      </c>
      <c r="O1277" s="3">
        <v>216</v>
      </c>
      <c r="P1277" s="3">
        <v>36</v>
      </c>
      <c r="Q1277" s="3">
        <v>12</v>
      </c>
      <c r="R1277" s="3">
        <v>12</v>
      </c>
      <c r="S1277" s="3">
        <v>24</v>
      </c>
      <c r="T1277" s="3">
        <v>48</v>
      </c>
      <c r="U1277" s="3">
        <v>60</v>
      </c>
      <c r="V1277" s="3">
        <v>420</v>
      </c>
      <c r="W1277" s="3">
        <v>24</v>
      </c>
      <c r="X1277" s="3">
        <v>84</v>
      </c>
      <c r="Y1277" s="3">
        <v>228</v>
      </c>
      <c r="Z1277" s="3">
        <v>48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</row>
    <row r="1278" spans="1:49">
      <c r="A1278" s="4" t="s">
        <v>40</v>
      </c>
      <c r="B1278" s="4" t="str">
        <f t="shared" si="19"/>
        <v>Hair Care</v>
      </c>
      <c r="C1278" s="4" t="s">
        <v>1786</v>
      </c>
      <c r="D1278" s="4" t="s">
        <v>579</v>
      </c>
      <c r="E1278" s="24" t="s">
        <v>125</v>
      </c>
      <c r="F1278" s="12" t="s">
        <v>280</v>
      </c>
      <c r="G1278" s="4" t="s">
        <v>1787</v>
      </c>
      <c r="H1278" s="3">
        <v>21</v>
      </c>
      <c r="I1278" s="3">
        <v>63</v>
      </c>
      <c r="J1278" s="3">
        <v>48</v>
      </c>
      <c r="K1278" s="3">
        <v>18</v>
      </c>
      <c r="L1278" s="3">
        <v>42</v>
      </c>
      <c r="M1278" s="3">
        <v>51</v>
      </c>
      <c r="N1278" s="3">
        <v>30</v>
      </c>
      <c r="O1278" s="3">
        <v>21</v>
      </c>
      <c r="P1278" s="3">
        <v>12</v>
      </c>
      <c r="Q1278" s="3">
        <v>33</v>
      </c>
      <c r="R1278" s="3">
        <v>249</v>
      </c>
      <c r="S1278" s="3">
        <v>63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</row>
    <row r="1279" spans="1:49">
      <c r="A1279" s="4" t="s">
        <v>40</v>
      </c>
      <c r="B1279" s="4" t="str">
        <f t="shared" si="19"/>
        <v>Hair Care</v>
      </c>
      <c r="C1279" s="4" t="s">
        <v>1786</v>
      </c>
      <c r="D1279" s="4" t="s">
        <v>579</v>
      </c>
      <c r="E1279" s="24" t="s">
        <v>125</v>
      </c>
      <c r="F1279" s="12" t="s">
        <v>281</v>
      </c>
      <c r="G1279" s="4" t="s">
        <v>1787</v>
      </c>
      <c r="H1279" s="3">
        <v>0</v>
      </c>
      <c r="I1279" s="3">
        <v>0</v>
      </c>
      <c r="J1279" s="3">
        <v>0</v>
      </c>
      <c r="K1279" s="3">
        <v>300</v>
      </c>
      <c r="L1279" s="3">
        <v>162</v>
      </c>
      <c r="M1279" s="3">
        <v>354</v>
      </c>
      <c r="N1279" s="3">
        <v>96</v>
      </c>
      <c r="O1279" s="3">
        <v>432</v>
      </c>
      <c r="P1279" s="3">
        <v>18</v>
      </c>
      <c r="Q1279" s="3">
        <v>474</v>
      </c>
      <c r="R1279" s="3">
        <v>30</v>
      </c>
      <c r="S1279" s="3">
        <v>24</v>
      </c>
      <c r="T1279" s="3">
        <v>48</v>
      </c>
      <c r="U1279" s="3">
        <v>60</v>
      </c>
      <c r="V1279" s="3">
        <v>48</v>
      </c>
      <c r="W1279" s="3">
        <v>42</v>
      </c>
      <c r="X1279" s="3">
        <v>24</v>
      </c>
      <c r="Y1279" s="3">
        <v>294</v>
      </c>
      <c r="Z1279" s="3">
        <v>18</v>
      </c>
      <c r="AA1279" s="3">
        <v>102</v>
      </c>
      <c r="AB1279" s="3">
        <v>90</v>
      </c>
      <c r="AC1279" s="3">
        <v>24</v>
      </c>
      <c r="AD1279" s="3">
        <v>42</v>
      </c>
      <c r="AE1279" s="3">
        <v>84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</row>
    <row r="1280" spans="1:49">
      <c r="A1280" s="4" t="s">
        <v>40</v>
      </c>
      <c r="B1280" s="4" t="str">
        <f t="shared" si="19"/>
        <v>Hair Care</v>
      </c>
      <c r="C1280" s="4" t="s">
        <v>1786</v>
      </c>
      <c r="D1280" s="4" t="s">
        <v>579</v>
      </c>
      <c r="E1280" s="24" t="s">
        <v>282</v>
      </c>
      <c r="F1280" s="12" t="s">
        <v>284</v>
      </c>
      <c r="G1280" s="4" t="s">
        <v>1787</v>
      </c>
      <c r="H1280" s="3">
        <v>30</v>
      </c>
      <c r="I1280" s="3">
        <v>24</v>
      </c>
      <c r="J1280" s="3">
        <v>0</v>
      </c>
      <c r="K1280" s="3">
        <v>0</v>
      </c>
      <c r="L1280" s="3">
        <v>21</v>
      </c>
      <c r="M1280" s="3">
        <v>45</v>
      </c>
      <c r="N1280" s="3">
        <v>18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</row>
    <row r="1281" spans="1:49">
      <c r="A1281" s="4" t="s">
        <v>40</v>
      </c>
      <c r="B1281" s="4" t="str">
        <f t="shared" si="19"/>
        <v>Hair Care</v>
      </c>
      <c r="C1281" s="4" t="s">
        <v>1786</v>
      </c>
      <c r="D1281" s="4" t="s">
        <v>579</v>
      </c>
      <c r="E1281" s="24" t="s">
        <v>282</v>
      </c>
      <c r="F1281" s="12" t="s">
        <v>285</v>
      </c>
      <c r="G1281" s="4" t="s">
        <v>1787</v>
      </c>
      <c r="H1281" s="3">
        <v>12</v>
      </c>
      <c r="I1281" s="3">
        <v>12</v>
      </c>
      <c r="J1281" s="3">
        <v>0</v>
      </c>
      <c r="K1281" s="3">
        <v>12</v>
      </c>
      <c r="L1281" s="3">
        <v>6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</row>
    <row r="1282" spans="1:49">
      <c r="A1282" s="4" t="s">
        <v>40</v>
      </c>
      <c r="B1282" s="4" t="str">
        <f t="shared" si="19"/>
        <v>Hair Care</v>
      </c>
      <c r="C1282" s="4" t="s">
        <v>1786</v>
      </c>
      <c r="D1282" s="4" t="s">
        <v>579</v>
      </c>
      <c r="E1282" s="24" t="s">
        <v>282</v>
      </c>
      <c r="F1282" s="12" t="s">
        <v>287</v>
      </c>
      <c r="G1282" s="4" t="s">
        <v>1787</v>
      </c>
      <c r="H1282" s="3">
        <v>36</v>
      </c>
      <c r="I1282" s="3">
        <v>33</v>
      </c>
      <c r="J1282" s="3">
        <v>6</v>
      </c>
      <c r="K1282" s="3">
        <v>6</v>
      </c>
      <c r="L1282" s="3">
        <v>24</v>
      </c>
      <c r="M1282" s="3">
        <v>60</v>
      </c>
      <c r="N1282" s="3">
        <v>30</v>
      </c>
      <c r="O1282" s="3">
        <v>162</v>
      </c>
      <c r="P1282" s="3">
        <v>18</v>
      </c>
      <c r="Q1282" s="3">
        <v>348</v>
      </c>
      <c r="R1282" s="3">
        <v>24</v>
      </c>
      <c r="S1282" s="3">
        <v>12</v>
      </c>
      <c r="T1282" s="3">
        <v>66</v>
      </c>
      <c r="U1282" s="3">
        <v>0</v>
      </c>
      <c r="V1282" s="3">
        <v>42</v>
      </c>
      <c r="W1282" s="3">
        <v>0</v>
      </c>
      <c r="X1282" s="3">
        <v>18</v>
      </c>
      <c r="Y1282" s="3">
        <v>6</v>
      </c>
      <c r="Z1282" s="3">
        <v>33</v>
      </c>
      <c r="AA1282" s="3">
        <v>24</v>
      </c>
      <c r="AB1282" s="3">
        <v>6</v>
      </c>
      <c r="AC1282" s="3">
        <v>12</v>
      </c>
      <c r="AD1282" s="3">
        <v>6</v>
      </c>
      <c r="AE1282" s="3">
        <v>0</v>
      </c>
      <c r="AF1282" s="3">
        <v>36</v>
      </c>
      <c r="AG1282" s="3">
        <v>63</v>
      </c>
      <c r="AH1282" s="3">
        <v>9</v>
      </c>
      <c r="AI1282" s="3">
        <v>18</v>
      </c>
      <c r="AJ1282" s="3">
        <v>3</v>
      </c>
      <c r="AK1282" s="3">
        <v>0</v>
      </c>
      <c r="AL1282" s="3">
        <v>0</v>
      </c>
      <c r="AM1282" s="3">
        <v>0</v>
      </c>
      <c r="AN1282" s="3">
        <v>57</v>
      </c>
      <c r="AO1282" s="3">
        <v>26</v>
      </c>
      <c r="AP1282" s="3">
        <v>39</v>
      </c>
      <c r="AQ1282" s="3">
        <v>3</v>
      </c>
      <c r="AR1282" s="3">
        <v>0</v>
      </c>
      <c r="AS1282" s="3">
        <v>6</v>
      </c>
      <c r="AT1282" s="3">
        <v>12</v>
      </c>
      <c r="AU1282" s="3">
        <v>9</v>
      </c>
      <c r="AV1282" s="3">
        <v>0</v>
      </c>
      <c r="AW1282" s="3">
        <v>12</v>
      </c>
    </row>
    <row r="1283" spans="1:49">
      <c r="A1283" s="4" t="s">
        <v>40</v>
      </c>
      <c r="B1283" s="4" t="str">
        <f t="shared" ref="B1283:B1346" si="20">A1283</f>
        <v>Hair Care</v>
      </c>
      <c r="C1283" s="4" t="s">
        <v>1786</v>
      </c>
      <c r="D1283" s="4" t="s">
        <v>579</v>
      </c>
      <c r="E1283" s="24" t="s">
        <v>282</v>
      </c>
      <c r="F1283" s="12" t="s">
        <v>288</v>
      </c>
      <c r="G1283" s="4" t="s">
        <v>1787</v>
      </c>
      <c r="H1283" s="3">
        <v>30</v>
      </c>
      <c r="I1283" s="3">
        <v>24</v>
      </c>
      <c r="J1283" s="3">
        <v>6</v>
      </c>
      <c r="K1283" s="3">
        <v>6</v>
      </c>
      <c r="L1283" s="3">
        <v>24</v>
      </c>
      <c r="M1283" s="3">
        <v>36</v>
      </c>
      <c r="N1283" s="3">
        <v>6</v>
      </c>
      <c r="O1283" s="3">
        <v>156</v>
      </c>
      <c r="P1283" s="3">
        <v>18</v>
      </c>
      <c r="Q1283" s="3">
        <v>306</v>
      </c>
      <c r="R1283" s="3">
        <v>12</v>
      </c>
      <c r="S1283" s="3">
        <v>0</v>
      </c>
      <c r="T1283" s="3">
        <v>66</v>
      </c>
      <c r="U1283" s="3">
        <v>0</v>
      </c>
      <c r="V1283" s="3">
        <v>36</v>
      </c>
      <c r="W1283" s="3">
        <v>6</v>
      </c>
      <c r="X1283" s="3">
        <v>0</v>
      </c>
      <c r="Y1283" s="3">
        <v>21</v>
      </c>
      <c r="Z1283" s="3">
        <v>3</v>
      </c>
      <c r="AA1283" s="3">
        <v>12</v>
      </c>
      <c r="AB1283" s="3">
        <v>6</v>
      </c>
      <c r="AC1283" s="3">
        <v>9</v>
      </c>
      <c r="AD1283" s="3">
        <v>24</v>
      </c>
      <c r="AE1283" s="3">
        <v>0</v>
      </c>
      <c r="AF1283" s="3">
        <v>18</v>
      </c>
      <c r="AG1283" s="3">
        <v>63</v>
      </c>
      <c r="AH1283" s="3">
        <v>0</v>
      </c>
      <c r="AI1283" s="3">
        <v>6</v>
      </c>
      <c r="AJ1283" s="3">
        <v>12</v>
      </c>
      <c r="AK1283" s="3">
        <v>12</v>
      </c>
      <c r="AL1283" s="3">
        <v>36</v>
      </c>
      <c r="AM1283" s="3">
        <v>0</v>
      </c>
      <c r="AN1283" s="3">
        <v>33</v>
      </c>
      <c r="AO1283" s="3">
        <v>23</v>
      </c>
      <c r="AP1283" s="3">
        <v>21</v>
      </c>
      <c r="AQ1283" s="3">
        <v>45</v>
      </c>
      <c r="AR1283" s="3">
        <v>12</v>
      </c>
      <c r="AS1283" s="3">
        <v>6</v>
      </c>
      <c r="AT1283" s="3">
        <v>0</v>
      </c>
      <c r="AU1283" s="3">
        <v>9</v>
      </c>
      <c r="AV1283" s="3">
        <v>3</v>
      </c>
      <c r="AW1283" s="3">
        <v>9</v>
      </c>
    </row>
    <row r="1284" spans="1:49">
      <c r="A1284" s="4" t="s">
        <v>40</v>
      </c>
      <c r="B1284" s="4" t="str">
        <f t="shared" si="20"/>
        <v>Hair Care</v>
      </c>
      <c r="C1284" s="4" t="s">
        <v>1786</v>
      </c>
      <c r="D1284" s="4" t="s">
        <v>579</v>
      </c>
      <c r="E1284" s="24" t="s">
        <v>282</v>
      </c>
      <c r="F1284" s="12" t="s">
        <v>289</v>
      </c>
      <c r="G1284" s="4" t="s">
        <v>1787</v>
      </c>
      <c r="H1284" s="3">
        <v>27</v>
      </c>
      <c r="I1284" s="3">
        <v>24</v>
      </c>
      <c r="J1284" s="3">
        <v>6</v>
      </c>
      <c r="K1284" s="3">
        <v>6</v>
      </c>
      <c r="L1284" s="3">
        <v>30</v>
      </c>
      <c r="M1284" s="3">
        <v>48</v>
      </c>
      <c r="N1284" s="3">
        <v>6</v>
      </c>
      <c r="O1284" s="3">
        <v>138</v>
      </c>
      <c r="P1284" s="3">
        <v>6</v>
      </c>
      <c r="Q1284" s="3">
        <v>240</v>
      </c>
      <c r="R1284" s="3">
        <v>18</v>
      </c>
      <c r="S1284" s="3">
        <v>12</v>
      </c>
      <c r="T1284" s="3">
        <v>60</v>
      </c>
      <c r="U1284" s="3">
        <v>0</v>
      </c>
      <c r="V1284" s="3">
        <v>18</v>
      </c>
      <c r="W1284" s="3">
        <v>6</v>
      </c>
      <c r="X1284" s="3">
        <v>6</v>
      </c>
      <c r="Y1284" s="3">
        <v>18</v>
      </c>
      <c r="Z1284" s="3">
        <v>12</v>
      </c>
      <c r="AA1284" s="3">
        <v>12</v>
      </c>
      <c r="AB1284" s="3">
        <v>15</v>
      </c>
      <c r="AC1284" s="3">
        <v>18</v>
      </c>
      <c r="AD1284" s="3">
        <v>0</v>
      </c>
      <c r="AE1284" s="3">
        <v>0</v>
      </c>
      <c r="AF1284" s="3">
        <v>6</v>
      </c>
      <c r="AG1284" s="3">
        <v>69</v>
      </c>
      <c r="AH1284" s="3">
        <v>9</v>
      </c>
      <c r="AI1284" s="3">
        <v>6</v>
      </c>
      <c r="AJ1284" s="3">
        <v>3</v>
      </c>
      <c r="AK1284" s="3">
        <v>9</v>
      </c>
      <c r="AL1284" s="3">
        <v>39</v>
      </c>
      <c r="AM1284" s="3">
        <v>6</v>
      </c>
      <c r="AN1284" s="3">
        <v>9</v>
      </c>
      <c r="AO1284" s="3">
        <v>15</v>
      </c>
      <c r="AP1284" s="3">
        <v>12</v>
      </c>
      <c r="AQ1284" s="3">
        <v>39</v>
      </c>
      <c r="AR1284" s="3">
        <v>21</v>
      </c>
      <c r="AS1284" s="3">
        <v>21</v>
      </c>
      <c r="AT1284" s="3">
        <v>18</v>
      </c>
      <c r="AU1284" s="3">
        <v>21</v>
      </c>
      <c r="AV1284" s="3">
        <v>0</v>
      </c>
      <c r="AW1284" s="3">
        <v>6</v>
      </c>
    </row>
    <row r="1285" spans="1:49">
      <c r="A1285" s="4" t="s">
        <v>40</v>
      </c>
      <c r="B1285" s="4" t="str">
        <f t="shared" si="20"/>
        <v>Hair Care</v>
      </c>
      <c r="C1285" s="4" t="s">
        <v>1786</v>
      </c>
      <c r="D1285" s="4" t="s">
        <v>579</v>
      </c>
      <c r="E1285" s="24" t="s">
        <v>282</v>
      </c>
      <c r="F1285" s="12" t="s">
        <v>290</v>
      </c>
      <c r="G1285" s="4" t="s">
        <v>1787</v>
      </c>
      <c r="H1285" s="3">
        <v>24</v>
      </c>
      <c r="I1285" s="3">
        <v>9</v>
      </c>
      <c r="J1285" s="3">
        <v>12</v>
      </c>
      <c r="K1285" s="3">
        <v>6</v>
      </c>
      <c r="L1285" s="3">
        <v>24</v>
      </c>
      <c r="M1285" s="3">
        <v>24</v>
      </c>
      <c r="N1285" s="3">
        <v>15</v>
      </c>
      <c r="O1285" s="3">
        <v>138</v>
      </c>
      <c r="P1285" s="3">
        <v>6</v>
      </c>
      <c r="Q1285" s="3">
        <v>228</v>
      </c>
      <c r="R1285" s="3">
        <v>18</v>
      </c>
      <c r="S1285" s="3">
        <v>6</v>
      </c>
      <c r="T1285" s="3">
        <v>54</v>
      </c>
      <c r="U1285" s="3">
        <v>0</v>
      </c>
      <c r="V1285" s="3">
        <v>18</v>
      </c>
      <c r="W1285" s="3">
        <v>0</v>
      </c>
      <c r="X1285" s="3">
        <v>12</v>
      </c>
      <c r="Y1285" s="3">
        <v>0</v>
      </c>
      <c r="Z1285" s="3">
        <v>9</v>
      </c>
      <c r="AA1285" s="3">
        <v>6</v>
      </c>
      <c r="AB1285" s="3">
        <v>6</v>
      </c>
      <c r="AC1285" s="3">
        <v>3</v>
      </c>
      <c r="AD1285" s="3">
        <v>0</v>
      </c>
      <c r="AE1285" s="3">
        <v>0</v>
      </c>
      <c r="AF1285" s="3">
        <v>6</v>
      </c>
      <c r="AG1285" s="3">
        <v>63</v>
      </c>
      <c r="AH1285" s="3">
        <v>0</v>
      </c>
      <c r="AI1285" s="3">
        <v>0</v>
      </c>
      <c r="AJ1285" s="3">
        <v>3</v>
      </c>
      <c r="AK1285" s="3">
        <v>3</v>
      </c>
      <c r="AL1285" s="3">
        <v>15</v>
      </c>
      <c r="AM1285" s="3">
        <v>0</v>
      </c>
      <c r="AN1285" s="3">
        <v>3</v>
      </c>
      <c r="AO1285" s="3">
        <v>9</v>
      </c>
      <c r="AP1285" s="3">
        <v>10</v>
      </c>
      <c r="AQ1285" s="3">
        <v>0</v>
      </c>
      <c r="AR1285" s="3">
        <v>21</v>
      </c>
      <c r="AS1285" s="3">
        <v>9</v>
      </c>
      <c r="AT1285" s="3">
        <v>0</v>
      </c>
      <c r="AU1285" s="3">
        <v>3</v>
      </c>
      <c r="AV1285" s="3">
        <v>0</v>
      </c>
      <c r="AW1285" s="3">
        <v>0</v>
      </c>
    </row>
    <row r="1286" spans="1:49">
      <c r="A1286" s="4" t="s">
        <v>40</v>
      </c>
      <c r="B1286" s="4" t="str">
        <f t="shared" si="20"/>
        <v>Hair Care</v>
      </c>
      <c r="C1286" s="4" t="s">
        <v>1786</v>
      </c>
      <c r="D1286" s="4" t="s">
        <v>579</v>
      </c>
      <c r="E1286" s="24" t="s">
        <v>282</v>
      </c>
      <c r="F1286" s="12" t="s">
        <v>291</v>
      </c>
      <c r="G1286" s="4" t="s">
        <v>1787</v>
      </c>
      <c r="H1286" s="3">
        <v>42</v>
      </c>
      <c r="I1286" s="3">
        <v>30</v>
      </c>
      <c r="J1286" s="3">
        <v>6</v>
      </c>
      <c r="K1286" s="3">
        <v>0</v>
      </c>
      <c r="L1286" s="3">
        <v>6</v>
      </c>
      <c r="M1286" s="3">
        <v>66</v>
      </c>
      <c r="N1286" s="3">
        <v>0</v>
      </c>
      <c r="O1286" s="3">
        <v>162</v>
      </c>
      <c r="P1286" s="3">
        <v>12</v>
      </c>
      <c r="Q1286" s="3">
        <v>246</v>
      </c>
      <c r="R1286" s="3">
        <v>6</v>
      </c>
      <c r="S1286" s="3">
        <v>6</v>
      </c>
      <c r="T1286" s="3">
        <v>78</v>
      </c>
      <c r="U1286" s="3">
        <v>30</v>
      </c>
      <c r="V1286" s="3">
        <v>36</v>
      </c>
      <c r="W1286" s="3">
        <v>12</v>
      </c>
      <c r="X1286" s="3">
        <v>30</v>
      </c>
      <c r="Y1286" s="3">
        <v>30</v>
      </c>
      <c r="Z1286" s="3">
        <v>24</v>
      </c>
      <c r="AA1286" s="3">
        <v>24</v>
      </c>
      <c r="AB1286" s="3">
        <v>30</v>
      </c>
      <c r="AC1286" s="3">
        <v>6</v>
      </c>
      <c r="AD1286" s="3">
        <v>6</v>
      </c>
      <c r="AE1286" s="3">
        <v>0</v>
      </c>
      <c r="AF1286" s="3">
        <v>18</v>
      </c>
      <c r="AG1286" s="3">
        <v>78</v>
      </c>
      <c r="AH1286" s="3">
        <v>6</v>
      </c>
      <c r="AI1286" s="3">
        <v>12</v>
      </c>
      <c r="AJ1286" s="3">
        <v>12</v>
      </c>
      <c r="AK1286" s="3">
        <v>18</v>
      </c>
      <c r="AL1286" s="3">
        <v>30</v>
      </c>
      <c r="AM1286" s="3">
        <v>0</v>
      </c>
      <c r="AN1286" s="3">
        <v>18</v>
      </c>
      <c r="AO1286" s="3">
        <v>6</v>
      </c>
      <c r="AP1286" s="3">
        <v>24</v>
      </c>
      <c r="AQ1286" s="3">
        <v>12</v>
      </c>
      <c r="AR1286" s="3">
        <v>48</v>
      </c>
      <c r="AS1286" s="3">
        <v>12</v>
      </c>
      <c r="AT1286" s="3">
        <v>54</v>
      </c>
      <c r="AU1286" s="3">
        <v>30</v>
      </c>
      <c r="AV1286" s="3">
        <v>12</v>
      </c>
      <c r="AW1286" s="3">
        <v>18</v>
      </c>
    </row>
    <row r="1287" spans="1:49">
      <c r="A1287" s="4" t="s">
        <v>40</v>
      </c>
      <c r="B1287" s="4" t="str">
        <f t="shared" si="20"/>
        <v>Hair Care</v>
      </c>
      <c r="C1287" s="4" t="s">
        <v>1786</v>
      </c>
      <c r="D1287" s="4" t="s">
        <v>579</v>
      </c>
      <c r="E1287" s="24" t="s">
        <v>282</v>
      </c>
      <c r="F1287" s="12" t="s">
        <v>292</v>
      </c>
      <c r="G1287" s="4" t="s">
        <v>1787</v>
      </c>
      <c r="H1287" s="3">
        <v>30</v>
      </c>
      <c r="I1287" s="3">
        <v>18</v>
      </c>
      <c r="J1287" s="3">
        <v>0</v>
      </c>
      <c r="K1287" s="3">
        <v>0</v>
      </c>
      <c r="L1287" s="3">
        <v>18</v>
      </c>
      <c r="M1287" s="3">
        <v>66</v>
      </c>
      <c r="N1287" s="3">
        <v>0</v>
      </c>
      <c r="O1287" s="3">
        <v>144</v>
      </c>
      <c r="P1287" s="3">
        <v>6</v>
      </c>
      <c r="Q1287" s="3">
        <v>234</v>
      </c>
      <c r="R1287" s="3">
        <v>6</v>
      </c>
      <c r="S1287" s="3">
        <v>18</v>
      </c>
      <c r="T1287" s="3">
        <v>42</v>
      </c>
      <c r="U1287" s="3">
        <v>6</v>
      </c>
      <c r="V1287" s="3">
        <v>24</v>
      </c>
      <c r="W1287" s="3">
        <v>0</v>
      </c>
      <c r="X1287" s="3">
        <v>6</v>
      </c>
      <c r="Y1287" s="3">
        <v>6</v>
      </c>
      <c r="Z1287" s="3">
        <v>0</v>
      </c>
      <c r="AA1287" s="3">
        <v>12</v>
      </c>
      <c r="AB1287" s="3">
        <v>0</v>
      </c>
      <c r="AC1287" s="3">
        <v>6</v>
      </c>
      <c r="AD1287" s="3">
        <v>6</v>
      </c>
      <c r="AE1287" s="3">
        <v>6</v>
      </c>
      <c r="AF1287" s="3">
        <v>6</v>
      </c>
      <c r="AG1287" s="3">
        <v>66</v>
      </c>
      <c r="AH1287" s="3">
        <v>6</v>
      </c>
      <c r="AI1287" s="3">
        <v>6</v>
      </c>
      <c r="AJ1287" s="3">
        <v>0</v>
      </c>
      <c r="AK1287" s="3">
        <v>24</v>
      </c>
      <c r="AL1287" s="3">
        <v>24</v>
      </c>
      <c r="AM1287" s="3">
        <v>0</v>
      </c>
      <c r="AN1287" s="3">
        <v>6</v>
      </c>
      <c r="AO1287" s="3">
        <v>0</v>
      </c>
      <c r="AP1287" s="3">
        <v>0</v>
      </c>
      <c r="AQ1287" s="3">
        <v>0</v>
      </c>
      <c r="AR1287" s="3">
        <v>0</v>
      </c>
      <c r="AS1287" s="3">
        <v>24</v>
      </c>
      <c r="AT1287" s="3">
        <v>30</v>
      </c>
      <c r="AU1287" s="3">
        <v>24</v>
      </c>
      <c r="AV1287" s="3">
        <v>12</v>
      </c>
      <c r="AW1287" s="3">
        <v>12</v>
      </c>
    </row>
    <row r="1288" spans="1:49">
      <c r="A1288" s="4" t="s">
        <v>40</v>
      </c>
      <c r="B1288" s="4" t="str">
        <f t="shared" si="20"/>
        <v>Hair Care</v>
      </c>
      <c r="C1288" s="4" t="s">
        <v>1786</v>
      </c>
      <c r="D1288" s="4" t="s">
        <v>579</v>
      </c>
      <c r="E1288" s="24" t="s">
        <v>282</v>
      </c>
      <c r="F1288" s="12" t="s">
        <v>293</v>
      </c>
      <c r="G1288" s="4" t="s">
        <v>1787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3</v>
      </c>
      <c r="AQ1288" s="3">
        <v>24</v>
      </c>
      <c r="AR1288" s="3">
        <v>12</v>
      </c>
      <c r="AS1288" s="3">
        <v>30</v>
      </c>
      <c r="AT1288" s="3">
        <v>18</v>
      </c>
      <c r="AU1288" s="3">
        <v>0</v>
      </c>
      <c r="AV1288" s="3">
        <v>108</v>
      </c>
      <c r="AW1288" s="3">
        <v>27</v>
      </c>
    </row>
    <row r="1289" spans="1:49">
      <c r="A1289" s="4" t="s">
        <v>40</v>
      </c>
      <c r="B1289" s="4" t="str">
        <f t="shared" si="20"/>
        <v>Hair Care</v>
      </c>
      <c r="C1289" s="4" t="s">
        <v>1786</v>
      </c>
      <c r="D1289" s="4" t="s">
        <v>579</v>
      </c>
      <c r="E1289" s="24" t="s">
        <v>282</v>
      </c>
      <c r="F1289" s="12" t="s">
        <v>294</v>
      </c>
      <c r="G1289" s="4" t="s">
        <v>1787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3</v>
      </c>
      <c r="AQ1289" s="3">
        <v>24</v>
      </c>
      <c r="AR1289" s="3">
        <v>1</v>
      </c>
      <c r="AS1289" s="3">
        <v>30</v>
      </c>
      <c r="AT1289" s="3">
        <v>6</v>
      </c>
      <c r="AU1289" s="3">
        <v>12</v>
      </c>
      <c r="AV1289" s="3">
        <v>96</v>
      </c>
      <c r="AW1289" s="3">
        <v>24</v>
      </c>
    </row>
    <row r="1290" spans="1:49">
      <c r="A1290" s="4" t="s">
        <v>40</v>
      </c>
      <c r="B1290" s="4" t="str">
        <f t="shared" si="20"/>
        <v>Hair Care</v>
      </c>
      <c r="C1290" s="4" t="s">
        <v>1786</v>
      </c>
      <c r="D1290" s="4" t="s">
        <v>579</v>
      </c>
      <c r="E1290" s="24" t="s">
        <v>282</v>
      </c>
      <c r="F1290" s="12" t="s">
        <v>295</v>
      </c>
      <c r="G1290" s="4" t="s">
        <v>1787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3</v>
      </c>
      <c r="AQ1290" s="3">
        <v>24</v>
      </c>
      <c r="AR1290" s="3">
        <v>1</v>
      </c>
      <c r="AS1290" s="3">
        <v>30</v>
      </c>
      <c r="AT1290" s="3">
        <v>30</v>
      </c>
      <c r="AU1290" s="3">
        <v>0</v>
      </c>
      <c r="AV1290" s="3">
        <v>0</v>
      </c>
      <c r="AW1290" s="3">
        <v>0</v>
      </c>
    </row>
    <row r="1291" spans="1:49">
      <c r="A1291" s="4" t="s">
        <v>40</v>
      </c>
      <c r="B1291" s="4" t="str">
        <f t="shared" si="20"/>
        <v>Hair Care</v>
      </c>
      <c r="C1291" s="4" t="s">
        <v>1786</v>
      </c>
      <c r="D1291" s="4" t="s">
        <v>579</v>
      </c>
      <c r="E1291" s="24" t="s">
        <v>282</v>
      </c>
      <c r="F1291" s="12" t="s">
        <v>296</v>
      </c>
      <c r="G1291" s="4" t="s">
        <v>1787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3</v>
      </c>
      <c r="AQ1291" s="3">
        <v>24</v>
      </c>
      <c r="AR1291" s="3">
        <v>1</v>
      </c>
      <c r="AS1291" s="3">
        <v>30</v>
      </c>
      <c r="AT1291" s="3">
        <v>30</v>
      </c>
      <c r="AU1291" s="3">
        <v>0</v>
      </c>
      <c r="AV1291" s="3">
        <v>0</v>
      </c>
      <c r="AW1291" s="3">
        <v>0</v>
      </c>
    </row>
    <row r="1292" spans="1:49">
      <c r="A1292" s="4" t="s">
        <v>40</v>
      </c>
      <c r="B1292" s="4" t="str">
        <f t="shared" si="20"/>
        <v>Hair Care</v>
      </c>
      <c r="C1292" s="4" t="s">
        <v>1786</v>
      </c>
      <c r="D1292" s="4" t="s">
        <v>579</v>
      </c>
      <c r="E1292" s="24" t="s">
        <v>282</v>
      </c>
      <c r="F1292" s="12" t="s">
        <v>297</v>
      </c>
      <c r="G1292" s="4" t="s">
        <v>1787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3</v>
      </c>
      <c r="AS1292" s="3">
        <v>6</v>
      </c>
      <c r="AT1292" s="3">
        <v>0</v>
      </c>
      <c r="AU1292" s="3">
        <v>0</v>
      </c>
      <c r="AV1292" s="3">
        <v>0</v>
      </c>
      <c r="AW1292" s="3">
        <v>0</v>
      </c>
    </row>
    <row r="1293" spans="1:49">
      <c r="A1293" s="4" t="s">
        <v>40</v>
      </c>
      <c r="B1293" s="4" t="str">
        <f t="shared" si="20"/>
        <v>Hair Care</v>
      </c>
      <c r="C1293" s="4" t="s">
        <v>1786</v>
      </c>
      <c r="D1293" s="4" t="s">
        <v>579</v>
      </c>
      <c r="E1293" s="24" t="s">
        <v>42</v>
      </c>
      <c r="F1293" s="12" t="s">
        <v>298</v>
      </c>
      <c r="G1293" s="4" t="s">
        <v>1787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420</v>
      </c>
      <c r="Z1293" s="3">
        <v>0</v>
      </c>
      <c r="AA1293" s="3">
        <v>57</v>
      </c>
      <c r="AB1293" s="3">
        <v>195</v>
      </c>
      <c r="AC1293" s="3">
        <v>0</v>
      </c>
      <c r="AD1293" s="3">
        <v>0</v>
      </c>
      <c r="AE1293" s="3">
        <v>12</v>
      </c>
      <c r="AF1293" s="3">
        <v>0</v>
      </c>
      <c r="AG1293" s="3">
        <v>0</v>
      </c>
      <c r="AH1293" s="3">
        <v>0</v>
      </c>
      <c r="AI1293" s="3">
        <v>12</v>
      </c>
      <c r="AJ1293" s="3">
        <v>0</v>
      </c>
      <c r="AK1293" s="3">
        <v>12</v>
      </c>
      <c r="AL1293" s="3">
        <v>30</v>
      </c>
      <c r="AM1293" s="3">
        <v>180</v>
      </c>
      <c r="AN1293" s="3">
        <v>0</v>
      </c>
      <c r="AO1293" s="3">
        <v>0</v>
      </c>
      <c r="AP1293" s="3">
        <v>0</v>
      </c>
      <c r="AQ1293" s="3">
        <v>24</v>
      </c>
      <c r="AR1293" s="3">
        <v>60</v>
      </c>
      <c r="AS1293" s="3">
        <v>0</v>
      </c>
      <c r="AT1293" s="3">
        <v>12</v>
      </c>
      <c r="AU1293" s="3">
        <v>660</v>
      </c>
      <c r="AV1293" s="3">
        <v>0</v>
      </c>
      <c r="AW1293" s="3">
        <v>12</v>
      </c>
    </row>
    <row r="1294" spans="1:49">
      <c r="A1294" s="4" t="s">
        <v>40</v>
      </c>
      <c r="B1294" s="4" t="str">
        <f t="shared" si="20"/>
        <v>Hair Care</v>
      </c>
      <c r="C1294" s="4" t="s">
        <v>1786</v>
      </c>
      <c r="D1294" s="4" t="s">
        <v>579</v>
      </c>
      <c r="E1294" s="24" t="s">
        <v>42</v>
      </c>
      <c r="F1294" s="12" t="s">
        <v>299</v>
      </c>
      <c r="G1294" s="4" t="s">
        <v>1787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180</v>
      </c>
      <c r="N1294" s="3">
        <v>72</v>
      </c>
      <c r="O1294" s="3">
        <v>24</v>
      </c>
      <c r="P1294" s="3">
        <v>0</v>
      </c>
      <c r="Q1294" s="3">
        <v>0</v>
      </c>
      <c r="R1294" s="3">
        <v>24</v>
      </c>
      <c r="S1294" s="3">
        <v>0</v>
      </c>
      <c r="T1294" s="3">
        <v>0</v>
      </c>
      <c r="U1294" s="3">
        <v>0</v>
      </c>
      <c r="V1294" s="3">
        <v>0</v>
      </c>
      <c r="W1294" s="3">
        <v>12</v>
      </c>
      <c r="X1294" s="3">
        <v>12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</row>
    <row r="1295" spans="1:49">
      <c r="A1295" s="4" t="s">
        <v>40</v>
      </c>
      <c r="B1295" s="4" t="str">
        <f t="shared" si="20"/>
        <v>Hair Care</v>
      </c>
      <c r="C1295" s="4" t="s">
        <v>1786</v>
      </c>
      <c r="D1295" s="4" t="s">
        <v>579</v>
      </c>
      <c r="E1295" s="24" t="s">
        <v>42</v>
      </c>
      <c r="F1295" s="12" t="s">
        <v>300</v>
      </c>
      <c r="G1295" s="4" t="s">
        <v>1787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180</v>
      </c>
      <c r="N1295" s="3">
        <v>72</v>
      </c>
      <c r="O1295" s="3">
        <v>24</v>
      </c>
      <c r="P1295" s="3">
        <v>0</v>
      </c>
      <c r="Q1295" s="3">
        <v>0</v>
      </c>
      <c r="R1295" s="3">
        <v>24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12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</row>
    <row r="1296" spans="1:49">
      <c r="A1296" s="4" t="s">
        <v>40</v>
      </c>
      <c r="B1296" s="4" t="str">
        <f t="shared" si="20"/>
        <v>Hair Care</v>
      </c>
      <c r="C1296" s="4" t="s">
        <v>1786</v>
      </c>
      <c r="D1296" s="4" t="s">
        <v>579</v>
      </c>
      <c r="E1296" s="24" t="s">
        <v>42</v>
      </c>
      <c r="F1296" s="12" t="s">
        <v>301</v>
      </c>
      <c r="G1296" s="4" t="s">
        <v>1787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180</v>
      </c>
      <c r="N1296" s="3">
        <v>72</v>
      </c>
      <c r="O1296" s="3">
        <v>24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12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</row>
    <row r="1297" spans="1:49">
      <c r="A1297" s="4" t="s">
        <v>40</v>
      </c>
      <c r="B1297" s="4" t="str">
        <f t="shared" si="20"/>
        <v>Hair Care</v>
      </c>
      <c r="C1297" s="4" t="s">
        <v>1786</v>
      </c>
      <c r="D1297" s="4" t="s">
        <v>579</v>
      </c>
      <c r="E1297" s="24" t="s">
        <v>42</v>
      </c>
      <c r="F1297" s="12" t="s">
        <v>302</v>
      </c>
      <c r="G1297" s="4" t="s">
        <v>1787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180</v>
      </c>
      <c r="N1297" s="3">
        <v>72</v>
      </c>
      <c r="O1297" s="3">
        <v>24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12</v>
      </c>
      <c r="X1297" s="3">
        <v>12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</row>
    <row r="1298" spans="1:49">
      <c r="A1298" s="4" t="s">
        <v>40</v>
      </c>
      <c r="B1298" s="4" t="str">
        <f t="shared" si="20"/>
        <v>Hair Care</v>
      </c>
      <c r="C1298" s="4" t="s">
        <v>1786</v>
      </c>
      <c r="D1298" s="4" t="s">
        <v>579</v>
      </c>
      <c r="E1298" s="24" t="s">
        <v>42</v>
      </c>
      <c r="F1298" s="12" t="s">
        <v>303</v>
      </c>
      <c r="G1298" s="4" t="s">
        <v>1787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252</v>
      </c>
      <c r="V1298" s="3">
        <v>0</v>
      </c>
      <c r="W1298" s="3">
        <v>12</v>
      </c>
      <c r="X1298" s="3">
        <v>12</v>
      </c>
      <c r="Y1298" s="3">
        <v>24</v>
      </c>
      <c r="Z1298" s="3">
        <v>12</v>
      </c>
      <c r="AA1298" s="3">
        <v>0</v>
      </c>
      <c r="AB1298" s="3">
        <v>0</v>
      </c>
      <c r="AC1298" s="3">
        <v>12</v>
      </c>
      <c r="AD1298" s="3">
        <v>12</v>
      </c>
      <c r="AE1298" s="3">
        <v>12</v>
      </c>
      <c r="AF1298" s="3">
        <v>0</v>
      </c>
      <c r="AG1298" s="3">
        <v>0</v>
      </c>
      <c r="AH1298" s="3">
        <v>24</v>
      </c>
      <c r="AI1298" s="3">
        <v>0</v>
      </c>
      <c r="AJ1298" s="3">
        <v>0</v>
      </c>
      <c r="AK1298" s="3">
        <v>0</v>
      </c>
      <c r="AL1298" s="3">
        <v>48</v>
      </c>
      <c r="AM1298" s="3">
        <v>0</v>
      </c>
      <c r="AN1298" s="3">
        <v>0</v>
      </c>
      <c r="AO1298" s="3">
        <v>0</v>
      </c>
      <c r="AP1298" s="3">
        <v>24</v>
      </c>
      <c r="AQ1298" s="3">
        <v>0</v>
      </c>
      <c r="AR1298" s="3">
        <v>36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</row>
    <row r="1299" spans="1:49">
      <c r="A1299" s="4" t="s">
        <v>40</v>
      </c>
      <c r="B1299" s="4" t="str">
        <f t="shared" si="20"/>
        <v>Hair Care</v>
      </c>
      <c r="C1299" s="4" t="s">
        <v>1786</v>
      </c>
      <c r="D1299" s="4" t="s">
        <v>579</v>
      </c>
      <c r="E1299" s="24" t="s">
        <v>42</v>
      </c>
      <c r="F1299" s="12" t="s">
        <v>304</v>
      </c>
      <c r="G1299" s="4" t="s">
        <v>1787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252</v>
      </c>
      <c r="V1299" s="3">
        <v>0</v>
      </c>
      <c r="W1299" s="3">
        <v>12</v>
      </c>
      <c r="X1299" s="3">
        <v>12</v>
      </c>
      <c r="Y1299" s="3">
        <v>12</v>
      </c>
      <c r="Z1299" s="3">
        <v>12</v>
      </c>
      <c r="AA1299" s="3">
        <v>0</v>
      </c>
      <c r="AB1299" s="3">
        <v>12</v>
      </c>
      <c r="AC1299" s="3">
        <v>0</v>
      </c>
      <c r="AD1299" s="3">
        <v>0</v>
      </c>
      <c r="AE1299" s="3">
        <v>12</v>
      </c>
      <c r="AF1299" s="3">
        <v>0</v>
      </c>
      <c r="AG1299" s="3">
        <v>12</v>
      </c>
      <c r="AH1299" s="3">
        <v>24</v>
      </c>
      <c r="AI1299" s="3">
        <v>0</v>
      </c>
      <c r="AJ1299" s="3">
        <v>0</v>
      </c>
      <c r="AK1299" s="3">
        <v>0</v>
      </c>
      <c r="AL1299" s="3">
        <v>24</v>
      </c>
      <c r="AM1299" s="3">
        <v>0</v>
      </c>
      <c r="AN1299" s="3">
        <v>0</v>
      </c>
      <c r="AO1299" s="3">
        <v>0</v>
      </c>
      <c r="AP1299" s="3">
        <v>24</v>
      </c>
      <c r="AQ1299" s="3">
        <v>0</v>
      </c>
      <c r="AR1299" s="3">
        <v>24</v>
      </c>
      <c r="AS1299" s="3">
        <v>0</v>
      </c>
      <c r="AT1299" s="3">
        <v>12</v>
      </c>
      <c r="AU1299" s="3">
        <v>0</v>
      </c>
      <c r="AV1299" s="3">
        <v>0</v>
      </c>
      <c r="AW1299" s="3">
        <v>0</v>
      </c>
    </row>
    <row r="1300" spans="1:49">
      <c r="A1300" s="4" t="s">
        <v>40</v>
      </c>
      <c r="B1300" s="4" t="str">
        <f t="shared" si="20"/>
        <v>Hair Care</v>
      </c>
      <c r="C1300" s="4" t="s">
        <v>1786</v>
      </c>
      <c r="D1300" s="4" t="s">
        <v>579</v>
      </c>
      <c r="E1300" s="24" t="s">
        <v>42</v>
      </c>
      <c r="F1300" s="12" t="s">
        <v>305</v>
      </c>
      <c r="G1300" s="4" t="s">
        <v>1787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288</v>
      </c>
      <c r="V1300" s="3">
        <v>0</v>
      </c>
      <c r="W1300" s="3">
        <v>24</v>
      </c>
      <c r="X1300" s="3">
        <v>0</v>
      </c>
      <c r="Y1300" s="3">
        <v>0</v>
      </c>
      <c r="Z1300" s="3">
        <v>0</v>
      </c>
      <c r="AA1300" s="3">
        <v>0</v>
      </c>
      <c r="AB1300" s="3">
        <v>12</v>
      </c>
      <c r="AC1300" s="3">
        <v>0</v>
      </c>
      <c r="AD1300" s="3">
        <v>0</v>
      </c>
      <c r="AE1300" s="3">
        <v>12</v>
      </c>
      <c r="AF1300" s="3">
        <v>0</v>
      </c>
      <c r="AG1300" s="3">
        <v>12</v>
      </c>
      <c r="AH1300" s="3">
        <v>0</v>
      </c>
      <c r="AI1300" s="3">
        <v>0</v>
      </c>
      <c r="AJ1300" s="3">
        <v>0</v>
      </c>
      <c r="AK1300" s="3">
        <v>0</v>
      </c>
      <c r="AL1300" s="3">
        <v>36</v>
      </c>
      <c r="AM1300" s="3">
        <v>0</v>
      </c>
      <c r="AN1300" s="3">
        <v>0</v>
      </c>
      <c r="AO1300" s="3">
        <v>12</v>
      </c>
      <c r="AP1300" s="3">
        <v>12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552</v>
      </c>
    </row>
    <row r="1301" spans="1:49">
      <c r="A1301" s="4" t="s">
        <v>40</v>
      </c>
      <c r="B1301" s="4" t="str">
        <f t="shared" si="20"/>
        <v>Hair Care</v>
      </c>
      <c r="C1301" s="4" t="s">
        <v>1786</v>
      </c>
      <c r="D1301" s="4" t="s">
        <v>579</v>
      </c>
      <c r="E1301" s="24" t="s">
        <v>42</v>
      </c>
      <c r="F1301" s="12" t="s">
        <v>306</v>
      </c>
      <c r="G1301" s="4" t="s">
        <v>1787</v>
      </c>
      <c r="H1301" s="3">
        <v>0</v>
      </c>
      <c r="I1301" s="3">
        <v>0</v>
      </c>
      <c r="J1301" s="3">
        <v>0</v>
      </c>
      <c r="K1301" s="3">
        <v>0</v>
      </c>
      <c r="L1301" s="3">
        <v>420</v>
      </c>
      <c r="M1301" s="3">
        <v>378</v>
      </c>
      <c r="N1301" s="3">
        <v>207</v>
      </c>
      <c r="O1301" s="3">
        <v>21</v>
      </c>
      <c r="P1301" s="3">
        <v>3</v>
      </c>
      <c r="Q1301" s="3">
        <v>12</v>
      </c>
      <c r="R1301" s="3">
        <v>24</v>
      </c>
      <c r="S1301" s="3">
        <v>0</v>
      </c>
      <c r="T1301" s="3">
        <v>6</v>
      </c>
      <c r="U1301" s="3">
        <v>54</v>
      </c>
      <c r="V1301" s="3">
        <v>153</v>
      </c>
      <c r="W1301" s="3">
        <v>6</v>
      </c>
      <c r="X1301" s="3">
        <v>12</v>
      </c>
      <c r="Y1301" s="3">
        <v>0</v>
      </c>
      <c r="Z1301" s="3">
        <v>0</v>
      </c>
      <c r="AA1301" s="3">
        <v>24</v>
      </c>
      <c r="AB1301" s="3">
        <v>15</v>
      </c>
      <c r="AC1301" s="3">
        <v>21</v>
      </c>
      <c r="AD1301" s="3">
        <v>0</v>
      </c>
      <c r="AE1301" s="3">
        <v>33</v>
      </c>
      <c r="AF1301" s="3">
        <v>39</v>
      </c>
      <c r="AG1301" s="3">
        <v>0</v>
      </c>
      <c r="AH1301" s="3">
        <v>0</v>
      </c>
      <c r="AI1301" s="3">
        <v>9</v>
      </c>
      <c r="AJ1301" s="3">
        <v>15</v>
      </c>
      <c r="AK1301" s="3">
        <v>15</v>
      </c>
      <c r="AL1301" s="3">
        <v>21</v>
      </c>
      <c r="AM1301" s="3">
        <v>0</v>
      </c>
      <c r="AN1301" s="3">
        <v>3</v>
      </c>
      <c r="AO1301" s="3">
        <v>42</v>
      </c>
      <c r="AP1301" s="3">
        <v>153</v>
      </c>
      <c r="AQ1301" s="3">
        <v>57</v>
      </c>
      <c r="AR1301" s="3">
        <v>51</v>
      </c>
      <c r="AS1301" s="3">
        <v>33</v>
      </c>
      <c r="AT1301" s="3">
        <v>42</v>
      </c>
      <c r="AU1301" s="3">
        <v>21</v>
      </c>
      <c r="AV1301" s="3">
        <v>114</v>
      </c>
      <c r="AW1301" s="3">
        <v>30</v>
      </c>
    </row>
    <row r="1302" spans="1:49">
      <c r="A1302" s="4" t="s">
        <v>40</v>
      </c>
      <c r="B1302" s="4" t="str">
        <f t="shared" si="20"/>
        <v>Hair Care</v>
      </c>
      <c r="C1302" s="4" t="s">
        <v>1786</v>
      </c>
      <c r="D1302" s="4" t="s">
        <v>579</v>
      </c>
      <c r="E1302" s="24" t="s">
        <v>42</v>
      </c>
      <c r="F1302" s="12" t="s">
        <v>307</v>
      </c>
      <c r="G1302" s="4" t="s">
        <v>1787</v>
      </c>
      <c r="H1302" s="3">
        <v>0</v>
      </c>
      <c r="I1302" s="3">
        <v>0</v>
      </c>
      <c r="J1302" s="3">
        <v>0</v>
      </c>
      <c r="K1302" s="3">
        <v>0</v>
      </c>
      <c r="L1302" s="3">
        <v>300</v>
      </c>
      <c r="M1302" s="3">
        <v>384</v>
      </c>
      <c r="N1302" s="3">
        <v>54</v>
      </c>
      <c r="O1302" s="3">
        <v>15</v>
      </c>
      <c r="P1302" s="3">
        <v>6</v>
      </c>
      <c r="Q1302" s="3">
        <v>12</v>
      </c>
      <c r="R1302" s="3">
        <v>15</v>
      </c>
      <c r="S1302" s="3">
        <v>0</v>
      </c>
      <c r="T1302" s="3">
        <v>12</v>
      </c>
      <c r="U1302" s="3">
        <v>6</v>
      </c>
      <c r="V1302" s="3">
        <v>12</v>
      </c>
      <c r="W1302" s="3">
        <v>0</v>
      </c>
      <c r="X1302" s="3">
        <v>0</v>
      </c>
      <c r="Y1302" s="3">
        <v>0</v>
      </c>
      <c r="Z1302" s="3">
        <v>3</v>
      </c>
      <c r="AA1302" s="3">
        <v>33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</row>
    <row r="1303" spans="1:49">
      <c r="A1303" s="4" t="s">
        <v>40</v>
      </c>
      <c r="B1303" s="4" t="str">
        <f t="shared" si="20"/>
        <v>Hair Care</v>
      </c>
      <c r="C1303" s="4" t="s">
        <v>1786</v>
      </c>
      <c r="D1303" s="4" t="s">
        <v>579</v>
      </c>
      <c r="E1303" s="24" t="s">
        <v>42</v>
      </c>
      <c r="F1303" s="12" t="s">
        <v>308</v>
      </c>
      <c r="G1303" s="4" t="s">
        <v>1787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300</v>
      </c>
      <c r="V1303" s="3">
        <v>36</v>
      </c>
      <c r="W1303" s="3">
        <v>54</v>
      </c>
      <c r="X1303" s="3">
        <v>216</v>
      </c>
      <c r="Y1303" s="3">
        <v>60</v>
      </c>
      <c r="Z1303" s="3">
        <v>36</v>
      </c>
      <c r="AA1303" s="3">
        <v>48</v>
      </c>
      <c r="AB1303" s="3">
        <v>78</v>
      </c>
      <c r="AC1303" s="3">
        <v>6</v>
      </c>
      <c r="AD1303" s="3">
        <v>12</v>
      </c>
      <c r="AE1303" s="3">
        <v>60</v>
      </c>
      <c r="AF1303" s="3">
        <v>0</v>
      </c>
      <c r="AG1303" s="3">
        <v>36</v>
      </c>
      <c r="AH1303" s="3">
        <v>24</v>
      </c>
      <c r="AI1303" s="3">
        <v>0</v>
      </c>
      <c r="AJ1303" s="3">
        <v>66</v>
      </c>
      <c r="AK1303" s="3">
        <v>78</v>
      </c>
      <c r="AL1303" s="3">
        <v>72</v>
      </c>
      <c r="AM1303" s="3">
        <v>0</v>
      </c>
      <c r="AN1303" s="3">
        <v>48</v>
      </c>
      <c r="AO1303" s="3">
        <v>48</v>
      </c>
      <c r="AP1303" s="3">
        <v>12</v>
      </c>
      <c r="AQ1303" s="3">
        <v>12</v>
      </c>
      <c r="AR1303" s="3">
        <v>48</v>
      </c>
      <c r="AS1303" s="3">
        <v>84</v>
      </c>
      <c r="AT1303" s="3">
        <v>48</v>
      </c>
      <c r="AU1303" s="3">
        <v>54</v>
      </c>
      <c r="AV1303" s="3">
        <v>48</v>
      </c>
      <c r="AW1303" s="3">
        <v>78</v>
      </c>
    </row>
    <row r="1304" spans="1:49">
      <c r="A1304" s="4" t="s">
        <v>40</v>
      </c>
      <c r="B1304" s="4" t="str">
        <f t="shared" si="20"/>
        <v>Hair Care</v>
      </c>
      <c r="C1304" s="4" t="s">
        <v>1786</v>
      </c>
      <c r="D1304" s="4" t="s">
        <v>579</v>
      </c>
      <c r="E1304" s="24" t="s">
        <v>42</v>
      </c>
      <c r="F1304" s="12" t="s">
        <v>309</v>
      </c>
      <c r="G1304" s="4" t="s">
        <v>1787</v>
      </c>
      <c r="H1304" s="3">
        <v>0</v>
      </c>
      <c r="I1304" s="3">
        <v>0</v>
      </c>
      <c r="J1304" s="3">
        <v>0</v>
      </c>
      <c r="K1304" s="3">
        <v>0</v>
      </c>
      <c r="L1304" s="3">
        <v>1080</v>
      </c>
      <c r="M1304" s="3">
        <v>408</v>
      </c>
      <c r="N1304" s="3">
        <v>444</v>
      </c>
      <c r="O1304" s="3">
        <v>72</v>
      </c>
      <c r="P1304" s="3">
        <v>48</v>
      </c>
      <c r="Q1304" s="3">
        <v>180</v>
      </c>
      <c r="R1304" s="3">
        <v>48</v>
      </c>
      <c r="S1304" s="3">
        <v>24</v>
      </c>
      <c r="T1304" s="3">
        <v>204</v>
      </c>
      <c r="U1304" s="3">
        <v>72</v>
      </c>
      <c r="V1304" s="3">
        <v>24</v>
      </c>
      <c r="W1304" s="3">
        <v>96</v>
      </c>
      <c r="X1304" s="3">
        <v>96</v>
      </c>
      <c r="Y1304" s="3">
        <v>84</v>
      </c>
      <c r="Z1304" s="3">
        <v>24</v>
      </c>
      <c r="AA1304" s="3">
        <v>96</v>
      </c>
      <c r="AB1304" s="3">
        <v>60</v>
      </c>
      <c r="AC1304" s="3">
        <v>60</v>
      </c>
      <c r="AD1304" s="3">
        <v>24</v>
      </c>
      <c r="AE1304" s="3">
        <v>144</v>
      </c>
      <c r="AF1304" s="3">
        <v>96</v>
      </c>
      <c r="AG1304" s="3">
        <v>24</v>
      </c>
      <c r="AH1304" s="3">
        <v>84</v>
      </c>
      <c r="AI1304" s="3">
        <v>132</v>
      </c>
      <c r="AJ1304" s="3">
        <v>120</v>
      </c>
      <c r="AK1304" s="3">
        <v>132</v>
      </c>
      <c r="AL1304" s="3">
        <v>132</v>
      </c>
      <c r="AM1304" s="3">
        <v>24</v>
      </c>
      <c r="AN1304" s="3">
        <v>144</v>
      </c>
      <c r="AO1304" s="3">
        <v>72</v>
      </c>
      <c r="AP1304" s="3">
        <v>0</v>
      </c>
      <c r="AQ1304" s="3">
        <v>24</v>
      </c>
      <c r="AR1304" s="3">
        <v>336</v>
      </c>
      <c r="AS1304" s="3">
        <v>-12</v>
      </c>
      <c r="AT1304" s="3">
        <v>192</v>
      </c>
      <c r="AU1304" s="3">
        <v>84</v>
      </c>
      <c r="AV1304" s="3">
        <v>0</v>
      </c>
      <c r="AW1304" s="3">
        <v>168</v>
      </c>
    </row>
    <row r="1305" spans="1:49">
      <c r="A1305" s="4" t="s">
        <v>40</v>
      </c>
      <c r="B1305" s="4" t="str">
        <f t="shared" si="20"/>
        <v>Hair Care</v>
      </c>
      <c r="C1305" s="4" t="s">
        <v>1786</v>
      </c>
      <c r="D1305" s="4" t="s">
        <v>579</v>
      </c>
      <c r="E1305" s="24" t="s">
        <v>42</v>
      </c>
      <c r="F1305" s="12" t="s">
        <v>310</v>
      </c>
      <c r="G1305" s="4" t="s">
        <v>1787</v>
      </c>
      <c r="H1305" s="3">
        <v>1560</v>
      </c>
      <c r="I1305" s="3">
        <v>276</v>
      </c>
      <c r="J1305" s="3">
        <v>504</v>
      </c>
      <c r="K1305" s="3">
        <v>1212</v>
      </c>
      <c r="L1305" s="3">
        <v>276</v>
      </c>
      <c r="M1305" s="3">
        <v>384</v>
      </c>
      <c r="N1305" s="3">
        <v>644</v>
      </c>
      <c r="O1305" s="3">
        <v>962</v>
      </c>
      <c r="P1305" s="3">
        <v>36</v>
      </c>
      <c r="Q1305" s="3">
        <v>120</v>
      </c>
      <c r="R1305" s="3">
        <v>120</v>
      </c>
      <c r="S1305" s="3">
        <v>408</v>
      </c>
      <c r="T1305" s="3">
        <v>696</v>
      </c>
      <c r="U1305" s="3">
        <v>1044</v>
      </c>
      <c r="V1305" s="3">
        <v>300</v>
      </c>
      <c r="W1305" s="3">
        <v>156</v>
      </c>
      <c r="X1305" s="3">
        <v>516</v>
      </c>
      <c r="Y1305" s="3">
        <v>216</v>
      </c>
      <c r="Z1305" s="3">
        <v>60</v>
      </c>
      <c r="AA1305" s="3">
        <v>300</v>
      </c>
      <c r="AB1305" s="3">
        <v>360</v>
      </c>
      <c r="AC1305" s="3">
        <v>204</v>
      </c>
      <c r="AD1305" s="3">
        <v>12</v>
      </c>
      <c r="AE1305" s="3">
        <v>0</v>
      </c>
      <c r="AF1305" s="3">
        <v>0</v>
      </c>
      <c r="AG1305" s="3">
        <v>0</v>
      </c>
      <c r="AH1305" s="3">
        <v>442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</row>
    <row r="1306" spans="1:49">
      <c r="A1306" s="4" t="s">
        <v>40</v>
      </c>
      <c r="B1306" s="4" t="str">
        <f t="shared" si="20"/>
        <v>Hair Care</v>
      </c>
      <c r="C1306" s="4" t="s">
        <v>1786</v>
      </c>
      <c r="D1306" s="4" t="s">
        <v>579</v>
      </c>
      <c r="E1306" s="24" t="s">
        <v>42</v>
      </c>
      <c r="F1306" s="12" t="s">
        <v>311</v>
      </c>
      <c r="G1306" s="4" t="s">
        <v>1787</v>
      </c>
      <c r="H1306" s="3">
        <v>4190</v>
      </c>
      <c r="I1306" s="3">
        <v>1794</v>
      </c>
      <c r="J1306" s="3">
        <v>672</v>
      </c>
      <c r="K1306" s="3">
        <v>1992</v>
      </c>
      <c r="L1306" s="3">
        <v>972</v>
      </c>
      <c r="M1306" s="3">
        <v>1734</v>
      </c>
      <c r="N1306" s="3">
        <v>2366</v>
      </c>
      <c r="O1306" s="3">
        <v>1892</v>
      </c>
      <c r="P1306" s="3">
        <v>528</v>
      </c>
      <c r="Q1306" s="3">
        <v>1398</v>
      </c>
      <c r="R1306" s="3">
        <v>444</v>
      </c>
      <c r="S1306" s="3">
        <v>1854</v>
      </c>
      <c r="T1306" s="3">
        <v>2094</v>
      </c>
      <c r="U1306" s="3">
        <v>2550</v>
      </c>
      <c r="V1306" s="3">
        <v>864</v>
      </c>
      <c r="W1306" s="3">
        <v>1296</v>
      </c>
      <c r="X1306" s="3">
        <v>2034</v>
      </c>
      <c r="Y1306" s="3">
        <v>762</v>
      </c>
      <c r="Z1306" s="3">
        <v>2010</v>
      </c>
      <c r="AA1306" s="3">
        <v>966</v>
      </c>
      <c r="AB1306" s="3">
        <v>1386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442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</row>
    <row r="1307" spans="1:49">
      <c r="A1307" s="4" t="s">
        <v>40</v>
      </c>
      <c r="B1307" s="4" t="str">
        <f t="shared" si="20"/>
        <v>Hair Care</v>
      </c>
      <c r="C1307" s="4" t="s">
        <v>1786</v>
      </c>
      <c r="D1307" s="4" t="s">
        <v>579</v>
      </c>
      <c r="E1307" s="24" t="s">
        <v>42</v>
      </c>
      <c r="F1307" s="12" t="s">
        <v>312</v>
      </c>
      <c r="G1307" s="4" t="s">
        <v>1787</v>
      </c>
      <c r="H1307" s="3">
        <v>1212</v>
      </c>
      <c r="I1307" s="3">
        <v>408</v>
      </c>
      <c r="J1307" s="3">
        <v>444</v>
      </c>
      <c r="K1307" s="3">
        <v>1152</v>
      </c>
      <c r="L1307" s="3">
        <v>288</v>
      </c>
      <c r="M1307" s="3">
        <v>480</v>
      </c>
      <c r="N1307" s="3">
        <v>584</v>
      </c>
      <c r="O1307" s="3">
        <v>986</v>
      </c>
      <c r="P1307" s="3">
        <v>36</v>
      </c>
      <c r="Q1307" s="3">
        <v>120</v>
      </c>
      <c r="R1307" s="3">
        <v>60</v>
      </c>
      <c r="S1307" s="3">
        <v>300</v>
      </c>
      <c r="T1307" s="3">
        <v>564</v>
      </c>
      <c r="U1307" s="3">
        <v>552</v>
      </c>
      <c r="V1307" s="3">
        <v>336</v>
      </c>
      <c r="W1307" s="3">
        <v>156</v>
      </c>
      <c r="X1307" s="3">
        <v>384</v>
      </c>
      <c r="Y1307" s="3">
        <v>252</v>
      </c>
      <c r="Z1307" s="3">
        <v>24</v>
      </c>
      <c r="AA1307" s="3">
        <v>288</v>
      </c>
      <c r="AB1307" s="3">
        <v>180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728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</row>
    <row r="1308" spans="1:49">
      <c r="A1308" s="4" t="s">
        <v>40</v>
      </c>
      <c r="B1308" s="4" t="str">
        <f t="shared" si="20"/>
        <v>Hair Care</v>
      </c>
      <c r="C1308" s="4" t="s">
        <v>1786</v>
      </c>
      <c r="D1308" s="4" t="s">
        <v>579</v>
      </c>
      <c r="E1308" s="24" t="s">
        <v>42</v>
      </c>
      <c r="F1308" s="12" t="s">
        <v>313</v>
      </c>
      <c r="G1308" s="4" t="s">
        <v>1787</v>
      </c>
      <c r="H1308" s="3">
        <v>3066</v>
      </c>
      <c r="I1308" s="3">
        <v>3744</v>
      </c>
      <c r="J1308" s="3">
        <v>1200</v>
      </c>
      <c r="K1308" s="3">
        <v>1662</v>
      </c>
      <c r="L1308" s="3">
        <v>228</v>
      </c>
      <c r="M1308" s="3">
        <v>1590</v>
      </c>
      <c r="N1308" s="3">
        <v>2306</v>
      </c>
      <c r="O1308" s="3">
        <v>1640</v>
      </c>
      <c r="P1308" s="3">
        <v>522</v>
      </c>
      <c r="Q1308" s="3">
        <v>1236</v>
      </c>
      <c r="R1308" s="3">
        <v>324</v>
      </c>
      <c r="S1308" s="3">
        <v>1686</v>
      </c>
      <c r="T1308" s="3">
        <v>2154</v>
      </c>
      <c r="U1308" s="3">
        <v>2286</v>
      </c>
      <c r="V1308" s="3">
        <v>1194</v>
      </c>
      <c r="W1308" s="3">
        <v>1296</v>
      </c>
      <c r="X1308" s="3">
        <v>3102</v>
      </c>
      <c r="Y1308" s="3">
        <v>648</v>
      </c>
      <c r="Z1308" s="3">
        <v>1638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728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</row>
    <row r="1309" spans="1:49">
      <c r="A1309" s="4" t="s">
        <v>40</v>
      </c>
      <c r="B1309" s="4" t="str">
        <f t="shared" si="20"/>
        <v>Hair Care</v>
      </c>
      <c r="C1309" s="4" t="s">
        <v>1786</v>
      </c>
      <c r="D1309" s="4" t="s">
        <v>579</v>
      </c>
      <c r="E1309" s="24" t="s">
        <v>42</v>
      </c>
      <c r="F1309" s="12" t="s">
        <v>314</v>
      </c>
      <c r="G1309" s="4" t="s">
        <v>1787</v>
      </c>
      <c r="H1309" s="3">
        <v>2244</v>
      </c>
      <c r="I1309" s="3">
        <v>3150</v>
      </c>
      <c r="J1309" s="3">
        <v>480</v>
      </c>
      <c r="K1309" s="3">
        <v>954</v>
      </c>
      <c r="L1309" s="3">
        <v>216</v>
      </c>
      <c r="M1309" s="3">
        <v>1206</v>
      </c>
      <c r="N1309" s="3">
        <v>1314</v>
      </c>
      <c r="O1309" s="3">
        <v>618</v>
      </c>
      <c r="P1309" s="3">
        <v>450</v>
      </c>
      <c r="Q1309" s="3">
        <v>1152</v>
      </c>
      <c r="R1309" s="3">
        <v>156</v>
      </c>
      <c r="S1309" s="3">
        <v>1452</v>
      </c>
      <c r="T1309" s="3">
        <v>660</v>
      </c>
      <c r="U1309" s="3">
        <v>60</v>
      </c>
      <c r="V1309" s="3">
        <v>1554</v>
      </c>
      <c r="W1309" s="3">
        <v>312</v>
      </c>
      <c r="X1309" s="3">
        <v>48</v>
      </c>
      <c r="Y1309" s="3">
        <v>1140</v>
      </c>
      <c r="Z1309" s="3">
        <v>12</v>
      </c>
      <c r="AA1309" s="3">
        <v>60</v>
      </c>
      <c r="AB1309" s="3">
        <v>36</v>
      </c>
      <c r="AC1309" s="3">
        <v>12</v>
      </c>
      <c r="AD1309" s="3">
        <v>12</v>
      </c>
      <c r="AE1309" s="3">
        <v>48</v>
      </c>
      <c r="AF1309" s="3">
        <v>96</v>
      </c>
      <c r="AG1309" s="3">
        <v>24</v>
      </c>
      <c r="AH1309" s="3">
        <v>84</v>
      </c>
      <c r="AI1309" s="3">
        <v>0</v>
      </c>
      <c r="AJ1309" s="3">
        <v>48</v>
      </c>
      <c r="AK1309" s="3">
        <v>24</v>
      </c>
      <c r="AL1309" s="3">
        <v>1200</v>
      </c>
      <c r="AM1309" s="3">
        <v>246</v>
      </c>
      <c r="AN1309" s="3">
        <v>654</v>
      </c>
      <c r="AO1309" s="3">
        <v>1380</v>
      </c>
      <c r="AP1309" s="3">
        <v>156</v>
      </c>
      <c r="AQ1309" s="3">
        <v>240</v>
      </c>
      <c r="AR1309" s="3">
        <v>192</v>
      </c>
      <c r="AS1309" s="3">
        <v>336</v>
      </c>
      <c r="AT1309" s="3">
        <v>1842</v>
      </c>
      <c r="AU1309" s="3">
        <v>1026</v>
      </c>
      <c r="AV1309" s="3">
        <v>1104</v>
      </c>
      <c r="AW1309" s="3">
        <v>3174</v>
      </c>
    </row>
    <row r="1310" spans="1:49">
      <c r="A1310" s="4" t="s">
        <v>40</v>
      </c>
      <c r="B1310" s="4" t="str">
        <f t="shared" si="20"/>
        <v>Hair Care</v>
      </c>
      <c r="C1310" s="4" t="s">
        <v>1786</v>
      </c>
      <c r="D1310" s="4" t="s">
        <v>579</v>
      </c>
      <c r="E1310" s="24" t="s">
        <v>42</v>
      </c>
      <c r="F1310" s="12" t="s">
        <v>315</v>
      </c>
      <c r="G1310" s="4" t="s">
        <v>1787</v>
      </c>
      <c r="H1310" s="3">
        <v>1232</v>
      </c>
      <c r="I1310" s="3">
        <v>0</v>
      </c>
      <c r="J1310" s="3">
        <v>0</v>
      </c>
      <c r="K1310" s="3">
        <v>708</v>
      </c>
      <c r="L1310" s="3">
        <v>600</v>
      </c>
      <c r="M1310" s="3">
        <v>276</v>
      </c>
      <c r="N1310" s="3">
        <v>36</v>
      </c>
      <c r="O1310" s="3">
        <v>0</v>
      </c>
      <c r="P1310" s="3">
        <v>24</v>
      </c>
      <c r="Q1310" s="3">
        <v>0</v>
      </c>
      <c r="R1310" s="3">
        <v>0</v>
      </c>
      <c r="S1310" s="3">
        <v>12</v>
      </c>
      <c r="T1310" s="3">
        <v>1320</v>
      </c>
      <c r="U1310" s="3">
        <v>336</v>
      </c>
      <c r="V1310" s="3">
        <v>540</v>
      </c>
      <c r="W1310" s="3">
        <v>0</v>
      </c>
      <c r="X1310" s="3">
        <v>0</v>
      </c>
      <c r="Y1310" s="3">
        <v>0</v>
      </c>
      <c r="Z1310" s="3">
        <v>0</v>
      </c>
      <c r="AA1310" s="3">
        <v>72</v>
      </c>
      <c r="AB1310" s="3">
        <v>48</v>
      </c>
      <c r="AC1310" s="3">
        <v>0</v>
      </c>
      <c r="AD1310" s="3">
        <v>0</v>
      </c>
      <c r="AE1310" s="3">
        <v>0</v>
      </c>
      <c r="AF1310" s="3">
        <v>216</v>
      </c>
      <c r="AG1310" s="3">
        <v>12</v>
      </c>
      <c r="AH1310" s="3">
        <v>180</v>
      </c>
      <c r="AI1310" s="3">
        <v>0</v>
      </c>
      <c r="AJ1310" s="3">
        <v>360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60</v>
      </c>
      <c r="AR1310" s="3">
        <v>12</v>
      </c>
      <c r="AS1310" s="3">
        <v>0</v>
      </c>
      <c r="AT1310" s="3">
        <v>24</v>
      </c>
      <c r="AU1310" s="3">
        <v>0</v>
      </c>
      <c r="AV1310" s="3">
        <v>120</v>
      </c>
      <c r="AW1310" s="3">
        <v>0</v>
      </c>
    </row>
    <row r="1311" spans="1:49">
      <c r="A1311" s="4" t="s">
        <v>40</v>
      </c>
      <c r="B1311" s="4" t="str">
        <f t="shared" si="20"/>
        <v>Hair Care</v>
      </c>
      <c r="C1311" s="4" t="s">
        <v>1786</v>
      </c>
      <c r="D1311" s="4" t="s">
        <v>579</v>
      </c>
      <c r="E1311" s="24" t="s">
        <v>42</v>
      </c>
      <c r="F1311" s="12" t="s">
        <v>316</v>
      </c>
      <c r="G1311" s="4" t="s">
        <v>1787</v>
      </c>
      <c r="H1311" s="3">
        <v>192</v>
      </c>
      <c r="I1311" s="3">
        <v>48</v>
      </c>
      <c r="J1311" s="3">
        <v>180</v>
      </c>
      <c r="K1311" s="3">
        <v>156</v>
      </c>
      <c r="L1311" s="3">
        <v>108</v>
      </c>
      <c r="M1311" s="3">
        <v>120</v>
      </c>
      <c r="N1311" s="3">
        <v>60</v>
      </c>
      <c r="O1311" s="3">
        <v>48</v>
      </c>
      <c r="P1311" s="3">
        <v>24</v>
      </c>
      <c r="Q1311" s="3">
        <v>36</v>
      </c>
      <c r="R1311" s="3">
        <v>48</v>
      </c>
      <c r="S1311" s="3">
        <v>96</v>
      </c>
      <c r="T1311" s="3">
        <v>348</v>
      </c>
      <c r="U1311" s="3">
        <v>48</v>
      </c>
      <c r="V1311" s="3">
        <v>108</v>
      </c>
      <c r="W1311" s="3">
        <v>36</v>
      </c>
      <c r="X1311" s="3">
        <v>228</v>
      </c>
      <c r="Y1311" s="3">
        <v>84</v>
      </c>
      <c r="Z1311" s="3">
        <v>36</v>
      </c>
      <c r="AA1311" s="3">
        <v>36</v>
      </c>
      <c r="AB1311" s="3">
        <v>132</v>
      </c>
      <c r="AC1311" s="3">
        <v>24</v>
      </c>
      <c r="AD1311" s="3">
        <v>48</v>
      </c>
      <c r="AE1311" s="3">
        <v>84</v>
      </c>
      <c r="AF1311" s="3">
        <v>12</v>
      </c>
      <c r="AG1311" s="3">
        <v>48</v>
      </c>
      <c r="AH1311" s="3">
        <v>24</v>
      </c>
      <c r="AI1311" s="3">
        <v>36</v>
      </c>
      <c r="AJ1311" s="3">
        <v>456</v>
      </c>
      <c r="AK1311" s="3">
        <v>72</v>
      </c>
      <c r="AL1311" s="3">
        <v>144</v>
      </c>
      <c r="AM1311" s="3">
        <v>0</v>
      </c>
      <c r="AN1311" s="3">
        <v>60</v>
      </c>
      <c r="AO1311" s="3">
        <v>36</v>
      </c>
      <c r="AP1311" s="3">
        <v>24</v>
      </c>
      <c r="AQ1311" s="3">
        <v>-12</v>
      </c>
      <c r="AR1311" s="3">
        <v>252</v>
      </c>
      <c r="AS1311" s="3">
        <v>60</v>
      </c>
      <c r="AT1311" s="3">
        <v>204</v>
      </c>
      <c r="AU1311" s="3">
        <v>12</v>
      </c>
      <c r="AV1311" s="3">
        <v>240</v>
      </c>
      <c r="AW1311" s="3">
        <v>48</v>
      </c>
    </row>
    <row r="1312" spans="1:49">
      <c r="A1312" s="4" t="s">
        <v>40</v>
      </c>
      <c r="B1312" s="4" t="str">
        <f t="shared" si="20"/>
        <v>Hair Care</v>
      </c>
      <c r="C1312" s="4" t="s">
        <v>1786</v>
      </c>
      <c r="D1312" s="4" t="s">
        <v>579</v>
      </c>
      <c r="E1312" s="24" t="s">
        <v>42</v>
      </c>
      <c r="F1312" s="12" t="s">
        <v>317</v>
      </c>
      <c r="G1312" s="4" t="s">
        <v>1787</v>
      </c>
      <c r="H1312" s="3">
        <v>102</v>
      </c>
      <c r="I1312" s="3">
        <v>111</v>
      </c>
      <c r="J1312" s="3">
        <v>45</v>
      </c>
      <c r="K1312" s="3">
        <v>0</v>
      </c>
      <c r="L1312" s="3">
        <v>75</v>
      </c>
      <c r="M1312" s="3">
        <v>117</v>
      </c>
      <c r="N1312" s="3">
        <v>15</v>
      </c>
      <c r="O1312" s="3">
        <v>48</v>
      </c>
      <c r="P1312" s="3">
        <v>6</v>
      </c>
      <c r="Q1312" s="3">
        <v>36</v>
      </c>
      <c r="R1312" s="3">
        <v>78</v>
      </c>
      <c r="S1312" s="3">
        <v>69</v>
      </c>
      <c r="T1312" s="3">
        <v>84</v>
      </c>
      <c r="U1312" s="3">
        <v>0</v>
      </c>
      <c r="V1312" s="3">
        <v>84</v>
      </c>
      <c r="W1312" s="3">
        <v>60</v>
      </c>
      <c r="X1312" s="3">
        <v>63</v>
      </c>
      <c r="Y1312" s="3">
        <v>60</v>
      </c>
      <c r="Z1312" s="3">
        <v>30</v>
      </c>
      <c r="AA1312" s="3">
        <v>75</v>
      </c>
      <c r="AB1312" s="3">
        <v>0</v>
      </c>
      <c r="AC1312" s="3">
        <v>0</v>
      </c>
      <c r="AD1312" s="3">
        <v>30</v>
      </c>
      <c r="AE1312" s="3">
        <v>0</v>
      </c>
      <c r="AF1312" s="3">
        <v>0</v>
      </c>
      <c r="AG1312" s="3">
        <v>57</v>
      </c>
      <c r="AH1312" s="3">
        <v>48</v>
      </c>
      <c r="AI1312" s="3">
        <v>6</v>
      </c>
      <c r="AJ1312" s="3">
        <v>12</v>
      </c>
      <c r="AK1312" s="3">
        <v>24</v>
      </c>
      <c r="AL1312" s="3">
        <v>33</v>
      </c>
      <c r="AM1312" s="3">
        <v>3</v>
      </c>
      <c r="AN1312" s="3">
        <v>24</v>
      </c>
      <c r="AO1312" s="3">
        <v>87</v>
      </c>
      <c r="AP1312" s="3">
        <v>12</v>
      </c>
      <c r="AQ1312" s="3">
        <v>51</v>
      </c>
      <c r="AR1312" s="3">
        <v>81</v>
      </c>
      <c r="AS1312" s="3">
        <v>6</v>
      </c>
      <c r="AT1312" s="3">
        <v>39</v>
      </c>
      <c r="AU1312" s="3">
        <v>33</v>
      </c>
      <c r="AV1312" s="3">
        <v>48</v>
      </c>
      <c r="AW1312" s="3">
        <v>30</v>
      </c>
    </row>
    <row r="1313" spans="1:49">
      <c r="A1313" s="4" t="s">
        <v>40</v>
      </c>
      <c r="B1313" s="4" t="str">
        <f t="shared" si="20"/>
        <v>Hair Care</v>
      </c>
      <c r="C1313" s="4" t="s">
        <v>1786</v>
      </c>
      <c r="D1313" s="4" t="s">
        <v>579</v>
      </c>
      <c r="E1313" s="24" t="s">
        <v>42</v>
      </c>
      <c r="F1313" s="12" t="s">
        <v>318</v>
      </c>
      <c r="G1313" s="4" t="s">
        <v>1787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12</v>
      </c>
      <c r="U1313" s="3">
        <v>324</v>
      </c>
      <c r="V1313" s="3">
        <v>1530</v>
      </c>
      <c r="W1313" s="3">
        <v>696</v>
      </c>
      <c r="X1313" s="3">
        <v>324</v>
      </c>
      <c r="Y1313" s="3">
        <v>1140</v>
      </c>
      <c r="Z1313" s="3">
        <v>0</v>
      </c>
      <c r="AA1313" s="3">
        <v>0</v>
      </c>
      <c r="AB1313" s="3">
        <v>0</v>
      </c>
      <c r="AC1313" s="3">
        <v>24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</row>
    <row r="1314" spans="1:49">
      <c r="A1314" s="4" t="s">
        <v>40</v>
      </c>
      <c r="B1314" s="4" t="str">
        <f t="shared" si="20"/>
        <v>Hair Care</v>
      </c>
      <c r="C1314" s="4" t="s">
        <v>1786</v>
      </c>
      <c r="D1314" s="4" t="s">
        <v>579</v>
      </c>
      <c r="E1314" s="24" t="s">
        <v>42</v>
      </c>
      <c r="F1314" s="12" t="s">
        <v>319</v>
      </c>
      <c r="G1314" s="4" t="s">
        <v>1787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348</v>
      </c>
      <c r="V1314" s="3">
        <v>240</v>
      </c>
      <c r="W1314" s="3">
        <v>36</v>
      </c>
      <c r="X1314" s="3">
        <v>0</v>
      </c>
      <c r="Y1314" s="3">
        <v>0</v>
      </c>
      <c r="Z1314" s="3">
        <v>144</v>
      </c>
      <c r="AA1314" s="3">
        <v>240</v>
      </c>
      <c r="AB1314" s="3">
        <v>168</v>
      </c>
      <c r="AC1314" s="3">
        <v>24</v>
      </c>
      <c r="AD1314" s="3">
        <v>108</v>
      </c>
      <c r="AE1314" s="3">
        <v>168</v>
      </c>
      <c r="AF1314" s="3">
        <v>240</v>
      </c>
      <c r="AG1314" s="3">
        <v>60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</row>
    <row r="1315" spans="1:49">
      <c r="A1315" s="4" t="s">
        <v>40</v>
      </c>
      <c r="B1315" s="4" t="str">
        <f t="shared" si="20"/>
        <v>Hair Care</v>
      </c>
      <c r="C1315" s="4" t="s">
        <v>1786</v>
      </c>
      <c r="D1315" s="4" t="s">
        <v>579</v>
      </c>
      <c r="E1315" s="24" t="s">
        <v>42</v>
      </c>
      <c r="F1315" s="12" t="s">
        <v>320</v>
      </c>
      <c r="G1315" s="4" t="s">
        <v>1787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396</v>
      </c>
      <c r="AL1315" s="3">
        <v>336</v>
      </c>
      <c r="AM1315" s="3">
        <v>0</v>
      </c>
      <c r="AN1315" s="3">
        <v>264</v>
      </c>
      <c r="AO1315" s="3">
        <v>204</v>
      </c>
      <c r="AP1315" s="3">
        <v>96</v>
      </c>
      <c r="AQ1315" s="3">
        <v>348</v>
      </c>
      <c r="AR1315" s="3">
        <v>612</v>
      </c>
      <c r="AS1315" s="3">
        <v>168</v>
      </c>
      <c r="AT1315" s="3">
        <v>480</v>
      </c>
      <c r="AU1315" s="3">
        <v>84</v>
      </c>
      <c r="AV1315" s="3">
        <v>360</v>
      </c>
      <c r="AW1315" s="3">
        <v>216</v>
      </c>
    </row>
    <row r="1316" spans="1:49">
      <c r="A1316" s="4" t="s">
        <v>40</v>
      </c>
      <c r="B1316" s="4" t="str">
        <f t="shared" si="20"/>
        <v>Hair Care</v>
      </c>
      <c r="C1316" s="4" t="s">
        <v>1786</v>
      </c>
      <c r="D1316" s="4" t="s">
        <v>579</v>
      </c>
      <c r="E1316" s="24" t="s">
        <v>42</v>
      </c>
      <c r="F1316" s="12" t="s">
        <v>321</v>
      </c>
      <c r="G1316" s="4" t="s">
        <v>1787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420</v>
      </c>
      <c r="Y1316" s="3">
        <v>528</v>
      </c>
      <c r="Z1316" s="3">
        <v>456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</row>
    <row r="1317" spans="1:49">
      <c r="A1317" s="4" t="s">
        <v>40</v>
      </c>
      <c r="B1317" s="4" t="str">
        <f t="shared" si="20"/>
        <v>Hair Care</v>
      </c>
      <c r="C1317" s="4" t="s">
        <v>1786</v>
      </c>
      <c r="D1317" s="4" t="s">
        <v>579</v>
      </c>
      <c r="E1317" s="24" t="s">
        <v>42</v>
      </c>
      <c r="F1317" s="12" t="s">
        <v>322</v>
      </c>
      <c r="G1317" s="4" t="s">
        <v>1787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60</v>
      </c>
      <c r="T1317" s="3">
        <v>324</v>
      </c>
      <c r="U1317" s="3">
        <v>336</v>
      </c>
      <c r="V1317" s="3">
        <v>36</v>
      </c>
      <c r="W1317" s="3">
        <v>48</v>
      </c>
      <c r="X1317" s="3">
        <v>456</v>
      </c>
      <c r="Y1317" s="3">
        <v>36</v>
      </c>
      <c r="Z1317" s="3">
        <v>36</v>
      </c>
      <c r="AA1317" s="3">
        <v>156</v>
      </c>
      <c r="AB1317" s="3">
        <v>360</v>
      </c>
      <c r="AC1317" s="3">
        <v>0</v>
      </c>
      <c r="AD1317" s="3">
        <v>132</v>
      </c>
      <c r="AE1317" s="3">
        <v>180</v>
      </c>
      <c r="AF1317" s="3">
        <v>156</v>
      </c>
      <c r="AG1317" s="3">
        <v>312</v>
      </c>
      <c r="AH1317" s="3">
        <v>180</v>
      </c>
      <c r="AI1317" s="3">
        <v>60</v>
      </c>
      <c r="AJ1317" s="3">
        <v>36</v>
      </c>
      <c r="AK1317" s="3">
        <v>180</v>
      </c>
      <c r="AL1317" s="3">
        <v>120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</row>
    <row r="1318" spans="1:49">
      <c r="A1318" s="4" t="s">
        <v>40</v>
      </c>
      <c r="B1318" s="4" t="str">
        <f t="shared" si="20"/>
        <v>Hair Care</v>
      </c>
      <c r="C1318" s="4" t="s">
        <v>1786</v>
      </c>
      <c r="D1318" s="4" t="s">
        <v>579</v>
      </c>
      <c r="E1318" s="24" t="s">
        <v>42</v>
      </c>
      <c r="F1318" s="12" t="s">
        <v>323</v>
      </c>
      <c r="G1318" s="4" t="s">
        <v>1787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96</v>
      </c>
      <c r="AC1318" s="3">
        <v>0</v>
      </c>
      <c r="AD1318" s="3">
        <v>48</v>
      </c>
      <c r="AE1318" s="3">
        <v>168</v>
      </c>
      <c r="AF1318" s="3">
        <v>168</v>
      </c>
      <c r="AG1318" s="3">
        <v>96</v>
      </c>
      <c r="AH1318" s="3">
        <v>192</v>
      </c>
      <c r="AI1318" s="3">
        <v>2190</v>
      </c>
      <c r="AJ1318" s="3">
        <v>372</v>
      </c>
      <c r="AK1318" s="3">
        <v>348</v>
      </c>
      <c r="AL1318" s="3">
        <v>372</v>
      </c>
      <c r="AM1318" s="3">
        <v>240</v>
      </c>
      <c r="AN1318" s="3">
        <v>228</v>
      </c>
      <c r="AO1318" s="3">
        <v>144</v>
      </c>
      <c r="AP1318" s="3">
        <v>2196</v>
      </c>
      <c r="AQ1318" s="3">
        <v>474</v>
      </c>
      <c r="AR1318" s="3">
        <v>732</v>
      </c>
      <c r="AS1318" s="3">
        <v>570</v>
      </c>
      <c r="AT1318" s="3">
        <v>1506</v>
      </c>
      <c r="AU1318" s="3">
        <v>684</v>
      </c>
      <c r="AV1318" s="3">
        <v>216</v>
      </c>
      <c r="AW1318" s="3">
        <v>252</v>
      </c>
    </row>
    <row r="1319" spans="1:49">
      <c r="A1319" s="4" t="s">
        <v>40</v>
      </c>
      <c r="B1319" s="4" t="str">
        <f t="shared" si="20"/>
        <v>Hair Care</v>
      </c>
      <c r="C1319" s="4" t="s">
        <v>1786</v>
      </c>
      <c r="D1319" s="4" t="s">
        <v>579</v>
      </c>
      <c r="E1319" s="24" t="s">
        <v>42</v>
      </c>
      <c r="F1319" s="12" t="s">
        <v>324</v>
      </c>
      <c r="G1319" s="4" t="s">
        <v>1787</v>
      </c>
      <c r="H1319" s="3">
        <v>1188</v>
      </c>
      <c r="I1319" s="3">
        <v>408</v>
      </c>
      <c r="J1319" s="3">
        <v>396</v>
      </c>
      <c r="K1319" s="3">
        <v>1224</v>
      </c>
      <c r="L1319" s="3">
        <v>288</v>
      </c>
      <c r="M1319" s="3">
        <v>372</v>
      </c>
      <c r="N1319" s="3">
        <v>156</v>
      </c>
      <c r="O1319" s="3">
        <v>288</v>
      </c>
      <c r="P1319" s="3">
        <v>72</v>
      </c>
      <c r="Q1319" s="3">
        <v>120</v>
      </c>
      <c r="R1319" s="3">
        <v>72</v>
      </c>
      <c r="S1319" s="3">
        <v>276</v>
      </c>
      <c r="T1319" s="3">
        <v>48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</row>
    <row r="1320" spans="1:49">
      <c r="A1320" s="4" t="s">
        <v>40</v>
      </c>
      <c r="B1320" s="4" t="str">
        <f t="shared" si="20"/>
        <v>Hair Care</v>
      </c>
      <c r="C1320" s="4" t="s">
        <v>1786</v>
      </c>
      <c r="D1320" s="4" t="s">
        <v>579</v>
      </c>
      <c r="E1320" s="24" t="s">
        <v>42</v>
      </c>
      <c r="F1320" s="12" t="s">
        <v>325</v>
      </c>
      <c r="G1320" s="4" t="s">
        <v>1787</v>
      </c>
      <c r="H1320" s="3">
        <v>4424</v>
      </c>
      <c r="I1320" s="3">
        <v>3426</v>
      </c>
      <c r="J1320" s="3">
        <v>1056</v>
      </c>
      <c r="K1320" s="3">
        <v>1998</v>
      </c>
      <c r="L1320" s="3">
        <v>528</v>
      </c>
      <c r="M1320" s="3">
        <v>1626</v>
      </c>
      <c r="N1320" s="3">
        <v>1470</v>
      </c>
      <c r="O1320" s="3">
        <v>798</v>
      </c>
      <c r="P1320" s="3">
        <v>486</v>
      </c>
      <c r="Q1320" s="3">
        <v>1248</v>
      </c>
      <c r="R1320" s="3">
        <v>216</v>
      </c>
      <c r="S1320" s="3">
        <v>1656</v>
      </c>
      <c r="T1320" s="3">
        <v>492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</row>
    <row r="1321" spans="1:49">
      <c r="A1321" s="4" t="s">
        <v>40</v>
      </c>
      <c r="B1321" s="4" t="str">
        <f t="shared" si="20"/>
        <v>Hair Care</v>
      </c>
      <c r="C1321" s="4" t="s">
        <v>1786</v>
      </c>
      <c r="D1321" s="4" t="s">
        <v>579</v>
      </c>
      <c r="E1321" s="24" t="s">
        <v>42</v>
      </c>
      <c r="F1321" s="12" t="s">
        <v>326</v>
      </c>
      <c r="G1321" s="4" t="s">
        <v>1787</v>
      </c>
      <c r="H1321" s="3">
        <v>126</v>
      </c>
      <c r="I1321" s="3">
        <v>180</v>
      </c>
      <c r="J1321" s="3">
        <v>84</v>
      </c>
      <c r="K1321" s="3">
        <v>42</v>
      </c>
      <c r="L1321" s="3">
        <v>48</v>
      </c>
      <c r="M1321" s="3">
        <v>168</v>
      </c>
      <c r="N1321" s="3">
        <v>36</v>
      </c>
      <c r="O1321" s="3">
        <v>162</v>
      </c>
      <c r="P1321" s="3">
        <v>114</v>
      </c>
      <c r="Q1321" s="3">
        <v>60</v>
      </c>
      <c r="R1321" s="3">
        <v>94</v>
      </c>
      <c r="S1321" s="3">
        <v>114</v>
      </c>
      <c r="T1321" s="3">
        <v>228</v>
      </c>
      <c r="U1321" s="3">
        <v>72</v>
      </c>
      <c r="V1321" s="3">
        <v>390</v>
      </c>
      <c r="W1321" s="3">
        <v>132</v>
      </c>
      <c r="X1321" s="3">
        <v>222</v>
      </c>
      <c r="Y1321" s="3">
        <v>78</v>
      </c>
      <c r="Z1321" s="3">
        <v>108</v>
      </c>
      <c r="AA1321" s="3">
        <v>48</v>
      </c>
      <c r="AB1321" s="3">
        <v>144</v>
      </c>
      <c r="AC1321" s="3">
        <v>6</v>
      </c>
      <c r="AD1321" s="3">
        <v>120</v>
      </c>
      <c r="AE1321" s="3">
        <v>84</v>
      </c>
      <c r="AF1321" s="3">
        <v>60</v>
      </c>
      <c r="AG1321" s="3">
        <v>144</v>
      </c>
      <c r="AH1321" s="3">
        <v>12</v>
      </c>
      <c r="AI1321" s="3">
        <v>0</v>
      </c>
      <c r="AJ1321" s="3">
        <v>24</v>
      </c>
      <c r="AK1321" s="3">
        <v>84</v>
      </c>
      <c r="AL1321" s="3">
        <v>66</v>
      </c>
      <c r="AM1321" s="3">
        <v>0</v>
      </c>
      <c r="AN1321" s="3">
        <v>54</v>
      </c>
      <c r="AO1321" s="3">
        <v>48</v>
      </c>
      <c r="AP1321" s="3">
        <v>90</v>
      </c>
      <c r="AQ1321" s="3">
        <v>30</v>
      </c>
      <c r="AR1321" s="3">
        <v>60</v>
      </c>
      <c r="AS1321" s="3">
        <v>102</v>
      </c>
      <c r="AT1321" s="3">
        <v>114</v>
      </c>
      <c r="AU1321" s="3">
        <v>24</v>
      </c>
      <c r="AV1321" s="3">
        <v>90</v>
      </c>
      <c r="AW1321" s="3">
        <v>66</v>
      </c>
    </row>
    <row r="1322" spans="1:49">
      <c r="A1322" s="4" t="s">
        <v>40</v>
      </c>
      <c r="B1322" s="4" t="str">
        <f t="shared" si="20"/>
        <v>Hair Care</v>
      </c>
      <c r="C1322" s="4" t="s">
        <v>1786</v>
      </c>
      <c r="D1322" s="4" t="s">
        <v>579</v>
      </c>
      <c r="E1322" s="24" t="s">
        <v>42</v>
      </c>
      <c r="F1322" s="12" t="s">
        <v>327</v>
      </c>
      <c r="G1322" s="4" t="s">
        <v>1787</v>
      </c>
      <c r="H1322" s="3">
        <v>120</v>
      </c>
      <c r="I1322" s="3">
        <v>126</v>
      </c>
      <c r="J1322" s="3">
        <v>60</v>
      </c>
      <c r="K1322" s="3">
        <v>48</v>
      </c>
      <c r="L1322" s="3">
        <v>48</v>
      </c>
      <c r="M1322" s="3">
        <v>114</v>
      </c>
      <c r="N1322" s="3">
        <v>60</v>
      </c>
      <c r="O1322" s="3">
        <v>60</v>
      </c>
      <c r="P1322" s="3">
        <v>42</v>
      </c>
      <c r="Q1322" s="3">
        <v>18</v>
      </c>
      <c r="R1322" s="3">
        <v>96</v>
      </c>
      <c r="S1322" s="3">
        <v>144</v>
      </c>
      <c r="T1322" s="3">
        <v>114</v>
      </c>
      <c r="U1322" s="3">
        <v>150</v>
      </c>
      <c r="V1322" s="3">
        <v>144</v>
      </c>
      <c r="W1322" s="3">
        <v>42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</row>
    <row r="1323" spans="1:49">
      <c r="A1323" s="4" t="s">
        <v>40</v>
      </c>
      <c r="B1323" s="4" t="str">
        <f t="shared" si="20"/>
        <v>Hair Care</v>
      </c>
      <c r="C1323" s="4" t="s">
        <v>1786</v>
      </c>
      <c r="D1323" s="4" t="s">
        <v>579</v>
      </c>
      <c r="E1323" s="24" t="s">
        <v>42</v>
      </c>
      <c r="F1323" s="12" t="s">
        <v>328</v>
      </c>
      <c r="G1323" s="4" t="s">
        <v>1787</v>
      </c>
      <c r="H1323" s="3">
        <v>174</v>
      </c>
      <c r="I1323" s="3">
        <v>156</v>
      </c>
      <c r="J1323" s="3">
        <v>156</v>
      </c>
      <c r="K1323" s="3">
        <v>78</v>
      </c>
      <c r="L1323" s="3">
        <v>60</v>
      </c>
      <c r="M1323" s="3">
        <v>138</v>
      </c>
      <c r="N1323" s="3">
        <v>48</v>
      </c>
      <c r="O1323" s="3">
        <v>138</v>
      </c>
      <c r="P1323" s="3">
        <v>96</v>
      </c>
      <c r="Q1323" s="3">
        <v>84</v>
      </c>
      <c r="R1323" s="3">
        <v>126</v>
      </c>
      <c r="S1323" s="3">
        <v>228</v>
      </c>
      <c r="T1323" s="3">
        <v>264</v>
      </c>
      <c r="U1323" s="3">
        <v>102</v>
      </c>
      <c r="V1323" s="3">
        <v>126</v>
      </c>
      <c r="W1323" s="3">
        <v>78</v>
      </c>
      <c r="X1323" s="3">
        <v>24</v>
      </c>
      <c r="Y1323" s="3">
        <v>108</v>
      </c>
      <c r="Z1323" s="3">
        <v>72</v>
      </c>
      <c r="AA1323" s="3">
        <v>120</v>
      </c>
      <c r="AB1323" s="3">
        <v>72</v>
      </c>
      <c r="AC1323" s="3">
        <v>0</v>
      </c>
      <c r="AD1323" s="3">
        <v>24</v>
      </c>
      <c r="AE1323" s="3">
        <v>84</v>
      </c>
      <c r="AF1323" s="3">
        <v>48</v>
      </c>
      <c r="AG1323" s="3">
        <v>144</v>
      </c>
      <c r="AH1323" s="3">
        <v>60</v>
      </c>
      <c r="AI1323" s="3">
        <v>84</v>
      </c>
      <c r="AJ1323" s="3">
        <v>48</v>
      </c>
      <c r="AK1323" s="3">
        <v>102</v>
      </c>
      <c r="AL1323" s="3">
        <v>60</v>
      </c>
      <c r="AM1323" s="3">
        <v>24</v>
      </c>
      <c r="AN1323" s="3">
        <v>78</v>
      </c>
      <c r="AO1323" s="3">
        <v>0</v>
      </c>
      <c r="AP1323" s="3">
        <v>96</v>
      </c>
      <c r="AQ1323" s="3">
        <v>108</v>
      </c>
      <c r="AR1323" s="3">
        <v>132</v>
      </c>
      <c r="AS1323" s="3">
        <v>96</v>
      </c>
      <c r="AT1323" s="3">
        <v>126</v>
      </c>
      <c r="AU1323" s="3">
        <v>96</v>
      </c>
      <c r="AV1323" s="3">
        <v>192</v>
      </c>
      <c r="AW1323" s="3">
        <v>78</v>
      </c>
    </row>
    <row r="1324" spans="1:49">
      <c r="A1324" s="4" t="s">
        <v>40</v>
      </c>
      <c r="B1324" s="4" t="str">
        <f t="shared" si="20"/>
        <v>Hair Care</v>
      </c>
      <c r="C1324" s="4" t="s">
        <v>1786</v>
      </c>
      <c r="D1324" s="4" t="s">
        <v>579</v>
      </c>
      <c r="E1324" s="24" t="s">
        <v>42</v>
      </c>
      <c r="F1324" s="12" t="s">
        <v>329</v>
      </c>
      <c r="G1324" s="4" t="s">
        <v>1787</v>
      </c>
      <c r="H1324" s="3">
        <v>1878</v>
      </c>
      <c r="I1324" s="3">
        <v>870</v>
      </c>
      <c r="J1324" s="3">
        <v>2220</v>
      </c>
      <c r="K1324" s="3">
        <v>942</v>
      </c>
      <c r="L1324" s="3">
        <v>828</v>
      </c>
      <c r="M1324" s="3">
        <v>1176</v>
      </c>
      <c r="N1324" s="3">
        <v>2034</v>
      </c>
      <c r="O1324" s="3">
        <v>942</v>
      </c>
      <c r="P1324" s="3">
        <v>474</v>
      </c>
      <c r="Q1324" s="3">
        <v>1128</v>
      </c>
      <c r="R1324" s="3">
        <v>498</v>
      </c>
      <c r="S1324" s="3">
        <v>1692</v>
      </c>
      <c r="T1324" s="3">
        <v>1374</v>
      </c>
      <c r="U1324" s="3">
        <v>1956</v>
      </c>
      <c r="V1324" s="3">
        <v>732</v>
      </c>
      <c r="W1324" s="3">
        <v>120</v>
      </c>
      <c r="X1324" s="3">
        <v>72</v>
      </c>
      <c r="Y1324" s="3">
        <v>168</v>
      </c>
      <c r="Z1324" s="3">
        <v>24</v>
      </c>
      <c r="AA1324" s="3">
        <v>96</v>
      </c>
      <c r="AB1324" s="3">
        <v>60</v>
      </c>
      <c r="AC1324" s="3">
        <v>72</v>
      </c>
      <c r="AD1324" s="3">
        <v>492</v>
      </c>
      <c r="AE1324" s="3">
        <v>24</v>
      </c>
      <c r="AF1324" s="3">
        <v>2736</v>
      </c>
      <c r="AG1324" s="3">
        <v>264</v>
      </c>
      <c r="AH1324" s="3">
        <v>1608</v>
      </c>
      <c r="AI1324" s="3">
        <v>2712</v>
      </c>
      <c r="AJ1324" s="3">
        <v>24</v>
      </c>
      <c r="AK1324" s="3">
        <v>96</v>
      </c>
      <c r="AL1324" s="3">
        <v>1104</v>
      </c>
      <c r="AM1324" s="3">
        <v>24</v>
      </c>
      <c r="AN1324" s="3">
        <v>36</v>
      </c>
      <c r="AO1324" s="3">
        <v>216</v>
      </c>
      <c r="AP1324" s="3">
        <v>168</v>
      </c>
      <c r="AQ1324" s="3">
        <v>360</v>
      </c>
      <c r="AR1324" s="3">
        <v>120</v>
      </c>
      <c r="AS1324" s="3">
        <v>60</v>
      </c>
      <c r="AT1324" s="3">
        <v>132</v>
      </c>
      <c r="AU1324" s="3">
        <v>84</v>
      </c>
      <c r="AV1324" s="3">
        <v>5400</v>
      </c>
      <c r="AW1324" s="3">
        <v>2544</v>
      </c>
    </row>
    <row r="1325" spans="1:49">
      <c r="A1325" s="4" t="s">
        <v>40</v>
      </c>
      <c r="B1325" s="4" t="str">
        <f t="shared" si="20"/>
        <v>Hair Care</v>
      </c>
      <c r="C1325" s="4" t="s">
        <v>1786</v>
      </c>
      <c r="D1325" s="4" t="s">
        <v>579</v>
      </c>
      <c r="E1325" s="24" t="s">
        <v>42</v>
      </c>
      <c r="F1325" s="12" t="s">
        <v>330</v>
      </c>
      <c r="G1325" s="4" t="s">
        <v>1787</v>
      </c>
      <c r="H1325" s="3">
        <v>1016</v>
      </c>
      <c r="I1325" s="3">
        <v>2416</v>
      </c>
      <c r="J1325" s="3">
        <v>0</v>
      </c>
      <c r="K1325" s="3">
        <v>708</v>
      </c>
      <c r="L1325" s="3">
        <v>600</v>
      </c>
      <c r="M1325" s="3">
        <v>276</v>
      </c>
      <c r="N1325" s="3">
        <v>36</v>
      </c>
      <c r="O1325" s="3">
        <v>252</v>
      </c>
      <c r="P1325" s="3">
        <v>36</v>
      </c>
      <c r="Q1325" s="3">
        <v>0</v>
      </c>
      <c r="R1325" s="3">
        <v>0</v>
      </c>
      <c r="S1325" s="3">
        <v>0</v>
      </c>
      <c r="T1325" s="3">
        <v>1320</v>
      </c>
      <c r="U1325" s="3">
        <v>336</v>
      </c>
      <c r="V1325" s="3">
        <v>852</v>
      </c>
      <c r="W1325" s="3">
        <v>0</v>
      </c>
      <c r="X1325" s="3">
        <v>0</v>
      </c>
      <c r="Y1325" s="3">
        <v>0</v>
      </c>
      <c r="Z1325" s="3">
        <v>24</v>
      </c>
      <c r="AA1325" s="3">
        <v>12</v>
      </c>
      <c r="AB1325" s="3">
        <v>12</v>
      </c>
      <c r="AC1325" s="3">
        <v>0</v>
      </c>
      <c r="AD1325" s="3">
        <v>0</v>
      </c>
      <c r="AE1325" s="3">
        <v>0</v>
      </c>
      <c r="AF1325" s="3">
        <v>204</v>
      </c>
      <c r="AG1325" s="3">
        <v>0</v>
      </c>
      <c r="AH1325" s="3">
        <v>180</v>
      </c>
      <c r="AI1325" s="3">
        <v>0</v>
      </c>
      <c r="AJ1325" s="3">
        <v>0</v>
      </c>
      <c r="AK1325" s="3">
        <v>120</v>
      </c>
      <c r="AL1325" s="3">
        <v>48</v>
      </c>
      <c r="AM1325" s="3">
        <v>60</v>
      </c>
      <c r="AN1325" s="3">
        <v>132</v>
      </c>
      <c r="AO1325" s="3">
        <v>24</v>
      </c>
      <c r="AP1325" s="3">
        <v>990</v>
      </c>
      <c r="AQ1325" s="3">
        <v>120</v>
      </c>
      <c r="AR1325" s="3">
        <v>336</v>
      </c>
      <c r="AS1325" s="3">
        <v>1266</v>
      </c>
      <c r="AT1325" s="3">
        <v>12</v>
      </c>
      <c r="AU1325" s="3">
        <v>0</v>
      </c>
      <c r="AV1325" s="3">
        <v>600</v>
      </c>
      <c r="AW1325" s="3">
        <v>180</v>
      </c>
    </row>
    <row r="1326" spans="1:49">
      <c r="A1326" s="4" t="s">
        <v>40</v>
      </c>
      <c r="B1326" s="4" t="str">
        <f t="shared" si="20"/>
        <v>Hair Care</v>
      </c>
      <c r="C1326" s="4" t="s">
        <v>1786</v>
      </c>
      <c r="D1326" s="4" t="s">
        <v>579</v>
      </c>
      <c r="E1326" s="24" t="s">
        <v>42</v>
      </c>
      <c r="F1326" s="12" t="s">
        <v>331</v>
      </c>
      <c r="G1326" s="4" t="s">
        <v>1787</v>
      </c>
      <c r="H1326" s="3">
        <v>360</v>
      </c>
      <c r="I1326" s="3">
        <v>96</v>
      </c>
      <c r="J1326" s="3">
        <v>168</v>
      </c>
      <c r="K1326" s="3">
        <v>432</v>
      </c>
      <c r="L1326" s="3">
        <v>120</v>
      </c>
      <c r="M1326" s="3">
        <v>132</v>
      </c>
      <c r="N1326" s="3">
        <v>36</v>
      </c>
      <c r="O1326" s="3">
        <v>120</v>
      </c>
      <c r="P1326" s="3">
        <v>48</v>
      </c>
      <c r="Q1326" s="3">
        <v>36</v>
      </c>
      <c r="R1326" s="3">
        <v>12</v>
      </c>
      <c r="S1326" s="3">
        <v>108</v>
      </c>
      <c r="T1326" s="3">
        <v>252</v>
      </c>
      <c r="U1326" s="3">
        <v>24</v>
      </c>
      <c r="V1326" s="3">
        <v>120</v>
      </c>
      <c r="W1326" s="3">
        <v>84</v>
      </c>
      <c r="X1326" s="3">
        <v>156</v>
      </c>
      <c r="Y1326" s="3">
        <v>228</v>
      </c>
      <c r="Z1326" s="3">
        <v>36</v>
      </c>
      <c r="AA1326" s="3">
        <v>48</v>
      </c>
      <c r="AB1326" s="3">
        <v>156</v>
      </c>
      <c r="AC1326" s="3">
        <v>12</v>
      </c>
      <c r="AD1326" s="3">
        <v>24</v>
      </c>
      <c r="AE1326" s="3">
        <v>204</v>
      </c>
      <c r="AF1326" s="3">
        <v>84</v>
      </c>
      <c r="AG1326" s="3">
        <v>36</v>
      </c>
      <c r="AH1326" s="3">
        <v>48</v>
      </c>
      <c r="AI1326" s="3">
        <v>120</v>
      </c>
      <c r="AJ1326" s="3">
        <v>48</v>
      </c>
      <c r="AK1326" s="3">
        <v>228</v>
      </c>
      <c r="AL1326" s="3">
        <v>108</v>
      </c>
      <c r="AM1326" s="3">
        <v>204</v>
      </c>
      <c r="AN1326" s="3">
        <v>204</v>
      </c>
      <c r="AO1326" s="3">
        <v>240</v>
      </c>
      <c r="AP1326" s="3">
        <v>1170</v>
      </c>
      <c r="AQ1326" s="3">
        <v>348</v>
      </c>
      <c r="AR1326" s="3">
        <v>504</v>
      </c>
      <c r="AS1326" s="3">
        <v>1314</v>
      </c>
      <c r="AT1326" s="3">
        <v>168</v>
      </c>
      <c r="AU1326" s="3">
        <v>132</v>
      </c>
      <c r="AV1326" s="3">
        <v>456</v>
      </c>
      <c r="AW1326" s="3">
        <v>72</v>
      </c>
    </row>
    <row r="1327" spans="1:49">
      <c r="A1327" s="4" t="s">
        <v>40</v>
      </c>
      <c r="B1327" s="4" t="str">
        <f t="shared" si="20"/>
        <v>Hair Care</v>
      </c>
      <c r="C1327" s="4" t="s">
        <v>1786</v>
      </c>
      <c r="D1327" s="4" t="s">
        <v>579</v>
      </c>
      <c r="E1327" s="24" t="s">
        <v>42</v>
      </c>
      <c r="F1327" s="12" t="s">
        <v>332</v>
      </c>
      <c r="G1327" s="4" t="s">
        <v>1787</v>
      </c>
      <c r="H1327" s="3">
        <v>96</v>
      </c>
      <c r="I1327" s="3">
        <v>684</v>
      </c>
      <c r="J1327" s="3">
        <v>960</v>
      </c>
      <c r="K1327" s="3">
        <v>1476</v>
      </c>
      <c r="L1327" s="3">
        <v>192</v>
      </c>
      <c r="M1327" s="3">
        <v>348</v>
      </c>
      <c r="N1327" s="3">
        <v>132</v>
      </c>
      <c r="O1327" s="3">
        <v>360</v>
      </c>
      <c r="P1327" s="3">
        <v>84</v>
      </c>
      <c r="Q1327" s="3">
        <v>108</v>
      </c>
      <c r="R1327" s="3">
        <v>276</v>
      </c>
      <c r="S1327" s="3">
        <v>240</v>
      </c>
      <c r="T1327" s="3">
        <v>900</v>
      </c>
      <c r="U1327" s="3">
        <v>912</v>
      </c>
      <c r="V1327" s="3">
        <v>264</v>
      </c>
      <c r="W1327" s="3">
        <v>144</v>
      </c>
      <c r="X1327" s="3">
        <v>480</v>
      </c>
      <c r="Y1327" s="3">
        <v>0</v>
      </c>
      <c r="Z1327" s="3">
        <v>132</v>
      </c>
      <c r="AA1327" s="3">
        <v>408</v>
      </c>
      <c r="AB1327" s="3">
        <v>528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</row>
    <row r="1328" spans="1:49">
      <c r="A1328" s="4" t="s">
        <v>40</v>
      </c>
      <c r="B1328" s="4" t="str">
        <f t="shared" si="20"/>
        <v>Hair Care</v>
      </c>
      <c r="C1328" s="4" t="s">
        <v>1786</v>
      </c>
      <c r="D1328" s="4" t="s">
        <v>579</v>
      </c>
      <c r="E1328" s="24" t="s">
        <v>42</v>
      </c>
      <c r="F1328" s="12" t="s">
        <v>333</v>
      </c>
      <c r="G1328" s="4" t="s">
        <v>1787</v>
      </c>
      <c r="H1328" s="3">
        <v>3854</v>
      </c>
      <c r="I1328" s="3">
        <v>3574</v>
      </c>
      <c r="J1328" s="3">
        <v>2520</v>
      </c>
      <c r="K1328" s="3">
        <v>1890</v>
      </c>
      <c r="L1328" s="3">
        <v>1236</v>
      </c>
      <c r="M1328" s="3">
        <v>1392</v>
      </c>
      <c r="N1328" s="3">
        <v>2130</v>
      </c>
      <c r="O1328" s="3">
        <v>1134</v>
      </c>
      <c r="P1328" s="3">
        <v>534</v>
      </c>
      <c r="Q1328" s="3">
        <v>1188</v>
      </c>
      <c r="R1328" s="3">
        <v>582</v>
      </c>
      <c r="S1328" s="3">
        <v>2280</v>
      </c>
      <c r="T1328" s="3">
        <v>1794</v>
      </c>
      <c r="U1328" s="3">
        <v>2448</v>
      </c>
      <c r="V1328" s="3">
        <v>756</v>
      </c>
      <c r="W1328" s="3">
        <v>0</v>
      </c>
      <c r="X1328" s="3">
        <v>0</v>
      </c>
      <c r="Y1328" s="3">
        <v>0</v>
      </c>
      <c r="Z1328" s="3">
        <v>300</v>
      </c>
      <c r="AA1328" s="3">
        <v>396</v>
      </c>
      <c r="AB1328" s="3">
        <v>480</v>
      </c>
      <c r="AC1328" s="3">
        <v>204</v>
      </c>
      <c r="AD1328" s="3">
        <v>72</v>
      </c>
      <c r="AE1328" s="3">
        <v>324</v>
      </c>
      <c r="AF1328" s="3">
        <v>120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</row>
    <row r="1329" spans="1:49">
      <c r="A1329" s="4" t="s">
        <v>40</v>
      </c>
      <c r="B1329" s="4" t="str">
        <f t="shared" si="20"/>
        <v>Hair Care</v>
      </c>
      <c r="C1329" s="4" t="s">
        <v>1786</v>
      </c>
      <c r="D1329" s="4" t="s">
        <v>579</v>
      </c>
      <c r="E1329" s="24" t="s">
        <v>42</v>
      </c>
      <c r="F1329" s="12" t="s">
        <v>334</v>
      </c>
      <c r="G1329" s="4" t="s">
        <v>1787</v>
      </c>
      <c r="H1329" s="3">
        <v>114</v>
      </c>
      <c r="I1329" s="3">
        <v>102</v>
      </c>
      <c r="J1329" s="3">
        <v>84</v>
      </c>
      <c r="K1329" s="3">
        <v>54</v>
      </c>
      <c r="L1329" s="3">
        <v>54</v>
      </c>
      <c r="M1329" s="3">
        <v>144</v>
      </c>
      <c r="N1329" s="3">
        <v>18</v>
      </c>
      <c r="O1329" s="3">
        <v>102</v>
      </c>
      <c r="P1329" s="3">
        <v>66</v>
      </c>
      <c r="Q1329" s="3">
        <v>24</v>
      </c>
      <c r="R1329" s="3">
        <v>48</v>
      </c>
      <c r="S1329" s="3">
        <v>120</v>
      </c>
      <c r="T1329" s="3">
        <v>144</v>
      </c>
      <c r="U1329" s="3">
        <v>54</v>
      </c>
      <c r="V1329" s="3">
        <v>60</v>
      </c>
      <c r="W1329" s="3">
        <v>228</v>
      </c>
      <c r="X1329" s="3">
        <v>246</v>
      </c>
      <c r="Y1329" s="3">
        <v>78</v>
      </c>
      <c r="Z1329" s="3">
        <v>72</v>
      </c>
      <c r="AA1329" s="3">
        <v>60</v>
      </c>
      <c r="AB1329" s="3">
        <v>114</v>
      </c>
      <c r="AC1329" s="3">
        <v>18</v>
      </c>
      <c r="AD1329" s="3">
        <v>24</v>
      </c>
      <c r="AE1329" s="3">
        <v>48</v>
      </c>
      <c r="AF1329" s="3">
        <v>12</v>
      </c>
      <c r="AG1329" s="3">
        <v>54</v>
      </c>
      <c r="AH1329" s="3">
        <v>36</v>
      </c>
      <c r="AI1329" s="3">
        <v>36</v>
      </c>
      <c r="AJ1329" s="3">
        <v>36</v>
      </c>
      <c r="AK1329" s="3">
        <v>102</v>
      </c>
      <c r="AL1329" s="3">
        <v>108</v>
      </c>
      <c r="AM1329" s="3">
        <v>0</v>
      </c>
      <c r="AN1329" s="3">
        <v>66</v>
      </c>
      <c r="AO1329" s="3">
        <v>54</v>
      </c>
      <c r="AP1329" s="3">
        <v>84</v>
      </c>
      <c r="AQ1329" s="3">
        <v>54</v>
      </c>
      <c r="AR1329" s="3">
        <v>186</v>
      </c>
      <c r="AS1329" s="3">
        <v>30</v>
      </c>
      <c r="AT1329" s="3">
        <v>78</v>
      </c>
      <c r="AU1329" s="3">
        <v>102</v>
      </c>
      <c r="AV1329" s="3">
        <v>126</v>
      </c>
      <c r="AW1329" s="3">
        <v>84</v>
      </c>
    </row>
    <row r="1330" spans="1:49">
      <c r="A1330" s="4" t="s">
        <v>40</v>
      </c>
      <c r="B1330" s="4" t="str">
        <f t="shared" si="20"/>
        <v>Hair Care</v>
      </c>
      <c r="C1330" s="4" t="s">
        <v>1786</v>
      </c>
      <c r="D1330" s="4" t="s">
        <v>579</v>
      </c>
      <c r="E1330" s="24" t="s">
        <v>42</v>
      </c>
      <c r="F1330" s="12" t="s">
        <v>335</v>
      </c>
      <c r="G1330" s="4" t="s">
        <v>1787</v>
      </c>
      <c r="H1330" s="3">
        <v>156</v>
      </c>
      <c r="I1330" s="3">
        <v>48</v>
      </c>
      <c r="J1330" s="3">
        <v>36</v>
      </c>
      <c r="K1330" s="3">
        <v>24</v>
      </c>
      <c r="L1330" s="3">
        <v>12</v>
      </c>
      <c r="M1330" s="3">
        <v>12</v>
      </c>
      <c r="N1330" s="3">
        <v>0</v>
      </c>
      <c r="O1330" s="3">
        <v>60</v>
      </c>
      <c r="P1330" s="3">
        <v>0</v>
      </c>
      <c r="Q1330" s="3">
        <v>12</v>
      </c>
      <c r="R1330" s="3">
        <v>12</v>
      </c>
      <c r="S1330" s="3">
        <v>24</v>
      </c>
      <c r="T1330" s="3">
        <v>0</v>
      </c>
      <c r="U1330" s="3">
        <v>168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</row>
    <row r="1331" spans="1:49">
      <c r="A1331" s="4" t="s">
        <v>40</v>
      </c>
      <c r="B1331" s="4" t="str">
        <f t="shared" si="20"/>
        <v>Hair Care</v>
      </c>
      <c r="C1331" s="4" t="s">
        <v>1786</v>
      </c>
      <c r="D1331" s="4" t="s">
        <v>579</v>
      </c>
      <c r="E1331" s="24" t="s">
        <v>42</v>
      </c>
      <c r="F1331" s="12" t="s">
        <v>336</v>
      </c>
      <c r="G1331" s="4" t="s">
        <v>1787</v>
      </c>
      <c r="H1331" s="3">
        <v>36</v>
      </c>
      <c r="I1331" s="3">
        <v>12</v>
      </c>
      <c r="J1331" s="3">
        <v>48</v>
      </c>
      <c r="K1331" s="3">
        <v>0</v>
      </c>
      <c r="L1331" s="3">
        <v>24</v>
      </c>
      <c r="M1331" s="3">
        <v>24</v>
      </c>
      <c r="N1331" s="3">
        <v>24</v>
      </c>
      <c r="O1331" s="3">
        <v>12</v>
      </c>
      <c r="P1331" s="3">
        <v>0</v>
      </c>
      <c r="Q1331" s="3">
        <v>24</v>
      </c>
      <c r="R1331" s="3">
        <v>72</v>
      </c>
      <c r="S1331" s="3">
        <v>12</v>
      </c>
      <c r="T1331" s="3">
        <v>12</v>
      </c>
      <c r="U1331" s="3">
        <v>0</v>
      </c>
      <c r="V1331" s="3">
        <v>24</v>
      </c>
      <c r="W1331" s="3">
        <v>60</v>
      </c>
      <c r="X1331" s="3">
        <v>12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</row>
    <row r="1332" spans="1:49">
      <c r="A1332" s="4" t="s">
        <v>40</v>
      </c>
      <c r="B1332" s="4" t="str">
        <f t="shared" si="20"/>
        <v>Hair Care</v>
      </c>
      <c r="C1332" s="4" t="s">
        <v>1786</v>
      </c>
      <c r="D1332" s="4" t="s">
        <v>579</v>
      </c>
      <c r="E1332" s="24" t="s">
        <v>42</v>
      </c>
      <c r="F1332" s="12" t="s">
        <v>337</v>
      </c>
      <c r="G1332" s="4" t="s">
        <v>1787</v>
      </c>
      <c r="H1332" s="3">
        <v>48</v>
      </c>
      <c r="I1332" s="3">
        <v>120</v>
      </c>
      <c r="J1332" s="3">
        <v>24</v>
      </c>
      <c r="K1332" s="3">
        <v>36</v>
      </c>
      <c r="L1332" s="3">
        <v>36</v>
      </c>
      <c r="M1332" s="3">
        <v>48</v>
      </c>
      <c r="N1332" s="3">
        <v>24</v>
      </c>
      <c r="O1332" s="3">
        <v>60</v>
      </c>
      <c r="P1332" s="3">
        <v>12</v>
      </c>
      <c r="Q1332" s="3">
        <v>0</v>
      </c>
      <c r="R1332" s="3">
        <v>36</v>
      </c>
      <c r="S1332" s="3">
        <v>72</v>
      </c>
      <c r="T1332" s="3">
        <v>0</v>
      </c>
      <c r="U1332" s="3">
        <v>12</v>
      </c>
      <c r="V1332" s="3">
        <v>0</v>
      </c>
      <c r="W1332" s="3">
        <v>0</v>
      </c>
      <c r="X1332" s="3">
        <v>90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</row>
    <row r="1333" spans="1:49">
      <c r="A1333" s="4" t="s">
        <v>40</v>
      </c>
      <c r="B1333" s="4" t="str">
        <f t="shared" si="20"/>
        <v>Hair Care</v>
      </c>
      <c r="C1333" s="4" t="s">
        <v>1786</v>
      </c>
      <c r="D1333" s="4" t="s">
        <v>579</v>
      </c>
      <c r="E1333" s="24" t="s">
        <v>42</v>
      </c>
      <c r="F1333" s="12" t="s">
        <v>338</v>
      </c>
      <c r="G1333" s="4" t="s">
        <v>1787</v>
      </c>
      <c r="H1333" s="3">
        <v>48</v>
      </c>
      <c r="I1333" s="3">
        <v>72</v>
      </c>
      <c r="J1333" s="3">
        <v>36</v>
      </c>
      <c r="K1333" s="3">
        <v>0</v>
      </c>
      <c r="L1333" s="3">
        <v>24</v>
      </c>
      <c r="M1333" s="3">
        <v>24</v>
      </c>
      <c r="N1333" s="3">
        <v>12</v>
      </c>
      <c r="O1333" s="3">
        <v>12</v>
      </c>
      <c r="P1333" s="3">
        <v>0</v>
      </c>
      <c r="Q1333" s="3">
        <v>12</v>
      </c>
      <c r="R1333" s="3">
        <v>12</v>
      </c>
      <c r="S1333" s="3">
        <v>72</v>
      </c>
      <c r="T1333" s="3">
        <v>0</v>
      </c>
      <c r="U1333" s="3">
        <v>12</v>
      </c>
      <c r="V1333" s="3">
        <v>12</v>
      </c>
      <c r="W1333" s="3">
        <v>60</v>
      </c>
      <c r="X1333" s="3">
        <v>114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</row>
    <row r="1334" spans="1:49">
      <c r="A1334" s="4" t="s">
        <v>40</v>
      </c>
      <c r="B1334" s="4" t="str">
        <f t="shared" si="20"/>
        <v>Hair Care</v>
      </c>
      <c r="C1334" s="4" t="s">
        <v>1786</v>
      </c>
      <c r="D1334" s="4" t="s">
        <v>579</v>
      </c>
      <c r="E1334" s="24" t="s">
        <v>42</v>
      </c>
      <c r="F1334" s="12" t="s">
        <v>339</v>
      </c>
      <c r="G1334" s="4" t="s">
        <v>1787</v>
      </c>
      <c r="H1334" s="3">
        <v>96</v>
      </c>
      <c r="I1334" s="3">
        <v>96</v>
      </c>
      <c r="J1334" s="3">
        <v>12</v>
      </c>
      <c r="K1334" s="3">
        <v>60</v>
      </c>
      <c r="L1334" s="3">
        <v>12</v>
      </c>
      <c r="M1334" s="3">
        <v>36</v>
      </c>
      <c r="N1334" s="3">
        <v>24</v>
      </c>
      <c r="O1334" s="3">
        <v>84</v>
      </c>
      <c r="P1334" s="3">
        <v>12</v>
      </c>
      <c r="Q1334" s="3">
        <v>0</v>
      </c>
      <c r="R1334" s="3">
        <v>0</v>
      </c>
      <c r="S1334" s="3">
        <v>48</v>
      </c>
      <c r="T1334" s="3">
        <v>12</v>
      </c>
      <c r="U1334" s="3">
        <v>36</v>
      </c>
      <c r="V1334" s="3">
        <v>24</v>
      </c>
      <c r="W1334" s="3">
        <v>72</v>
      </c>
      <c r="X1334" s="3">
        <v>36</v>
      </c>
      <c r="Y1334" s="3">
        <v>24</v>
      </c>
      <c r="Z1334" s="3">
        <v>24</v>
      </c>
      <c r="AA1334" s="3">
        <v>12</v>
      </c>
      <c r="AB1334" s="3">
        <v>24</v>
      </c>
      <c r="AC1334" s="3">
        <v>0</v>
      </c>
      <c r="AD1334" s="3">
        <v>0</v>
      </c>
      <c r="AE1334" s="3">
        <v>12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24</v>
      </c>
      <c r="AL1334" s="3">
        <v>48</v>
      </c>
      <c r="AM1334" s="3">
        <v>0</v>
      </c>
      <c r="AN1334" s="3">
        <v>0</v>
      </c>
      <c r="AO1334" s="3">
        <v>24</v>
      </c>
      <c r="AP1334" s="3">
        <v>12</v>
      </c>
      <c r="AQ1334" s="3">
        <v>36</v>
      </c>
      <c r="AR1334" s="3">
        <v>24</v>
      </c>
      <c r="AS1334" s="3">
        <v>0</v>
      </c>
      <c r="AT1334" s="3">
        <v>12</v>
      </c>
      <c r="AU1334" s="3">
        <v>0</v>
      </c>
      <c r="AV1334" s="3">
        <v>0</v>
      </c>
      <c r="AW1334" s="3">
        <v>12</v>
      </c>
    </row>
    <row r="1335" spans="1:49">
      <c r="A1335" s="4" t="s">
        <v>40</v>
      </c>
      <c r="B1335" s="4" t="str">
        <f t="shared" si="20"/>
        <v>Hair Care</v>
      </c>
      <c r="C1335" s="4" t="s">
        <v>1786</v>
      </c>
      <c r="D1335" s="4" t="s">
        <v>579</v>
      </c>
      <c r="E1335" s="24" t="s">
        <v>42</v>
      </c>
      <c r="F1335" s="12" t="s">
        <v>340</v>
      </c>
      <c r="G1335" s="4" t="s">
        <v>1787</v>
      </c>
      <c r="H1335" s="3">
        <v>72</v>
      </c>
      <c r="I1335" s="3">
        <v>84</v>
      </c>
      <c r="J1335" s="3">
        <v>12</v>
      </c>
      <c r="K1335" s="3">
        <v>48</v>
      </c>
      <c r="L1335" s="3">
        <v>0</v>
      </c>
      <c r="M1335" s="3">
        <v>12</v>
      </c>
      <c r="N1335" s="3">
        <v>0</v>
      </c>
      <c r="O1335" s="3">
        <v>48</v>
      </c>
      <c r="P1335" s="3">
        <v>0</v>
      </c>
      <c r="Q1335" s="3">
        <v>12</v>
      </c>
      <c r="R1335" s="3">
        <v>12</v>
      </c>
      <c r="S1335" s="3">
        <v>84</v>
      </c>
      <c r="T1335" s="3">
        <v>12</v>
      </c>
      <c r="U1335" s="3">
        <v>24</v>
      </c>
      <c r="V1335" s="3">
        <v>24</v>
      </c>
      <c r="W1335" s="3">
        <v>96</v>
      </c>
      <c r="X1335" s="3">
        <v>24</v>
      </c>
      <c r="Y1335" s="3">
        <v>0</v>
      </c>
      <c r="Z1335" s="3">
        <v>0</v>
      </c>
      <c r="AA1335" s="3">
        <v>12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36</v>
      </c>
      <c r="AM1335" s="3">
        <v>0</v>
      </c>
      <c r="AN1335" s="3">
        <v>0</v>
      </c>
      <c r="AO1335" s="3">
        <v>0</v>
      </c>
      <c r="AP1335" s="3">
        <v>12</v>
      </c>
      <c r="AQ1335" s="3">
        <v>36</v>
      </c>
      <c r="AR1335" s="3">
        <v>36</v>
      </c>
      <c r="AS1335" s="3">
        <v>0</v>
      </c>
      <c r="AT1335" s="3">
        <v>0</v>
      </c>
      <c r="AU1335" s="3">
        <v>0</v>
      </c>
      <c r="AV1335" s="3">
        <v>0</v>
      </c>
      <c r="AW1335" s="3">
        <v>12</v>
      </c>
    </row>
    <row r="1336" spans="1:49">
      <c r="A1336" s="4" t="s">
        <v>40</v>
      </c>
      <c r="B1336" s="4" t="str">
        <f t="shared" si="20"/>
        <v>Hair Care</v>
      </c>
      <c r="C1336" s="4" t="s">
        <v>1786</v>
      </c>
      <c r="D1336" s="4" t="s">
        <v>579</v>
      </c>
      <c r="E1336" s="24" t="s">
        <v>42</v>
      </c>
      <c r="F1336" s="12" t="s">
        <v>341</v>
      </c>
      <c r="G1336" s="4" t="s">
        <v>1787</v>
      </c>
      <c r="H1336" s="3">
        <v>72</v>
      </c>
      <c r="I1336" s="3">
        <v>96</v>
      </c>
      <c r="J1336" s="3">
        <v>36</v>
      </c>
      <c r="K1336" s="3">
        <v>12</v>
      </c>
      <c r="L1336" s="3">
        <v>0</v>
      </c>
      <c r="M1336" s="3">
        <v>48</v>
      </c>
      <c r="N1336" s="3">
        <v>36</v>
      </c>
      <c r="O1336" s="3">
        <v>12</v>
      </c>
      <c r="P1336" s="3">
        <v>12</v>
      </c>
      <c r="Q1336" s="3">
        <v>0</v>
      </c>
      <c r="R1336" s="3">
        <v>12</v>
      </c>
      <c r="S1336" s="3">
        <v>72</v>
      </c>
      <c r="T1336" s="3">
        <v>0</v>
      </c>
      <c r="U1336" s="3">
        <v>12</v>
      </c>
      <c r="V1336" s="3">
        <v>24</v>
      </c>
      <c r="W1336" s="3">
        <v>24</v>
      </c>
      <c r="X1336" s="3">
        <v>144</v>
      </c>
      <c r="Y1336" s="3">
        <v>24</v>
      </c>
      <c r="Z1336" s="3">
        <v>42</v>
      </c>
      <c r="AA1336" s="3">
        <v>120</v>
      </c>
      <c r="AB1336" s="3">
        <v>36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12</v>
      </c>
      <c r="AP1336" s="3">
        <v>0</v>
      </c>
      <c r="AQ1336" s="3">
        <v>12</v>
      </c>
      <c r="AR1336" s="3">
        <v>24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</row>
    <row r="1337" spans="1:49">
      <c r="A1337" s="4" t="s">
        <v>40</v>
      </c>
      <c r="B1337" s="4" t="str">
        <f t="shared" si="20"/>
        <v>Hair Care</v>
      </c>
      <c r="C1337" s="4" t="s">
        <v>1786</v>
      </c>
      <c r="D1337" s="4" t="s">
        <v>579</v>
      </c>
      <c r="E1337" s="24" t="s">
        <v>42</v>
      </c>
      <c r="F1337" s="12" t="s">
        <v>342</v>
      </c>
      <c r="G1337" s="4" t="s">
        <v>1787</v>
      </c>
      <c r="H1337" s="3">
        <v>36</v>
      </c>
      <c r="I1337" s="3">
        <v>108</v>
      </c>
      <c r="J1337" s="3">
        <v>36</v>
      </c>
      <c r="K1337" s="3">
        <v>36</v>
      </c>
      <c r="L1337" s="3">
        <v>11</v>
      </c>
      <c r="M1337" s="3">
        <v>24</v>
      </c>
      <c r="N1337" s="3">
        <v>12</v>
      </c>
      <c r="O1337" s="3">
        <v>12</v>
      </c>
      <c r="P1337" s="3">
        <v>0</v>
      </c>
      <c r="Q1337" s="3">
        <v>0</v>
      </c>
      <c r="R1337" s="3">
        <v>12</v>
      </c>
      <c r="S1337" s="3">
        <v>72</v>
      </c>
      <c r="T1337" s="3">
        <v>0</v>
      </c>
      <c r="U1337" s="3">
        <v>0</v>
      </c>
      <c r="V1337" s="3">
        <v>36</v>
      </c>
      <c r="W1337" s="3">
        <v>36</v>
      </c>
      <c r="X1337" s="3">
        <v>144</v>
      </c>
      <c r="Y1337" s="3">
        <v>48</v>
      </c>
      <c r="Z1337" s="3">
        <v>30</v>
      </c>
      <c r="AA1337" s="3">
        <v>120</v>
      </c>
      <c r="AB1337" s="3">
        <v>36</v>
      </c>
      <c r="AC1337" s="3">
        <v>12</v>
      </c>
      <c r="AD1337" s="3">
        <v>0</v>
      </c>
      <c r="AE1337" s="3">
        <v>12</v>
      </c>
      <c r="AF1337" s="3">
        <v>0</v>
      </c>
      <c r="AG1337" s="3">
        <v>60</v>
      </c>
      <c r="AH1337" s="3">
        <v>-60</v>
      </c>
      <c r="AI1337" s="3">
        <v>0</v>
      </c>
      <c r="AJ1337" s="3">
        <v>12</v>
      </c>
      <c r="AK1337" s="3">
        <v>0</v>
      </c>
      <c r="AL1337" s="3">
        <v>36</v>
      </c>
      <c r="AM1337" s="3">
        <v>0</v>
      </c>
      <c r="AN1337" s="3">
        <v>0</v>
      </c>
      <c r="AO1337" s="3">
        <v>12</v>
      </c>
      <c r="AP1337" s="3">
        <v>0</v>
      </c>
      <c r="AQ1337" s="3">
        <v>0</v>
      </c>
      <c r="AR1337" s="3">
        <v>24</v>
      </c>
      <c r="AS1337" s="3">
        <v>0</v>
      </c>
      <c r="AT1337" s="3">
        <v>12</v>
      </c>
      <c r="AU1337" s="3">
        <v>0</v>
      </c>
      <c r="AV1337" s="3">
        <v>0</v>
      </c>
      <c r="AW1337" s="3">
        <v>0</v>
      </c>
    </row>
    <row r="1338" spans="1:49">
      <c r="A1338" s="4" t="s">
        <v>40</v>
      </c>
      <c r="B1338" s="4" t="str">
        <f t="shared" si="20"/>
        <v>Hair Care</v>
      </c>
      <c r="C1338" s="4" t="s">
        <v>1786</v>
      </c>
      <c r="D1338" s="4" t="s">
        <v>579</v>
      </c>
      <c r="E1338" s="24" t="s">
        <v>42</v>
      </c>
      <c r="F1338" s="12" t="s">
        <v>343</v>
      </c>
      <c r="G1338" s="4" t="s">
        <v>1787</v>
      </c>
      <c r="H1338" s="3">
        <v>36</v>
      </c>
      <c r="I1338" s="3">
        <v>60</v>
      </c>
      <c r="J1338" s="3">
        <v>36</v>
      </c>
      <c r="K1338" s="3">
        <v>24</v>
      </c>
      <c r="L1338" s="3">
        <v>12</v>
      </c>
      <c r="M1338" s="3">
        <v>24</v>
      </c>
      <c r="N1338" s="3">
        <v>0</v>
      </c>
      <c r="O1338" s="3">
        <v>48</v>
      </c>
      <c r="P1338" s="3">
        <v>0</v>
      </c>
      <c r="Q1338" s="3">
        <v>12</v>
      </c>
      <c r="R1338" s="3">
        <v>0</v>
      </c>
      <c r="S1338" s="3">
        <v>108</v>
      </c>
      <c r="T1338" s="3">
        <v>12</v>
      </c>
      <c r="U1338" s="3">
        <v>72</v>
      </c>
      <c r="V1338" s="3">
        <v>36</v>
      </c>
      <c r="W1338" s="3">
        <v>36</v>
      </c>
      <c r="X1338" s="3">
        <v>36</v>
      </c>
      <c r="Y1338" s="3">
        <v>24</v>
      </c>
      <c r="Z1338" s="3">
        <v>24</v>
      </c>
      <c r="AA1338" s="3">
        <v>0</v>
      </c>
      <c r="AB1338" s="3">
        <v>0</v>
      </c>
      <c r="AC1338" s="3">
        <v>0</v>
      </c>
      <c r="AD1338" s="3">
        <v>0</v>
      </c>
      <c r="AE1338" s="3">
        <v>12</v>
      </c>
      <c r="AF1338" s="3">
        <v>0</v>
      </c>
      <c r="AG1338" s="3">
        <v>12</v>
      </c>
      <c r="AH1338" s="3">
        <v>0</v>
      </c>
      <c r="AI1338" s="3">
        <v>12</v>
      </c>
      <c r="AJ1338" s="3">
        <v>0</v>
      </c>
      <c r="AK1338" s="3">
        <v>24</v>
      </c>
      <c r="AL1338" s="3">
        <v>48</v>
      </c>
      <c r="AM1338" s="3">
        <v>0</v>
      </c>
      <c r="AN1338" s="3">
        <v>0</v>
      </c>
      <c r="AO1338" s="3">
        <v>12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</row>
    <row r="1339" spans="1:49">
      <c r="A1339" s="4" t="s">
        <v>40</v>
      </c>
      <c r="B1339" s="4" t="str">
        <f t="shared" si="20"/>
        <v>Hair Care</v>
      </c>
      <c r="C1339" s="4" t="s">
        <v>1786</v>
      </c>
      <c r="D1339" s="4" t="s">
        <v>579</v>
      </c>
      <c r="E1339" s="24" t="s">
        <v>42</v>
      </c>
      <c r="F1339" s="12" t="s">
        <v>344</v>
      </c>
      <c r="G1339" s="4" t="s">
        <v>1787</v>
      </c>
      <c r="H1339" s="3">
        <v>24</v>
      </c>
      <c r="I1339" s="3">
        <v>24</v>
      </c>
      <c r="J1339" s="3">
        <v>24</v>
      </c>
      <c r="K1339" s="3">
        <v>48</v>
      </c>
      <c r="L1339" s="3">
        <v>0</v>
      </c>
      <c r="M1339" s="3">
        <v>24</v>
      </c>
      <c r="N1339" s="3">
        <v>12</v>
      </c>
      <c r="O1339" s="3">
        <v>48</v>
      </c>
      <c r="P1339" s="3">
        <v>0</v>
      </c>
      <c r="Q1339" s="3">
        <v>0</v>
      </c>
      <c r="R1339" s="3">
        <v>12</v>
      </c>
      <c r="S1339" s="3">
        <v>36</v>
      </c>
      <c r="T1339" s="3">
        <v>0</v>
      </c>
      <c r="U1339" s="3">
        <v>24</v>
      </c>
      <c r="V1339" s="3">
        <v>12</v>
      </c>
      <c r="W1339" s="3">
        <v>60</v>
      </c>
      <c r="X1339" s="3">
        <v>24</v>
      </c>
      <c r="Y1339" s="3">
        <v>0</v>
      </c>
      <c r="Z1339" s="3">
        <v>24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24</v>
      </c>
      <c r="AS1339" s="3">
        <v>0</v>
      </c>
      <c r="AT1339" s="3">
        <v>12</v>
      </c>
      <c r="AU1339" s="3">
        <v>0</v>
      </c>
      <c r="AV1339" s="3">
        <v>0</v>
      </c>
      <c r="AW1339" s="3">
        <v>0</v>
      </c>
    </row>
    <row r="1340" spans="1:49">
      <c r="A1340" s="4" t="s">
        <v>40</v>
      </c>
      <c r="B1340" s="4" t="str">
        <f t="shared" si="20"/>
        <v>Hair Care</v>
      </c>
      <c r="C1340" s="4" t="s">
        <v>1786</v>
      </c>
      <c r="D1340" s="4" t="s">
        <v>579</v>
      </c>
      <c r="E1340" s="24" t="s">
        <v>42</v>
      </c>
      <c r="F1340" s="12" t="s">
        <v>345</v>
      </c>
      <c r="G1340" s="4" t="s">
        <v>1787</v>
      </c>
      <c r="H1340" s="3">
        <v>48</v>
      </c>
      <c r="I1340" s="3">
        <v>96</v>
      </c>
      <c r="J1340" s="3">
        <v>60</v>
      </c>
      <c r="K1340" s="3">
        <v>36</v>
      </c>
      <c r="L1340" s="3">
        <v>36</v>
      </c>
      <c r="M1340" s="3">
        <v>78</v>
      </c>
      <c r="N1340" s="3">
        <v>42</v>
      </c>
      <c r="O1340" s="3">
        <v>72</v>
      </c>
      <c r="P1340" s="3">
        <v>66</v>
      </c>
      <c r="Q1340" s="3">
        <v>36</v>
      </c>
      <c r="R1340" s="3">
        <v>66</v>
      </c>
      <c r="S1340" s="3">
        <v>168</v>
      </c>
      <c r="T1340" s="3">
        <v>132</v>
      </c>
      <c r="U1340" s="3">
        <v>54</v>
      </c>
      <c r="V1340" s="3">
        <v>12</v>
      </c>
      <c r="W1340" s="3">
        <v>162</v>
      </c>
      <c r="X1340" s="3">
        <v>240</v>
      </c>
      <c r="Y1340" s="3">
        <v>54</v>
      </c>
      <c r="Z1340" s="3">
        <v>72</v>
      </c>
      <c r="AA1340" s="3">
        <v>138</v>
      </c>
      <c r="AB1340" s="3">
        <v>48</v>
      </c>
      <c r="AC1340" s="3">
        <v>0</v>
      </c>
      <c r="AD1340" s="3">
        <v>12</v>
      </c>
      <c r="AE1340" s="3">
        <v>48</v>
      </c>
      <c r="AF1340" s="3">
        <v>6</v>
      </c>
      <c r="AG1340" s="3">
        <v>24</v>
      </c>
      <c r="AH1340" s="3">
        <v>72</v>
      </c>
      <c r="AI1340" s="3">
        <v>0</v>
      </c>
      <c r="AJ1340" s="3">
        <v>12</v>
      </c>
      <c r="AK1340" s="3">
        <v>24</v>
      </c>
      <c r="AL1340" s="3">
        <v>78</v>
      </c>
      <c r="AM1340" s="3">
        <v>0</v>
      </c>
      <c r="AN1340" s="3">
        <v>42</v>
      </c>
      <c r="AO1340" s="3">
        <v>66</v>
      </c>
      <c r="AP1340" s="3">
        <v>42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</row>
    <row r="1341" spans="1:49">
      <c r="A1341" s="4" t="s">
        <v>40</v>
      </c>
      <c r="B1341" s="4" t="str">
        <f t="shared" si="20"/>
        <v>Hair Care</v>
      </c>
      <c r="C1341" s="4" t="s">
        <v>1786</v>
      </c>
      <c r="D1341" s="4" t="s">
        <v>579</v>
      </c>
      <c r="E1341" s="24" t="s">
        <v>42</v>
      </c>
      <c r="F1341" s="12" t="s">
        <v>346</v>
      </c>
      <c r="G1341" s="4" t="s">
        <v>1787</v>
      </c>
      <c r="H1341" s="3">
        <v>36</v>
      </c>
      <c r="I1341" s="3">
        <v>24</v>
      </c>
      <c r="J1341" s="3">
        <v>81</v>
      </c>
      <c r="K1341" s="3">
        <v>15</v>
      </c>
      <c r="L1341" s="3">
        <v>24</v>
      </c>
      <c r="M1341" s="3">
        <v>36</v>
      </c>
      <c r="N1341" s="3">
        <v>18</v>
      </c>
      <c r="O1341" s="3">
        <v>42</v>
      </c>
      <c r="P1341" s="3">
        <v>12</v>
      </c>
      <c r="Q1341" s="3">
        <v>6</v>
      </c>
      <c r="R1341" s="3">
        <v>3</v>
      </c>
      <c r="S1341" s="3">
        <v>12</v>
      </c>
      <c r="T1341" s="3">
        <v>9</v>
      </c>
      <c r="U1341" s="3">
        <v>135</v>
      </c>
      <c r="V1341" s="3">
        <v>33</v>
      </c>
      <c r="W1341" s="3">
        <v>54</v>
      </c>
      <c r="X1341" s="3">
        <v>48</v>
      </c>
      <c r="Y1341" s="3">
        <v>6</v>
      </c>
      <c r="Z1341" s="3">
        <v>12</v>
      </c>
      <c r="AA1341" s="3">
        <v>3</v>
      </c>
      <c r="AB1341" s="3">
        <v>45</v>
      </c>
      <c r="AC1341" s="3">
        <v>6</v>
      </c>
      <c r="AD1341" s="3">
        <v>3</v>
      </c>
      <c r="AE1341" s="3">
        <v>9</v>
      </c>
      <c r="AF1341" s="3">
        <v>0</v>
      </c>
      <c r="AG1341" s="3">
        <v>0</v>
      </c>
      <c r="AH1341" s="3">
        <v>9</v>
      </c>
      <c r="AI1341" s="3">
        <v>12</v>
      </c>
      <c r="AJ1341" s="3">
        <v>6</v>
      </c>
      <c r="AK1341" s="3">
        <v>51</v>
      </c>
      <c r="AL1341" s="3">
        <v>60</v>
      </c>
      <c r="AM1341" s="3">
        <v>6</v>
      </c>
      <c r="AN1341" s="3">
        <v>27</v>
      </c>
      <c r="AO1341" s="3">
        <v>9</v>
      </c>
      <c r="AP1341" s="3">
        <v>0</v>
      </c>
      <c r="AQ1341" s="3">
        <v>3</v>
      </c>
      <c r="AR1341" s="3">
        <v>24</v>
      </c>
      <c r="AS1341" s="3">
        <v>0</v>
      </c>
      <c r="AT1341" s="3">
        <v>0</v>
      </c>
      <c r="AU1341" s="3">
        <v>3</v>
      </c>
      <c r="AV1341" s="3">
        <v>0</v>
      </c>
      <c r="AW1341" s="3">
        <v>0</v>
      </c>
    </row>
    <row r="1342" spans="1:49">
      <c r="A1342" s="4" t="s">
        <v>40</v>
      </c>
      <c r="B1342" s="4" t="str">
        <f t="shared" si="20"/>
        <v>Hair Care</v>
      </c>
      <c r="C1342" s="4" t="s">
        <v>1786</v>
      </c>
      <c r="D1342" s="4" t="s">
        <v>579</v>
      </c>
      <c r="E1342" s="24" t="s">
        <v>42</v>
      </c>
      <c r="F1342" s="12" t="s">
        <v>347</v>
      </c>
      <c r="G1342" s="4" t="s">
        <v>1787</v>
      </c>
      <c r="H1342" s="3">
        <v>105</v>
      </c>
      <c r="I1342" s="3">
        <v>93</v>
      </c>
      <c r="J1342" s="3">
        <v>153</v>
      </c>
      <c r="K1342" s="3">
        <v>57</v>
      </c>
      <c r="L1342" s="3">
        <v>45</v>
      </c>
      <c r="M1342" s="3">
        <v>42</v>
      </c>
      <c r="N1342" s="3">
        <v>30</v>
      </c>
      <c r="O1342" s="3">
        <v>24</v>
      </c>
      <c r="P1342" s="3">
        <v>69</v>
      </c>
      <c r="Q1342" s="3">
        <v>33</v>
      </c>
      <c r="R1342" s="3">
        <v>51</v>
      </c>
      <c r="S1342" s="3">
        <v>30</v>
      </c>
      <c r="T1342" s="3">
        <v>48</v>
      </c>
      <c r="U1342" s="3">
        <v>51</v>
      </c>
      <c r="V1342" s="3">
        <v>12</v>
      </c>
      <c r="W1342" s="3">
        <v>81</v>
      </c>
      <c r="X1342" s="3">
        <v>93</v>
      </c>
      <c r="Y1342" s="3">
        <v>12</v>
      </c>
      <c r="Z1342" s="3">
        <v>0</v>
      </c>
      <c r="AA1342" s="3">
        <v>30</v>
      </c>
      <c r="AB1342" s="3">
        <v>51</v>
      </c>
      <c r="AC1342" s="3">
        <v>24</v>
      </c>
      <c r="AD1342" s="3">
        <v>30</v>
      </c>
      <c r="AE1342" s="3">
        <v>27</v>
      </c>
      <c r="AF1342" s="3">
        <v>66</v>
      </c>
      <c r="AG1342" s="3">
        <v>0</v>
      </c>
      <c r="AH1342" s="3">
        <v>0</v>
      </c>
      <c r="AI1342" s="3">
        <v>12</v>
      </c>
      <c r="AJ1342" s="3">
        <v>18</v>
      </c>
      <c r="AK1342" s="3">
        <v>93</v>
      </c>
      <c r="AL1342" s="3">
        <v>24</v>
      </c>
      <c r="AM1342" s="3">
        <v>0</v>
      </c>
      <c r="AN1342" s="3">
        <v>51</v>
      </c>
      <c r="AO1342" s="3">
        <v>42</v>
      </c>
      <c r="AP1342" s="3">
        <v>0</v>
      </c>
      <c r="AQ1342" s="3">
        <v>9</v>
      </c>
      <c r="AR1342" s="3">
        <v>75</v>
      </c>
      <c r="AS1342" s="3">
        <v>51</v>
      </c>
      <c r="AT1342" s="3">
        <v>27</v>
      </c>
      <c r="AU1342" s="3">
        <v>9</v>
      </c>
      <c r="AV1342" s="3">
        <v>78</v>
      </c>
      <c r="AW1342" s="3">
        <v>6</v>
      </c>
    </row>
    <row r="1343" spans="1:49">
      <c r="A1343" s="4" t="s">
        <v>40</v>
      </c>
      <c r="B1343" s="4" t="str">
        <f t="shared" si="20"/>
        <v>Hair Care</v>
      </c>
      <c r="C1343" s="4" t="s">
        <v>1786</v>
      </c>
      <c r="D1343" s="4" t="s">
        <v>579</v>
      </c>
      <c r="E1343" s="24" t="s">
        <v>42</v>
      </c>
      <c r="F1343" s="12" t="s">
        <v>348</v>
      </c>
      <c r="G1343" s="4" t="s">
        <v>1787</v>
      </c>
      <c r="H1343" s="3">
        <v>960</v>
      </c>
      <c r="I1343" s="3">
        <v>2240</v>
      </c>
      <c r="J1343" s="3">
        <v>0</v>
      </c>
      <c r="K1343" s="3">
        <v>708</v>
      </c>
      <c r="L1343" s="3">
        <v>600</v>
      </c>
      <c r="M1343" s="3">
        <v>324</v>
      </c>
      <c r="N1343" s="3">
        <v>156</v>
      </c>
      <c r="O1343" s="3">
        <v>144</v>
      </c>
      <c r="P1343" s="3">
        <v>276</v>
      </c>
      <c r="Q1343" s="3">
        <v>0</v>
      </c>
      <c r="R1343" s="3">
        <v>0</v>
      </c>
      <c r="S1343" s="3">
        <v>12</v>
      </c>
      <c r="T1343" s="3">
        <v>1320</v>
      </c>
      <c r="U1343" s="3">
        <v>216</v>
      </c>
      <c r="V1343" s="3">
        <v>864</v>
      </c>
      <c r="W1343" s="3">
        <v>0</v>
      </c>
      <c r="X1343" s="3">
        <v>0</v>
      </c>
      <c r="Y1343" s="3">
        <v>0</v>
      </c>
      <c r="Z1343" s="3">
        <v>12</v>
      </c>
      <c r="AA1343" s="3">
        <v>36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24</v>
      </c>
      <c r="AH1343" s="3">
        <v>12</v>
      </c>
      <c r="AI1343" s="3">
        <v>0</v>
      </c>
      <c r="AJ1343" s="3">
        <v>0</v>
      </c>
      <c r="AK1343" s="3">
        <v>96</v>
      </c>
      <c r="AL1343" s="3">
        <v>0</v>
      </c>
      <c r="AM1343" s="3">
        <v>60</v>
      </c>
      <c r="AN1343" s="3">
        <v>120</v>
      </c>
      <c r="AO1343" s="3">
        <v>12</v>
      </c>
      <c r="AP1343" s="3">
        <v>0</v>
      </c>
      <c r="AQ1343" s="3">
        <v>48</v>
      </c>
      <c r="AR1343" s="3">
        <v>24</v>
      </c>
      <c r="AS1343" s="3">
        <v>0</v>
      </c>
      <c r="AT1343" s="3">
        <v>60</v>
      </c>
      <c r="AU1343" s="3">
        <v>0</v>
      </c>
      <c r="AV1343" s="3">
        <v>60</v>
      </c>
      <c r="AW1343" s="3">
        <v>24</v>
      </c>
    </row>
    <row r="1344" spans="1:49">
      <c r="A1344" s="4" t="s">
        <v>40</v>
      </c>
      <c r="B1344" s="4" t="str">
        <f t="shared" si="20"/>
        <v>Hair Care</v>
      </c>
      <c r="C1344" s="4" t="s">
        <v>1786</v>
      </c>
      <c r="D1344" s="4" t="s">
        <v>579</v>
      </c>
      <c r="E1344" s="24" t="s">
        <v>42</v>
      </c>
      <c r="F1344" s="12" t="s">
        <v>349</v>
      </c>
      <c r="G1344" s="4" t="s">
        <v>1787</v>
      </c>
      <c r="H1344" s="3">
        <v>1716</v>
      </c>
      <c r="I1344" s="3">
        <v>2208</v>
      </c>
      <c r="J1344" s="3">
        <v>798</v>
      </c>
      <c r="K1344" s="3">
        <v>786</v>
      </c>
      <c r="L1344" s="3">
        <v>156</v>
      </c>
      <c r="M1344" s="3">
        <v>630</v>
      </c>
      <c r="N1344" s="3">
        <v>1734</v>
      </c>
      <c r="O1344" s="3">
        <v>360</v>
      </c>
      <c r="P1344" s="3">
        <v>516</v>
      </c>
      <c r="Q1344" s="3">
        <v>1110</v>
      </c>
      <c r="R1344" s="3">
        <v>216</v>
      </c>
      <c r="S1344" s="3">
        <v>1296</v>
      </c>
      <c r="T1344" s="3">
        <v>1380</v>
      </c>
      <c r="U1344" s="3">
        <v>954</v>
      </c>
      <c r="V1344" s="3">
        <v>1164</v>
      </c>
      <c r="W1344" s="3">
        <v>1158</v>
      </c>
      <c r="X1344" s="3">
        <v>1878</v>
      </c>
      <c r="Y1344" s="3">
        <v>564</v>
      </c>
      <c r="Z1344" s="3">
        <v>444</v>
      </c>
      <c r="AA1344" s="3">
        <v>48</v>
      </c>
      <c r="AB1344" s="3">
        <v>60</v>
      </c>
      <c r="AC1344" s="3">
        <v>12</v>
      </c>
      <c r="AD1344" s="3">
        <v>2454</v>
      </c>
      <c r="AE1344" s="3">
        <v>2528</v>
      </c>
      <c r="AF1344" s="3">
        <v>132</v>
      </c>
      <c r="AG1344" s="3">
        <v>0</v>
      </c>
      <c r="AH1344" s="3">
        <v>96</v>
      </c>
      <c r="AI1344" s="3">
        <v>12</v>
      </c>
      <c r="AJ1344" s="3">
        <v>108</v>
      </c>
      <c r="AK1344" s="3">
        <v>156</v>
      </c>
      <c r="AL1344" s="3">
        <v>180</v>
      </c>
      <c r="AM1344" s="3">
        <v>36</v>
      </c>
      <c r="AN1344" s="3">
        <v>36</v>
      </c>
      <c r="AO1344" s="3">
        <v>336</v>
      </c>
      <c r="AP1344" s="3">
        <v>156</v>
      </c>
      <c r="AQ1344" s="3">
        <v>336</v>
      </c>
      <c r="AR1344" s="3">
        <v>960</v>
      </c>
      <c r="AS1344" s="3">
        <v>204</v>
      </c>
      <c r="AT1344" s="3">
        <v>2088</v>
      </c>
      <c r="AU1344" s="3">
        <v>1284</v>
      </c>
      <c r="AV1344" s="3">
        <v>2160</v>
      </c>
      <c r="AW1344" s="3">
        <v>2838</v>
      </c>
    </row>
    <row r="1345" spans="1:49">
      <c r="A1345" s="4" t="s">
        <v>40</v>
      </c>
      <c r="B1345" s="4" t="str">
        <f t="shared" si="20"/>
        <v>Hair Care</v>
      </c>
      <c r="C1345" s="4" t="s">
        <v>1786</v>
      </c>
      <c r="D1345" s="4" t="s">
        <v>579</v>
      </c>
      <c r="E1345" s="24" t="s">
        <v>42</v>
      </c>
      <c r="F1345" s="12" t="s">
        <v>350</v>
      </c>
      <c r="G1345" s="4" t="s">
        <v>1787</v>
      </c>
      <c r="H1345" s="3">
        <v>1668</v>
      </c>
      <c r="I1345" s="3">
        <v>288</v>
      </c>
      <c r="J1345" s="3">
        <v>522</v>
      </c>
      <c r="K1345" s="3">
        <v>1164</v>
      </c>
      <c r="L1345" s="3">
        <v>252</v>
      </c>
      <c r="M1345" s="3">
        <v>192</v>
      </c>
      <c r="N1345" s="3">
        <v>620</v>
      </c>
      <c r="O1345" s="3">
        <v>8618</v>
      </c>
      <c r="P1345" s="3">
        <v>246</v>
      </c>
      <c r="Q1345" s="3">
        <v>60</v>
      </c>
      <c r="R1345" s="3">
        <v>0</v>
      </c>
      <c r="S1345" s="3">
        <v>0</v>
      </c>
      <c r="T1345" s="3">
        <v>24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728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3">
        <v>0</v>
      </c>
    </row>
    <row r="1346" spans="1:49">
      <c r="A1346" s="4" t="s">
        <v>40</v>
      </c>
      <c r="B1346" s="4" t="str">
        <f t="shared" si="20"/>
        <v>Hair Care</v>
      </c>
      <c r="C1346" s="4" t="s">
        <v>1786</v>
      </c>
      <c r="D1346" s="4" t="s">
        <v>579</v>
      </c>
      <c r="E1346" s="24" t="s">
        <v>42</v>
      </c>
      <c r="F1346" s="12" t="s">
        <v>351</v>
      </c>
      <c r="G1346" s="4" t="s">
        <v>1787</v>
      </c>
      <c r="H1346" s="3">
        <v>3420</v>
      </c>
      <c r="I1346" s="3">
        <v>4748</v>
      </c>
      <c r="J1346" s="3">
        <v>1266</v>
      </c>
      <c r="K1346" s="3">
        <v>1770</v>
      </c>
      <c r="L1346" s="3">
        <v>552</v>
      </c>
      <c r="M1346" s="3">
        <v>906</v>
      </c>
      <c r="N1346" s="3">
        <v>2318</v>
      </c>
      <c r="O1346" s="3">
        <v>1166</v>
      </c>
      <c r="P1346" s="3">
        <v>516</v>
      </c>
      <c r="Q1346" s="3">
        <v>1122</v>
      </c>
      <c r="R1346" s="3">
        <v>240</v>
      </c>
      <c r="S1346" s="3">
        <v>1572</v>
      </c>
      <c r="T1346" s="3">
        <v>1584</v>
      </c>
      <c r="U1346" s="3">
        <v>1350</v>
      </c>
      <c r="V1346" s="3">
        <v>1236</v>
      </c>
      <c r="W1346" s="3">
        <v>1290</v>
      </c>
      <c r="X1346" s="3">
        <v>1734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728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</row>
    <row r="1347" spans="1:49">
      <c r="A1347" s="4" t="s">
        <v>40</v>
      </c>
      <c r="B1347" s="4" t="str">
        <f t="shared" ref="B1347:B1410" si="21">A1347</f>
        <v>Hair Care</v>
      </c>
      <c r="C1347" s="4" t="s">
        <v>1786</v>
      </c>
      <c r="D1347" s="4" t="s">
        <v>579</v>
      </c>
      <c r="E1347" s="24" t="s">
        <v>42</v>
      </c>
      <c r="F1347" s="12" t="s">
        <v>352</v>
      </c>
      <c r="G1347" s="4" t="s">
        <v>1787</v>
      </c>
      <c r="H1347" s="3">
        <v>72</v>
      </c>
      <c r="I1347" s="3">
        <v>72</v>
      </c>
      <c r="J1347" s="3">
        <v>12</v>
      </c>
      <c r="K1347" s="3">
        <v>12</v>
      </c>
      <c r="L1347" s="3">
        <v>0</v>
      </c>
      <c r="M1347" s="3">
        <v>48</v>
      </c>
      <c r="N1347" s="3">
        <v>12</v>
      </c>
      <c r="O1347" s="3">
        <v>72</v>
      </c>
      <c r="P1347" s="3">
        <v>36</v>
      </c>
      <c r="Q1347" s="3">
        <v>12</v>
      </c>
      <c r="R1347" s="3">
        <v>0</v>
      </c>
      <c r="S1347" s="3">
        <v>24</v>
      </c>
      <c r="T1347" s="3">
        <v>60</v>
      </c>
      <c r="U1347" s="3">
        <v>108</v>
      </c>
      <c r="V1347" s="3">
        <v>0</v>
      </c>
      <c r="W1347" s="3">
        <v>48</v>
      </c>
      <c r="X1347" s="3">
        <v>96</v>
      </c>
      <c r="Y1347" s="3">
        <v>0</v>
      </c>
      <c r="Z1347" s="3">
        <v>36</v>
      </c>
      <c r="AA1347" s="3">
        <v>12</v>
      </c>
      <c r="AB1347" s="3">
        <v>60</v>
      </c>
      <c r="AC1347" s="3">
        <v>12</v>
      </c>
      <c r="AD1347" s="3">
        <v>60</v>
      </c>
      <c r="AE1347" s="3">
        <v>36</v>
      </c>
      <c r="AF1347" s="3">
        <v>84</v>
      </c>
      <c r="AG1347" s="3">
        <v>24</v>
      </c>
      <c r="AH1347" s="3">
        <v>24</v>
      </c>
      <c r="AI1347" s="3">
        <v>0</v>
      </c>
      <c r="AJ1347" s="3">
        <v>0</v>
      </c>
      <c r="AK1347" s="3">
        <v>0</v>
      </c>
      <c r="AL1347" s="3">
        <v>48</v>
      </c>
      <c r="AM1347" s="3">
        <v>0</v>
      </c>
      <c r="AN1347" s="3">
        <v>60</v>
      </c>
      <c r="AO1347" s="3">
        <v>72</v>
      </c>
      <c r="AP1347" s="3">
        <v>0</v>
      </c>
      <c r="AQ1347" s="3">
        <v>12</v>
      </c>
      <c r="AR1347" s="3">
        <v>108</v>
      </c>
      <c r="AS1347" s="3">
        <v>0</v>
      </c>
      <c r="AT1347" s="3">
        <v>0</v>
      </c>
      <c r="AU1347" s="3">
        <v>0</v>
      </c>
      <c r="AV1347" s="3">
        <v>12</v>
      </c>
      <c r="AW1347" s="3">
        <v>36</v>
      </c>
    </row>
    <row r="1348" spans="1:49">
      <c r="A1348" s="4" t="s">
        <v>40</v>
      </c>
      <c r="B1348" s="4" t="str">
        <f t="shared" si="21"/>
        <v>Hair Care</v>
      </c>
      <c r="C1348" s="4" t="s">
        <v>1786</v>
      </c>
      <c r="D1348" s="4" t="s">
        <v>579</v>
      </c>
      <c r="E1348" s="24" t="s">
        <v>42</v>
      </c>
      <c r="F1348" s="12" t="s">
        <v>353</v>
      </c>
      <c r="G1348" s="4" t="s">
        <v>1787</v>
      </c>
      <c r="H1348" s="3">
        <v>216</v>
      </c>
      <c r="I1348" s="3">
        <v>36</v>
      </c>
      <c r="J1348" s="3">
        <v>96</v>
      </c>
      <c r="K1348" s="3">
        <v>180</v>
      </c>
      <c r="L1348" s="3">
        <v>60</v>
      </c>
      <c r="M1348" s="3">
        <v>84</v>
      </c>
      <c r="N1348" s="3">
        <v>60</v>
      </c>
      <c r="O1348" s="3">
        <v>36</v>
      </c>
      <c r="P1348" s="3">
        <v>0</v>
      </c>
      <c r="Q1348" s="3">
        <v>72</v>
      </c>
      <c r="R1348" s="3">
        <v>0</v>
      </c>
      <c r="S1348" s="3">
        <v>84</v>
      </c>
      <c r="T1348" s="3">
        <v>12</v>
      </c>
      <c r="U1348" s="3">
        <v>72</v>
      </c>
      <c r="V1348" s="3">
        <v>48</v>
      </c>
      <c r="W1348" s="3">
        <v>96</v>
      </c>
      <c r="X1348" s="3">
        <v>120</v>
      </c>
      <c r="Y1348" s="3">
        <v>24</v>
      </c>
      <c r="Z1348" s="3">
        <v>36</v>
      </c>
      <c r="AA1348" s="3">
        <v>36</v>
      </c>
      <c r="AB1348" s="3">
        <v>180</v>
      </c>
      <c r="AC1348" s="3">
        <v>0</v>
      </c>
      <c r="AD1348" s="3">
        <v>2442</v>
      </c>
      <c r="AE1348" s="3">
        <v>2552</v>
      </c>
      <c r="AF1348" s="3">
        <v>288</v>
      </c>
      <c r="AG1348" s="3">
        <v>0</v>
      </c>
      <c r="AH1348" s="3">
        <v>0</v>
      </c>
      <c r="AI1348" s="3">
        <v>72</v>
      </c>
      <c r="AJ1348" s="3">
        <v>108</v>
      </c>
      <c r="AK1348" s="3">
        <v>144</v>
      </c>
      <c r="AL1348" s="3">
        <v>132</v>
      </c>
      <c r="AM1348" s="3">
        <v>300</v>
      </c>
      <c r="AN1348" s="3">
        <v>36</v>
      </c>
      <c r="AO1348" s="3">
        <v>264</v>
      </c>
      <c r="AP1348" s="3">
        <v>36</v>
      </c>
      <c r="AQ1348" s="3">
        <v>252</v>
      </c>
      <c r="AR1348" s="3">
        <v>204</v>
      </c>
      <c r="AS1348" s="3">
        <v>84</v>
      </c>
      <c r="AT1348" s="3">
        <v>108</v>
      </c>
      <c r="AU1348" s="3">
        <v>612</v>
      </c>
      <c r="AV1348" s="3">
        <v>600</v>
      </c>
      <c r="AW1348" s="3">
        <v>48</v>
      </c>
    </row>
    <row r="1349" spans="1:49">
      <c r="A1349" s="4" t="s">
        <v>40</v>
      </c>
      <c r="B1349" s="4" t="str">
        <f t="shared" si="21"/>
        <v>Hair Care</v>
      </c>
      <c r="C1349" s="4" t="s">
        <v>1786</v>
      </c>
      <c r="D1349" s="4" t="s">
        <v>579</v>
      </c>
      <c r="E1349" s="24" t="s">
        <v>42</v>
      </c>
      <c r="F1349" s="12" t="s">
        <v>354</v>
      </c>
      <c r="G1349" s="4" t="s">
        <v>1787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648</v>
      </c>
      <c r="Z1349" s="3">
        <v>72</v>
      </c>
      <c r="AA1349" s="3">
        <v>540</v>
      </c>
      <c r="AB1349" s="3">
        <v>456</v>
      </c>
      <c r="AC1349" s="3">
        <v>24</v>
      </c>
      <c r="AD1349" s="3">
        <v>60</v>
      </c>
      <c r="AE1349" s="3">
        <v>180</v>
      </c>
      <c r="AF1349" s="3">
        <v>300</v>
      </c>
      <c r="AG1349" s="3">
        <v>96</v>
      </c>
      <c r="AH1349" s="3">
        <v>312</v>
      </c>
      <c r="AI1349" s="3">
        <v>72</v>
      </c>
      <c r="AJ1349" s="3">
        <v>156</v>
      </c>
      <c r="AK1349" s="3">
        <v>168</v>
      </c>
      <c r="AL1349" s="3">
        <v>204</v>
      </c>
      <c r="AM1349" s="3">
        <v>120</v>
      </c>
      <c r="AN1349" s="3">
        <v>228</v>
      </c>
      <c r="AO1349" s="3">
        <v>204</v>
      </c>
      <c r="AP1349" s="3">
        <v>264</v>
      </c>
      <c r="AQ1349" s="3">
        <v>348</v>
      </c>
      <c r="AR1349" s="3">
        <v>132</v>
      </c>
      <c r="AS1349" s="3">
        <v>180</v>
      </c>
      <c r="AT1349" s="3">
        <v>264</v>
      </c>
      <c r="AU1349" s="3">
        <v>612</v>
      </c>
      <c r="AV1349" s="3">
        <v>768</v>
      </c>
      <c r="AW1349" s="3">
        <v>36</v>
      </c>
    </row>
    <row r="1350" spans="1:49">
      <c r="A1350" s="4" t="s">
        <v>40</v>
      </c>
      <c r="B1350" s="4" t="str">
        <f t="shared" si="21"/>
        <v>Hair Care</v>
      </c>
      <c r="C1350" s="4" t="s">
        <v>1786</v>
      </c>
      <c r="D1350" s="4" t="s">
        <v>579</v>
      </c>
      <c r="E1350" s="24" t="s">
        <v>42</v>
      </c>
      <c r="F1350" s="12" t="s">
        <v>355</v>
      </c>
      <c r="G1350" s="4" t="s">
        <v>1787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156</v>
      </c>
      <c r="Z1350" s="3">
        <v>0</v>
      </c>
      <c r="AA1350" s="3">
        <v>516</v>
      </c>
      <c r="AB1350" s="3">
        <v>144</v>
      </c>
      <c r="AC1350" s="3">
        <v>144</v>
      </c>
      <c r="AD1350" s="3">
        <v>0</v>
      </c>
      <c r="AE1350" s="3">
        <v>24</v>
      </c>
      <c r="AF1350" s="3">
        <v>96</v>
      </c>
      <c r="AG1350" s="3">
        <v>12</v>
      </c>
      <c r="AH1350" s="3">
        <v>0</v>
      </c>
      <c r="AI1350" s="3">
        <v>12</v>
      </c>
      <c r="AJ1350" s="3">
        <v>690</v>
      </c>
      <c r="AK1350" s="3">
        <v>12</v>
      </c>
      <c r="AL1350" s="3">
        <v>0</v>
      </c>
      <c r="AM1350" s="3">
        <v>60</v>
      </c>
      <c r="AN1350" s="3">
        <v>816</v>
      </c>
      <c r="AO1350" s="3">
        <v>1260</v>
      </c>
      <c r="AP1350" s="3">
        <v>36</v>
      </c>
      <c r="AQ1350" s="3">
        <v>72</v>
      </c>
      <c r="AR1350" s="3">
        <v>600</v>
      </c>
      <c r="AS1350" s="3">
        <v>4134</v>
      </c>
      <c r="AT1350" s="3">
        <v>36</v>
      </c>
      <c r="AU1350" s="3">
        <v>24</v>
      </c>
      <c r="AV1350" s="3">
        <v>1584</v>
      </c>
      <c r="AW1350" s="3">
        <v>180</v>
      </c>
    </row>
    <row r="1351" spans="1:49">
      <c r="A1351" s="4" t="s">
        <v>40</v>
      </c>
      <c r="B1351" s="4" t="str">
        <f t="shared" si="21"/>
        <v>Hair Care</v>
      </c>
      <c r="C1351" s="4" t="s">
        <v>1786</v>
      </c>
      <c r="D1351" s="4" t="s">
        <v>579</v>
      </c>
      <c r="E1351" s="24" t="s">
        <v>42</v>
      </c>
      <c r="F1351" s="12" t="s">
        <v>356</v>
      </c>
      <c r="G1351" s="4" t="s">
        <v>1787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396</v>
      </c>
      <c r="Z1351" s="3">
        <v>36</v>
      </c>
      <c r="AA1351" s="3">
        <v>0</v>
      </c>
      <c r="AB1351" s="3">
        <v>240</v>
      </c>
      <c r="AC1351" s="3">
        <v>36</v>
      </c>
      <c r="AD1351" s="3">
        <v>0</v>
      </c>
      <c r="AE1351" s="3">
        <v>48</v>
      </c>
      <c r="AF1351" s="3">
        <v>48</v>
      </c>
      <c r="AG1351" s="3">
        <v>24</v>
      </c>
      <c r="AH1351" s="3">
        <v>60</v>
      </c>
      <c r="AI1351" s="3">
        <v>72</v>
      </c>
      <c r="AJ1351" s="3">
        <v>36</v>
      </c>
      <c r="AK1351" s="3">
        <v>60</v>
      </c>
      <c r="AL1351" s="3">
        <v>48</v>
      </c>
      <c r="AM1351" s="3">
        <v>24</v>
      </c>
      <c r="AN1351" s="3">
        <v>24</v>
      </c>
      <c r="AO1351" s="3">
        <v>12</v>
      </c>
      <c r="AP1351" s="3">
        <v>12</v>
      </c>
      <c r="AQ1351" s="3">
        <v>96</v>
      </c>
      <c r="AR1351" s="3">
        <v>120</v>
      </c>
      <c r="AS1351" s="3">
        <v>12</v>
      </c>
      <c r="AT1351" s="3">
        <v>0</v>
      </c>
      <c r="AU1351" s="3">
        <v>12</v>
      </c>
      <c r="AV1351" s="3">
        <v>84</v>
      </c>
      <c r="AW1351" s="3">
        <v>24</v>
      </c>
    </row>
    <row r="1352" spans="1:49">
      <c r="A1352" s="4" t="s">
        <v>40</v>
      </c>
      <c r="B1352" s="4" t="str">
        <f t="shared" si="21"/>
        <v>Hair Care</v>
      </c>
      <c r="C1352" s="4" t="s">
        <v>1786</v>
      </c>
      <c r="D1352" s="4" t="s">
        <v>579</v>
      </c>
      <c r="E1352" s="24" t="s">
        <v>42</v>
      </c>
      <c r="F1352" s="12" t="s">
        <v>357</v>
      </c>
      <c r="G1352" s="4" t="s">
        <v>1787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276</v>
      </c>
      <c r="AW1352" s="3">
        <v>60</v>
      </c>
    </row>
    <row r="1353" spans="1:49">
      <c r="A1353" s="4" t="s">
        <v>40</v>
      </c>
      <c r="B1353" s="4" t="str">
        <f t="shared" si="21"/>
        <v>Hair Care</v>
      </c>
      <c r="C1353" s="4" t="s">
        <v>1786</v>
      </c>
      <c r="D1353" s="4" t="s">
        <v>579</v>
      </c>
      <c r="E1353" s="24" t="s">
        <v>42</v>
      </c>
      <c r="F1353" s="12" t="s">
        <v>358</v>
      </c>
      <c r="G1353" s="4" t="s">
        <v>1787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276</v>
      </c>
      <c r="AW1353" s="3">
        <v>72</v>
      </c>
    </row>
    <row r="1354" spans="1:49">
      <c r="A1354" s="4" t="s">
        <v>40</v>
      </c>
      <c r="B1354" s="4" t="str">
        <f t="shared" si="21"/>
        <v>Hair Care</v>
      </c>
      <c r="C1354" s="4" t="s">
        <v>1786</v>
      </c>
      <c r="D1354" s="4" t="s">
        <v>579</v>
      </c>
      <c r="E1354" s="24" t="s">
        <v>42</v>
      </c>
      <c r="F1354" s="12" t="s">
        <v>359</v>
      </c>
      <c r="G1354" s="4" t="s">
        <v>1787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330</v>
      </c>
      <c r="AW1354" s="3">
        <v>72</v>
      </c>
    </row>
    <row r="1355" spans="1:49">
      <c r="A1355" s="4" t="s">
        <v>40</v>
      </c>
      <c r="B1355" s="4" t="str">
        <f t="shared" si="21"/>
        <v>Hair Care</v>
      </c>
      <c r="C1355" s="4" t="s">
        <v>1786</v>
      </c>
      <c r="D1355" s="4" t="s">
        <v>579</v>
      </c>
      <c r="E1355" s="24" t="s">
        <v>42</v>
      </c>
      <c r="F1355" s="12" t="s">
        <v>360</v>
      </c>
      <c r="G1355" s="4" t="s">
        <v>1787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648</v>
      </c>
      <c r="Z1355" s="3">
        <v>96</v>
      </c>
      <c r="AA1355" s="3">
        <v>456</v>
      </c>
      <c r="AB1355" s="3">
        <v>408</v>
      </c>
      <c r="AC1355" s="3">
        <v>264</v>
      </c>
      <c r="AD1355" s="3">
        <v>0</v>
      </c>
      <c r="AE1355" s="3">
        <v>168</v>
      </c>
      <c r="AF1355" s="3">
        <v>216</v>
      </c>
      <c r="AG1355" s="3">
        <v>60</v>
      </c>
      <c r="AH1355" s="3">
        <v>180</v>
      </c>
      <c r="AI1355" s="3">
        <v>216</v>
      </c>
      <c r="AJ1355" s="3">
        <v>762</v>
      </c>
      <c r="AK1355" s="3">
        <v>132</v>
      </c>
      <c r="AL1355" s="3">
        <v>84</v>
      </c>
      <c r="AM1355" s="3">
        <v>180</v>
      </c>
      <c r="AN1355" s="3">
        <v>984</v>
      </c>
      <c r="AO1355" s="3">
        <v>1476</v>
      </c>
      <c r="AP1355" s="3">
        <v>276</v>
      </c>
      <c r="AQ1355" s="3">
        <v>327</v>
      </c>
      <c r="AR1355" s="3">
        <v>732</v>
      </c>
      <c r="AS1355" s="3">
        <v>4266</v>
      </c>
      <c r="AT1355" s="3">
        <v>336</v>
      </c>
      <c r="AU1355" s="3">
        <v>660</v>
      </c>
      <c r="AV1355" s="3">
        <v>4308</v>
      </c>
      <c r="AW1355" s="3">
        <v>540</v>
      </c>
    </row>
    <row r="1356" spans="1:49">
      <c r="A1356" s="4" t="s">
        <v>40</v>
      </c>
      <c r="B1356" s="4" t="str">
        <f t="shared" si="21"/>
        <v>Hair Care</v>
      </c>
      <c r="C1356" s="4" t="s">
        <v>1786</v>
      </c>
      <c r="D1356" s="4" t="s">
        <v>579</v>
      </c>
      <c r="E1356" s="24" t="s">
        <v>42</v>
      </c>
      <c r="F1356" s="12" t="s">
        <v>361</v>
      </c>
      <c r="G1356" s="4" t="s">
        <v>1787</v>
      </c>
      <c r="H1356" s="3">
        <v>276</v>
      </c>
      <c r="I1356" s="3">
        <v>144</v>
      </c>
      <c r="J1356" s="3">
        <v>108</v>
      </c>
      <c r="K1356" s="3">
        <v>228</v>
      </c>
      <c r="L1356" s="3">
        <v>168</v>
      </c>
      <c r="M1356" s="3">
        <v>72</v>
      </c>
      <c r="N1356" s="3">
        <v>156</v>
      </c>
      <c r="O1356" s="3">
        <v>144</v>
      </c>
      <c r="P1356" s="3">
        <v>108</v>
      </c>
      <c r="Q1356" s="3">
        <v>60</v>
      </c>
      <c r="R1356" s="3">
        <v>36</v>
      </c>
      <c r="S1356" s="3">
        <v>48</v>
      </c>
      <c r="T1356" s="3">
        <v>144</v>
      </c>
      <c r="U1356" s="3">
        <v>72</v>
      </c>
      <c r="V1356" s="3">
        <v>72</v>
      </c>
      <c r="W1356" s="3">
        <v>120</v>
      </c>
      <c r="X1356" s="3">
        <v>60</v>
      </c>
      <c r="Y1356" s="3">
        <v>84</v>
      </c>
      <c r="Z1356" s="3">
        <v>36</v>
      </c>
      <c r="AA1356" s="3">
        <v>0</v>
      </c>
      <c r="AB1356" s="3">
        <v>0</v>
      </c>
      <c r="AC1356" s="3">
        <v>0</v>
      </c>
      <c r="AD1356" s="3">
        <v>108</v>
      </c>
      <c r="AE1356" s="3">
        <v>132</v>
      </c>
      <c r="AF1356" s="3">
        <v>120</v>
      </c>
      <c r="AG1356" s="3">
        <v>36</v>
      </c>
      <c r="AH1356" s="3">
        <v>24</v>
      </c>
      <c r="AI1356" s="3">
        <v>60</v>
      </c>
      <c r="AJ1356" s="3">
        <v>60</v>
      </c>
      <c r="AK1356" s="3">
        <v>180</v>
      </c>
      <c r="AL1356" s="3">
        <v>144</v>
      </c>
      <c r="AM1356" s="3">
        <v>120</v>
      </c>
      <c r="AN1356" s="3">
        <v>84</v>
      </c>
      <c r="AO1356" s="3">
        <v>204</v>
      </c>
      <c r="AP1356" s="3">
        <v>264</v>
      </c>
      <c r="AQ1356" s="3">
        <v>216</v>
      </c>
      <c r="AR1356" s="3">
        <v>108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</row>
    <row r="1357" spans="1:49">
      <c r="A1357" s="4" t="s">
        <v>40</v>
      </c>
      <c r="B1357" s="4" t="str">
        <f t="shared" si="21"/>
        <v>Hair Care</v>
      </c>
      <c r="C1357" s="4" t="s">
        <v>1786</v>
      </c>
      <c r="D1357" s="4" t="s">
        <v>579</v>
      </c>
      <c r="E1357" s="24" t="s">
        <v>42</v>
      </c>
      <c r="F1357" s="12" t="s">
        <v>362</v>
      </c>
      <c r="G1357" s="4" t="s">
        <v>1787</v>
      </c>
      <c r="H1357" s="3">
        <v>240</v>
      </c>
      <c r="I1357" s="3">
        <v>84</v>
      </c>
      <c r="J1357" s="3">
        <v>255</v>
      </c>
      <c r="K1357" s="3">
        <v>192</v>
      </c>
      <c r="L1357" s="3">
        <v>399</v>
      </c>
      <c r="M1357" s="3">
        <v>222</v>
      </c>
      <c r="N1357" s="3">
        <v>108</v>
      </c>
      <c r="O1357" s="3">
        <v>162</v>
      </c>
      <c r="P1357" s="3">
        <v>195</v>
      </c>
      <c r="Q1357" s="3">
        <v>48</v>
      </c>
      <c r="R1357" s="3">
        <v>111</v>
      </c>
      <c r="S1357" s="3">
        <v>132</v>
      </c>
      <c r="T1357" s="3">
        <v>288</v>
      </c>
      <c r="U1357" s="3">
        <v>180</v>
      </c>
      <c r="V1357" s="3">
        <v>162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</row>
    <row r="1358" spans="1:49">
      <c r="A1358" s="4" t="s">
        <v>40</v>
      </c>
      <c r="B1358" s="4" t="str">
        <f t="shared" si="21"/>
        <v>Hair Care</v>
      </c>
      <c r="C1358" s="4" t="s">
        <v>1786</v>
      </c>
      <c r="D1358" s="4" t="s">
        <v>579</v>
      </c>
      <c r="E1358" s="24" t="s">
        <v>42</v>
      </c>
      <c r="F1358" s="12" t="s">
        <v>363</v>
      </c>
      <c r="G1358" s="4" t="s">
        <v>1787</v>
      </c>
      <c r="H1358" s="3">
        <v>2250</v>
      </c>
      <c r="I1358" s="3">
        <v>1482</v>
      </c>
      <c r="J1358" s="3">
        <v>180</v>
      </c>
      <c r="K1358" s="3">
        <v>1176</v>
      </c>
      <c r="L1358" s="3">
        <v>612</v>
      </c>
      <c r="M1358" s="3">
        <v>1542</v>
      </c>
      <c r="N1358" s="3">
        <v>1914</v>
      </c>
      <c r="O1358" s="3">
        <v>990</v>
      </c>
      <c r="P1358" s="3">
        <v>540</v>
      </c>
      <c r="Q1358" s="3">
        <v>1458</v>
      </c>
      <c r="R1358" s="3">
        <v>408</v>
      </c>
      <c r="S1358" s="3">
        <v>1578</v>
      </c>
      <c r="T1358" s="3">
        <v>1818</v>
      </c>
      <c r="U1358" s="3">
        <v>1986</v>
      </c>
      <c r="V1358" s="3">
        <v>648</v>
      </c>
      <c r="W1358" s="3">
        <v>1236</v>
      </c>
      <c r="X1358" s="3">
        <v>1722</v>
      </c>
      <c r="Y1358" s="3">
        <v>726</v>
      </c>
      <c r="Z1358" s="3">
        <v>2046</v>
      </c>
      <c r="AA1358" s="3">
        <v>858</v>
      </c>
      <c r="AB1358" s="3">
        <v>1194</v>
      </c>
      <c r="AC1358" s="3">
        <v>12</v>
      </c>
      <c r="AD1358" s="3">
        <v>84</v>
      </c>
      <c r="AE1358" s="3">
        <v>156</v>
      </c>
      <c r="AF1358" s="3">
        <v>192</v>
      </c>
      <c r="AG1358" s="3">
        <v>48</v>
      </c>
      <c r="AH1358" s="3">
        <v>84</v>
      </c>
      <c r="AI1358" s="3">
        <v>876</v>
      </c>
      <c r="AJ1358" s="3">
        <v>144</v>
      </c>
      <c r="AK1358" s="3">
        <v>288</v>
      </c>
      <c r="AL1358" s="3">
        <v>1176</v>
      </c>
      <c r="AM1358" s="3">
        <v>336</v>
      </c>
      <c r="AN1358" s="3">
        <v>60</v>
      </c>
      <c r="AO1358" s="3">
        <v>216</v>
      </c>
      <c r="AP1358" s="3">
        <v>2508</v>
      </c>
      <c r="AQ1358" s="3">
        <v>264</v>
      </c>
      <c r="AR1358" s="3">
        <v>432</v>
      </c>
      <c r="AS1358" s="3">
        <v>48</v>
      </c>
      <c r="AT1358" s="3">
        <v>300</v>
      </c>
      <c r="AU1358" s="3">
        <v>804</v>
      </c>
      <c r="AV1358" s="3">
        <v>720</v>
      </c>
      <c r="AW1358" s="3">
        <v>84</v>
      </c>
    </row>
    <row r="1359" spans="1:49">
      <c r="A1359" s="4" t="s">
        <v>40</v>
      </c>
      <c r="B1359" s="4" t="str">
        <f t="shared" si="21"/>
        <v>Hair Care</v>
      </c>
      <c r="C1359" s="4" t="s">
        <v>1786</v>
      </c>
      <c r="D1359" s="4" t="s">
        <v>579</v>
      </c>
      <c r="E1359" s="24" t="s">
        <v>42</v>
      </c>
      <c r="F1359" s="12" t="s">
        <v>364</v>
      </c>
      <c r="G1359" s="4" t="s">
        <v>1787</v>
      </c>
      <c r="H1359" s="3">
        <v>1208</v>
      </c>
      <c r="I1359" s="3">
        <v>0</v>
      </c>
      <c r="J1359" s="3">
        <v>0</v>
      </c>
      <c r="K1359" s="3">
        <v>708</v>
      </c>
      <c r="L1359" s="3">
        <v>600</v>
      </c>
      <c r="M1359" s="3">
        <v>168</v>
      </c>
      <c r="N1359" s="3">
        <v>36</v>
      </c>
      <c r="O1359" s="3">
        <v>120</v>
      </c>
      <c r="P1359" s="3">
        <v>24</v>
      </c>
      <c r="Q1359" s="3">
        <v>48</v>
      </c>
      <c r="R1359" s="3">
        <v>-48</v>
      </c>
      <c r="S1359" s="3">
        <v>0</v>
      </c>
      <c r="T1359" s="3">
        <v>1320</v>
      </c>
      <c r="U1359" s="3">
        <v>324</v>
      </c>
      <c r="V1359" s="3">
        <v>864</v>
      </c>
      <c r="W1359" s="3">
        <v>0</v>
      </c>
      <c r="X1359" s="3">
        <v>0</v>
      </c>
      <c r="Y1359" s="3">
        <v>12</v>
      </c>
      <c r="Z1359" s="3">
        <v>0</v>
      </c>
      <c r="AA1359" s="3">
        <v>84</v>
      </c>
      <c r="AB1359" s="3">
        <v>12</v>
      </c>
      <c r="AC1359" s="3">
        <v>0</v>
      </c>
      <c r="AD1359" s="3">
        <v>0</v>
      </c>
      <c r="AE1359" s="3">
        <v>0</v>
      </c>
      <c r="AF1359" s="3">
        <v>48</v>
      </c>
      <c r="AG1359" s="3">
        <v>12</v>
      </c>
      <c r="AH1359" s="3">
        <v>180</v>
      </c>
      <c r="AI1359" s="3">
        <v>0</v>
      </c>
      <c r="AJ1359" s="3">
        <v>0</v>
      </c>
      <c r="AK1359" s="3">
        <v>120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</row>
    <row r="1360" spans="1:49">
      <c r="A1360" s="4" t="s">
        <v>40</v>
      </c>
      <c r="B1360" s="4" t="str">
        <f t="shared" si="21"/>
        <v>Hair Care</v>
      </c>
      <c r="C1360" s="4" t="s">
        <v>1786</v>
      </c>
      <c r="D1360" s="4" t="s">
        <v>579</v>
      </c>
      <c r="E1360" s="24" t="s">
        <v>42</v>
      </c>
      <c r="F1360" s="12" t="s">
        <v>365</v>
      </c>
      <c r="G1360" s="4" t="s">
        <v>1787</v>
      </c>
      <c r="H1360" s="3">
        <v>348</v>
      </c>
      <c r="I1360" s="3">
        <v>192</v>
      </c>
      <c r="J1360" s="3">
        <v>96</v>
      </c>
      <c r="K1360" s="3">
        <v>516</v>
      </c>
      <c r="L1360" s="3">
        <v>108</v>
      </c>
      <c r="M1360" s="3">
        <v>204</v>
      </c>
      <c r="N1360" s="3">
        <v>36</v>
      </c>
      <c r="O1360" s="3">
        <v>108</v>
      </c>
      <c r="P1360" s="3">
        <v>108</v>
      </c>
      <c r="Q1360" s="3">
        <v>168</v>
      </c>
      <c r="R1360" s="3">
        <v>12</v>
      </c>
      <c r="S1360" s="3">
        <v>120</v>
      </c>
      <c r="T1360" s="3">
        <v>288</v>
      </c>
      <c r="U1360" s="3">
        <v>84</v>
      </c>
      <c r="V1360" s="3">
        <v>156</v>
      </c>
      <c r="W1360" s="3">
        <v>96</v>
      </c>
      <c r="X1360" s="3">
        <v>180</v>
      </c>
      <c r="Y1360" s="3">
        <v>192</v>
      </c>
      <c r="Z1360" s="3">
        <v>36</v>
      </c>
      <c r="AA1360" s="3">
        <v>72</v>
      </c>
      <c r="AB1360" s="3">
        <v>0</v>
      </c>
      <c r="AC1360" s="3">
        <v>192</v>
      </c>
      <c r="AD1360" s="3">
        <v>72</v>
      </c>
      <c r="AE1360" s="3">
        <v>192</v>
      </c>
      <c r="AF1360" s="3">
        <v>84</v>
      </c>
      <c r="AG1360" s="3">
        <v>108</v>
      </c>
      <c r="AH1360" s="3">
        <v>96</v>
      </c>
      <c r="AI1360" s="3">
        <v>96</v>
      </c>
      <c r="AJ1360" s="3">
        <v>180</v>
      </c>
      <c r="AK1360" s="3">
        <v>384</v>
      </c>
      <c r="AL1360" s="3">
        <v>12</v>
      </c>
      <c r="AM1360" s="3">
        <v>0</v>
      </c>
      <c r="AN1360" s="3">
        <v>180</v>
      </c>
      <c r="AO1360" s="3">
        <v>300</v>
      </c>
      <c r="AP1360" s="3">
        <v>384</v>
      </c>
      <c r="AQ1360" s="3">
        <v>216</v>
      </c>
      <c r="AR1360" s="3">
        <v>420</v>
      </c>
      <c r="AS1360" s="3">
        <v>36</v>
      </c>
      <c r="AT1360" s="3">
        <v>348</v>
      </c>
      <c r="AU1360" s="3">
        <v>144</v>
      </c>
      <c r="AV1360" s="3">
        <v>348</v>
      </c>
      <c r="AW1360" s="3">
        <v>216</v>
      </c>
    </row>
    <row r="1361" spans="1:49">
      <c r="A1361" s="4" t="s">
        <v>40</v>
      </c>
      <c r="B1361" s="4" t="str">
        <f t="shared" si="21"/>
        <v>Hair Care</v>
      </c>
      <c r="C1361" s="4" t="s">
        <v>1786</v>
      </c>
      <c r="D1361" s="4" t="s">
        <v>579</v>
      </c>
      <c r="E1361" s="24" t="s">
        <v>42</v>
      </c>
      <c r="F1361" s="12" t="s">
        <v>366</v>
      </c>
      <c r="G1361" s="4" t="s">
        <v>1787</v>
      </c>
      <c r="H1361" s="3">
        <v>2166</v>
      </c>
      <c r="I1361" s="3">
        <v>3504</v>
      </c>
      <c r="J1361" s="3">
        <v>780</v>
      </c>
      <c r="K1361" s="3">
        <v>654</v>
      </c>
      <c r="L1361" s="3">
        <v>264</v>
      </c>
      <c r="M1361" s="3">
        <v>1410</v>
      </c>
      <c r="N1361" s="3">
        <v>1722</v>
      </c>
      <c r="O1361" s="3">
        <v>762</v>
      </c>
      <c r="P1361" s="3">
        <v>462</v>
      </c>
      <c r="Q1361" s="3">
        <v>1332</v>
      </c>
      <c r="R1361" s="3">
        <v>288</v>
      </c>
      <c r="S1361" s="3">
        <v>1326</v>
      </c>
      <c r="T1361" s="3">
        <v>1710</v>
      </c>
      <c r="U1361" s="3">
        <v>1674</v>
      </c>
      <c r="V1361" s="3">
        <v>954</v>
      </c>
      <c r="W1361" s="3">
        <v>1248</v>
      </c>
      <c r="X1361" s="3">
        <v>2838</v>
      </c>
      <c r="Y1361" s="3">
        <v>720</v>
      </c>
      <c r="Z1361" s="3">
        <v>1662</v>
      </c>
      <c r="AA1361" s="3">
        <v>84</v>
      </c>
      <c r="AB1361" s="3">
        <v>84</v>
      </c>
      <c r="AC1361" s="3">
        <v>60</v>
      </c>
      <c r="AD1361" s="3">
        <v>12</v>
      </c>
      <c r="AE1361" s="3">
        <v>168</v>
      </c>
      <c r="AF1361" s="3">
        <v>132</v>
      </c>
      <c r="AG1361" s="3">
        <v>0</v>
      </c>
      <c r="AH1361" s="3">
        <v>1836</v>
      </c>
      <c r="AI1361" s="3">
        <v>4962</v>
      </c>
      <c r="AJ1361" s="3">
        <v>192</v>
      </c>
      <c r="AK1361" s="3">
        <v>0</v>
      </c>
      <c r="AL1361" s="3">
        <v>0</v>
      </c>
      <c r="AM1361" s="3">
        <v>0</v>
      </c>
      <c r="AN1361" s="3">
        <v>0</v>
      </c>
      <c r="AO1361" s="3">
        <v>84</v>
      </c>
      <c r="AP1361" s="3">
        <v>2316</v>
      </c>
      <c r="AQ1361" s="3">
        <v>512</v>
      </c>
      <c r="AR1361" s="3">
        <v>636</v>
      </c>
      <c r="AS1361" s="3">
        <v>450</v>
      </c>
      <c r="AT1361" s="3">
        <v>1146</v>
      </c>
      <c r="AU1361" s="3">
        <v>600</v>
      </c>
      <c r="AV1361" s="3">
        <v>384</v>
      </c>
      <c r="AW1361" s="3">
        <v>120</v>
      </c>
    </row>
    <row r="1362" spans="1:49">
      <c r="A1362" s="4" t="s">
        <v>40</v>
      </c>
      <c r="B1362" s="4" t="str">
        <f t="shared" si="21"/>
        <v>Hair Care</v>
      </c>
      <c r="C1362" s="4" t="s">
        <v>1786</v>
      </c>
      <c r="D1362" s="4" t="s">
        <v>579</v>
      </c>
      <c r="E1362" s="24" t="s">
        <v>42</v>
      </c>
      <c r="F1362" s="12" t="s">
        <v>367</v>
      </c>
      <c r="G1362" s="4" t="s">
        <v>1787</v>
      </c>
      <c r="H1362" s="3">
        <v>0</v>
      </c>
      <c r="I1362" s="3">
        <v>0</v>
      </c>
      <c r="J1362" s="3">
        <v>0</v>
      </c>
      <c r="K1362" s="3">
        <v>0</v>
      </c>
      <c r="L1362" s="3">
        <v>1080</v>
      </c>
      <c r="M1362" s="3">
        <v>564</v>
      </c>
      <c r="N1362" s="3">
        <v>468</v>
      </c>
      <c r="O1362" s="3">
        <v>168</v>
      </c>
      <c r="P1362" s="3">
        <v>60</v>
      </c>
      <c r="Q1362" s="3">
        <v>192</v>
      </c>
      <c r="R1362" s="3">
        <v>72</v>
      </c>
      <c r="S1362" s="3">
        <v>48</v>
      </c>
      <c r="T1362" s="3">
        <v>192</v>
      </c>
      <c r="U1362" s="3">
        <v>132</v>
      </c>
      <c r="V1362" s="3">
        <v>120</v>
      </c>
      <c r="W1362" s="3">
        <v>204</v>
      </c>
      <c r="X1362" s="3">
        <v>12</v>
      </c>
      <c r="Y1362" s="3">
        <v>192</v>
      </c>
      <c r="Z1362" s="3">
        <v>72</v>
      </c>
      <c r="AA1362" s="3">
        <v>60</v>
      </c>
      <c r="AB1362" s="3">
        <v>0</v>
      </c>
      <c r="AC1362" s="3">
        <v>60</v>
      </c>
      <c r="AD1362" s="3">
        <v>36</v>
      </c>
      <c r="AE1362" s="3">
        <v>72</v>
      </c>
      <c r="AF1362" s="3">
        <v>84</v>
      </c>
      <c r="AG1362" s="3">
        <v>48</v>
      </c>
      <c r="AH1362" s="3">
        <v>96</v>
      </c>
      <c r="AI1362" s="3">
        <v>24</v>
      </c>
      <c r="AJ1362" s="3">
        <v>120</v>
      </c>
      <c r="AK1362" s="3">
        <v>132</v>
      </c>
      <c r="AL1362" s="3">
        <v>84</v>
      </c>
      <c r="AM1362" s="3">
        <v>48</v>
      </c>
      <c r="AN1362" s="3">
        <v>108</v>
      </c>
      <c r="AO1362" s="3">
        <v>168</v>
      </c>
      <c r="AP1362" s="3">
        <v>96</v>
      </c>
      <c r="AQ1362" s="3">
        <v>96</v>
      </c>
      <c r="AR1362" s="3">
        <v>108</v>
      </c>
      <c r="AS1362" s="3">
        <v>120</v>
      </c>
      <c r="AT1362" s="3">
        <v>180</v>
      </c>
      <c r="AU1362" s="3">
        <v>36</v>
      </c>
      <c r="AV1362" s="3">
        <v>300</v>
      </c>
      <c r="AW1362" s="3">
        <v>144</v>
      </c>
    </row>
    <row r="1363" spans="1:49">
      <c r="A1363" s="4" t="s">
        <v>40</v>
      </c>
      <c r="B1363" s="4" t="str">
        <f t="shared" si="21"/>
        <v>Hair Care</v>
      </c>
      <c r="C1363" s="4" t="s">
        <v>1786</v>
      </c>
      <c r="D1363" s="4" t="s">
        <v>579</v>
      </c>
      <c r="E1363" s="24" t="s">
        <v>42</v>
      </c>
      <c r="F1363" s="12" t="s">
        <v>368</v>
      </c>
      <c r="G1363" s="4" t="s">
        <v>1787</v>
      </c>
      <c r="H1363" s="3">
        <v>102</v>
      </c>
      <c r="I1363" s="3">
        <v>27</v>
      </c>
      <c r="J1363" s="3">
        <v>93</v>
      </c>
      <c r="K1363" s="3">
        <v>90</v>
      </c>
      <c r="L1363" s="3">
        <v>201</v>
      </c>
      <c r="M1363" s="3">
        <v>120</v>
      </c>
      <c r="N1363" s="3">
        <v>15</v>
      </c>
      <c r="O1363" s="3">
        <v>111</v>
      </c>
      <c r="P1363" s="3">
        <v>114</v>
      </c>
      <c r="Q1363" s="3">
        <v>18</v>
      </c>
      <c r="R1363" s="3">
        <v>39</v>
      </c>
      <c r="S1363" s="3">
        <v>21</v>
      </c>
      <c r="T1363" s="3">
        <v>123</v>
      </c>
      <c r="U1363" s="3">
        <v>60</v>
      </c>
      <c r="V1363" s="3">
        <v>102</v>
      </c>
      <c r="W1363" s="3">
        <v>66</v>
      </c>
      <c r="X1363" s="3">
        <v>39</v>
      </c>
      <c r="Y1363" s="3">
        <v>135</v>
      </c>
      <c r="Z1363" s="3">
        <v>63</v>
      </c>
      <c r="AA1363" s="3">
        <v>102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</row>
    <row r="1364" spans="1:49">
      <c r="A1364" s="4" t="s">
        <v>40</v>
      </c>
      <c r="B1364" s="4" t="str">
        <f t="shared" si="21"/>
        <v>Hair Care</v>
      </c>
      <c r="C1364" s="4" t="s">
        <v>1786</v>
      </c>
      <c r="D1364" s="4" t="s">
        <v>579</v>
      </c>
      <c r="E1364" s="24" t="s">
        <v>42</v>
      </c>
      <c r="F1364" s="12" t="s">
        <v>369</v>
      </c>
      <c r="G1364" s="4" t="s">
        <v>1787</v>
      </c>
      <c r="H1364" s="3">
        <v>228</v>
      </c>
      <c r="I1364" s="3">
        <v>120</v>
      </c>
      <c r="J1364" s="3">
        <v>84</v>
      </c>
      <c r="K1364" s="3">
        <v>252</v>
      </c>
      <c r="L1364" s="3">
        <v>84</v>
      </c>
      <c r="M1364" s="3">
        <v>156</v>
      </c>
      <c r="N1364" s="3">
        <v>12</v>
      </c>
      <c r="O1364" s="3">
        <v>36</v>
      </c>
      <c r="P1364" s="3">
        <v>72</v>
      </c>
      <c r="Q1364" s="3">
        <v>0</v>
      </c>
      <c r="R1364" s="3">
        <v>0</v>
      </c>
      <c r="S1364" s="3">
        <v>132</v>
      </c>
      <c r="T1364" s="3">
        <v>192</v>
      </c>
      <c r="U1364" s="3">
        <v>24</v>
      </c>
      <c r="V1364" s="3">
        <v>108</v>
      </c>
      <c r="W1364" s="3">
        <v>84</v>
      </c>
      <c r="X1364" s="3">
        <v>120</v>
      </c>
      <c r="Y1364" s="3">
        <v>180</v>
      </c>
      <c r="Z1364" s="3">
        <v>0</v>
      </c>
      <c r="AA1364" s="3">
        <v>60</v>
      </c>
      <c r="AB1364" s="3">
        <v>216</v>
      </c>
      <c r="AC1364" s="3">
        <v>12</v>
      </c>
      <c r="AD1364" s="3">
        <v>0</v>
      </c>
      <c r="AE1364" s="3">
        <v>156</v>
      </c>
      <c r="AF1364" s="3">
        <v>72</v>
      </c>
      <c r="AG1364" s="3">
        <v>60</v>
      </c>
      <c r="AH1364" s="3">
        <v>36</v>
      </c>
      <c r="AI1364" s="3">
        <v>48</v>
      </c>
      <c r="AJ1364" s="3">
        <v>144</v>
      </c>
      <c r="AK1364" s="3">
        <v>216</v>
      </c>
      <c r="AL1364" s="3">
        <v>132</v>
      </c>
      <c r="AM1364" s="3">
        <v>192</v>
      </c>
      <c r="AN1364" s="3">
        <v>96</v>
      </c>
      <c r="AO1364" s="3">
        <v>84</v>
      </c>
      <c r="AP1364" s="3">
        <v>84</v>
      </c>
      <c r="AQ1364" s="3">
        <v>-12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</row>
    <row r="1365" spans="1:49">
      <c r="A1365" s="4" t="s">
        <v>40</v>
      </c>
      <c r="B1365" s="4" t="str">
        <f t="shared" si="21"/>
        <v>Hair Care</v>
      </c>
      <c r="C1365" s="4" t="s">
        <v>1786</v>
      </c>
      <c r="D1365" s="4" t="s">
        <v>579</v>
      </c>
      <c r="E1365" s="24" t="s">
        <v>42</v>
      </c>
      <c r="F1365" s="12" t="s">
        <v>370</v>
      </c>
      <c r="G1365" s="4" t="s">
        <v>1787</v>
      </c>
      <c r="H1365" s="3">
        <v>276</v>
      </c>
      <c r="I1365" s="3">
        <v>48</v>
      </c>
      <c r="J1365" s="3">
        <v>36</v>
      </c>
      <c r="K1365" s="3">
        <v>504</v>
      </c>
      <c r="L1365" s="3">
        <v>12</v>
      </c>
      <c r="M1365" s="3">
        <v>216</v>
      </c>
      <c r="N1365" s="3">
        <v>12</v>
      </c>
      <c r="O1365" s="3">
        <v>60</v>
      </c>
      <c r="P1365" s="3">
        <v>0</v>
      </c>
      <c r="Q1365" s="3">
        <v>48</v>
      </c>
      <c r="R1365" s="3">
        <v>0</v>
      </c>
      <c r="S1365" s="3">
        <v>156</v>
      </c>
      <c r="T1365" s="3">
        <v>36</v>
      </c>
      <c r="U1365" s="3">
        <v>72</v>
      </c>
      <c r="V1365" s="3">
        <v>12</v>
      </c>
      <c r="W1365" s="3">
        <v>36</v>
      </c>
      <c r="X1365" s="3">
        <v>168</v>
      </c>
      <c r="Y1365" s="3">
        <v>192</v>
      </c>
      <c r="Z1365" s="3">
        <v>60</v>
      </c>
      <c r="AA1365" s="3">
        <v>12</v>
      </c>
      <c r="AB1365" s="3">
        <v>228</v>
      </c>
      <c r="AC1365" s="3">
        <v>0</v>
      </c>
      <c r="AD1365" s="3">
        <v>0</v>
      </c>
      <c r="AE1365" s="3">
        <v>132</v>
      </c>
      <c r="AF1365" s="3">
        <v>348</v>
      </c>
      <c r="AG1365" s="3">
        <v>36</v>
      </c>
      <c r="AH1365" s="3">
        <v>24</v>
      </c>
      <c r="AI1365" s="3">
        <v>108</v>
      </c>
      <c r="AJ1365" s="3">
        <v>36</v>
      </c>
      <c r="AK1365" s="3">
        <v>264</v>
      </c>
      <c r="AL1365" s="3">
        <v>12</v>
      </c>
      <c r="AM1365" s="3">
        <v>108</v>
      </c>
      <c r="AN1365" s="3">
        <v>0</v>
      </c>
      <c r="AO1365" s="3">
        <v>264</v>
      </c>
      <c r="AP1365" s="3">
        <v>192</v>
      </c>
      <c r="AQ1365" s="3">
        <v>312</v>
      </c>
      <c r="AR1365" s="3">
        <v>324</v>
      </c>
      <c r="AS1365" s="3">
        <v>60</v>
      </c>
      <c r="AT1365" s="3">
        <v>240</v>
      </c>
      <c r="AU1365" s="3">
        <v>612</v>
      </c>
      <c r="AV1365" s="3">
        <v>0</v>
      </c>
      <c r="AW1365" s="3">
        <v>0</v>
      </c>
    </row>
    <row r="1366" spans="1:49">
      <c r="A1366" s="4" t="s">
        <v>40</v>
      </c>
      <c r="B1366" s="4" t="str">
        <f t="shared" si="21"/>
        <v>Hair Care</v>
      </c>
      <c r="C1366" s="4" t="s">
        <v>1786</v>
      </c>
      <c r="D1366" s="4" t="s">
        <v>579</v>
      </c>
      <c r="E1366" s="24" t="s">
        <v>42</v>
      </c>
      <c r="F1366" s="12" t="s">
        <v>371</v>
      </c>
      <c r="G1366" s="4" t="s">
        <v>1787</v>
      </c>
      <c r="H1366" s="3">
        <v>60</v>
      </c>
      <c r="I1366" s="3">
        <v>48</v>
      </c>
      <c r="J1366" s="3">
        <v>60</v>
      </c>
      <c r="K1366" s="3">
        <v>36</v>
      </c>
      <c r="L1366" s="3">
        <v>60</v>
      </c>
      <c r="M1366" s="3">
        <v>12</v>
      </c>
      <c r="N1366" s="3">
        <v>24</v>
      </c>
      <c r="O1366" s="3">
        <v>12</v>
      </c>
      <c r="P1366" s="3">
        <v>12</v>
      </c>
      <c r="Q1366" s="3">
        <v>12</v>
      </c>
      <c r="R1366" s="3">
        <v>12</v>
      </c>
      <c r="S1366" s="3">
        <v>24</v>
      </c>
      <c r="T1366" s="3">
        <v>84</v>
      </c>
      <c r="U1366" s="3">
        <v>36</v>
      </c>
      <c r="V1366" s="3">
        <v>60</v>
      </c>
      <c r="W1366" s="3">
        <v>12</v>
      </c>
      <c r="X1366" s="3">
        <v>84</v>
      </c>
      <c r="Y1366" s="3">
        <v>36</v>
      </c>
      <c r="Z1366" s="3">
        <v>36</v>
      </c>
      <c r="AA1366" s="3">
        <v>36</v>
      </c>
      <c r="AB1366" s="3">
        <v>12</v>
      </c>
      <c r="AC1366" s="3">
        <v>0</v>
      </c>
      <c r="AD1366" s="3">
        <v>0</v>
      </c>
      <c r="AE1366" s="3">
        <v>0</v>
      </c>
      <c r="AF1366" s="3">
        <v>36</v>
      </c>
      <c r="AG1366" s="3">
        <v>12</v>
      </c>
      <c r="AH1366" s="3">
        <v>48</v>
      </c>
      <c r="AI1366" s="3">
        <v>12</v>
      </c>
      <c r="AJ1366" s="3">
        <v>24</v>
      </c>
      <c r="AK1366" s="3">
        <v>96</v>
      </c>
      <c r="AL1366" s="3">
        <v>36</v>
      </c>
      <c r="AM1366" s="3">
        <v>12</v>
      </c>
      <c r="AN1366" s="3">
        <v>0</v>
      </c>
      <c r="AO1366" s="3">
        <v>60</v>
      </c>
      <c r="AP1366" s="3">
        <v>24</v>
      </c>
      <c r="AQ1366" s="3">
        <v>0</v>
      </c>
      <c r="AR1366" s="3">
        <v>60</v>
      </c>
      <c r="AS1366" s="3">
        <v>60</v>
      </c>
      <c r="AT1366" s="3">
        <v>48</v>
      </c>
      <c r="AU1366" s="3">
        <v>0</v>
      </c>
      <c r="AV1366" s="3">
        <v>0</v>
      </c>
      <c r="AW1366" s="3">
        <v>0</v>
      </c>
    </row>
    <row r="1367" spans="1:49">
      <c r="A1367" s="4" t="s">
        <v>40</v>
      </c>
      <c r="B1367" s="4" t="str">
        <f t="shared" si="21"/>
        <v>Hair Care</v>
      </c>
      <c r="C1367" s="4" t="s">
        <v>1786</v>
      </c>
      <c r="D1367" s="4" t="s">
        <v>579</v>
      </c>
      <c r="E1367" s="24" t="s">
        <v>42</v>
      </c>
      <c r="F1367" s="12" t="s">
        <v>372</v>
      </c>
      <c r="G1367" s="4" t="s">
        <v>1787</v>
      </c>
      <c r="H1367" s="3">
        <v>141</v>
      </c>
      <c r="I1367" s="3">
        <v>93</v>
      </c>
      <c r="J1367" s="3">
        <v>54</v>
      </c>
      <c r="K1367" s="3">
        <v>51</v>
      </c>
      <c r="L1367" s="3">
        <v>45</v>
      </c>
      <c r="M1367" s="3">
        <v>114</v>
      </c>
      <c r="N1367" s="3">
        <v>111</v>
      </c>
      <c r="O1367" s="3">
        <v>150</v>
      </c>
      <c r="P1367" s="3">
        <v>72</v>
      </c>
      <c r="Q1367" s="3">
        <v>78</v>
      </c>
      <c r="R1367" s="3">
        <v>48</v>
      </c>
      <c r="S1367" s="3">
        <v>210</v>
      </c>
      <c r="T1367" s="3">
        <v>141</v>
      </c>
      <c r="U1367" s="3">
        <v>21</v>
      </c>
      <c r="V1367" s="3">
        <v>198</v>
      </c>
      <c r="W1367" s="3">
        <v>72</v>
      </c>
      <c r="X1367" s="3">
        <v>54</v>
      </c>
      <c r="Y1367" s="3">
        <v>78</v>
      </c>
      <c r="Z1367" s="3">
        <v>114</v>
      </c>
      <c r="AA1367" s="3">
        <v>21</v>
      </c>
      <c r="AB1367" s="3">
        <v>141</v>
      </c>
      <c r="AC1367" s="3">
        <v>21</v>
      </c>
      <c r="AD1367" s="3">
        <v>81</v>
      </c>
      <c r="AE1367" s="3">
        <v>12</v>
      </c>
      <c r="AF1367" s="3">
        <v>0</v>
      </c>
      <c r="AG1367" s="3">
        <v>30</v>
      </c>
      <c r="AH1367" s="3">
        <v>15</v>
      </c>
      <c r="AI1367" s="3">
        <v>21</v>
      </c>
      <c r="AJ1367" s="3">
        <v>51</v>
      </c>
      <c r="AK1367" s="3">
        <v>21</v>
      </c>
      <c r="AL1367" s="3">
        <v>108</v>
      </c>
      <c r="AM1367" s="3">
        <v>9</v>
      </c>
      <c r="AN1367" s="3">
        <v>0</v>
      </c>
      <c r="AO1367" s="3">
        <v>66</v>
      </c>
      <c r="AP1367" s="3">
        <v>84</v>
      </c>
      <c r="AQ1367" s="3">
        <v>-6</v>
      </c>
      <c r="AR1367" s="3">
        <v>204</v>
      </c>
      <c r="AS1367" s="3">
        <v>11</v>
      </c>
      <c r="AT1367" s="3">
        <v>33</v>
      </c>
      <c r="AU1367" s="3">
        <v>36</v>
      </c>
      <c r="AV1367" s="3">
        <v>120</v>
      </c>
      <c r="AW1367" s="3">
        <v>90</v>
      </c>
    </row>
    <row r="1368" spans="1:49">
      <c r="A1368" s="4" t="s">
        <v>40</v>
      </c>
      <c r="B1368" s="4" t="str">
        <f t="shared" si="21"/>
        <v>Hair Care</v>
      </c>
      <c r="C1368" s="4" t="s">
        <v>1786</v>
      </c>
      <c r="D1368" s="4" t="s">
        <v>579</v>
      </c>
      <c r="E1368" s="24" t="s">
        <v>42</v>
      </c>
      <c r="F1368" s="12" t="s">
        <v>373</v>
      </c>
      <c r="G1368" s="4" t="s">
        <v>1787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108</v>
      </c>
      <c r="T1368" s="3">
        <v>252</v>
      </c>
      <c r="U1368" s="3">
        <v>120</v>
      </c>
      <c r="V1368" s="3">
        <v>84</v>
      </c>
      <c r="W1368" s="3">
        <v>60</v>
      </c>
      <c r="X1368" s="3">
        <v>120</v>
      </c>
      <c r="Y1368" s="3">
        <v>168</v>
      </c>
      <c r="Z1368" s="3">
        <v>60</v>
      </c>
      <c r="AA1368" s="3">
        <v>60</v>
      </c>
      <c r="AB1368" s="3">
        <v>96</v>
      </c>
      <c r="AC1368" s="3">
        <v>12</v>
      </c>
      <c r="AD1368" s="3">
        <v>48</v>
      </c>
      <c r="AE1368" s="3">
        <v>108</v>
      </c>
      <c r="AF1368" s="3">
        <v>108</v>
      </c>
      <c r="AG1368" s="3">
        <v>60</v>
      </c>
      <c r="AH1368" s="3">
        <v>60</v>
      </c>
      <c r="AI1368" s="3">
        <v>108</v>
      </c>
      <c r="AJ1368" s="3">
        <v>144</v>
      </c>
      <c r="AK1368" s="3">
        <v>252</v>
      </c>
      <c r="AL1368" s="3">
        <v>132</v>
      </c>
      <c r="AM1368" s="3">
        <v>156</v>
      </c>
      <c r="AN1368" s="3">
        <v>120</v>
      </c>
      <c r="AO1368" s="3">
        <v>84</v>
      </c>
      <c r="AP1368" s="3">
        <v>168</v>
      </c>
      <c r="AQ1368" s="3">
        <v>240</v>
      </c>
      <c r="AR1368" s="3">
        <v>216</v>
      </c>
      <c r="AS1368" s="3">
        <v>84</v>
      </c>
      <c r="AT1368" s="3">
        <v>228</v>
      </c>
      <c r="AU1368" s="3">
        <v>72</v>
      </c>
      <c r="AV1368" s="3">
        <v>420</v>
      </c>
      <c r="AW1368" s="3">
        <v>60</v>
      </c>
    </row>
    <row r="1369" spans="1:49">
      <c r="A1369" s="4" t="s">
        <v>40</v>
      </c>
      <c r="B1369" s="4" t="str">
        <f t="shared" si="21"/>
        <v>Hair Care</v>
      </c>
      <c r="C1369" s="4" t="s">
        <v>1786</v>
      </c>
      <c r="D1369" s="4" t="s">
        <v>579</v>
      </c>
      <c r="E1369" s="24" t="s">
        <v>42</v>
      </c>
      <c r="F1369" s="12" t="s">
        <v>374</v>
      </c>
      <c r="G1369" s="4" t="s">
        <v>1787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1404</v>
      </c>
      <c r="AM1369" s="3">
        <v>582</v>
      </c>
      <c r="AN1369" s="3">
        <v>870</v>
      </c>
      <c r="AO1369" s="3">
        <v>1380</v>
      </c>
      <c r="AP1369" s="3">
        <v>426</v>
      </c>
      <c r="AQ1369" s="3">
        <v>444</v>
      </c>
      <c r="AR1369" s="3">
        <v>216</v>
      </c>
      <c r="AS1369" s="3">
        <v>540</v>
      </c>
      <c r="AT1369" s="3">
        <v>2322</v>
      </c>
      <c r="AU1369" s="3">
        <v>1050</v>
      </c>
      <c r="AV1369" s="3">
        <v>1116</v>
      </c>
      <c r="AW1369" s="3">
        <v>3306</v>
      </c>
    </row>
    <row r="1370" spans="1:49">
      <c r="A1370" s="4" t="s">
        <v>40</v>
      </c>
      <c r="B1370" s="4" t="str">
        <f t="shared" si="21"/>
        <v>Hair Care</v>
      </c>
      <c r="C1370" s="4" t="s">
        <v>1786</v>
      </c>
      <c r="D1370" s="4" t="s">
        <v>579</v>
      </c>
      <c r="E1370" s="24" t="s">
        <v>42</v>
      </c>
      <c r="F1370" s="12" t="s">
        <v>375</v>
      </c>
      <c r="G1370" s="4" t="s">
        <v>1787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96</v>
      </c>
      <c r="AR1370" s="3">
        <v>1020</v>
      </c>
      <c r="AS1370" s="3">
        <v>240</v>
      </c>
      <c r="AT1370" s="3">
        <v>2244</v>
      </c>
      <c r="AU1370" s="3">
        <v>672</v>
      </c>
      <c r="AV1370" s="3">
        <v>1920</v>
      </c>
      <c r="AW1370" s="3">
        <v>2886</v>
      </c>
    </row>
    <row r="1371" spans="1:49">
      <c r="A1371" s="4" t="s">
        <v>40</v>
      </c>
      <c r="B1371" s="4" t="str">
        <f t="shared" si="21"/>
        <v>Hair Care</v>
      </c>
      <c r="C1371" s="4" t="s">
        <v>1786</v>
      </c>
      <c r="D1371" s="4" t="s">
        <v>579</v>
      </c>
      <c r="E1371" s="24" t="s">
        <v>42</v>
      </c>
      <c r="F1371" s="12" t="s">
        <v>376</v>
      </c>
      <c r="G1371" s="4" t="s">
        <v>1787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204</v>
      </c>
      <c r="AM1371" s="3">
        <v>60</v>
      </c>
      <c r="AN1371" s="3">
        <v>108</v>
      </c>
      <c r="AO1371" s="3">
        <v>60</v>
      </c>
      <c r="AP1371" s="3">
        <v>108</v>
      </c>
      <c r="AQ1371" s="3">
        <v>204</v>
      </c>
      <c r="AR1371" s="3">
        <v>240</v>
      </c>
      <c r="AS1371" s="3">
        <v>168</v>
      </c>
      <c r="AT1371" s="3">
        <v>492</v>
      </c>
      <c r="AU1371" s="3">
        <v>0</v>
      </c>
      <c r="AV1371" s="3">
        <v>156</v>
      </c>
      <c r="AW1371" s="3">
        <v>180</v>
      </c>
    </row>
    <row r="1372" spans="1:49">
      <c r="A1372" s="4" t="s">
        <v>40</v>
      </c>
      <c r="B1372" s="4" t="str">
        <f t="shared" si="21"/>
        <v>Hair Care</v>
      </c>
      <c r="C1372" s="4" t="s">
        <v>1786</v>
      </c>
      <c r="D1372" s="4" t="s">
        <v>579</v>
      </c>
      <c r="E1372" s="24" t="s">
        <v>42</v>
      </c>
      <c r="F1372" s="12" t="s">
        <v>377</v>
      </c>
      <c r="G1372" s="4" t="s">
        <v>1787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192</v>
      </c>
      <c r="AI1372" s="3">
        <v>216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</row>
    <row r="1373" spans="1:49">
      <c r="A1373" s="4" t="s">
        <v>40</v>
      </c>
      <c r="B1373" s="4" t="str">
        <f t="shared" si="21"/>
        <v>Hair Care</v>
      </c>
      <c r="C1373" s="4" t="s">
        <v>1786</v>
      </c>
      <c r="D1373" s="4" t="s">
        <v>579</v>
      </c>
      <c r="E1373" s="24" t="s">
        <v>42</v>
      </c>
      <c r="F1373" s="12" t="s">
        <v>378</v>
      </c>
      <c r="G1373" s="4" t="s">
        <v>1787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192</v>
      </c>
      <c r="AI1373" s="3">
        <v>204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</row>
    <row r="1374" spans="1:49">
      <c r="A1374" s="4" t="s">
        <v>40</v>
      </c>
      <c r="B1374" s="4" t="str">
        <f t="shared" si="21"/>
        <v>Hair Care</v>
      </c>
      <c r="C1374" s="4" t="s">
        <v>1786</v>
      </c>
      <c r="D1374" s="4" t="s">
        <v>579</v>
      </c>
      <c r="E1374" s="24" t="s">
        <v>42</v>
      </c>
      <c r="F1374" s="12" t="s">
        <v>379</v>
      </c>
      <c r="G1374" s="4" t="s">
        <v>1787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372</v>
      </c>
      <c r="AM1374" s="3">
        <v>60</v>
      </c>
      <c r="AN1374" s="3">
        <v>240</v>
      </c>
      <c r="AO1374" s="3">
        <v>0</v>
      </c>
      <c r="AP1374" s="3">
        <v>0</v>
      </c>
      <c r="AQ1374" s="3">
        <v>288</v>
      </c>
      <c r="AR1374" s="3">
        <v>192</v>
      </c>
      <c r="AS1374" s="3">
        <v>264</v>
      </c>
      <c r="AT1374" s="3">
        <v>564</v>
      </c>
      <c r="AU1374" s="3">
        <v>24</v>
      </c>
      <c r="AV1374" s="3">
        <v>300</v>
      </c>
      <c r="AW1374" s="3">
        <v>156</v>
      </c>
    </row>
    <row r="1375" spans="1:49">
      <c r="A1375" s="4" t="s">
        <v>40</v>
      </c>
      <c r="B1375" s="4" t="str">
        <f t="shared" si="21"/>
        <v>Hair Care</v>
      </c>
      <c r="C1375" s="4" t="s">
        <v>1786</v>
      </c>
      <c r="D1375" s="4" t="s">
        <v>579</v>
      </c>
      <c r="E1375" s="24" t="s">
        <v>42</v>
      </c>
      <c r="F1375" s="12" t="s">
        <v>380</v>
      </c>
      <c r="G1375" s="4" t="s">
        <v>1787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2556</v>
      </c>
      <c r="AN1375" s="3">
        <v>48</v>
      </c>
      <c r="AO1375" s="3">
        <v>384</v>
      </c>
      <c r="AP1375" s="3">
        <v>108</v>
      </c>
      <c r="AQ1375" s="3">
        <v>348</v>
      </c>
      <c r="AR1375" s="3">
        <v>216</v>
      </c>
      <c r="AS1375" s="3">
        <v>24</v>
      </c>
      <c r="AT1375" s="3">
        <v>1992</v>
      </c>
      <c r="AU1375" s="3">
        <v>1572</v>
      </c>
      <c r="AV1375" s="3">
        <v>3846</v>
      </c>
      <c r="AW1375" s="3">
        <v>3204</v>
      </c>
    </row>
    <row r="1376" spans="1:49">
      <c r="A1376" s="4" t="s">
        <v>40</v>
      </c>
      <c r="B1376" s="4" t="str">
        <f t="shared" si="21"/>
        <v>Hair Care</v>
      </c>
      <c r="C1376" s="4" t="s">
        <v>1786</v>
      </c>
      <c r="D1376" s="4" t="s">
        <v>579</v>
      </c>
      <c r="E1376" s="24" t="s">
        <v>42</v>
      </c>
      <c r="F1376" s="12" t="s">
        <v>381</v>
      </c>
      <c r="G1376" s="4" t="s">
        <v>1787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2556</v>
      </c>
      <c r="AN1376" s="3">
        <v>60</v>
      </c>
      <c r="AO1376" s="3">
        <v>348</v>
      </c>
      <c r="AP1376" s="3">
        <v>1998</v>
      </c>
      <c r="AQ1376" s="3">
        <v>3390</v>
      </c>
      <c r="AR1376" s="3">
        <v>24</v>
      </c>
      <c r="AS1376" s="3">
        <v>3204</v>
      </c>
      <c r="AT1376" s="3">
        <v>276</v>
      </c>
      <c r="AU1376" s="3">
        <v>2454</v>
      </c>
      <c r="AV1376" s="3">
        <v>0</v>
      </c>
      <c r="AW1376" s="3">
        <v>756</v>
      </c>
    </row>
    <row r="1377" spans="1:49">
      <c r="A1377" s="4" t="s">
        <v>40</v>
      </c>
      <c r="B1377" s="4" t="str">
        <f t="shared" si="21"/>
        <v>Hair Care</v>
      </c>
      <c r="C1377" s="4" t="s">
        <v>1786</v>
      </c>
      <c r="D1377" s="4" t="s">
        <v>579</v>
      </c>
      <c r="E1377" s="24" t="s">
        <v>42</v>
      </c>
      <c r="F1377" s="12" t="s">
        <v>382</v>
      </c>
      <c r="G1377" s="4" t="s">
        <v>1787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756</v>
      </c>
      <c r="AN1377" s="3">
        <v>24</v>
      </c>
      <c r="AO1377" s="3">
        <v>48</v>
      </c>
      <c r="AP1377" s="3">
        <v>0</v>
      </c>
      <c r="AQ1377" s="3">
        <v>60</v>
      </c>
      <c r="AR1377" s="3">
        <v>72</v>
      </c>
      <c r="AS1377" s="3">
        <v>12</v>
      </c>
      <c r="AT1377" s="3">
        <v>24</v>
      </c>
      <c r="AU1377" s="3">
        <v>0</v>
      </c>
      <c r="AV1377" s="3">
        <v>36</v>
      </c>
      <c r="AW1377" s="3">
        <v>24</v>
      </c>
    </row>
    <row r="1378" spans="1:49">
      <c r="A1378" s="4" t="s">
        <v>40</v>
      </c>
      <c r="B1378" s="4" t="str">
        <f t="shared" si="21"/>
        <v>Hair Care</v>
      </c>
      <c r="C1378" s="4" t="s">
        <v>1786</v>
      </c>
      <c r="D1378" s="4" t="s">
        <v>579</v>
      </c>
      <c r="E1378" s="24" t="s">
        <v>42</v>
      </c>
      <c r="F1378" s="12" t="s">
        <v>383</v>
      </c>
      <c r="G1378" s="4" t="s">
        <v>1787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528</v>
      </c>
      <c r="AN1378" s="3">
        <v>60</v>
      </c>
      <c r="AO1378" s="3">
        <v>12</v>
      </c>
      <c r="AP1378" s="3">
        <v>1830</v>
      </c>
      <c r="AQ1378" s="3">
        <v>3186</v>
      </c>
      <c r="AR1378" s="3">
        <v>0</v>
      </c>
      <c r="AS1378" s="3">
        <v>3132</v>
      </c>
      <c r="AT1378" s="3">
        <v>36</v>
      </c>
      <c r="AU1378" s="3">
        <v>1830</v>
      </c>
      <c r="AV1378" s="3">
        <v>2640</v>
      </c>
      <c r="AW1378" s="3">
        <v>456</v>
      </c>
    </row>
    <row r="1379" spans="1:49">
      <c r="A1379" s="4" t="s">
        <v>40</v>
      </c>
      <c r="B1379" s="4" t="str">
        <f t="shared" si="21"/>
        <v>Hair Care</v>
      </c>
      <c r="C1379" s="4" t="s">
        <v>1786</v>
      </c>
      <c r="D1379" s="4" t="s">
        <v>579</v>
      </c>
      <c r="E1379" s="24" t="s">
        <v>42</v>
      </c>
      <c r="F1379" s="12" t="s">
        <v>384</v>
      </c>
      <c r="G1379" s="4" t="s">
        <v>1787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372</v>
      </c>
      <c r="AT1379" s="3">
        <v>1056</v>
      </c>
      <c r="AU1379" s="3">
        <v>144</v>
      </c>
      <c r="AV1379" s="3">
        <v>204</v>
      </c>
      <c r="AW1379" s="3">
        <v>108</v>
      </c>
    </row>
    <row r="1380" spans="1:49">
      <c r="A1380" s="4" t="s">
        <v>40</v>
      </c>
      <c r="B1380" s="4" t="str">
        <f t="shared" si="21"/>
        <v>Hair Care</v>
      </c>
      <c r="C1380" s="4" t="s">
        <v>1786</v>
      </c>
      <c r="D1380" s="4" t="s">
        <v>579</v>
      </c>
      <c r="E1380" s="24" t="s">
        <v>42</v>
      </c>
      <c r="F1380" s="12" t="s">
        <v>385</v>
      </c>
      <c r="G1380" s="4" t="s">
        <v>1787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384</v>
      </c>
      <c r="AT1380" s="3">
        <v>2844</v>
      </c>
      <c r="AU1380" s="3">
        <v>936</v>
      </c>
      <c r="AV1380" s="3">
        <v>3270</v>
      </c>
      <c r="AW1380" s="3">
        <v>2772</v>
      </c>
    </row>
    <row r="1381" spans="1:49">
      <c r="A1381" s="4" t="s">
        <v>40</v>
      </c>
      <c r="B1381" s="4" t="str">
        <f t="shared" si="21"/>
        <v>Hair Care</v>
      </c>
      <c r="C1381" s="4" t="s">
        <v>1786</v>
      </c>
      <c r="D1381" s="4" t="s">
        <v>579</v>
      </c>
      <c r="E1381" s="24" t="s">
        <v>42</v>
      </c>
      <c r="F1381" s="12" t="s">
        <v>386</v>
      </c>
      <c r="G1381" s="4" t="s">
        <v>1787</v>
      </c>
      <c r="H1381" s="3">
        <v>48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</row>
    <row r="1382" spans="1:49">
      <c r="A1382" s="4" t="s">
        <v>40</v>
      </c>
      <c r="B1382" s="4" t="str">
        <f t="shared" si="21"/>
        <v>Hair Care</v>
      </c>
      <c r="C1382" s="4" t="s">
        <v>1786</v>
      </c>
      <c r="D1382" s="4" t="s">
        <v>579</v>
      </c>
      <c r="E1382" s="24" t="s">
        <v>387</v>
      </c>
      <c r="F1382" s="12" t="s">
        <v>389</v>
      </c>
      <c r="G1382" s="4" t="s">
        <v>1787</v>
      </c>
      <c r="H1382" s="3">
        <v>156</v>
      </c>
      <c r="I1382" s="3">
        <v>84</v>
      </c>
      <c r="J1382" s="3">
        <v>96</v>
      </c>
      <c r="K1382" s="3">
        <v>192</v>
      </c>
      <c r="L1382" s="3">
        <v>48</v>
      </c>
      <c r="M1382" s="3">
        <v>36</v>
      </c>
      <c r="N1382" s="3">
        <v>12</v>
      </c>
      <c r="O1382" s="3">
        <v>36</v>
      </c>
      <c r="P1382" s="3">
        <v>36</v>
      </c>
      <c r="Q1382" s="3">
        <v>96</v>
      </c>
      <c r="R1382" s="3">
        <v>144</v>
      </c>
      <c r="S1382" s="3">
        <v>252</v>
      </c>
      <c r="T1382" s="3">
        <v>72</v>
      </c>
      <c r="U1382" s="3">
        <v>24</v>
      </c>
      <c r="V1382" s="3">
        <v>72</v>
      </c>
      <c r="W1382" s="3">
        <v>12</v>
      </c>
      <c r="X1382" s="3">
        <v>96</v>
      </c>
      <c r="Y1382" s="3">
        <v>120</v>
      </c>
      <c r="Z1382" s="3">
        <v>27</v>
      </c>
      <c r="AA1382" s="3">
        <v>72</v>
      </c>
      <c r="AB1382" s="3">
        <v>24</v>
      </c>
      <c r="AC1382" s="3">
        <v>12</v>
      </c>
      <c r="AD1382" s="3">
        <v>12</v>
      </c>
      <c r="AE1382" s="3">
        <v>108</v>
      </c>
      <c r="AF1382" s="3">
        <v>84</v>
      </c>
      <c r="AG1382" s="3">
        <v>108</v>
      </c>
      <c r="AH1382" s="3">
        <v>12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60</v>
      </c>
      <c r="AO1382" s="3">
        <v>48</v>
      </c>
      <c r="AP1382" s="3">
        <v>108</v>
      </c>
      <c r="AQ1382" s="3">
        <v>177</v>
      </c>
      <c r="AR1382" s="3">
        <v>42</v>
      </c>
      <c r="AS1382" s="3">
        <v>96</v>
      </c>
      <c r="AT1382" s="3">
        <v>24</v>
      </c>
      <c r="AU1382" s="3">
        <v>0</v>
      </c>
      <c r="AV1382" s="3">
        <v>0</v>
      </c>
      <c r="AW1382" s="3">
        <v>0</v>
      </c>
    </row>
    <row r="1383" spans="1:49">
      <c r="A1383" s="4" t="s">
        <v>40</v>
      </c>
      <c r="B1383" s="4" t="str">
        <f t="shared" si="21"/>
        <v>Hair Care</v>
      </c>
      <c r="C1383" s="4" t="s">
        <v>1786</v>
      </c>
      <c r="D1383" s="4" t="s">
        <v>579</v>
      </c>
      <c r="E1383" s="24" t="s">
        <v>387</v>
      </c>
      <c r="F1383" s="12" t="s">
        <v>390</v>
      </c>
      <c r="G1383" s="4" t="s">
        <v>1787</v>
      </c>
      <c r="H1383" s="3">
        <v>108</v>
      </c>
      <c r="I1383" s="3">
        <v>108</v>
      </c>
      <c r="J1383" s="3">
        <v>108</v>
      </c>
      <c r="K1383" s="3">
        <v>180</v>
      </c>
      <c r="L1383" s="3">
        <v>132</v>
      </c>
      <c r="M1383" s="3">
        <v>24</v>
      </c>
      <c r="N1383" s="3">
        <v>36</v>
      </c>
      <c r="O1383" s="3">
        <v>48</v>
      </c>
      <c r="P1383" s="3">
        <v>12</v>
      </c>
      <c r="Q1383" s="3">
        <v>48</v>
      </c>
      <c r="R1383" s="3">
        <v>132</v>
      </c>
      <c r="S1383" s="3">
        <v>324</v>
      </c>
      <c r="T1383" s="3">
        <v>84</v>
      </c>
      <c r="U1383" s="3">
        <v>72</v>
      </c>
      <c r="V1383" s="3">
        <v>72</v>
      </c>
      <c r="W1383" s="3">
        <v>24</v>
      </c>
      <c r="X1383" s="3">
        <v>96</v>
      </c>
      <c r="Y1383" s="3">
        <v>114</v>
      </c>
      <c r="Z1383" s="3">
        <v>54</v>
      </c>
      <c r="AA1383" s="3">
        <v>87</v>
      </c>
      <c r="AB1383" s="3">
        <v>15</v>
      </c>
      <c r="AC1383" s="3">
        <v>30</v>
      </c>
      <c r="AD1383" s="3">
        <v>45</v>
      </c>
      <c r="AE1383" s="3">
        <v>114</v>
      </c>
      <c r="AF1383" s="3">
        <v>156</v>
      </c>
      <c r="AG1383" s="3">
        <v>48</v>
      </c>
      <c r="AH1383" s="3">
        <v>0</v>
      </c>
      <c r="AI1383" s="3">
        <v>129</v>
      </c>
      <c r="AJ1383" s="3">
        <v>60</v>
      </c>
      <c r="AK1383" s="3">
        <v>228</v>
      </c>
      <c r="AL1383" s="3">
        <v>36</v>
      </c>
      <c r="AM1383" s="3">
        <v>24</v>
      </c>
      <c r="AN1383" s="3">
        <v>33</v>
      </c>
      <c r="AO1383" s="3">
        <v>90</v>
      </c>
      <c r="AP1383" s="3">
        <v>36</v>
      </c>
      <c r="AQ1383" s="3">
        <v>0</v>
      </c>
      <c r="AR1383" s="3">
        <v>0</v>
      </c>
      <c r="AS1383" s="3">
        <v>0</v>
      </c>
      <c r="AT1383" s="3">
        <v>0</v>
      </c>
      <c r="AU1383" s="3">
        <v>204</v>
      </c>
      <c r="AV1383" s="3">
        <v>0</v>
      </c>
      <c r="AW1383" s="3">
        <v>0</v>
      </c>
    </row>
    <row r="1384" spans="1:49">
      <c r="A1384" s="4" t="s">
        <v>40</v>
      </c>
      <c r="B1384" s="4" t="str">
        <f t="shared" si="21"/>
        <v>Hair Care</v>
      </c>
      <c r="C1384" s="4" t="s">
        <v>1786</v>
      </c>
      <c r="D1384" s="4" t="s">
        <v>579</v>
      </c>
      <c r="E1384" s="24" t="s">
        <v>387</v>
      </c>
      <c r="F1384" s="12" t="s">
        <v>391</v>
      </c>
      <c r="G1384" s="4" t="s">
        <v>1787</v>
      </c>
      <c r="H1384" s="3">
        <v>156</v>
      </c>
      <c r="I1384" s="3">
        <v>300</v>
      </c>
      <c r="J1384" s="3">
        <v>180</v>
      </c>
      <c r="K1384" s="3">
        <v>36</v>
      </c>
      <c r="L1384" s="3">
        <v>108</v>
      </c>
      <c r="M1384" s="3">
        <v>24</v>
      </c>
      <c r="N1384" s="3">
        <v>12</v>
      </c>
      <c r="O1384" s="3">
        <v>12</v>
      </c>
      <c r="P1384" s="3">
        <v>36</v>
      </c>
      <c r="Q1384" s="3">
        <v>72</v>
      </c>
      <c r="R1384" s="3">
        <v>108</v>
      </c>
      <c r="S1384" s="3">
        <v>132</v>
      </c>
      <c r="T1384" s="3">
        <v>72</v>
      </c>
      <c r="U1384" s="3">
        <v>24</v>
      </c>
      <c r="V1384" s="3">
        <v>84</v>
      </c>
      <c r="W1384" s="3">
        <v>12</v>
      </c>
      <c r="X1384" s="3">
        <v>102</v>
      </c>
      <c r="Y1384" s="3">
        <v>102</v>
      </c>
      <c r="Z1384" s="3">
        <v>14</v>
      </c>
      <c r="AA1384" s="3">
        <v>69</v>
      </c>
      <c r="AB1384" s="3">
        <v>36</v>
      </c>
      <c r="AC1384" s="3">
        <v>12</v>
      </c>
      <c r="AD1384" s="3">
        <v>0</v>
      </c>
      <c r="AE1384" s="3">
        <v>48</v>
      </c>
      <c r="AF1384" s="3">
        <v>36</v>
      </c>
      <c r="AG1384" s="3">
        <v>111</v>
      </c>
      <c r="AH1384" s="3">
        <v>15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</row>
    <row r="1385" spans="1:49">
      <c r="A1385" s="4" t="s">
        <v>40</v>
      </c>
      <c r="B1385" s="4" t="str">
        <f t="shared" si="21"/>
        <v>Hair Care</v>
      </c>
      <c r="C1385" s="4" t="s">
        <v>1786</v>
      </c>
      <c r="D1385" s="4" t="s">
        <v>579</v>
      </c>
      <c r="E1385" s="24" t="s">
        <v>392</v>
      </c>
      <c r="F1385" s="12" t="s">
        <v>393</v>
      </c>
      <c r="G1385" s="4" t="s">
        <v>1787</v>
      </c>
      <c r="H1385" s="3">
        <v>288</v>
      </c>
      <c r="I1385" s="3">
        <v>321</v>
      </c>
      <c r="J1385" s="3">
        <v>138</v>
      </c>
      <c r="K1385" s="3">
        <v>207</v>
      </c>
      <c r="L1385" s="3">
        <v>0</v>
      </c>
      <c r="M1385" s="3">
        <v>0</v>
      </c>
      <c r="N1385" s="3">
        <v>0</v>
      </c>
      <c r="O1385" s="3">
        <v>0</v>
      </c>
      <c r="P1385" s="3">
        <v>357</v>
      </c>
      <c r="Q1385" s="3">
        <v>102</v>
      </c>
      <c r="R1385" s="3">
        <v>549</v>
      </c>
      <c r="S1385" s="3">
        <v>293</v>
      </c>
      <c r="T1385" s="3">
        <v>0</v>
      </c>
      <c r="U1385" s="3">
        <v>144</v>
      </c>
      <c r="V1385" s="3">
        <v>336</v>
      </c>
      <c r="W1385" s="3">
        <v>222</v>
      </c>
      <c r="X1385" s="3">
        <v>159</v>
      </c>
      <c r="Y1385" s="3">
        <v>165</v>
      </c>
      <c r="Z1385" s="3">
        <v>135</v>
      </c>
      <c r="AA1385" s="3">
        <v>153</v>
      </c>
      <c r="AB1385" s="3">
        <v>258</v>
      </c>
      <c r="AC1385" s="3">
        <v>36</v>
      </c>
      <c r="AD1385" s="3">
        <v>156</v>
      </c>
      <c r="AE1385" s="3">
        <v>453</v>
      </c>
      <c r="AF1385" s="3">
        <v>171</v>
      </c>
      <c r="AG1385" s="3">
        <v>201</v>
      </c>
      <c r="AH1385" s="3">
        <v>210</v>
      </c>
      <c r="AI1385" s="3">
        <v>0</v>
      </c>
      <c r="AJ1385" s="3">
        <v>0</v>
      </c>
      <c r="AK1385" s="3">
        <v>9</v>
      </c>
      <c r="AL1385" s="3">
        <v>54</v>
      </c>
      <c r="AM1385" s="3">
        <v>234</v>
      </c>
      <c r="AN1385" s="3">
        <v>0</v>
      </c>
      <c r="AO1385" s="3">
        <v>0</v>
      </c>
      <c r="AP1385" s="3">
        <v>456</v>
      </c>
      <c r="AQ1385" s="3">
        <v>441</v>
      </c>
      <c r="AR1385" s="3">
        <v>117</v>
      </c>
      <c r="AS1385" s="3">
        <v>198</v>
      </c>
      <c r="AT1385" s="3">
        <v>60</v>
      </c>
      <c r="AU1385" s="3">
        <v>714</v>
      </c>
      <c r="AV1385" s="3">
        <v>84</v>
      </c>
      <c r="AW1385" s="3">
        <v>198</v>
      </c>
    </row>
    <row r="1386" spans="1:49">
      <c r="A1386" s="4" t="s">
        <v>40</v>
      </c>
      <c r="B1386" s="4" t="str">
        <f t="shared" si="21"/>
        <v>Hair Care</v>
      </c>
      <c r="C1386" s="4" t="s">
        <v>1786</v>
      </c>
      <c r="D1386" s="4" t="s">
        <v>579</v>
      </c>
      <c r="E1386" s="24" t="s">
        <v>392</v>
      </c>
      <c r="F1386" s="12" t="s">
        <v>394</v>
      </c>
      <c r="G1386" s="4" t="s">
        <v>1787</v>
      </c>
      <c r="H1386" s="3">
        <v>69</v>
      </c>
      <c r="I1386" s="3">
        <v>0</v>
      </c>
      <c r="J1386" s="3">
        <v>105</v>
      </c>
      <c r="K1386" s="3">
        <v>96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393</v>
      </c>
      <c r="S1386" s="3">
        <v>6</v>
      </c>
      <c r="T1386" s="3">
        <v>0</v>
      </c>
      <c r="U1386" s="3">
        <v>144</v>
      </c>
      <c r="V1386" s="3">
        <v>306</v>
      </c>
      <c r="W1386" s="3">
        <v>195</v>
      </c>
      <c r="X1386" s="3">
        <v>81</v>
      </c>
      <c r="Y1386" s="3">
        <v>138</v>
      </c>
      <c r="Z1386" s="3">
        <v>60</v>
      </c>
      <c r="AA1386" s="3">
        <v>93</v>
      </c>
      <c r="AB1386" s="3">
        <v>147</v>
      </c>
      <c r="AC1386" s="3">
        <v>12</v>
      </c>
      <c r="AD1386" s="3">
        <v>90</v>
      </c>
      <c r="AE1386" s="3">
        <v>63</v>
      </c>
      <c r="AF1386" s="3">
        <v>0</v>
      </c>
      <c r="AG1386" s="3">
        <v>0</v>
      </c>
      <c r="AH1386" s="3">
        <v>366</v>
      </c>
      <c r="AI1386" s="3">
        <v>27</v>
      </c>
      <c r="AJ1386" s="3">
        <v>78</v>
      </c>
      <c r="AK1386" s="3">
        <v>36</v>
      </c>
      <c r="AL1386" s="3">
        <v>111</v>
      </c>
      <c r="AM1386" s="3">
        <v>72</v>
      </c>
      <c r="AN1386" s="3">
        <v>288</v>
      </c>
      <c r="AO1386" s="3">
        <v>210</v>
      </c>
      <c r="AP1386" s="3">
        <v>225</v>
      </c>
      <c r="AQ1386" s="3">
        <v>342</v>
      </c>
      <c r="AR1386" s="3">
        <v>159</v>
      </c>
      <c r="AS1386" s="3">
        <v>93</v>
      </c>
      <c r="AT1386" s="3">
        <v>78</v>
      </c>
      <c r="AU1386" s="3">
        <v>525</v>
      </c>
      <c r="AV1386" s="3">
        <v>42</v>
      </c>
      <c r="AW1386" s="3">
        <v>99</v>
      </c>
    </row>
    <row r="1387" spans="1:49">
      <c r="A1387" s="4" t="s">
        <v>40</v>
      </c>
      <c r="B1387" s="4" t="str">
        <f t="shared" si="21"/>
        <v>Hair Care</v>
      </c>
      <c r="C1387" s="4" t="s">
        <v>1786</v>
      </c>
      <c r="D1387" s="4" t="s">
        <v>579</v>
      </c>
      <c r="E1387" s="24" t="s">
        <v>392</v>
      </c>
      <c r="F1387" s="12" t="s">
        <v>395</v>
      </c>
      <c r="G1387" s="4" t="s">
        <v>1787</v>
      </c>
      <c r="H1387" s="3">
        <v>96</v>
      </c>
      <c r="I1387" s="3">
        <v>0</v>
      </c>
      <c r="J1387" s="3">
        <v>90</v>
      </c>
      <c r="K1387" s="3">
        <v>48</v>
      </c>
      <c r="L1387" s="3">
        <v>54</v>
      </c>
      <c r="M1387" s="3">
        <v>132</v>
      </c>
      <c r="N1387" s="3">
        <v>42</v>
      </c>
      <c r="O1387" s="3">
        <v>24</v>
      </c>
      <c r="P1387" s="3">
        <v>96</v>
      </c>
      <c r="Q1387" s="3">
        <v>0</v>
      </c>
      <c r="R1387" s="3">
        <v>153</v>
      </c>
      <c r="S1387" s="3">
        <v>114</v>
      </c>
      <c r="T1387" s="3">
        <v>36</v>
      </c>
      <c r="U1387" s="3">
        <v>156</v>
      </c>
      <c r="V1387" s="3">
        <v>24</v>
      </c>
      <c r="W1387" s="3">
        <v>0</v>
      </c>
      <c r="X1387" s="3">
        <v>0</v>
      </c>
      <c r="Y1387" s="3">
        <v>6</v>
      </c>
      <c r="Z1387" s="3">
        <v>66</v>
      </c>
      <c r="AA1387" s="3">
        <v>27</v>
      </c>
      <c r="AB1387" s="3">
        <v>90</v>
      </c>
      <c r="AC1387" s="3">
        <v>0</v>
      </c>
      <c r="AD1387" s="3">
        <v>24</v>
      </c>
      <c r="AE1387" s="3">
        <v>126</v>
      </c>
      <c r="AF1387" s="3">
        <v>54</v>
      </c>
      <c r="AG1387" s="3">
        <v>0</v>
      </c>
      <c r="AH1387" s="3">
        <v>0</v>
      </c>
      <c r="AI1387" s="3">
        <v>0</v>
      </c>
      <c r="AJ1387" s="3">
        <v>18</v>
      </c>
      <c r="AK1387" s="3">
        <v>114</v>
      </c>
      <c r="AL1387" s="3">
        <v>12</v>
      </c>
      <c r="AM1387" s="3">
        <v>0</v>
      </c>
      <c r="AN1387" s="3">
        <v>0</v>
      </c>
      <c r="AO1387" s="3">
        <v>12</v>
      </c>
      <c r="AP1387" s="3">
        <v>42</v>
      </c>
      <c r="AQ1387" s="3">
        <v>162</v>
      </c>
      <c r="AR1387" s="3">
        <v>0</v>
      </c>
      <c r="AS1387" s="3">
        <v>0</v>
      </c>
      <c r="AT1387" s="3">
        <v>0</v>
      </c>
      <c r="AU1387" s="3">
        <v>216</v>
      </c>
      <c r="AV1387" s="3">
        <v>60</v>
      </c>
      <c r="AW1387" s="3">
        <v>45</v>
      </c>
    </row>
    <row r="1388" spans="1:49">
      <c r="A1388" s="4" t="s">
        <v>40</v>
      </c>
      <c r="B1388" s="4" t="str">
        <f t="shared" si="21"/>
        <v>Hair Care</v>
      </c>
      <c r="C1388" s="4" t="s">
        <v>1786</v>
      </c>
      <c r="D1388" s="4" t="s">
        <v>579</v>
      </c>
      <c r="E1388" s="24" t="s">
        <v>392</v>
      </c>
      <c r="F1388" s="12" t="s">
        <v>396</v>
      </c>
      <c r="G1388" s="4" t="s">
        <v>1787</v>
      </c>
      <c r="H1388" s="3">
        <v>432</v>
      </c>
      <c r="I1388" s="3">
        <v>0</v>
      </c>
      <c r="J1388" s="3">
        <v>420</v>
      </c>
      <c r="K1388" s="3">
        <v>204</v>
      </c>
      <c r="L1388" s="3">
        <v>249</v>
      </c>
      <c r="M1388" s="3">
        <v>192</v>
      </c>
      <c r="N1388" s="3">
        <v>276</v>
      </c>
      <c r="O1388" s="3">
        <v>270</v>
      </c>
      <c r="P1388" s="3">
        <v>471</v>
      </c>
      <c r="Q1388" s="3">
        <v>378</v>
      </c>
      <c r="R1388" s="3">
        <v>279</v>
      </c>
      <c r="S1388" s="3">
        <v>417</v>
      </c>
      <c r="T1388" s="3">
        <v>498</v>
      </c>
      <c r="U1388" s="3">
        <v>171</v>
      </c>
      <c r="V1388" s="3">
        <v>525</v>
      </c>
      <c r="W1388" s="3">
        <v>270</v>
      </c>
      <c r="X1388" s="3">
        <v>102</v>
      </c>
      <c r="Y1388" s="3">
        <v>210</v>
      </c>
      <c r="Z1388" s="3">
        <v>129</v>
      </c>
      <c r="AA1388" s="3">
        <v>180</v>
      </c>
      <c r="AB1388" s="3">
        <v>315</v>
      </c>
      <c r="AC1388" s="3">
        <v>30</v>
      </c>
      <c r="AD1388" s="3">
        <v>237</v>
      </c>
      <c r="AE1388" s="3">
        <v>387</v>
      </c>
      <c r="AF1388" s="3">
        <v>312</v>
      </c>
      <c r="AG1388" s="3">
        <v>0</v>
      </c>
      <c r="AH1388" s="3">
        <v>0</v>
      </c>
      <c r="AI1388" s="3">
        <v>339</v>
      </c>
      <c r="AJ1388" s="3">
        <v>321</v>
      </c>
      <c r="AK1388" s="3">
        <v>54</v>
      </c>
      <c r="AL1388" s="3">
        <v>105</v>
      </c>
      <c r="AM1388" s="3">
        <v>0</v>
      </c>
      <c r="AN1388" s="3">
        <v>0</v>
      </c>
      <c r="AO1388" s="3">
        <v>114</v>
      </c>
      <c r="AP1388" s="3">
        <v>288</v>
      </c>
      <c r="AQ1388" s="3">
        <v>30</v>
      </c>
      <c r="AR1388" s="3">
        <v>84</v>
      </c>
      <c r="AS1388" s="3">
        <v>6</v>
      </c>
      <c r="AT1388" s="3">
        <v>51</v>
      </c>
      <c r="AU1388" s="3">
        <v>540</v>
      </c>
      <c r="AV1388" s="3">
        <v>120</v>
      </c>
      <c r="AW1388" s="3">
        <v>222</v>
      </c>
    </row>
    <row r="1389" spans="1:49">
      <c r="A1389" s="4" t="s">
        <v>35</v>
      </c>
      <c r="B1389" s="4" t="str">
        <f t="shared" si="21"/>
        <v>Hair Color</v>
      </c>
      <c r="C1389" s="4" t="s">
        <v>1786</v>
      </c>
      <c r="D1389" s="4" t="s">
        <v>579</v>
      </c>
      <c r="E1389" s="24" t="s">
        <v>44</v>
      </c>
      <c r="F1389" s="12" t="s">
        <v>397</v>
      </c>
      <c r="G1389" s="4" t="s">
        <v>1787</v>
      </c>
      <c r="H1389" s="3">
        <v>93</v>
      </c>
      <c r="I1389" s="3">
        <v>33</v>
      </c>
      <c r="J1389" s="3">
        <v>69</v>
      </c>
      <c r="K1389" s="3">
        <v>36</v>
      </c>
      <c r="L1389" s="3">
        <v>87</v>
      </c>
      <c r="M1389" s="3">
        <v>180</v>
      </c>
      <c r="N1389" s="3">
        <v>18</v>
      </c>
      <c r="O1389" s="3">
        <v>39</v>
      </c>
      <c r="P1389" s="3">
        <v>87</v>
      </c>
      <c r="Q1389" s="3">
        <v>63</v>
      </c>
      <c r="R1389" s="3">
        <v>99</v>
      </c>
      <c r="S1389" s="3">
        <v>24</v>
      </c>
      <c r="T1389" s="3">
        <v>117</v>
      </c>
      <c r="U1389" s="3">
        <v>3</v>
      </c>
      <c r="V1389" s="3">
        <v>132</v>
      </c>
      <c r="W1389" s="3">
        <v>30</v>
      </c>
      <c r="X1389" s="3">
        <v>87</v>
      </c>
      <c r="Y1389" s="3">
        <v>99</v>
      </c>
      <c r="Z1389" s="3">
        <v>15</v>
      </c>
      <c r="AA1389" s="3">
        <v>72</v>
      </c>
      <c r="AB1389" s="3">
        <v>87</v>
      </c>
      <c r="AC1389" s="3">
        <v>99</v>
      </c>
      <c r="AD1389" s="3">
        <v>27</v>
      </c>
      <c r="AE1389" s="3">
        <v>66</v>
      </c>
      <c r="AF1389" s="3">
        <v>33</v>
      </c>
      <c r="AG1389" s="3">
        <v>132</v>
      </c>
      <c r="AH1389" s="3">
        <v>0</v>
      </c>
      <c r="AI1389" s="3">
        <v>15</v>
      </c>
      <c r="AJ1389" s="3">
        <v>3</v>
      </c>
      <c r="AK1389" s="3">
        <v>108</v>
      </c>
      <c r="AL1389" s="3">
        <v>39</v>
      </c>
      <c r="AM1389" s="3">
        <v>54</v>
      </c>
      <c r="AN1389" s="3">
        <v>63</v>
      </c>
      <c r="AO1389" s="3">
        <v>45</v>
      </c>
      <c r="AP1389" s="3">
        <v>102</v>
      </c>
      <c r="AQ1389" s="3">
        <v>33</v>
      </c>
      <c r="AR1389" s="3">
        <v>18</v>
      </c>
      <c r="AS1389" s="3">
        <v>33</v>
      </c>
      <c r="AT1389" s="3">
        <v>30</v>
      </c>
      <c r="AU1389" s="3">
        <v>114</v>
      </c>
      <c r="AV1389" s="3">
        <v>33</v>
      </c>
      <c r="AW1389" s="3">
        <v>42</v>
      </c>
    </row>
    <row r="1390" spans="1:49">
      <c r="A1390" s="4" t="s">
        <v>35</v>
      </c>
      <c r="B1390" s="4" t="str">
        <f t="shared" si="21"/>
        <v>Hair Color</v>
      </c>
      <c r="C1390" s="4" t="s">
        <v>1786</v>
      </c>
      <c r="D1390" s="4" t="s">
        <v>579</v>
      </c>
      <c r="E1390" s="24" t="s">
        <v>44</v>
      </c>
      <c r="F1390" s="12" t="s">
        <v>398</v>
      </c>
      <c r="G1390" s="4" t="s">
        <v>1787</v>
      </c>
      <c r="H1390" s="3">
        <v>51</v>
      </c>
      <c r="I1390" s="3">
        <v>9</v>
      </c>
      <c r="J1390" s="3">
        <v>12</v>
      </c>
      <c r="K1390" s="3">
        <v>57</v>
      </c>
      <c r="L1390" s="3">
        <v>72</v>
      </c>
      <c r="M1390" s="3">
        <v>87</v>
      </c>
      <c r="N1390" s="3">
        <v>9</v>
      </c>
      <c r="O1390" s="3">
        <v>3</v>
      </c>
      <c r="P1390" s="3">
        <v>51</v>
      </c>
      <c r="Q1390" s="3">
        <v>69</v>
      </c>
      <c r="R1390" s="3">
        <v>60</v>
      </c>
      <c r="S1390" s="3">
        <v>0</v>
      </c>
      <c r="T1390" s="3">
        <v>66</v>
      </c>
      <c r="U1390" s="3">
        <v>6</v>
      </c>
      <c r="V1390" s="3">
        <v>72</v>
      </c>
      <c r="W1390" s="3">
        <v>0</v>
      </c>
      <c r="X1390" s="3">
        <v>63</v>
      </c>
      <c r="Y1390" s="3">
        <v>24</v>
      </c>
      <c r="Z1390" s="3">
        <v>0</v>
      </c>
      <c r="AA1390" s="3">
        <v>24</v>
      </c>
      <c r="AB1390" s="3">
        <v>42</v>
      </c>
      <c r="AC1390" s="3">
        <v>27</v>
      </c>
      <c r="AD1390" s="3">
        <v>54</v>
      </c>
      <c r="AE1390" s="3">
        <v>45</v>
      </c>
      <c r="AF1390" s="3">
        <v>15</v>
      </c>
      <c r="AG1390" s="3">
        <v>48</v>
      </c>
      <c r="AH1390" s="3">
        <v>0</v>
      </c>
      <c r="AI1390" s="3">
        <v>6</v>
      </c>
      <c r="AJ1390" s="3">
        <v>0</v>
      </c>
      <c r="AK1390" s="3">
        <v>75</v>
      </c>
      <c r="AL1390" s="3">
        <v>9</v>
      </c>
      <c r="AM1390" s="3">
        <v>48</v>
      </c>
      <c r="AN1390" s="3">
        <v>75</v>
      </c>
      <c r="AO1390" s="3">
        <v>15</v>
      </c>
      <c r="AP1390" s="3">
        <v>66</v>
      </c>
      <c r="AQ1390" s="3">
        <v>0</v>
      </c>
      <c r="AR1390" s="3">
        <v>72</v>
      </c>
      <c r="AS1390" s="3">
        <v>15</v>
      </c>
      <c r="AT1390" s="3">
        <v>42</v>
      </c>
      <c r="AU1390" s="3">
        <v>36</v>
      </c>
      <c r="AV1390" s="3">
        <v>51</v>
      </c>
      <c r="AW1390" s="3">
        <v>15</v>
      </c>
    </row>
    <row r="1391" spans="1:49">
      <c r="A1391" s="4" t="s">
        <v>35</v>
      </c>
      <c r="B1391" s="4" t="str">
        <f t="shared" si="21"/>
        <v>Hair Color</v>
      </c>
      <c r="C1391" s="4" t="s">
        <v>1786</v>
      </c>
      <c r="D1391" s="4" t="s">
        <v>579</v>
      </c>
      <c r="E1391" s="24" t="s">
        <v>44</v>
      </c>
      <c r="F1391" s="12" t="s">
        <v>399</v>
      </c>
      <c r="G1391" s="4" t="s">
        <v>1787</v>
      </c>
      <c r="H1391" s="3">
        <v>174</v>
      </c>
      <c r="I1391" s="3">
        <v>156</v>
      </c>
      <c r="J1391" s="3">
        <v>126</v>
      </c>
      <c r="K1391" s="3">
        <v>0</v>
      </c>
      <c r="L1391" s="3">
        <v>177</v>
      </c>
      <c r="M1391" s="3">
        <v>420</v>
      </c>
      <c r="N1391" s="3">
        <v>30</v>
      </c>
      <c r="O1391" s="3">
        <v>120</v>
      </c>
      <c r="P1391" s="3">
        <v>216</v>
      </c>
      <c r="Q1391" s="3">
        <v>123</v>
      </c>
      <c r="R1391" s="3">
        <v>183</v>
      </c>
      <c r="S1391" s="3">
        <v>75</v>
      </c>
      <c r="T1391" s="3">
        <v>258</v>
      </c>
      <c r="U1391" s="3">
        <v>24</v>
      </c>
      <c r="V1391" s="3">
        <v>141</v>
      </c>
      <c r="W1391" s="3">
        <v>114</v>
      </c>
      <c r="X1391" s="3">
        <v>219</v>
      </c>
      <c r="Y1391" s="3">
        <v>204</v>
      </c>
      <c r="Z1391" s="3">
        <v>6</v>
      </c>
      <c r="AA1391" s="3">
        <v>105</v>
      </c>
      <c r="AB1391" s="3">
        <v>162</v>
      </c>
      <c r="AC1391" s="3">
        <v>0</v>
      </c>
      <c r="AD1391" s="3">
        <v>6</v>
      </c>
      <c r="AE1391" s="3">
        <v>267</v>
      </c>
      <c r="AF1391" s="3">
        <v>144</v>
      </c>
      <c r="AG1391" s="3">
        <v>264</v>
      </c>
      <c r="AH1391" s="3">
        <v>9</v>
      </c>
      <c r="AI1391" s="3">
        <v>21</v>
      </c>
      <c r="AJ1391" s="3">
        <v>3</v>
      </c>
      <c r="AK1391" s="3">
        <v>333</v>
      </c>
      <c r="AL1391" s="3">
        <v>39</v>
      </c>
      <c r="AM1391" s="3">
        <v>150</v>
      </c>
      <c r="AN1391" s="3">
        <v>231</v>
      </c>
      <c r="AO1391" s="3">
        <v>60</v>
      </c>
      <c r="AP1391" s="3">
        <v>297</v>
      </c>
      <c r="AQ1391" s="3">
        <v>96</v>
      </c>
      <c r="AR1391" s="3">
        <v>111</v>
      </c>
      <c r="AS1391" s="3">
        <v>54</v>
      </c>
      <c r="AT1391" s="3">
        <v>60</v>
      </c>
      <c r="AU1391" s="3">
        <v>207</v>
      </c>
      <c r="AV1391" s="3">
        <v>108</v>
      </c>
      <c r="AW1391" s="3">
        <v>90</v>
      </c>
    </row>
    <row r="1392" spans="1:49">
      <c r="A1392" s="4" t="s">
        <v>35</v>
      </c>
      <c r="B1392" s="4" t="str">
        <f t="shared" si="21"/>
        <v>Hair Color</v>
      </c>
      <c r="C1392" s="4" t="s">
        <v>1786</v>
      </c>
      <c r="D1392" s="4" t="s">
        <v>579</v>
      </c>
      <c r="E1392" s="24" t="s">
        <v>44</v>
      </c>
      <c r="F1392" s="12" t="s">
        <v>400</v>
      </c>
      <c r="G1392" s="4" t="s">
        <v>1787</v>
      </c>
      <c r="H1392" s="3">
        <v>30</v>
      </c>
      <c r="I1392" s="3">
        <v>69</v>
      </c>
      <c r="J1392" s="3">
        <v>63</v>
      </c>
      <c r="K1392" s="3">
        <v>51</v>
      </c>
      <c r="L1392" s="3">
        <v>153</v>
      </c>
      <c r="M1392" s="3">
        <v>183</v>
      </c>
      <c r="N1392" s="3">
        <v>66</v>
      </c>
      <c r="O1392" s="3">
        <v>39</v>
      </c>
      <c r="P1392" s="3">
        <v>96</v>
      </c>
      <c r="Q1392" s="3">
        <v>129</v>
      </c>
      <c r="R1392" s="3">
        <v>126</v>
      </c>
      <c r="S1392" s="3">
        <v>12</v>
      </c>
      <c r="T1392" s="3">
        <v>102</v>
      </c>
      <c r="U1392" s="3">
        <v>15</v>
      </c>
      <c r="V1392" s="3">
        <v>126</v>
      </c>
      <c r="W1392" s="3">
        <v>21</v>
      </c>
      <c r="X1392" s="3">
        <v>138</v>
      </c>
      <c r="Y1392" s="3">
        <v>63</v>
      </c>
      <c r="Z1392" s="3">
        <v>39</v>
      </c>
      <c r="AA1392" s="3">
        <v>102</v>
      </c>
      <c r="AB1392" s="3">
        <v>198</v>
      </c>
      <c r="AC1392" s="3">
        <v>9</v>
      </c>
      <c r="AD1392" s="3">
        <v>81</v>
      </c>
      <c r="AE1392" s="3">
        <v>54</v>
      </c>
      <c r="AF1392" s="3">
        <v>78</v>
      </c>
      <c r="AG1392" s="3">
        <v>135</v>
      </c>
      <c r="AH1392" s="3">
        <v>0</v>
      </c>
      <c r="AI1392" s="3">
        <v>27</v>
      </c>
      <c r="AJ1392" s="3">
        <v>9</v>
      </c>
      <c r="AK1392" s="3">
        <v>156</v>
      </c>
      <c r="AL1392" s="3">
        <v>39</v>
      </c>
      <c r="AM1392" s="3">
        <v>69</v>
      </c>
      <c r="AN1392" s="3">
        <v>159</v>
      </c>
      <c r="AO1392" s="3">
        <v>45</v>
      </c>
      <c r="AP1392" s="3">
        <v>153</v>
      </c>
      <c r="AQ1392" s="3">
        <v>51</v>
      </c>
      <c r="AR1392" s="3">
        <v>150</v>
      </c>
      <c r="AS1392" s="3">
        <v>66</v>
      </c>
      <c r="AT1392" s="3">
        <v>30</v>
      </c>
      <c r="AU1392" s="3">
        <v>138</v>
      </c>
      <c r="AV1392" s="3">
        <v>81</v>
      </c>
      <c r="AW1392" s="3">
        <v>42</v>
      </c>
    </row>
    <row r="1393" spans="1:49">
      <c r="A1393" s="4" t="s">
        <v>35</v>
      </c>
      <c r="B1393" s="4" t="str">
        <f t="shared" si="21"/>
        <v>Hair Color</v>
      </c>
      <c r="C1393" s="4" t="s">
        <v>1786</v>
      </c>
      <c r="D1393" s="4" t="s">
        <v>579</v>
      </c>
      <c r="E1393" s="24" t="s">
        <v>44</v>
      </c>
      <c r="F1393" s="12" t="s">
        <v>401</v>
      </c>
      <c r="G1393" s="4" t="s">
        <v>1787</v>
      </c>
      <c r="H1393" s="3">
        <v>120</v>
      </c>
      <c r="I1393" s="3">
        <v>39</v>
      </c>
      <c r="J1393" s="3">
        <v>39</v>
      </c>
      <c r="K1393" s="3">
        <v>45</v>
      </c>
      <c r="L1393" s="3">
        <v>75</v>
      </c>
      <c r="M1393" s="3">
        <v>138</v>
      </c>
      <c r="N1393" s="3">
        <v>18</v>
      </c>
      <c r="O1393" s="3">
        <v>33</v>
      </c>
      <c r="P1393" s="3">
        <v>84</v>
      </c>
      <c r="Q1393" s="3">
        <v>60</v>
      </c>
      <c r="R1393" s="3">
        <v>87</v>
      </c>
      <c r="S1393" s="3">
        <v>24</v>
      </c>
      <c r="T1393" s="3">
        <v>114</v>
      </c>
      <c r="U1393" s="3">
        <v>12</v>
      </c>
      <c r="V1393" s="3">
        <v>21</v>
      </c>
      <c r="W1393" s="3">
        <v>39</v>
      </c>
      <c r="X1393" s="3">
        <v>84</v>
      </c>
      <c r="Y1393" s="3">
        <v>195</v>
      </c>
      <c r="Z1393" s="3">
        <v>6</v>
      </c>
      <c r="AA1393" s="3">
        <v>3</v>
      </c>
      <c r="AB1393" s="3">
        <v>9</v>
      </c>
      <c r="AC1393" s="3">
        <v>9</v>
      </c>
      <c r="AD1393" s="3">
        <v>78</v>
      </c>
      <c r="AE1393" s="3">
        <v>21</v>
      </c>
      <c r="AF1393" s="3">
        <v>27</v>
      </c>
      <c r="AG1393" s="3">
        <v>96</v>
      </c>
      <c r="AH1393" s="3">
        <v>3</v>
      </c>
      <c r="AI1393" s="3">
        <v>6</v>
      </c>
      <c r="AJ1393" s="3">
        <v>0</v>
      </c>
      <c r="AK1393" s="3">
        <v>87</v>
      </c>
      <c r="AL1393" s="3">
        <v>36</v>
      </c>
      <c r="AM1393" s="3">
        <v>66</v>
      </c>
      <c r="AN1393" s="3">
        <v>105</v>
      </c>
      <c r="AO1393" s="3">
        <v>9</v>
      </c>
      <c r="AP1393" s="3">
        <v>117</v>
      </c>
      <c r="AQ1393" s="3">
        <v>57</v>
      </c>
      <c r="AR1393" s="3">
        <v>21</v>
      </c>
      <c r="AS1393" s="3">
        <v>69</v>
      </c>
      <c r="AT1393" s="3">
        <v>9</v>
      </c>
      <c r="AU1393" s="3">
        <v>105</v>
      </c>
      <c r="AV1393" s="3">
        <v>12</v>
      </c>
      <c r="AW1393" s="3">
        <v>15</v>
      </c>
    </row>
    <row r="1394" spans="1:49">
      <c r="A1394" s="4" t="s">
        <v>35</v>
      </c>
      <c r="B1394" s="4" t="str">
        <f t="shared" si="21"/>
        <v>Hair Color</v>
      </c>
      <c r="C1394" s="4" t="s">
        <v>1786</v>
      </c>
      <c r="D1394" s="4" t="s">
        <v>579</v>
      </c>
      <c r="E1394" s="24" t="s">
        <v>44</v>
      </c>
      <c r="F1394" s="12" t="s">
        <v>402</v>
      </c>
      <c r="G1394" s="4" t="s">
        <v>1787</v>
      </c>
      <c r="H1394" s="3">
        <v>171</v>
      </c>
      <c r="I1394" s="3">
        <v>153</v>
      </c>
      <c r="J1394" s="3">
        <v>150</v>
      </c>
      <c r="K1394" s="3">
        <v>48</v>
      </c>
      <c r="L1394" s="3">
        <v>182</v>
      </c>
      <c r="M1394" s="3">
        <v>429</v>
      </c>
      <c r="N1394" s="3">
        <v>69</v>
      </c>
      <c r="O1394" s="3">
        <v>129</v>
      </c>
      <c r="P1394" s="3">
        <v>132</v>
      </c>
      <c r="Q1394" s="3">
        <v>129</v>
      </c>
      <c r="R1394" s="3">
        <v>174</v>
      </c>
      <c r="S1394" s="3">
        <v>42</v>
      </c>
      <c r="T1394" s="3">
        <v>261</v>
      </c>
      <c r="U1394" s="3">
        <v>21</v>
      </c>
      <c r="V1394" s="3">
        <v>183</v>
      </c>
      <c r="W1394" s="3">
        <v>75</v>
      </c>
      <c r="X1394" s="3">
        <v>195</v>
      </c>
      <c r="Y1394" s="3">
        <v>342</v>
      </c>
      <c r="Z1394" s="3">
        <v>21</v>
      </c>
      <c r="AA1394" s="3">
        <v>15</v>
      </c>
      <c r="AB1394" s="3">
        <v>225</v>
      </c>
      <c r="AC1394" s="3">
        <v>63</v>
      </c>
      <c r="AD1394" s="3">
        <v>0</v>
      </c>
      <c r="AE1394" s="3">
        <v>200</v>
      </c>
      <c r="AF1394" s="3">
        <v>60</v>
      </c>
      <c r="AG1394" s="3">
        <v>213</v>
      </c>
      <c r="AH1394" s="3">
        <v>3</v>
      </c>
      <c r="AI1394" s="3">
        <v>15</v>
      </c>
      <c r="AJ1394" s="3">
        <v>9</v>
      </c>
      <c r="AK1394" s="3">
        <v>300</v>
      </c>
      <c r="AL1394" s="3">
        <v>12</v>
      </c>
      <c r="AM1394" s="3">
        <v>111</v>
      </c>
      <c r="AN1394" s="3">
        <v>201</v>
      </c>
      <c r="AO1394" s="3">
        <v>60</v>
      </c>
      <c r="AP1394" s="3">
        <v>225</v>
      </c>
      <c r="AQ1394" s="3">
        <v>66</v>
      </c>
      <c r="AR1394" s="3">
        <v>156</v>
      </c>
      <c r="AS1394" s="3">
        <v>105</v>
      </c>
      <c r="AT1394" s="3">
        <v>42</v>
      </c>
      <c r="AU1394" s="3">
        <v>6</v>
      </c>
      <c r="AV1394" s="3">
        <v>156</v>
      </c>
      <c r="AW1394" s="3">
        <v>132</v>
      </c>
    </row>
    <row r="1395" spans="1:49">
      <c r="A1395" s="4" t="s">
        <v>35</v>
      </c>
      <c r="B1395" s="4" t="str">
        <f t="shared" si="21"/>
        <v>Hair Color</v>
      </c>
      <c r="C1395" s="4" t="s">
        <v>1786</v>
      </c>
      <c r="D1395" s="4" t="s">
        <v>579</v>
      </c>
      <c r="E1395" s="24" t="s">
        <v>44</v>
      </c>
      <c r="F1395" s="12" t="s">
        <v>403</v>
      </c>
      <c r="G1395" s="4" t="s">
        <v>1787</v>
      </c>
      <c r="H1395" s="3">
        <v>27</v>
      </c>
      <c r="I1395" s="3">
        <v>45</v>
      </c>
      <c r="J1395" s="3">
        <v>12</v>
      </c>
      <c r="K1395" s="3">
        <v>0</v>
      </c>
      <c r="L1395" s="3">
        <v>43</v>
      </c>
      <c r="M1395" s="3">
        <v>123</v>
      </c>
      <c r="N1395" s="3">
        <v>45</v>
      </c>
      <c r="O1395" s="3">
        <v>30</v>
      </c>
      <c r="P1395" s="3">
        <v>51</v>
      </c>
      <c r="Q1395" s="3">
        <v>63</v>
      </c>
      <c r="R1395" s="3">
        <v>12</v>
      </c>
      <c r="S1395" s="3">
        <v>3</v>
      </c>
      <c r="T1395" s="3">
        <v>63</v>
      </c>
      <c r="U1395" s="3">
        <v>21</v>
      </c>
      <c r="V1395" s="3">
        <v>66</v>
      </c>
      <c r="W1395" s="3">
        <v>15</v>
      </c>
      <c r="X1395" s="3">
        <v>60</v>
      </c>
      <c r="Y1395" s="3">
        <v>0</v>
      </c>
      <c r="Z1395" s="3">
        <v>30</v>
      </c>
      <c r="AA1395" s="3">
        <v>51</v>
      </c>
      <c r="AB1395" s="3">
        <v>96</v>
      </c>
      <c r="AC1395" s="3">
        <v>18</v>
      </c>
      <c r="AD1395" s="3">
        <v>39</v>
      </c>
      <c r="AE1395" s="3">
        <v>21</v>
      </c>
      <c r="AF1395" s="3">
        <v>6</v>
      </c>
      <c r="AG1395" s="3">
        <v>105</v>
      </c>
      <c r="AH1395" s="3">
        <v>3</v>
      </c>
      <c r="AI1395" s="3">
        <v>9</v>
      </c>
      <c r="AJ1395" s="3">
        <v>6</v>
      </c>
      <c r="AK1395" s="3">
        <v>66</v>
      </c>
      <c r="AL1395" s="3">
        <v>3</v>
      </c>
      <c r="AM1395" s="3">
        <v>33</v>
      </c>
      <c r="AN1395" s="3">
        <v>36</v>
      </c>
      <c r="AO1395" s="3">
        <v>48</v>
      </c>
      <c r="AP1395" s="3">
        <v>96</v>
      </c>
      <c r="AQ1395" s="3">
        <v>0</v>
      </c>
      <c r="AR1395" s="3">
        <v>45</v>
      </c>
      <c r="AS1395" s="3">
        <v>33</v>
      </c>
      <c r="AT1395" s="3">
        <v>12</v>
      </c>
      <c r="AU1395" s="3">
        <v>27</v>
      </c>
      <c r="AV1395" s="3">
        <v>102</v>
      </c>
      <c r="AW1395" s="3">
        <v>18</v>
      </c>
    </row>
    <row r="1396" spans="1:49">
      <c r="A1396" s="4" t="s">
        <v>35</v>
      </c>
      <c r="B1396" s="4" t="str">
        <f t="shared" si="21"/>
        <v>Hair Color</v>
      </c>
      <c r="C1396" s="4" t="s">
        <v>1786</v>
      </c>
      <c r="D1396" s="4" t="s">
        <v>579</v>
      </c>
      <c r="E1396" s="24" t="s">
        <v>44</v>
      </c>
      <c r="F1396" s="12" t="s">
        <v>404</v>
      </c>
      <c r="G1396" s="4" t="s">
        <v>1787</v>
      </c>
      <c r="H1396" s="3">
        <v>33</v>
      </c>
      <c r="I1396" s="3">
        <v>21</v>
      </c>
      <c r="J1396" s="3">
        <v>36</v>
      </c>
      <c r="K1396" s="3">
        <v>48</v>
      </c>
      <c r="L1396" s="3">
        <v>60</v>
      </c>
      <c r="M1396" s="3">
        <v>114</v>
      </c>
      <c r="N1396" s="3">
        <v>12</v>
      </c>
      <c r="O1396" s="3">
        <v>36</v>
      </c>
      <c r="P1396" s="3">
        <v>6</v>
      </c>
      <c r="Q1396" s="3">
        <v>63</v>
      </c>
      <c r="R1396" s="3">
        <v>54</v>
      </c>
      <c r="S1396" s="3">
        <v>12</v>
      </c>
      <c r="T1396" s="3">
        <v>123</v>
      </c>
      <c r="U1396" s="3">
        <v>9</v>
      </c>
      <c r="V1396" s="3">
        <v>69</v>
      </c>
      <c r="W1396" s="3">
        <v>3</v>
      </c>
      <c r="X1396" s="3">
        <v>69</v>
      </c>
      <c r="Y1396" s="3">
        <v>24</v>
      </c>
      <c r="Z1396" s="3">
        <v>6</v>
      </c>
      <c r="AA1396" s="3">
        <v>24</v>
      </c>
      <c r="AB1396" s="3">
        <v>60</v>
      </c>
      <c r="AC1396" s="3">
        <v>30</v>
      </c>
      <c r="AD1396" s="3">
        <v>54</v>
      </c>
      <c r="AE1396" s="3">
        <v>45</v>
      </c>
      <c r="AF1396" s="3">
        <v>12</v>
      </c>
      <c r="AG1396" s="3">
        <v>93</v>
      </c>
      <c r="AH1396" s="3">
        <v>0</v>
      </c>
      <c r="AI1396" s="3">
        <v>3</v>
      </c>
      <c r="AJ1396" s="3">
        <v>3</v>
      </c>
      <c r="AK1396" s="3">
        <v>75</v>
      </c>
      <c r="AL1396" s="3">
        <v>12</v>
      </c>
      <c r="AM1396" s="3">
        <v>24</v>
      </c>
      <c r="AN1396" s="3">
        <v>57</v>
      </c>
      <c r="AO1396" s="3">
        <v>30</v>
      </c>
      <c r="AP1396" s="3">
        <v>81</v>
      </c>
      <c r="AQ1396" s="3">
        <v>12</v>
      </c>
      <c r="AR1396" s="3">
        <v>45</v>
      </c>
      <c r="AS1396" s="3">
        <v>21</v>
      </c>
      <c r="AT1396" s="3">
        <v>18</v>
      </c>
      <c r="AU1396" s="3">
        <v>36</v>
      </c>
      <c r="AV1396" s="3">
        <v>12</v>
      </c>
      <c r="AW1396" s="3">
        <v>0</v>
      </c>
    </row>
    <row r="1397" spans="1:49">
      <c r="A1397" s="4" t="s">
        <v>35</v>
      </c>
      <c r="B1397" s="4" t="str">
        <f t="shared" si="21"/>
        <v>Hair Color</v>
      </c>
      <c r="C1397" s="4" t="s">
        <v>1786</v>
      </c>
      <c r="D1397" s="4" t="s">
        <v>579</v>
      </c>
      <c r="E1397" s="24" t="s">
        <v>44</v>
      </c>
      <c r="F1397" s="12" t="s">
        <v>405</v>
      </c>
      <c r="G1397" s="4" t="s">
        <v>1787</v>
      </c>
      <c r="H1397" s="3">
        <v>66</v>
      </c>
      <c r="I1397" s="3">
        <v>24</v>
      </c>
      <c r="J1397" s="3">
        <v>45</v>
      </c>
      <c r="K1397" s="3">
        <v>54</v>
      </c>
      <c r="L1397" s="3">
        <v>72</v>
      </c>
      <c r="M1397" s="3">
        <v>135</v>
      </c>
      <c r="N1397" s="3">
        <v>30</v>
      </c>
      <c r="O1397" s="3">
        <v>33</v>
      </c>
      <c r="P1397" s="3">
        <v>63</v>
      </c>
      <c r="Q1397" s="3">
        <v>72</v>
      </c>
      <c r="R1397" s="3">
        <v>63</v>
      </c>
      <c r="S1397" s="3">
        <v>12</v>
      </c>
      <c r="T1397" s="3">
        <v>90</v>
      </c>
      <c r="U1397" s="3">
        <v>9</v>
      </c>
      <c r="V1397" s="3">
        <v>87</v>
      </c>
      <c r="W1397" s="3">
        <v>21</v>
      </c>
      <c r="X1397" s="3">
        <v>66</v>
      </c>
      <c r="Y1397" s="3">
        <v>195</v>
      </c>
      <c r="Z1397" s="3">
        <v>24</v>
      </c>
      <c r="AA1397" s="3">
        <v>9</v>
      </c>
      <c r="AB1397" s="3">
        <v>27</v>
      </c>
      <c r="AC1397" s="3">
        <v>3</v>
      </c>
      <c r="AD1397" s="3">
        <v>60</v>
      </c>
      <c r="AE1397" s="3">
        <v>9</v>
      </c>
      <c r="AF1397" s="3">
        <v>0</v>
      </c>
      <c r="AG1397" s="3">
        <v>63</v>
      </c>
      <c r="AH1397" s="3">
        <v>0</v>
      </c>
      <c r="AI1397" s="3">
        <v>3</v>
      </c>
      <c r="AJ1397" s="3">
        <v>0</v>
      </c>
      <c r="AK1397" s="3">
        <v>51</v>
      </c>
      <c r="AL1397" s="3">
        <v>27</v>
      </c>
      <c r="AM1397" s="3">
        <v>51</v>
      </c>
      <c r="AN1397" s="3">
        <v>84</v>
      </c>
      <c r="AO1397" s="3">
        <v>27</v>
      </c>
      <c r="AP1397" s="3">
        <v>105</v>
      </c>
      <c r="AQ1397" s="3">
        <v>21</v>
      </c>
      <c r="AR1397" s="3">
        <v>54</v>
      </c>
      <c r="AS1397" s="3">
        <v>27</v>
      </c>
      <c r="AT1397" s="3">
        <v>30</v>
      </c>
      <c r="AU1397" s="3">
        <v>27</v>
      </c>
      <c r="AV1397" s="3">
        <v>48</v>
      </c>
      <c r="AW1397" s="3">
        <v>18</v>
      </c>
    </row>
    <row r="1398" spans="1:49">
      <c r="A1398" s="4" t="s">
        <v>35</v>
      </c>
      <c r="B1398" s="4" t="str">
        <f t="shared" si="21"/>
        <v>Hair Color</v>
      </c>
      <c r="C1398" s="4" t="s">
        <v>1786</v>
      </c>
      <c r="D1398" s="4" t="s">
        <v>579</v>
      </c>
      <c r="E1398" s="24" t="s">
        <v>44</v>
      </c>
      <c r="F1398" s="12" t="s">
        <v>406</v>
      </c>
      <c r="G1398" s="4" t="s">
        <v>1787</v>
      </c>
      <c r="H1398" s="3">
        <v>66</v>
      </c>
      <c r="I1398" s="3">
        <v>15</v>
      </c>
      <c r="J1398" s="3">
        <v>33</v>
      </c>
      <c r="K1398" s="3">
        <v>60</v>
      </c>
      <c r="L1398" s="3">
        <v>63</v>
      </c>
      <c r="M1398" s="3">
        <v>120</v>
      </c>
      <c r="N1398" s="3">
        <v>6</v>
      </c>
      <c r="O1398" s="3">
        <v>66</v>
      </c>
      <c r="P1398" s="3">
        <v>48</v>
      </c>
      <c r="Q1398" s="3">
        <v>60</v>
      </c>
      <c r="R1398" s="3">
        <v>54</v>
      </c>
      <c r="S1398" s="3">
        <v>3</v>
      </c>
      <c r="T1398" s="3">
        <v>99</v>
      </c>
      <c r="U1398" s="3">
        <v>9</v>
      </c>
      <c r="V1398" s="3">
        <v>66</v>
      </c>
      <c r="W1398" s="3">
        <v>42</v>
      </c>
      <c r="X1398" s="3">
        <v>93</v>
      </c>
      <c r="Y1398" s="3">
        <v>144</v>
      </c>
      <c r="Z1398" s="3">
        <v>0</v>
      </c>
      <c r="AA1398" s="3">
        <v>3</v>
      </c>
      <c r="AB1398" s="3">
        <v>15</v>
      </c>
      <c r="AC1398" s="3">
        <v>48</v>
      </c>
      <c r="AD1398" s="3">
        <v>48</v>
      </c>
      <c r="AE1398" s="3">
        <v>48</v>
      </c>
      <c r="AF1398" s="3">
        <v>36</v>
      </c>
      <c r="AG1398" s="3">
        <v>138</v>
      </c>
      <c r="AH1398" s="3">
        <v>24</v>
      </c>
      <c r="AI1398" s="3">
        <v>12</v>
      </c>
      <c r="AJ1398" s="3">
        <v>3</v>
      </c>
      <c r="AK1398" s="3">
        <v>57</v>
      </c>
      <c r="AL1398" s="3">
        <v>30</v>
      </c>
      <c r="AM1398" s="3">
        <v>51</v>
      </c>
      <c r="AN1398" s="3">
        <v>108</v>
      </c>
      <c r="AO1398" s="3">
        <v>12</v>
      </c>
      <c r="AP1398" s="3">
        <v>78</v>
      </c>
      <c r="AQ1398" s="3">
        <v>30</v>
      </c>
      <c r="AR1398" s="3">
        <v>84</v>
      </c>
      <c r="AS1398" s="3">
        <v>36</v>
      </c>
      <c r="AT1398" s="3">
        <v>6</v>
      </c>
      <c r="AU1398" s="3">
        <v>51</v>
      </c>
      <c r="AV1398" s="3">
        <v>51</v>
      </c>
      <c r="AW1398" s="3">
        <v>39</v>
      </c>
    </row>
    <row r="1399" spans="1:49">
      <c r="A1399" s="4" t="s">
        <v>35</v>
      </c>
      <c r="B1399" s="4" t="str">
        <f t="shared" si="21"/>
        <v>Hair Color</v>
      </c>
      <c r="C1399" s="4" t="s">
        <v>1786</v>
      </c>
      <c r="D1399" s="4" t="s">
        <v>579</v>
      </c>
      <c r="E1399" s="24" t="s">
        <v>44</v>
      </c>
      <c r="F1399" s="12" t="s">
        <v>407</v>
      </c>
      <c r="G1399" s="4" t="s">
        <v>1787</v>
      </c>
      <c r="H1399" s="3">
        <v>162</v>
      </c>
      <c r="I1399" s="3">
        <v>66</v>
      </c>
      <c r="J1399" s="3">
        <v>141</v>
      </c>
      <c r="K1399" s="3">
        <v>24</v>
      </c>
      <c r="L1399" s="3">
        <v>182</v>
      </c>
      <c r="M1399" s="3">
        <v>285</v>
      </c>
      <c r="N1399" s="3">
        <v>60</v>
      </c>
      <c r="O1399" s="3">
        <v>117</v>
      </c>
      <c r="P1399" s="3">
        <v>132</v>
      </c>
      <c r="Q1399" s="3">
        <v>123</v>
      </c>
      <c r="R1399" s="3">
        <v>135</v>
      </c>
      <c r="S1399" s="3">
        <v>42</v>
      </c>
      <c r="T1399" s="3">
        <v>165</v>
      </c>
      <c r="U1399" s="3">
        <v>9</v>
      </c>
      <c r="V1399" s="3">
        <v>243</v>
      </c>
      <c r="W1399" s="3">
        <v>3</v>
      </c>
      <c r="X1399" s="3">
        <v>204</v>
      </c>
      <c r="Y1399" s="3">
        <v>291</v>
      </c>
      <c r="Z1399" s="3">
        <v>36</v>
      </c>
      <c r="AA1399" s="3">
        <v>9</v>
      </c>
      <c r="AB1399" s="3">
        <v>147</v>
      </c>
      <c r="AC1399" s="3">
        <v>81</v>
      </c>
      <c r="AD1399" s="3">
        <v>99</v>
      </c>
      <c r="AE1399" s="3">
        <v>57</v>
      </c>
      <c r="AF1399" s="3">
        <v>63</v>
      </c>
      <c r="AG1399" s="3">
        <v>210</v>
      </c>
      <c r="AH1399" s="3">
        <v>3</v>
      </c>
      <c r="AI1399" s="3">
        <v>9</v>
      </c>
      <c r="AJ1399" s="3">
        <v>3</v>
      </c>
      <c r="AK1399" s="3">
        <v>222</v>
      </c>
      <c r="AL1399" s="3">
        <v>87</v>
      </c>
      <c r="AM1399" s="3">
        <v>123</v>
      </c>
      <c r="AN1399" s="3">
        <v>132</v>
      </c>
      <c r="AO1399" s="3">
        <v>105</v>
      </c>
      <c r="AP1399" s="3">
        <v>222</v>
      </c>
      <c r="AQ1399" s="3">
        <v>78</v>
      </c>
      <c r="AR1399" s="3">
        <v>102</v>
      </c>
      <c r="AS1399" s="3">
        <v>51</v>
      </c>
      <c r="AT1399" s="3">
        <v>72</v>
      </c>
      <c r="AU1399" s="3">
        <v>207</v>
      </c>
      <c r="AV1399" s="3">
        <v>96</v>
      </c>
      <c r="AW1399" s="3">
        <v>48</v>
      </c>
    </row>
    <row r="1400" spans="1:49">
      <c r="A1400" s="4" t="s">
        <v>35</v>
      </c>
      <c r="B1400" s="4" t="str">
        <f t="shared" si="21"/>
        <v>Hair Color</v>
      </c>
      <c r="C1400" s="4" t="s">
        <v>1786</v>
      </c>
      <c r="D1400" s="4" t="s">
        <v>579</v>
      </c>
      <c r="E1400" s="24" t="s">
        <v>44</v>
      </c>
      <c r="F1400" s="12" t="s">
        <v>408</v>
      </c>
      <c r="G1400" s="4" t="s">
        <v>1787</v>
      </c>
      <c r="H1400" s="3">
        <v>51</v>
      </c>
      <c r="I1400" s="3">
        <v>30</v>
      </c>
      <c r="J1400" s="3">
        <v>63</v>
      </c>
      <c r="K1400" s="3">
        <v>51</v>
      </c>
      <c r="L1400" s="3">
        <v>51</v>
      </c>
      <c r="M1400" s="3">
        <v>153</v>
      </c>
      <c r="N1400" s="3">
        <v>9</v>
      </c>
      <c r="O1400" s="3">
        <v>0</v>
      </c>
      <c r="P1400" s="3">
        <v>54</v>
      </c>
      <c r="Q1400" s="3">
        <v>60</v>
      </c>
      <c r="R1400" s="3">
        <v>57</v>
      </c>
      <c r="S1400" s="3">
        <v>15</v>
      </c>
      <c r="T1400" s="3">
        <v>63</v>
      </c>
      <c r="U1400" s="3">
        <v>12</v>
      </c>
      <c r="V1400" s="3">
        <v>36</v>
      </c>
      <c r="W1400" s="3">
        <v>42</v>
      </c>
      <c r="X1400" s="3">
        <v>48</v>
      </c>
      <c r="Y1400" s="3">
        <v>9</v>
      </c>
      <c r="Z1400" s="3">
        <v>21</v>
      </c>
      <c r="AA1400" s="3">
        <v>36</v>
      </c>
      <c r="AB1400" s="3">
        <v>66</v>
      </c>
      <c r="AC1400" s="3">
        <v>15</v>
      </c>
      <c r="AD1400" s="3">
        <v>66</v>
      </c>
      <c r="AE1400" s="3">
        <v>36</v>
      </c>
      <c r="AF1400" s="3">
        <v>27</v>
      </c>
      <c r="AG1400" s="3">
        <v>90</v>
      </c>
      <c r="AH1400" s="3">
        <v>3</v>
      </c>
      <c r="AI1400" s="3">
        <v>15</v>
      </c>
      <c r="AJ1400" s="3">
        <v>0</v>
      </c>
      <c r="AK1400" s="3">
        <v>72</v>
      </c>
      <c r="AL1400" s="3">
        <v>3</v>
      </c>
      <c r="AM1400" s="3">
        <v>33</v>
      </c>
      <c r="AN1400" s="3">
        <v>54</v>
      </c>
      <c r="AO1400" s="3">
        <v>30</v>
      </c>
      <c r="AP1400" s="3">
        <v>63</v>
      </c>
      <c r="AQ1400" s="3">
        <v>3</v>
      </c>
      <c r="AR1400" s="3">
        <v>72</v>
      </c>
      <c r="AS1400" s="3">
        <v>6</v>
      </c>
      <c r="AT1400" s="3">
        <v>3</v>
      </c>
      <c r="AU1400" s="3">
        <v>102</v>
      </c>
      <c r="AV1400" s="3">
        <v>15</v>
      </c>
      <c r="AW1400" s="3">
        <v>36</v>
      </c>
    </row>
    <row r="1401" spans="1:49">
      <c r="A1401" s="4" t="s">
        <v>35</v>
      </c>
      <c r="B1401" s="4" t="str">
        <f t="shared" si="21"/>
        <v>Hair Color</v>
      </c>
      <c r="C1401" s="4" t="s">
        <v>1786</v>
      </c>
      <c r="D1401" s="4" t="s">
        <v>579</v>
      </c>
      <c r="E1401" s="24" t="s">
        <v>44</v>
      </c>
      <c r="F1401" s="12" t="s">
        <v>409</v>
      </c>
      <c r="G1401" s="4" t="s">
        <v>1787</v>
      </c>
      <c r="H1401" s="3">
        <v>102</v>
      </c>
      <c r="I1401" s="3">
        <v>120</v>
      </c>
      <c r="J1401" s="3">
        <v>156</v>
      </c>
      <c r="K1401" s="3">
        <v>156</v>
      </c>
      <c r="L1401" s="3">
        <v>114</v>
      </c>
      <c r="M1401" s="3">
        <v>324</v>
      </c>
      <c r="N1401" s="3">
        <v>84</v>
      </c>
      <c r="O1401" s="3">
        <v>105</v>
      </c>
      <c r="P1401" s="3">
        <v>135</v>
      </c>
      <c r="Q1401" s="3">
        <v>135</v>
      </c>
      <c r="R1401" s="3">
        <v>243</v>
      </c>
      <c r="S1401" s="3">
        <v>63</v>
      </c>
      <c r="T1401" s="3">
        <v>276</v>
      </c>
      <c r="U1401" s="3">
        <v>36</v>
      </c>
      <c r="V1401" s="3">
        <v>168</v>
      </c>
      <c r="W1401" s="3">
        <v>99</v>
      </c>
      <c r="X1401" s="3">
        <v>228</v>
      </c>
      <c r="Y1401" s="3">
        <v>324</v>
      </c>
      <c r="Z1401" s="3">
        <v>-6</v>
      </c>
      <c r="AA1401" s="3">
        <v>87</v>
      </c>
      <c r="AB1401" s="3">
        <v>303</v>
      </c>
      <c r="AC1401" s="3">
        <v>9</v>
      </c>
      <c r="AD1401" s="3">
        <v>6</v>
      </c>
      <c r="AE1401" s="3">
        <v>255</v>
      </c>
      <c r="AF1401" s="3">
        <v>126</v>
      </c>
      <c r="AG1401" s="3">
        <v>195</v>
      </c>
      <c r="AH1401" s="3">
        <v>0</v>
      </c>
      <c r="AI1401" s="3">
        <v>27</v>
      </c>
      <c r="AJ1401" s="3">
        <v>3</v>
      </c>
      <c r="AK1401" s="3">
        <v>351</v>
      </c>
      <c r="AL1401" s="3">
        <v>39</v>
      </c>
      <c r="AM1401" s="3">
        <v>135</v>
      </c>
      <c r="AN1401" s="3">
        <v>192</v>
      </c>
      <c r="AO1401" s="3">
        <v>102</v>
      </c>
      <c r="AP1401" s="3">
        <v>279</v>
      </c>
      <c r="AQ1401" s="3">
        <v>39</v>
      </c>
      <c r="AR1401" s="3">
        <v>177</v>
      </c>
      <c r="AS1401" s="3">
        <v>72</v>
      </c>
      <c r="AT1401" s="3">
        <v>57</v>
      </c>
      <c r="AU1401" s="3">
        <v>156</v>
      </c>
      <c r="AV1401" s="3">
        <v>204</v>
      </c>
      <c r="AW1401" s="3">
        <v>39</v>
      </c>
    </row>
    <row r="1402" spans="1:49">
      <c r="A1402" s="4" t="s">
        <v>35</v>
      </c>
      <c r="B1402" s="4" t="str">
        <f t="shared" si="21"/>
        <v>Hair Color</v>
      </c>
      <c r="C1402" s="4" t="s">
        <v>1786</v>
      </c>
      <c r="D1402" s="4" t="s">
        <v>579</v>
      </c>
      <c r="E1402" s="24" t="s">
        <v>44</v>
      </c>
      <c r="F1402" s="12" t="s">
        <v>410</v>
      </c>
      <c r="G1402" s="4" t="s">
        <v>1787</v>
      </c>
      <c r="H1402" s="3">
        <v>177</v>
      </c>
      <c r="I1402" s="3">
        <v>63</v>
      </c>
      <c r="J1402" s="3">
        <v>138</v>
      </c>
      <c r="K1402" s="3">
        <v>0</v>
      </c>
      <c r="L1402" s="3">
        <v>158</v>
      </c>
      <c r="M1402" s="3">
        <v>357</v>
      </c>
      <c r="N1402" s="3">
        <v>87</v>
      </c>
      <c r="O1402" s="3">
        <v>129</v>
      </c>
      <c r="P1402" s="3">
        <v>81</v>
      </c>
      <c r="Q1402" s="3">
        <v>135</v>
      </c>
      <c r="R1402" s="3">
        <v>228</v>
      </c>
      <c r="S1402" s="3">
        <v>78</v>
      </c>
      <c r="T1402" s="3">
        <v>258</v>
      </c>
      <c r="U1402" s="3">
        <v>33</v>
      </c>
      <c r="V1402" s="3">
        <v>126</v>
      </c>
      <c r="W1402" s="3">
        <v>78</v>
      </c>
      <c r="X1402" s="3">
        <v>192</v>
      </c>
      <c r="Y1402" s="3">
        <v>360</v>
      </c>
      <c r="Z1402" s="3">
        <v>15</v>
      </c>
      <c r="AA1402" s="3">
        <v>6</v>
      </c>
      <c r="AB1402" s="3">
        <v>126</v>
      </c>
      <c r="AC1402" s="3">
        <v>0</v>
      </c>
      <c r="AD1402" s="3">
        <v>6</v>
      </c>
      <c r="AE1402" s="3">
        <v>225</v>
      </c>
      <c r="AF1402" s="3">
        <v>84</v>
      </c>
      <c r="AG1402" s="3">
        <v>174</v>
      </c>
      <c r="AH1402" s="3">
        <v>6</v>
      </c>
      <c r="AI1402" s="3">
        <v>27</v>
      </c>
      <c r="AJ1402" s="3">
        <v>9</v>
      </c>
      <c r="AK1402" s="3">
        <v>225</v>
      </c>
      <c r="AL1402" s="3">
        <v>90</v>
      </c>
      <c r="AM1402" s="3">
        <v>114</v>
      </c>
      <c r="AN1402" s="3">
        <v>198</v>
      </c>
      <c r="AO1402" s="3">
        <v>18</v>
      </c>
      <c r="AP1402" s="3">
        <v>252</v>
      </c>
      <c r="AQ1402" s="3">
        <v>84</v>
      </c>
      <c r="AR1402" s="3">
        <v>111</v>
      </c>
      <c r="AS1402" s="3">
        <v>9</v>
      </c>
      <c r="AT1402" s="3">
        <v>36</v>
      </c>
      <c r="AU1402" s="3">
        <v>171</v>
      </c>
      <c r="AV1402" s="3">
        <v>180</v>
      </c>
      <c r="AW1402" s="3">
        <v>30</v>
      </c>
    </row>
    <row r="1403" spans="1:49">
      <c r="A1403" s="4" t="s">
        <v>35</v>
      </c>
      <c r="B1403" s="4" t="str">
        <f t="shared" si="21"/>
        <v>Hair Color</v>
      </c>
      <c r="C1403" s="4" t="s">
        <v>1786</v>
      </c>
      <c r="D1403" s="4" t="s">
        <v>579</v>
      </c>
      <c r="E1403" s="24" t="s">
        <v>44</v>
      </c>
      <c r="F1403" s="12" t="s">
        <v>411</v>
      </c>
      <c r="G1403" s="4" t="s">
        <v>1787</v>
      </c>
      <c r="H1403" s="3">
        <v>39</v>
      </c>
      <c r="I1403" s="3">
        <v>24</v>
      </c>
      <c r="J1403" s="3">
        <v>12</v>
      </c>
      <c r="K1403" s="3">
        <v>30</v>
      </c>
      <c r="L1403" s="3">
        <v>63</v>
      </c>
      <c r="M1403" s="3">
        <v>42</v>
      </c>
      <c r="N1403" s="3">
        <v>33</v>
      </c>
      <c r="O1403" s="3">
        <v>39</v>
      </c>
      <c r="P1403" s="3">
        <v>48</v>
      </c>
      <c r="Q1403" s="3">
        <v>63</v>
      </c>
      <c r="R1403" s="3">
        <v>27</v>
      </c>
      <c r="S1403" s="3">
        <v>3</v>
      </c>
      <c r="T1403" s="3">
        <v>48</v>
      </c>
      <c r="U1403" s="3">
        <v>3</v>
      </c>
      <c r="V1403" s="3">
        <v>39</v>
      </c>
      <c r="W1403" s="3">
        <v>0</v>
      </c>
      <c r="X1403" s="3">
        <v>36</v>
      </c>
      <c r="Y1403" s="3">
        <v>42</v>
      </c>
      <c r="Z1403" s="3">
        <v>15</v>
      </c>
      <c r="AA1403" s="3">
        <v>18</v>
      </c>
      <c r="AB1403" s="3">
        <v>51</v>
      </c>
      <c r="AC1403" s="3">
        <v>0</v>
      </c>
      <c r="AD1403" s="3">
        <v>42</v>
      </c>
      <c r="AE1403" s="3">
        <v>57</v>
      </c>
      <c r="AF1403" s="3">
        <v>18</v>
      </c>
      <c r="AG1403" s="3">
        <v>0</v>
      </c>
      <c r="AH1403" s="3">
        <v>24</v>
      </c>
      <c r="AI1403" s="3">
        <v>3</v>
      </c>
      <c r="AJ1403" s="3">
        <v>0</v>
      </c>
      <c r="AK1403" s="3">
        <v>42</v>
      </c>
      <c r="AL1403" s="3">
        <v>12</v>
      </c>
      <c r="AM1403" s="3">
        <v>45</v>
      </c>
      <c r="AN1403" s="3">
        <v>39</v>
      </c>
      <c r="AO1403" s="3">
        <v>3</v>
      </c>
      <c r="AP1403" s="3">
        <v>51</v>
      </c>
      <c r="AQ1403" s="3">
        <v>39</v>
      </c>
      <c r="AR1403" s="3">
        <v>12</v>
      </c>
      <c r="AS1403" s="3">
        <v>45</v>
      </c>
      <c r="AT1403" s="3">
        <v>3</v>
      </c>
      <c r="AU1403" s="3">
        <v>30</v>
      </c>
      <c r="AV1403" s="3">
        <v>0</v>
      </c>
      <c r="AW1403" s="3">
        <v>30</v>
      </c>
    </row>
    <row r="1404" spans="1:49">
      <c r="A1404" s="4" t="s">
        <v>35</v>
      </c>
      <c r="B1404" s="4" t="str">
        <f t="shared" si="21"/>
        <v>Hair Color</v>
      </c>
      <c r="C1404" s="4" t="s">
        <v>1786</v>
      </c>
      <c r="D1404" s="4" t="s">
        <v>579</v>
      </c>
      <c r="E1404" s="24" t="s">
        <v>44</v>
      </c>
      <c r="F1404" s="12" t="s">
        <v>412</v>
      </c>
      <c r="G1404" s="4" t="s">
        <v>1787</v>
      </c>
      <c r="H1404" s="3">
        <v>0</v>
      </c>
      <c r="I1404" s="3">
        <v>0</v>
      </c>
      <c r="J1404" s="3">
        <v>0</v>
      </c>
      <c r="K1404" s="3">
        <v>57</v>
      </c>
      <c r="L1404" s="3">
        <v>78</v>
      </c>
      <c r="M1404" s="3">
        <v>45</v>
      </c>
      <c r="N1404" s="3">
        <v>6</v>
      </c>
      <c r="O1404" s="3">
        <v>0</v>
      </c>
      <c r="P1404" s="3">
        <v>27</v>
      </c>
      <c r="Q1404" s="3">
        <v>24</v>
      </c>
      <c r="R1404" s="3">
        <v>6</v>
      </c>
      <c r="S1404" s="3">
        <v>30</v>
      </c>
      <c r="T1404" s="3">
        <v>30</v>
      </c>
      <c r="U1404" s="3">
        <v>6</v>
      </c>
      <c r="V1404" s="3">
        <v>15</v>
      </c>
      <c r="W1404" s="3">
        <v>0</v>
      </c>
      <c r="X1404" s="3">
        <v>24</v>
      </c>
      <c r="Y1404" s="3">
        <v>6</v>
      </c>
      <c r="Z1404" s="3">
        <v>12</v>
      </c>
      <c r="AA1404" s="3">
        <v>27</v>
      </c>
      <c r="AB1404" s="3">
        <v>0</v>
      </c>
      <c r="AC1404" s="3">
        <v>0</v>
      </c>
      <c r="AD1404" s="3">
        <v>36</v>
      </c>
      <c r="AE1404" s="3">
        <v>48</v>
      </c>
      <c r="AF1404" s="3">
        <v>12</v>
      </c>
      <c r="AG1404" s="3">
        <v>15</v>
      </c>
      <c r="AH1404" s="3">
        <v>3</v>
      </c>
      <c r="AI1404" s="3">
        <v>3</v>
      </c>
      <c r="AJ1404" s="3">
        <v>18</v>
      </c>
      <c r="AK1404" s="3">
        <v>45</v>
      </c>
      <c r="AL1404" s="3">
        <v>18</v>
      </c>
      <c r="AM1404" s="3">
        <v>3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69</v>
      </c>
      <c r="AV1404" s="3">
        <v>24</v>
      </c>
      <c r="AW1404" s="3">
        <v>9</v>
      </c>
    </row>
    <row r="1405" spans="1:49">
      <c r="A1405" s="4" t="s">
        <v>35</v>
      </c>
      <c r="B1405" s="4" t="str">
        <f t="shared" si="21"/>
        <v>Hair Color</v>
      </c>
      <c r="C1405" s="4" t="s">
        <v>1786</v>
      </c>
      <c r="D1405" s="4" t="s">
        <v>579</v>
      </c>
      <c r="E1405" s="24" t="s">
        <v>44</v>
      </c>
      <c r="F1405" s="12" t="s">
        <v>413</v>
      </c>
      <c r="G1405" s="4" t="s">
        <v>1787</v>
      </c>
      <c r="H1405" s="3">
        <v>12</v>
      </c>
      <c r="I1405" s="3">
        <v>12</v>
      </c>
      <c r="J1405" s="3">
        <v>6</v>
      </c>
      <c r="K1405" s="3">
        <v>21</v>
      </c>
      <c r="L1405" s="3">
        <v>3</v>
      </c>
      <c r="M1405" s="3">
        <v>0</v>
      </c>
      <c r="N1405" s="3">
        <v>3</v>
      </c>
      <c r="O1405" s="3">
        <v>3</v>
      </c>
      <c r="P1405" s="3">
        <v>0</v>
      </c>
      <c r="Q1405" s="3">
        <v>3</v>
      </c>
      <c r="R1405" s="3">
        <v>6</v>
      </c>
      <c r="S1405" s="3">
        <v>0</v>
      </c>
      <c r="T1405" s="3">
        <v>3</v>
      </c>
      <c r="U1405" s="3">
        <v>15</v>
      </c>
      <c r="V1405" s="3">
        <v>36</v>
      </c>
      <c r="W1405" s="3">
        <v>6</v>
      </c>
      <c r="X1405" s="3">
        <v>6</v>
      </c>
      <c r="Y1405" s="3">
        <v>9</v>
      </c>
      <c r="Z1405" s="3">
        <v>6</v>
      </c>
      <c r="AA1405" s="3">
        <v>3</v>
      </c>
      <c r="AB1405" s="3">
        <v>18</v>
      </c>
      <c r="AC1405" s="3">
        <v>3</v>
      </c>
      <c r="AD1405" s="3">
        <v>15</v>
      </c>
      <c r="AE1405" s="3">
        <v>3</v>
      </c>
      <c r="AF1405" s="3">
        <v>0</v>
      </c>
      <c r="AG1405" s="3">
        <v>12</v>
      </c>
      <c r="AH1405" s="3">
        <v>3</v>
      </c>
      <c r="AI1405" s="3">
        <v>0</v>
      </c>
      <c r="AJ1405" s="3">
        <v>3</v>
      </c>
      <c r="AK1405" s="3">
        <v>3</v>
      </c>
      <c r="AL1405" s="3">
        <v>3</v>
      </c>
      <c r="AM1405" s="3">
        <v>6</v>
      </c>
      <c r="AN1405" s="3">
        <v>9</v>
      </c>
      <c r="AO1405" s="3">
        <v>3</v>
      </c>
      <c r="AP1405" s="3">
        <v>3</v>
      </c>
      <c r="AQ1405" s="3">
        <v>0</v>
      </c>
      <c r="AR1405" s="3">
        <v>15</v>
      </c>
      <c r="AS1405" s="3">
        <v>3</v>
      </c>
      <c r="AT1405" s="3">
        <v>0</v>
      </c>
      <c r="AU1405" s="3">
        <v>12</v>
      </c>
      <c r="AV1405" s="3">
        <v>9</v>
      </c>
      <c r="AW1405" s="3">
        <v>9</v>
      </c>
    </row>
    <row r="1406" spans="1:49">
      <c r="A1406" s="4" t="s">
        <v>35</v>
      </c>
      <c r="B1406" s="4" t="str">
        <f t="shared" si="21"/>
        <v>Hair Color</v>
      </c>
      <c r="C1406" s="4" t="s">
        <v>1786</v>
      </c>
      <c r="D1406" s="4" t="s">
        <v>579</v>
      </c>
      <c r="E1406" s="24" t="s">
        <v>414</v>
      </c>
      <c r="F1406" s="12" t="s">
        <v>415</v>
      </c>
      <c r="G1406" s="4" t="s">
        <v>1787</v>
      </c>
      <c r="H1406" s="3">
        <v>1860</v>
      </c>
      <c r="I1406" s="3">
        <v>832</v>
      </c>
      <c r="J1406" s="3">
        <v>2040</v>
      </c>
      <c r="K1406" s="3">
        <v>582</v>
      </c>
      <c r="L1406" s="3">
        <v>906</v>
      </c>
      <c r="M1406" s="3">
        <v>2610</v>
      </c>
      <c r="N1406" s="3">
        <v>420</v>
      </c>
      <c r="O1406" s="3">
        <v>1464</v>
      </c>
      <c r="P1406" s="3">
        <v>954</v>
      </c>
      <c r="Q1406" s="3">
        <v>1092</v>
      </c>
      <c r="R1406" s="3">
        <v>1440</v>
      </c>
      <c r="S1406" s="3">
        <v>1224</v>
      </c>
      <c r="T1406" s="3">
        <v>1014</v>
      </c>
      <c r="U1406" s="3">
        <v>504</v>
      </c>
      <c r="V1406" s="3">
        <v>2418</v>
      </c>
      <c r="W1406" s="3">
        <v>174</v>
      </c>
      <c r="X1406" s="3">
        <v>1056</v>
      </c>
      <c r="Y1406" s="3">
        <v>2292</v>
      </c>
      <c r="Z1406" s="3">
        <v>516</v>
      </c>
      <c r="AA1406" s="3">
        <v>468</v>
      </c>
      <c r="AB1406" s="3">
        <v>1950</v>
      </c>
      <c r="AC1406" s="3">
        <v>300</v>
      </c>
      <c r="AD1406" s="3">
        <v>924</v>
      </c>
      <c r="AE1406" s="3">
        <v>1212</v>
      </c>
      <c r="AF1406" s="3">
        <v>1164</v>
      </c>
      <c r="AG1406" s="3">
        <v>498</v>
      </c>
      <c r="AH1406" s="3">
        <v>0</v>
      </c>
      <c r="AI1406" s="3">
        <v>1404</v>
      </c>
      <c r="AJ1406" s="3">
        <v>804</v>
      </c>
      <c r="AK1406" s="3">
        <v>1776</v>
      </c>
      <c r="AL1406" s="3">
        <v>366</v>
      </c>
      <c r="AM1406" s="3">
        <v>1152</v>
      </c>
      <c r="AN1406" s="3">
        <v>846</v>
      </c>
      <c r="AO1406" s="3">
        <v>768</v>
      </c>
      <c r="AP1406" s="3">
        <v>900</v>
      </c>
      <c r="AQ1406" s="3">
        <v>1242</v>
      </c>
      <c r="AR1406" s="3">
        <v>1056</v>
      </c>
      <c r="AS1406" s="3">
        <v>516</v>
      </c>
      <c r="AT1406" s="3">
        <v>2316</v>
      </c>
      <c r="AU1406" s="3">
        <v>102</v>
      </c>
      <c r="AV1406" s="3">
        <v>558</v>
      </c>
      <c r="AW1406" s="3">
        <v>564</v>
      </c>
    </row>
    <row r="1407" spans="1:49">
      <c r="A1407" s="4" t="s">
        <v>35</v>
      </c>
      <c r="B1407" s="4" t="str">
        <f t="shared" si="21"/>
        <v>Hair Color</v>
      </c>
      <c r="C1407" s="4" t="s">
        <v>1786</v>
      </c>
      <c r="D1407" s="4" t="s">
        <v>579</v>
      </c>
      <c r="E1407" s="24" t="s">
        <v>414</v>
      </c>
      <c r="F1407" s="12" t="s">
        <v>416</v>
      </c>
      <c r="G1407" s="4" t="s">
        <v>1787</v>
      </c>
      <c r="H1407" s="3">
        <v>660</v>
      </c>
      <c r="I1407" s="3">
        <v>378</v>
      </c>
      <c r="J1407" s="3">
        <v>708</v>
      </c>
      <c r="K1407" s="3">
        <v>192</v>
      </c>
      <c r="L1407" s="3">
        <v>366</v>
      </c>
      <c r="M1407" s="3">
        <v>1716</v>
      </c>
      <c r="N1407" s="3">
        <v>132</v>
      </c>
      <c r="O1407" s="3">
        <v>234</v>
      </c>
      <c r="P1407" s="3">
        <v>444</v>
      </c>
      <c r="Q1407" s="3">
        <v>366</v>
      </c>
      <c r="R1407" s="3">
        <v>660</v>
      </c>
      <c r="S1407" s="3">
        <v>468</v>
      </c>
      <c r="T1407" s="3">
        <v>330</v>
      </c>
      <c r="U1407" s="3">
        <v>84</v>
      </c>
      <c r="V1407" s="3">
        <v>1062</v>
      </c>
      <c r="W1407" s="3">
        <v>264</v>
      </c>
      <c r="X1407" s="3">
        <v>312</v>
      </c>
      <c r="Y1407" s="3">
        <v>996</v>
      </c>
      <c r="Z1407" s="3">
        <v>222</v>
      </c>
      <c r="AA1407" s="3">
        <v>192</v>
      </c>
      <c r="AB1407" s="3">
        <v>624</v>
      </c>
      <c r="AC1407" s="3">
        <v>126</v>
      </c>
      <c r="AD1407" s="3">
        <v>216</v>
      </c>
      <c r="AE1407" s="3">
        <v>606</v>
      </c>
      <c r="AF1407" s="3">
        <v>438</v>
      </c>
      <c r="AG1407" s="3">
        <v>0</v>
      </c>
      <c r="AH1407" s="3">
        <v>0</v>
      </c>
      <c r="AI1407" s="3">
        <v>714</v>
      </c>
      <c r="AJ1407" s="3">
        <v>384</v>
      </c>
      <c r="AK1407" s="3">
        <v>996</v>
      </c>
      <c r="AL1407" s="3">
        <v>222</v>
      </c>
      <c r="AM1407" s="3">
        <v>456</v>
      </c>
      <c r="AN1407" s="3">
        <v>264</v>
      </c>
      <c r="AO1407" s="3">
        <v>306</v>
      </c>
      <c r="AP1407" s="3">
        <v>288</v>
      </c>
      <c r="AQ1407" s="3">
        <v>1194</v>
      </c>
      <c r="AR1407" s="3">
        <v>432</v>
      </c>
      <c r="AS1407" s="3">
        <v>156</v>
      </c>
      <c r="AT1407" s="3">
        <v>762</v>
      </c>
      <c r="AU1407" s="3">
        <v>144</v>
      </c>
      <c r="AV1407" s="3">
        <v>414</v>
      </c>
      <c r="AW1407" s="3">
        <v>216</v>
      </c>
    </row>
    <row r="1408" spans="1:49">
      <c r="A1408" s="4" t="s">
        <v>35</v>
      </c>
      <c r="B1408" s="4" t="str">
        <f t="shared" si="21"/>
        <v>Hair Color</v>
      </c>
      <c r="C1408" s="4" t="s">
        <v>1786</v>
      </c>
      <c r="D1408" s="4" t="s">
        <v>579</v>
      </c>
      <c r="E1408" s="24" t="s">
        <v>414</v>
      </c>
      <c r="F1408" s="12" t="s">
        <v>417</v>
      </c>
      <c r="G1408" s="4" t="s">
        <v>1787</v>
      </c>
      <c r="H1408" s="3">
        <v>1632</v>
      </c>
      <c r="I1408" s="3">
        <v>786</v>
      </c>
      <c r="J1408" s="3">
        <v>1776</v>
      </c>
      <c r="K1408" s="3">
        <v>582</v>
      </c>
      <c r="L1408" s="3">
        <v>996</v>
      </c>
      <c r="M1408" s="3">
        <v>2346</v>
      </c>
      <c r="N1408" s="3">
        <v>396</v>
      </c>
      <c r="O1408" s="3">
        <v>1662</v>
      </c>
      <c r="P1408" s="3">
        <v>516</v>
      </c>
      <c r="Q1408" s="3">
        <v>762</v>
      </c>
      <c r="R1408" s="3">
        <v>1404</v>
      </c>
      <c r="S1408" s="3">
        <v>828</v>
      </c>
      <c r="T1408" s="3">
        <v>792</v>
      </c>
      <c r="U1408" s="3">
        <v>456</v>
      </c>
      <c r="V1408" s="3">
        <v>2178</v>
      </c>
      <c r="W1408" s="3">
        <v>372</v>
      </c>
      <c r="X1408" s="3">
        <v>714</v>
      </c>
      <c r="Y1408" s="3">
        <v>2484</v>
      </c>
      <c r="Z1408" s="3">
        <v>138</v>
      </c>
      <c r="AA1408" s="3">
        <v>342</v>
      </c>
      <c r="AB1408" s="3">
        <v>1392</v>
      </c>
      <c r="AC1408" s="3">
        <v>492</v>
      </c>
      <c r="AD1408" s="3">
        <v>810</v>
      </c>
      <c r="AE1408" s="3">
        <v>1074</v>
      </c>
      <c r="AF1408" s="3">
        <v>996</v>
      </c>
      <c r="AG1408" s="3">
        <v>246</v>
      </c>
      <c r="AH1408" s="3">
        <v>0</v>
      </c>
      <c r="AI1408" s="3">
        <v>396</v>
      </c>
      <c r="AJ1408" s="3">
        <v>798</v>
      </c>
      <c r="AK1408" s="3">
        <v>2082</v>
      </c>
      <c r="AL1408" s="3">
        <v>576</v>
      </c>
      <c r="AM1408" s="3">
        <v>900</v>
      </c>
      <c r="AN1408" s="3">
        <v>864</v>
      </c>
      <c r="AO1408" s="3">
        <v>702</v>
      </c>
      <c r="AP1408" s="3">
        <v>726</v>
      </c>
      <c r="AQ1408" s="3">
        <v>606</v>
      </c>
      <c r="AR1408" s="3">
        <v>1410</v>
      </c>
      <c r="AS1408" s="3">
        <v>696</v>
      </c>
      <c r="AT1408" s="3">
        <v>2250</v>
      </c>
      <c r="AU1408" s="3">
        <v>222</v>
      </c>
      <c r="AV1408" s="3">
        <v>1044</v>
      </c>
      <c r="AW1408" s="3">
        <v>498</v>
      </c>
    </row>
    <row r="1409" spans="1:49">
      <c r="A1409" s="4" t="s">
        <v>35</v>
      </c>
      <c r="B1409" s="4" t="str">
        <f t="shared" si="21"/>
        <v>Hair Color</v>
      </c>
      <c r="C1409" s="4" t="s">
        <v>1786</v>
      </c>
      <c r="D1409" s="4" t="s">
        <v>579</v>
      </c>
      <c r="E1409" s="24" t="s">
        <v>414</v>
      </c>
      <c r="F1409" s="12" t="s">
        <v>418</v>
      </c>
      <c r="G1409" s="4" t="s">
        <v>1787</v>
      </c>
      <c r="H1409" s="3">
        <v>1176</v>
      </c>
      <c r="I1409" s="3">
        <v>582</v>
      </c>
      <c r="J1409" s="3">
        <v>1644</v>
      </c>
      <c r="K1409" s="3">
        <v>612</v>
      </c>
      <c r="L1409" s="3">
        <v>834</v>
      </c>
      <c r="M1409" s="3">
        <v>2184</v>
      </c>
      <c r="N1409" s="3">
        <v>312</v>
      </c>
      <c r="O1409" s="3">
        <v>1386</v>
      </c>
      <c r="P1409" s="3">
        <v>264</v>
      </c>
      <c r="Q1409" s="3">
        <v>738</v>
      </c>
      <c r="R1409" s="3">
        <v>894</v>
      </c>
      <c r="S1409" s="3">
        <v>834</v>
      </c>
      <c r="T1409" s="3">
        <v>966</v>
      </c>
      <c r="U1409" s="3">
        <v>342</v>
      </c>
      <c r="V1409" s="3">
        <v>1350</v>
      </c>
      <c r="W1409" s="3">
        <v>348</v>
      </c>
      <c r="X1409" s="3">
        <v>852</v>
      </c>
      <c r="Y1409" s="3">
        <v>1908</v>
      </c>
      <c r="Z1409" s="3">
        <v>180</v>
      </c>
      <c r="AA1409" s="3">
        <v>402</v>
      </c>
      <c r="AB1409" s="3">
        <v>1266</v>
      </c>
      <c r="AC1409" s="3">
        <v>198</v>
      </c>
      <c r="AD1409" s="3">
        <v>684</v>
      </c>
      <c r="AE1409" s="3">
        <v>894</v>
      </c>
      <c r="AF1409" s="3">
        <v>960</v>
      </c>
      <c r="AG1409" s="3">
        <v>408</v>
      </c>
      <c r="AH1409" s="3">
        <v>0</v>
      </c>
      <c r="AI1409" s="3">
        <v>1128</v>
      </c>
      <c r="AJ1409" s="3">
        <v>696</v>
      </c>
      <c r="AK1409" s="3">
        <v>1392</v>
      </c>
      <c r="AL1409" s="3">
        <v>714</v>
      </c>
      <c r="AM1409" s="3">
        <v>696</v>
      </c>
      <c r="AN1409" s="3">
        <v>558</v>
      </c>
      <c r="AO1409" s="3">
        <v>336</v>
      </c>
      <c r="AP1409" s="3">
        <v>732</v>
      </c>
      <c r="AQ1409" s="3">
        <v>1524</v>
      </c>
      <c r="AR1409" s="3">
        <v>744</v>
      </c>
      <c r="AS1409" s="3">
        <v>456</v>
      </c>
      <c r="AT1409" s="3">
        <v>1470</v>
      </c>
      <c r="AU1409" s="3">
        <v>126</v>
      </c>
      <c r="AV1409" s="3">
        <v>816</v>
      </c>
      <c r="AW1409" s="3">
        <v>408</v>
      </c>
    </row>
    <row r="1410" spans="1:49">
      <c r="A1410" s="4" t="s">
        <v>35</v>
      </c>
      <c r="B1410" s="4" t="str">
        <f t="shared" si="21"/>
        <v>Hair Color</v>
      </c>
      <c r="C1410" s="4" t="s">
        <v>1786</v>
      </c>
      <c r="D1410" s="4" t="s">
        <v>579</v>
      </c>
      <c r="E1410" s="24" t="s">
        <v>414</v>
      </c>
      <c r="F1410" s="12" t="s">
        <v>419</v>
      </c>
      <c r="G1410" s="4" t="s">
        <v>1787</v>
      </c>
      <c r="H1410" s="3">
        <v>1104</v>
      </c>
      <c r="I1410" s="3">
        <v>600</v>
      </c>
      <c r="J1410" s="3">
        <v>1482</v>
      </c>
      <c r="K1410" s="3">
        <v>684</v>
      </c>
      <c r="L1410" s="3">
        <v>606</v>
      </c>
      <c r="M1410" s="3">
        <v>2340</v>
      </c>
      <c r="N1410" s="3">
        <v>294</v>
      </c>
      <c r="O1410" s="3">
        <v>1368</v>
      </c>
      <c r="P1410" s="3">
        <v>366</v>
      </c>
      <c r="Q1410" s="3">
        <v>648</v>
      </c>
      <c r="R1410" s="3">
        <v>960</v>
      </c>
      <c r="S1410" s="3">
        <v>960</v>
      </c>
      <c r="T1410" s="3">
        <v>828</v>
      </c>
      <c r="U1410" s="3">
        <v>204</v>
      </c>
      <c r="V1410" s="3">
        <v>1494</v>
      </c>
      <c r="W1410" s="3">
        <v>294</v>
      </c>
      <c r="X1410" s="3">
        <v>732</v>
      </c>
      <c r="Y1410" s="3">
        <v>2088</v>
      </c>
      <c r="Z1410" s="3">
        <v>192</v>
      </c>
      <c r="AA1410" s="3">
        <v>402</v>
      </c>
      <c r="AB1410" s="3">
        <v>1242</v>
      </c>
      <c r="AC1410" s="3">
        <v>306</v>
      </c>
      <c r="AD1410" s="3">
        <v>552</v>
      </c>
      <c r="AE1410" s="3">
        <v>852</v>
      </c>
      <c r="AF1410" s="3">
        <v>516</v>
      </c>
      <c r="AG1410" s="3">
        <v>792</v>
      </c>
      <c r="AH1410" s="3">
        <v>0</v>
      </c>
      <c r="AI1410" s="3">
        <v>912</v>
      </c>
      <c r="AJ1410" s="3">
        <v>696</v>
      </c>
      <c r="AK1410" s="3">
        <v>1380</v>
      </c>
      <c r="AL1410" s="3">
        <v>468</v>
      </c>
      <c r="AM1410" s="3">
        <v>936</v>
      </c>
      <c r="AN1410" s="3">
        <v>660</v>
      </c>
      <c r="AO1410" s="3">
        <v>666</v>
      </c>
      <c r="AP1410" s="3">
        <v>966</v>
      </c>
      <c r="AQ1410" s="3">
        <v>852</v>
      </c>
      <c r="AR1410" s="3">
        <v>966</v>
      </c>
      <c r="AS1410" s="3">
        <v>564</v>
      </c>
      <c r="AT1410" s="3">
        <v>1356</v>
      </c>
      <c r="AU1410" s="3">
        <v>156</v>
      </c>
      <c r="AV1410" s="3">
        <v>858</v>
      </c>
      <c r="AW1410" s="3">
        <v>414</v>
      </c>
    </row>
    <row r="1411" spans="1:49">
      <c r="A1411" s="4" t="s">
        <v>35</v>
      </c>
      <c r="B1411" s="4" t="str">
        <f t="shared" ref="B1411:B1474" si="22">A1411</f>
        <v>Hair Color</v>
      </c>
      <c r="C1411" s="4" t="s">
        <v>1786</v>
      </c>
      <c r="D1411" s="4" t="s">
        <v>579</v>
      </c>
      <c r="E1411" s="24" t="s">
        <v>414</v>
      </c>
      <c r="F1411" s="12" t="s">
        <v>420</v>
      </c>
      <c r="G1411" s="4" t="s">
        <v>1787</v>
      </c>
      <c r="H1411" s="3">
        <v>1734</v>
      </c>
      <c r="I1411" s="3">
        <v>810</v>
      </c>
      <c r="J1411" s="3">
        <v>1776</v>
      </c>
      <c r="K1411" s="3">
        <v>552</v>
      </c>
      <c r="L1411" s="3">
        <v>1146</v>
      </c>
      <c r="M1411" s="3">
        <v>2448</v>
      </c>
      <c r="N1411" s="3">
        <v>432</v>
      </c>
      <c r="O1411" s="3">
        <v>1806</v>
      </c>
      <c r="P1411" s="3">
        <v>264</v>
      </c>
      <c r="Q1411" s="3">
        <v>462</v>
      </c>
      <c r="R1411" s="3">
        <v>1380</v>
      </c>
      <c r="S1411" s="3">
        <v>1116</v>
      </c>
      <c r="T1411" s="3">
        <v>1320</v>
      </c>
      <c r="U1411" s="3">
        <v>672</v>
      </c>
      <c r="V1411" s="3">
        <v>2694</v>
      </c>
      <c r="W1411" s="3">
        <v>102</v>
      </c>
      <c r="X1411" s="3">
        <v>654</v>
      </c>
      <c r="Y1411" s="3">
        <v>2526</v>
      </c>
      <c r="Z1411" s="3">
        <v>540</v>
      </c>
      <c r="AA1411" s="3">
        <v>426</v>
      </c>
      <c r="AB1411" s="3">
        <v>1470</v>
      </c>
      <c r="AC1411" s="3">
        <v>360</v>
      </c>
      <c r="AD1411" s="3">
        <v>1158</v>
      </c>
      <c r="AE1411" s="3">
        <v>750</v>
      </c>
      <c r="AF1411" s="3">
        <v>1140</v>
      </c>
      <c r="AG1411" s="3">
        <v>0</v>
      </c>
      <c r="AH1411" s="3">
        <v>0</v>
      </c>
      <c r="AI1411" s="3">
        <v>1338</v>
      </c>
      <c r="AJ1411" s="3">
        <v>852</v>
      </c>
      <c r="AK1411" s="3">
        <v>1896</v>
      </c>
      <c r="AL1411" s="3">
        <v>198</v>
      </c>
      <c r="AM1411" s="3">
        <v>792</v>
      </c>
      <c r="AN1411" s="3">
        <v>804</v>
      </c>
      <c r="AO1411" s="3">
        <v>720</v>
      </c>
      <c r="AP1411" s="3">
        <v>726</v>
      </c>
      <c r="AQ1411" s="3">
        <v>954</v>
      </c>
      <c r="AR1411" s="3">
        <v>1356</v>
      </c>
      <c r="AS1411" s="3">
        <v>678</v>
      </c>
      <c r="AT1411" s="3">
        <v>2166</v>
      </c>
      <c r="AU1411" s="3">
        <v>336</v>
      </c>
      <c r="AV1411" s="3">
        <v>1044</v>
      </c>
      <c r="AW1411" s="3">
        <v>240</v>
      </c>
    </row>
    <row r="1412" spans="1:49">
      <c r="A1412" s="4" t="s">
        <v>35</v>
      </c>
      <c r="B1412" s="4" t="str">
        <f t="shared" si="22"/>
        <v>Hair Color</v>
      </c>
      <c r="C1412" s="4" t="s">
        <v>1786</v>
      </c>
      <c r="D1412" s="4" t="s">
        <v>579</v>
      </c>
      <c r="E1412" s="24" t="s">
        <v>414</v>
      </c>
      <c r="F1412" s="12" t="s">
        <v>421</v>
      </c>
      <c r="G1412" s="4" t="s">
        <v>1787</v>
      </c>
      <c r="H1412" s="3">
        <v>954</v>
      </c>
      <c r="I1412" s="3">
        <v>330</v>
      </c>
      <c r="J1412" s="3">
        <v>810</v>
      </c>
      <c r="K1412" s="3">
        <v>270</v>
      </c>
      <c r="L1412" s="3">
        <v>288</v>
      </c>
      <c r="M1412" s="3">
        <v>1578</v>
      </c>
      <c r="N1412" s="3">
        <v>36</v>
      </c>
      <c r="O1412" s="3">
        <v>846</v>
      </c>
      <c r="P1412" s="3">
        <v>114</v>
      </c>
      <c r="Q1412" s="3">
        <v>306</v>
      </c>
      <c r="R1412" s="3">
        <v>444</v>
      </c>
      <c r="S1412" s="3">
        <v>420</v>
      </c>
      <c r="T1412" s="3">
        <v>204</v>
      </c>
      <c r="U1412" s="3">
        <v>90</v>
      </c>
      <c r="V1412" s="3">
        <v>798</v>
      </c>
      <c r="W1412" s="3">
        <v>186</v>
      </c>
      <c r="X1412" s="3">
        <v>354</v>
      </c>
      <c r="Y1412" s="3">
        <v>1086</v>
      </c>
      <c r="Z1412" s="3">
        <v>210</v>
      </c>
      <c r="AA1412" s="3">
        <v>144</v>
      </c>
      <c r="AB1412" s="3">
        <v>666</v>
      </c>
      <c r="AC1412" s="3">
        <v>60</v>
      </c>
      <c r="AD1412" s="3">
        <v>348</v>
      </c>
      <c r="AE1412" s="3">
        <v>582</v>
      </c>
      <c r="AF1412" s="3">
        <v>378</v>
      </c>
      <c r="AG1412" s="3">
        <v>666</v>
      </c>
      <c r="AH1412" s="3">
        <v>60</v>
      </c>
      <c r="AI1412" s="3">
        <v>252</v>
      </c>
      <c r="AJ1412" s="3">
        <v>396</v>
      </c>
      <c r="AK1412" s="3">
        <v>702</v>
      </c>
      <c r="AL1412" s="3">
        <v>282</v>
      </c>
      <c r="AM1412" s="3">
        <v>474</v>
      </c>
      <c r="AN1412" s="3">
        <v>306</v>
      </c>
      <c r="AO1412" s="3">
        <v>138</v>
      </c>
      <c r="AP1412" s="3">
        <v>444</v>
      </c>
      <c r="AQ1412" s="3">
        <v>456</v>
      </c>
      <c r="AR1412" s="3">
        <v>666</v>
      </c>
      <c r="AS1412" s="3">
        <v>294</v>
      </c>
      <c r="AT1412" s="3">
        <v>924</v>
      </c>
      <c r="AU1412" s="3">
        <v>66</v>
      </c>
      <c r="AV1412" s="3">
        <v>606</v>
      </c>
      <c r="AW1412" s="3">
        <v>174</v>
      </c>
    </row>
    <row r="1413" spans="1:49">
      <c r="A1413" s="4" t="s">
        <v>35</v>
      </c>
      <c r="B1413" s="4" t="str">
        <f t="shared" si="22"/>
        <v>Hair Color</v>
      </c>
      <c r="C1413" s="4" t="s">
        <v>1786</v>
      </c>
      <c r="D1413" s="4" t="s">
        <v>579</v>
      </c>
      <c r="E1413" s="24" t="s">
        <v>414</v>
      </c>
      <c r="F1413" s="12" t="s">
        <v>422</v>
      </c>
      <c r="G1413" s="4" t="s">
        <v>1787</v>
      </c>
      <c r="H1413" s="3">
        <v>1002</v>
      </c>
      <c r="I1413" s="3">
        <v>420</v>
      </c>
      <c r="J1413" s="3">
        <v>1098</v>
      </c>
      <c r="K1413" s="3">
        <v>390</v>
      </c>
      <c r="L1413" s="3">
        <v>378</v>
      </c>
      <c r="M1413" s="3">
        <v>1740</v>
      </c>
      <c r="N1413" s="3">
        <v>174</v>
      </c>
      <c r="O1413" s="3">
        <v>1032</v>
      </c>
      <c r="P1413" s="3">
        <v>306</v>
      </c>
      <c r="Q1413" s="3">
        <v>564</v>
      </c>
      <c r="R1413" s="3">
        <v>642</v>
      </c>
      <c r="S1413" s="3">
        <v>540</v>
      </c>
      <c r="T1413" s="3">
        <v>486</v>
      </c>
      <c r="U1413" s="3">
        <v>36</v>
      </c>
      <c r="V1413" s="3">
        <v>1206</v>
      </c>
      <c r="W1413" s="3">
        <v>246</v>
      </c>
      <c r="X1413" s="3">
        <v>456</v>
      </c>
      <c r="Y1413" s="3">
        <v>1554</v>
      </c>
      <c r="Z1413" s="3">
        <v>162</v>
      </c>
      <c r="AA1413" s="3">
        <v>270</v>
      </c>
      <c r="AB1413" s="3">
        <v>840</v>
      </c>
      <c r="AC1413" s="3">
        <v>150</v>
      </c>
      <c r="AD1413" s="3">
        <v>702</v>
      </c>
      <c r="AE1413" s="3">
        <v>636</v>
      </c>
      <c r="AF1413" s="3">
        <v>354</v>
      </c>
      <c r="AG1413" s="3">
        <v>0</v>
      </c>
      <c r="AH1413" s="3">
        <v>0</v>
      </c>
      <c r="AI1413" s="3">
        <v>906</v>
      </c>
      <c r="AJ1413" s="3">
        <v>798</v>
      </c>
      <c r="AK1413" s="3">
        <v>1164</v>
      </c>
      <c r="AL1413" s="3">
        <v>330</v>
      </c>
      <c r="AM1413" s="3">
        <v>822</v>
      </c>
      <c r="AN1413" s="3">
        <v>696</v>
      </c>
      <c r="AO1413" s="3">
        <v>390</v>
      </c>
      <c r="AP1413" s="3">
        <v>450</v>
      </c>
      <c r="AQ1413" s="3">
        <v>684</v>
      </c>
      <c r="AR1413" s="3">
        <v>852</v>
      </c>
      <c r="AS1413" s="3">
        <v>492</v>
      </c>
      <c r="AT1413" s="3">
        <v>1296</v>
      </c>
      <c r="AU1413" s="3">
        <v>54</v>
      </c>
      <c r="AV1413" s="3">
        <v>660</v>
      </c>
      <c r="AW1413" s="3">
        <v>306</v>
      </c>
    </row>
    <row r="1414" spans="1:49">
      <c r="A1414" s="4" t="s">
        <v>35</v>
      </c>
      <c r="B1414" s="4" t="str">
        <f t="shared" si="22"/>
        <v>Hair Color</v>
      </c>
      <c r="C1414" s="4" t="s">
        <v>1786</v>
      </c>
      <c r="D1414" s="4" t="s">
        <v>579</v>
      </c>
      <c r="E1414" s="24" t="s">
        <v>414</v>
      </c>
      <c r="F1414" s="12" t="s">
        <v>423</v>
      </c>
      <c r="G1414" s="4" t="s">
        <v>1787</v>
      </c>
      <c r="H1414" s="3">
        <v>1674</v>
      </c>
      <c r="I1414" s="3">
        <v>774</v>
      </c>
      <c r="J1414" s="3">
        <v>2364</v>
      </c>
      <c r="K1414" s="3">
        <v>762</v>
      </c>
      <c r="L1414" s="3">
        <v>1152</v>
      </c>
      <c r="M1414" s="3">
        <v>2844</v>
      </c>
      <c r="N1414" s="3">
        <v>270</v>
      </c>
      <c r="O1414" s="3">
        <v>2052</v>
      </c>
      <c r="P1414" s="3">
        <v>744</v>
      </c>
      <c r="Q1414" s="3">
        <v>1032</v>
      </c>
      <c r="R1414" s="3">
        <v>1476</v>
      </c>
      <c r="S1414" s="3">
        <v>1164</v>
      </c>
      <c r="T1414" s="3">
        <v>1194</v>
      </c>
      <c r="U1414" s="3">
        <v>468</v>
      </c>
      <c r="V1414" s="3">
        <v>2160</v>
      </c>
      <c r="W1414" s="3">
        <v>366</v>
      </c>
      <c r="X1414" s="3">
        <v>1356</v>
      </c>
      <c r="Y1414" s="3">
        <v>2508</v>
      </c>
      <c r="Z1414" s="3">
        <v>240</v>
      </c>
      <c r="AA1414" s="3">
        <v>480</v>
      </c>
      <c r="AB1414" s="3">
        <v>1908</v>
      </c>
      <c r="AC1414" s="3">
        <v>198</v>
      </c>
      <c r="AD1414" s="3">
        <v>1134</v>
      </c>
      <c r="AE1414" s="3">
        <v>1260</v>
      </c>
      <c r="AF1414" s="3">
        <v>1116</v>
      </c>
      <c r="AG1414" s="3">
        <v>294</v>
      </c>
      <c r="AH1414" s="3">
        <v>0</v>
      </c>
      <c r="AI1414" s="3">
        <v>1884</v>
      </c>
      <c r="AJ1414" s="3">
        <v>840</v>
      </c>
      <c r="AK1414" s="3">
        <v>2562</v>
      </c>
      <c r="AL1414" s="3">
        <v>558</v>
      </c>
      <c r="AM1414" s="3">
        <v>1080</v>
      </c>
      <c r="AN1414" s="3">
        <v>714</v>
      </c>
      <c r="AO1414" s="3">
        <v>828</v>
      </c>
      <c r="AP1414" s="3">
        <v>822</v>
      </c>
      <c r="AQ1414" s="3">
        <v>1170</v>
      </c>
      <c r="AR1414" s="3">
        <v>1038</v>
      </c>
      <c r="AS1414" s="3">
        <v>540</v>
      </c>
      <c r="AT1414" s="3">
        <v>2478</v>
      </c>
      <c r="AU1414" s="3">
        <v>114</v>
      </c>
      <c r="AV1414" s="3">
        <v>1122</v>
      </c>
      <c r="AW1414" s="3">
        <v>570</v>
      </c>
    </row>
    <row r="1415" spans="1:49">
      <c r="A1415" s="4" t="s">
        <v>35</v>
      </c>
      <c r="B1415" s="4" t="str">
        <f t="shared" si="22"/>
        <v>Hair Color</v>
      </c>
      <c r="C1415" s="4" t="s">
        <v>1786</v>
      </c>
      <c r="D1415" s="4" t="s">
        <v>579</v>
      </c>
      <c r="E1415" s="24" t="s">
        <v>414</v>
      </c>
      <c r="F1415" s="12" t="s">
        <v>424</v>
      </c>
      <c r="G1415" s="4" t="s">
        <v>1787</v>
      </c>
      <c r="H1415" s="3">
        <v>2760</v>
      </c>
      <c r="I1415" s="3">
        <v>1434</v>
      </c>
      <c r="J1415" s="3">
        <v>3966</v>
      </c>
      <c r="K1415" s="3">
        <v>882</v>
      </c>
      <c r="L1415" s="3">
        <v>2484</v>
      </c>
      <c r="M1415" s="3">
        <v>3852</v>
      </c>
      <c r="N1415" s="3">
        <v>678</v>
      </c>
      <c r="O1415" s="3">
        <v>3738</v>
      </c>
      <c r="P1415" s="3">
        <v>1374</v>
      </c>
      <c r="Q1415" s="3">
        <v>1578</v>
      </c>
      <c r="R1415" s="3">
        <v>2226</v>
      </c>
      <c r="S1415" s="3">
        <v>2244</v>
      </c>
      <c r="T1415" s="3">
        <v>2172</v>
      </c>
      <c r="U1415" s="3">
        <v>864</v>
      </c>
      <c r="V1415" s="3">
        <v>4908</v>
      </c>
      <c r="W1415" s="3">
        <v>696</v>
      </c>
      <c r="X1415" s="3">
        <v>2130</v>
      </c>
      <c r="Y1415" s="3">
        <v>4740</v>
      </c>
      <c r="Z1415" s="3">
        <v>726</v>
      </c>
      <c r="AA1415" s="3">
        <v>954</v>
      </c>
      <c r="AB1415" s="3">
        <v>3012</v>
      </c>
      <c r="AC1415" s="3">
        <v>540</v>
      </c>
      <c r="AD1415" s="3">
        <v>2064</v>
      </c>
      <c r="AE1415" s="3">
        <v>2226</v>
      </c>
      <c r="AF1415" s="3">
        <v>2166</v>
      </c>
      <c r="AG1415" s="3">
        <v>2400</v>
      </c>
      <c r="AH1415" s="3">
        <v>1836</v>
      </c>
      <c r="AI1415" s="3">
        <v>318</v>
      </c>
      <c r="AJ1415" s="3">
        <v>960</v>
      </c>
      <c r="AK1415" s="3">
        <v>3684</v>
      </c>
      <c r="AL1415" s="3">
        <v>912</v>
      </c>
      <c r="AM1415" s="3">
        <v>1746</v>
      </c>
      <c r="AN1415" s="3">
        <v>1626</v>
      </c>
      <c r="AO1415" s="3">
        <v>1380</v>
      </c>
      <c r="AP1415" s="3">
        <v>1188</v>
      </c>
      <c r="AQ1415" s="3">
        <v>2808</v>
      </c>
      <c r="AR1415" s="3">
        <v>1878</v>
      </c>
      <c r="AS1415" s="3">
        <v>804</v>
      </c>
      <c r="AT1415" s="3">
        <v>4398</v>
      </c>
      <c r="AU1415" s="3">
        <v>672</v>
      </c>
      <c r="AV1415" s="3">
        <v>1926</v>
      </c>
      <c r="AW1415" s="3">
        <v>744</v>
      </c>
    </row>
    <row r="1416" spans="1:49">
      <c r="A1416" s="4" t="s">
        <v>35</v>
      </c>
      <c r="B1416" s="4" t="str">
        <f t="shared" si="22"/>
        <v>Hair Color</v>
      </c>
      <c r="C1416" s="4" t="s">
        <v>1786</v>
      </c>
      <c r="D1416" s="4" t="s">
        <v>579</v>
      </c>
      <c r="E1416" s="24" t="s">
        <v>414</v>
      </c>
      <c r="F1416" s="12" t="s">
        <v>425</v>
      </c>
      <c r="G1416" s="4" t="s">
        <v>1787</v>
      </c>
      <c r="H1416" s="3">
        <v>1890</v>
      </c>
      <c r="I1416" s="3">
        <v>882</v>
      </c>
      <c r="J1416" s="3">
        <v>2766</v>
      </c>
      <c r="K1416" s="3">
        <v>756</v>
      </c>
      <c r="L1416" s="3">
        <v>1218</v>
      </c>
      <c r="M1416" s="3">
        <v>2782</v>
      </c>
      <c r="N1416" s="3">
        <v>378</v>
      </c>
      <c r="O1416" s="3">
        <v>2034</v>
      </c>
      <c r="P1416" s="3">
        <v>498</v>
      </c>
      <c r="Q1416" s="3">
        <v>762</v>
      </c>
      <c r="R1416" s="3">
        <v>1452</v>
      </c>
      <c r="S1416" s="3">
        <v>1158</v>
      </c>
      <c r="T1416" s="3">
        <v>1914</v>
      </c>
      <c r="U1416" s="3">
        <v>720</v>
      </c>
      <c r="V1416" s="3">
        <v>3252</v>
      </c>
      <c r="W1416" s="3">
        <v>258</v>
      </c>
      <c r="X1416" s="3">
        <v>1098</v>
      </c>
      <c r="Y1416" s="3">
        <v>3186</v>
      </c>
      <c r="Z1416" s="3">
        <v>222</v>
      </c>
      <c r="AA1416" s="3">
        <v>726</v>
      </c>
      <c r="AB1416" s="3">
        <v>1728</v>
      </c>
      <c r="AC1416" s="3">
        <v>258</v>
      </c>
      <c r="AD1416" s="3">
        <v>1368</v>
      </c>
      <c r="AE1416" s="3">
        <v>1176</v>
      </c>
      <c r="AF1416" s="3">
        <v>1446</v>
      </c>
      <c r="AG1416" s="3">
        <v>1650</v>
      </c>
      <c r="AH1416" s="3">
        <v>1458</v>
      </c>
      <c r="AI1416" s="3">
        <v>750</v>
      </c>
      <c r="AJ1416" s="3">
        <v>540</v>
      </c>
      <c r="AK1416" s="3">
        <v>2520</v>
      </c>
      <c r="AL1416" s="3">
        <v>516</v>
      </c>
      <c r="AM1416" s="3">
        <v>1062</v>
      </c>
      <c r="AN1416" s="3">
        <v>1158</v>
      </c>
      <c r="AO1416" s="3">
        <v>786</v>
      </c>
      <c r="AP1416" s="3">
        <v>690</v>
      </c>
      <c r="AQ1416" s="3">
        <v>900</v>
      </c>
      <c r="AR1416" s="3">
        <v>1566</v>
      </c>
      <c r="AS1416" s="3">
        <v>540</v>
      </c>
      <c r="AT1416" s="3">
        <v>2346</v>
      </c>
      <c r="AU1416" s="3">
        <v>474</v>
      </c>
      <c r="AV1416" s="3">
        <v>1380</v>
      </c>
      <c r="AW1416" s="3">
        <v>468</v>
      </c>
    </row>
    <row r="1417" spans="1:49">
      <c r="A1417" s="4" t="s">
        <v>35</v>
      </c>
      <c r="B1417" s="4" t="str">
        <f t="shared" si="22"/>
        <v>Hair Color</v>
      </c>
      <c r="C1417" s="4" t="s">
        <v>1786</v>
      </c>
      <c r="D1417" s="4" t="s">
        <v>579</v>
      </c>
      <c r="E1417" s="24" t="s">
        <v>414</v>
      </c>
      <c r="F1417" s="12" t="s">
        <v>426</v>
      </c>
      <c r="G1417" s="4" t="s">
        <v>1787</v>
      </c>
      <c r="H1417" s="3">
        <v>1446</v>
      </c>
      <c r="I1417" s="3">
        <v>894</v>
      </c>
      <c r="J1417" s="3">
        <v>2394</v>
      </c>
      <c r="K1417" s="3">
        <v>972</v>
      </c>
      <c r="L1417" s="3">
        <v>1338</v>
      </c>
      <c r="M1417" s="3">
        <v>2754</v>
      </c>
      <c r="N1417" s="3">
        <v>342</v>
      </c>
      <c r="O1417" s="3">
        <v>1704</v>
      </c>
      <c r="P1417" s="3">
        <v>612</v>
      </c>
      <c r="Q1417" s="3">
        <v>1074</v>
      </c>
      <c r="R1417" s="3">
        <v>1512</v>
      </c>
      <c r="S1417" s="3">
        <v>1284</v>
      </c>
      <c r="T1417" s="3">
        <v>1614</v>
      </c>
      <c r="U1417" s="3">
        <v>618</v>
      </c>
      <c r="V1417" s="3">
        <v>2844</v>
      </c>
      <c r="W1417" s="3">
        <v>336</v>
      </c>
      <c r="X1417" s="3">
        <v>1332</v>
      </c>
      <c r="Y1417" s="3">
        <v>2694</v>
      </c>
      <c r="Z1417" s="3">
        <v>336</v>
      </c>
      <c r="AA1417" s="3">
        <v>738</v>
      </c>
      <c r="AB1417" s="3">
        <v>1758</v>
      </c>
      <c r="AC1417" s="3">
        <v>306</v>
      </c>
      <c r="AD1417" s="3">
        <v>1152</v>
      </c>
      <c r="AE1417" s="3">
        <v>1476</v>
      </c>
      <c r="AF1417" s="3">
        <v>1038</v>
      </c>
      <c r="AG1417" s="3">
        <v>1518</v>
      </c>
      <c r="AH1417" s="3">
        <v>540</v>
      </c>
      <c r="AI1417" s="3">
        <v>804</v>
      </c>
      <c r="AJ1417" s="3">
        <v>798</v>
      </c>
      <c r="AK1417" s="3">
        <v>2790</v>
      </c>
      <c r="AL1417" s="3">
        <v>462</v>
      </c>
      <c r="AM1417" s="3">
        <v>894</v>
      </c>
      <c r="AN1417" s="3">
        <v>882</v>
      </c>
      <c r="AO1417" s="3">
        <v>990</v>
      </c>
      <c r="AP1417" s="3">
        <v>1032</v>
      </c>
      <c r="AQ1417" s="3">
        <v>192</v>
      </c>
      <c r="AR1417" s="3">
        <v>2976</v>
      </c>
      <c r="AS1417" s="3">
        <v>786</v>
      </c>
      <c r="AT1417" s="3">
        <v>2112</v>
      </c>
      <c r="AU1417" s="3">
        <v>396</v>
      </c>
      <c r="AV1417" s="3">
        <v>1248</v>
      </c>
      <c r="AW1417" s="3">
        <v>504</v>
      </c>
    </row>
    <row r="1418" spans="1:49">
      <c r="A1418" s="4" t="s">
        <v>35</v>
      </c>
      <c r="B1418" s="4" t="str">
        <f t="shared" si="22"/>
        <v>Hair Color</v>
      </c>
      <c r="C1418" s="4" t="s">
        <v>1786</v>
      </c>
      <c r="D1418" s="4" t="s">
        <v>579</v>
      </c>
      <c r="E1418" s="24" t="s">
        <v>414</v>
      </c>
      <c r="F1418" s="12" t="s">
        <v>427</v>
      </c>
      <c r="G1418" s="4" t="s">
        <v>1787</v>
      </c>
      <c r="H1418" s="3">
        <v>1098</v>
      </c>
      <c r="I1418" s="3">
        <v>624</v>
      </c>
      <c r="J1418" s="3">
        <v>156</v>
      </c>
      <c r="K1418" s="3">
        <v>966</v>
      </c>
      <c r="L1418" s="3">
        <v>785</v>
      </c>
      <c r="M1418" s="3">
        <v>1974</v>
      </c>
      <c r="N1418" s="3">
        <v>78</v>
      </c>
      <c r="O1418" s="3">
        <v>876</v>
      </c>
      <c r="P1418" s="3">
        <v>408</v>
      </c>
      <c r="Q1418" s="3">
        <v>408</v>
      </c>
      <c r="R1418" s="3">
        <v>984</v>
      </c>
      <c r="S1418" s="3">
        <v>570</v>
      </c>
      <c r="T1418" s="3">
        <v>558</v>
      </c>
      <c r="U1418" s="3">
        <v>264</v>
      </c>
      <c r="V1418" s="3">
        <v>1704</v>
      </c>
      <c r="W1418" s="3">
        <v>318</v>
      </c>
      <c r="X1418" s="3">
        <v>678</v>
      </c>
      <c r="Y1418" s="3">
        <v>1662</v>
      </c>
      <c r="Z1418" s="3">
        <v>282</v>
      </c>
      <c r="AA1418" s="3">
        <v>378</v>
      </c>
      <c r="AB1418" s="3">
        <v>1398</v>
      </c>
      <c r="AC1418" s="3">
        <v>432</v>
      </c>
      <c r="AD1418" s="3">
        <v>690</v>
      </c>
      <c r="AE1418" s="3">
        <v>864</v>
      </c>
      <c r="AF1418" s="3">
        <v>732</v>
      </c>
      <c r="AG1418" s="3">
        <v>954</v>
      </c>
      <c r="AH1418" s="3">
        <v>966</v>
      </c>
      <c r="AI1418" s="3">
        <v>288</v>
      </c>
      <c r="AJ1418" s="3">
        <v>324</v>
      </c>
      <c r="AK1418" s="3">
        <v>1254</v>
      </c>
      <c r="AL1418" s="3">
        <v>228</v>
      </c>
      <c r="AM1418" s="3">
        <v>600</v>
      </c>
      <c r="AN1418" s="3">
        <v>546</v>
      </c>
      <c r="AO1418" s="3">
        <v>534</v>
      </c>
      <c r="AP1418" s="3">
        <v>312</v>
      </c>
      <c r="AQ1418" s="3">
        <v>660</v>
      </c>
      <c r="AR1418" s="3">
        <v>1164</v>
      </c>
      <c r="AS1418" s="3">
        <v>438</v>
      </c>
      <c r="AT1418" s="3">
        <v>1932</v>
      </c>
      <c r="AU1418" s="3">
        <v>132</v>
      </c>
      <c r="AV1418" s="3">
        <v>846</v>
      </c>
      <c r="AW1418" s="3">
        <v>432</v>
      </c>
    </row>
    <row r="1419" spans="1:49">
      <c r="A1419" s="4" t="s">
        <v>35</v>
      </c>
      <c r="B1419" s="4" t="str">
        <f t="shared" si="22"/>
        <v>Hair Color</v>
      </c>
      <c r="C1419" s="4" t="s">
        <v>1786</v>
      </c>
      <c r="D1419" s="4" t="s">
        <v>579</v>
      </c>
      <c r="E1419" s="24" t="s">
        <v>414</v>
      </c>
      <c r="F1419" s="12" t="s">
        <v>428</v>
      </c>
      <c r="G1419" s="4" t="s">
        <v>1787</v>
      </c>
      <c r="H1419" s="3">
        <v>1698</v>
      </c>
      <c r="I1419" s="3">
        <v>834</v>
      </c>
      <c r="J1419" s="3">
        <v>2316</v>
      </c>
      <c r="K1419" s="3">
        <v>732</v>
      </c>
      <c r="L1419" s="3">
        <v>840</v>
      </c>
      <c r="M1419" s="3">
        <v>2664</v>
      </c>
      <c r="N1419" s="3">
        <v>348</v>
      </c>
      <c r="O1419" s="3">
        <v>2160</v>
      </c>
      <c r="P1419" s="3">
        <v>732</v>
      </c>
      <c r="Q1419" s="3">
        <v>798</v>
      </c>
      <c r="R1419" s="3">
        <v>1566</v>
      </c>
      <c r="S1419" s="3">
        <v>1206</v>
      </c>
      <c r="T1419" s="3">
        <v>1692</v>
      </c>
      <c r="U1419" s="3">
        <v>396</v>
      </c>
      <c r="V1419" s="3">
        <v>2478</v>
      </c>
      <c r="W1419" s="3">
        <v>510</v>
      </c>
      <c r="X1419" s="3">
        <v>1176</v>
      </c>
      <c r="Y1419" s="3">
        <v>2484</v>
      </c>
      <c r="Z1419" s="3">
        <v>450</v>
      </c>
      <c r="AA1419" s="3">
        <v>738</v>
      </c>
      <c r="AB1419" s="3">
        <v>1272</v>
      </c>
      <c r="AC1419" s="3">
        <v>420</v>
      </c>
      <c r="AD1419" s="3">
        <v>1380</v>
      </c>
      <c r="AE1419" s="3">
        <v>1170</v>
      </c>
      <c r="AF1419" s="3">
        <v>1362</v>
      </c>
      <c r="AG1419" s="3">
        <v>1890</v>
      </c>
      <c r="AH1419" s="3">
        <v>258</v>
      </c>
      <c r="AI1419" s="3">
        <v>0</v>
      </c>
      <c r="AJ1419" s="3">
        <v>696</v>
      </c>
      <c r="AK1419" s="3">
        <v>3396</v>
      </c>
      <c r="AL1419" s="3">
        <v>42</v>
      </c>
      <c r="AM1419" s="3">
        <v>1236</v>
      </c>
      <c r="AN1419" s="3">
        <v>756</v>
      </c>
      <c r="AO1419" s="3">
        <v>642</v>
      </c>
      <c r="AP1419" s="3">
        <v>996</v>
      </c>
      <c r="AQ1419" s="3">
        <v>1980</v>
      </c>
      <c r="AR1419" s="3">
        <v>1158</v>
      </c>
      <c r="AS1419" s="3">
        <v>600</v>
      </c>
      <c r="AT1419" s="3">
        <v>2208</v>
      </c>
      <c r="AU1419" s="3">
        <v>252</v>
      </c>
      <c r="AV1419" s="3">
        <v>1236</v>
      </c>
      <c r="AW1419" s="3">
        <v>708</v>
      </c>
    </row>
    <row r="1420" spans="1:49">
      <c r="A1420" s="4" t="s">
        <v>35</v>
      </c>
      <c r="B1420" s="4" t="str">
        <f t="shared" si="22"/>
        <v>Hair Color</v>
      </c>
      <c r="C1420" s="4" t="s">
        <v>1786</v>
      </c>
      <c r="D1420" s="4" t="s">
        <v>579</v>
      </c>
      <c r="E1420" s="24" t="s">
        <v>414</v>
      </c>
      <c r="F1420" s="12" t="s">
        <v>429</v>
      </c>
      <c r="G1420" s="4" t="s">
        <v>1787</v>
      </c>
      <c r="H1420" s="3">
        <v>648</v>
      </c>
      <c r="I1420" s="3">
        <v>288</v>
      </c>
      <c r="J1420" s="3">
        <v>774</v>
      </c>
      <c r="K1420" s="3">
        <v>162</v>
      </c>
      <c r="L1420" s="3">
        <v>252</v>
      </c>
      <c r="M1420" s="3">
        <v>1182</v>
      </c>
      <c r="N1420" s="3">
        <v>144</v>
      </c>
      <c r="O1420" s="3">
        <v>534</v>
      </c>
      <c r="P1420" s="3">
        <v>120</v>
      </c>
      <c r="Q1420" s="3">
        <v>360</v>
      </c>
      <c r="R1420" s="3">
        <v>444</v>
      </c>
      <c r="S1420" s="3">
        <v>132</v>
      </c>
      <c r="T1420" s="3">
        <v>396</v>
      </c>
      <c r="U1420" s="3">
        <v>138</v>
      </c>
      <c r="V1420" s="3">
        <v>930</v>
      </c>
      <c r="W1420" s="3">
        <v>120</v>
      </c>
      <c r="X1420" s="3">
        <v>234</v>
      </c>
      <c r="Y1420" s="3">
        <v>1002</v>
      </c>
      <c r="Z1420" s="3">
        <v>240</v>
      </c>
      <c r="AA1420" s="3">
        <v>126</v>
      </c>
      <c r="AB1420" s="3">
        <v>690</v>
      </c>
      <c r="AC1420" s="3">
        <v>30</v>
      </c>
      <c r="AD1420" s="3">
        <v>378</v>
      </c>
      <c r="AE1420" s="3">
        <v>510</v>
      </c>
      <c r="AF1420" s="3">
        <v>534</v>
      </c>
      <c r="AG1420" s="3">
        <v>378</v>
      </c>
      <c r="AH1420" s="3">
        <v>492</v>
      </c>
      <c r="AI1420" s="3">
        <v>414</v>
      </c>
      <c r="AJ1420" s="3">
        <v>342</v>
      </c>
      <c r="AK1420" s="3">
        <v>432</v>
      </c>
      <c r="AL1420" s="3">
        <v>108</v>
      </c>
      <c r="AM1420" s="3">
        <v>348</v>
      </c>
      <c r="AN1420" s="3">
        <v>264</v>
      </c>
      <c r="AO1420" s="3">
        <v>282</v>
      </c>
      <c r="AP1420" s="3">
        <v>138</v>
      </c>
      <c r="AQ1420" s="3">
        <v>168</v>
      </c>
      <c r="AR1420" s="3">
        <v>516</v>
      </c>
      <c r="AS1420" s="3">
        <v>390</v>
      </c>
      <c r="AT1420" s="3">
        <v>1578</v>
      </c>
      <c r="AU1420" s="3">
        <v>138</v>
      </c>
      <c r="AV1420" s="3">
        <v>372</v>
      </c>
      <c r="AW1420" s="3">
        <v>180</v>
      </c>
    </row>
    <row r="1421" spans="1:49">
      <c r="A1421" s="4" t="s">
        <v>35</v>
      </c>
      <c r="B1421" s="4" t="str">
        <f t="shared" si="22"/>
        <v>Hair Color</v>
      </c>
      <c r="C1421" s="4" t="s">
        <v>1786</v>
      </c>
      <c r="D1421" s="4" t="s">
        <v>579</v>
      </c>
      <c r="E1421" s="24" t="s">
        <v>414</v>
      </c>
      <c r="F1421" s="12" t="s">
        <v>428</v>
      </c>
      <c r="G1421" s="4" t="s">
        <v>1787</v>
      </c>
      <c r="H1421" s="3">
        <v>1218</v>
      </c>
      <c r="I1421" s="3">
        <v>744</v>
      </c>
      <c r="J1421" s="3">
        <v>1314</v>
      </c>
      <c r="K1421" s="3">
        <v>378</v>
      </c>
      <c r="L1421" s="3">
        <v>324</v>
      </c>
      <c r="M1421" s="3">
        <v>1716</v>
      </c>
      <c r="N1421" s="3">
        <v>186</v>
      </c>
      <c r="O1421" s="3">
        <v>1416</v>
      </c>
      <c r="P1421" s="3">
        <v>270</v>
      </c>
      <c r="Q1421" s="3">
        <v>474</v>
      </c>
      <c r="R1421" s="3">
        <v>858</v>
      </c>
      <c r="S1421" s="3">
        <v>1044</v>
      </c>
      <c r="T1421" s="3">
        <v>690</v>
      </c>
      <c r="U1421" s="3">
        <v>348</v>
      </c>
      <c r="V1421" s="3">
        <v>1235</v>
      </c>
      <c r="W1421" s="3">
        <v>264</v>
      </c>
      <c r="X1421" s="3">
        <v>618</v>
      </c>
      <c r="Y1421" s="3">
        <v>1890</v>
      </c>
      <c r="Z1421" s="3">
        <v>432</v>
      </c>
      <c r="AA1421" s="3">
        <v>294</v>
      </c>
      <c r="AB1421" s="3">
        <v>1212</v>
      </c>
      <c r="AC1421" s="3">
        <v>288</v>
      </c>
      <c r="AD1421" s="3">
        <v>744</v>
      </c>
      <c r="AE1421" s="3">
        <v>804</v>
      </c>
      <c r="AF1421" s="3">
        <v>768</v>
      </c>
      <c r="AG1421" s="3">
        <v>1062</v>
      </c>
      <c r="AH1421" s="3">
        <v>1344</v>
      </c>
      <c r="AI1421" s="3">
        <v>372</v>
      </c>
      <c r="AJ1421" s="3">
        <v>342</v>
      </c>
      <c r="AK1421" s="3">
        <v>1254</v>
      </c>
      <c r="AL1421" s="3">
        <v>252</v>
      </c>
      <c r="AM1421" s="3">
        <v>888</v>
      </c>
      <c r="AN1421" s="3">
        <v>642</v>
      </c>
      <c r="AO1421" s="3">
        <v>468</v>
      </c>
      <c r="AP1421" s="3">
        <v>522</v>
      </c>
      <c r="AQ1421" s="3">
        <v>1338</v>
      </c>
      <c r="AR1421" s="3">
        <v>780</v>
      </c>
      <c r="AS1421" s="3">
        <v>396</v>
      </c>
      <c r="AT1421" s="3">
        <v>1518</v>
      </c>
      <c r="AU1421" s="3">
        <v>342</v>
      </c>
      <c r="AV1421" s="3">
        <v>924</v>
      </c>
      <c r="AW1421" s="3">
        <v>174</v>
      </c>
    </row>
    <row r="1422" spans="1:49">
      <c r="A1422" s="4" t="s">
        <v>35</v>
      </c>
      <c r="B1422" s="4" t="str">
        <f t="shared" si="22"/>
        <v>Hair Color</v>
      </c>
      <c r="C1422" s="4" t="s">
        <v>1786</v>
      </c>
      <c r="D1422" s="4" t="s">
        <v>579</v>
      </c>
      <c r="E1422" s="24" t="s">
        <v>414</v>
      </c>
      <c r="F1422" s="12" t="s">
        <v>430</v>
      </c>
      <c r="G1422" s="4" t="s">
        <v>1787</v>
      </c>
      <c r="H1422" s="3">
        <v>2154</v>
      </c>
      <c r="I1422" s="3">
        <v>1056</v>
      </c>
      <c r="J1422" s="3">
        <v>2880</v>
      </c>
      <c r="K1422" s="3">
        <v>784</v>
      </c>
      <c r="L1422" s="3">
        <v>2214</v>
      </c>
      <c r="M1422" s="3">
        <v>2994</v>
      </c>
      <c r="N1422" s="3">
        <v>456</v>
      </c>
      <c r="O1422" s="3">
        <v>2628</v>
      </c>
      <c r="P1422" s="3">
        <v>984</v>
      </c>
      <c r="Q1422" s="3">
        <v>1236</v>
      </c>
      <c r="R1422" s="3">
        <v>1908</v>
      </c>
      <c r="S1422" s="3">
        <v>1302</v>
      </c>
      <c r="T1422" s="3">
        <v>1980</v>
      </c>
      <c r="U1422" s="3">
        <v>540</v>
      </c>
      <c r="V1422" s="3">
        <v>3204</v>
      </c>
      <c r="W1422" s="3">
        <v>630</v>
      </c>
      <c r="X1422" s="3">
        <v>1734</v>
      </c>
      <c r="Y1422" s="3">
        <v>3594</v>
      </c>
      <c r="Z1422" s="3">
        <v>456</v>
      </c>
      <c r="AA1422" s="3">
        <v>1488</v>
      </c>
      <c r="AB1422" s="3">
        <v>1254</v>
      </c>
      <c r="AC1422" s="3">
        <v>534</v>
      </c>
      <c r="AD1422" s="3">
        <v>1638</v>
      </c>
      <c r="AE1422" s="3">
        <v>1386</v>
      </c>
      <c r="AF1422" s="3">
        <v>1752</v>
      </c>
      <c r="AG1422" s="3">
        <v>1206</v>
      </c>
      <c r="AH1422" s="3">
        <v>0</v>
      </c>
      <c r="AI1422" s="3">
        <v>1626</v>
      </c>
      <c r="AJ1422" s="3">
        <v>1248</v>
      </c>
      <c r="AK1422" s="3">
        <v>3456</v>
      </c>
      <c r="AL1422" s="3">
        <v>90</v>
      </c>
      <c r="AM1422" s="3">
        <v>1782</v>
      </c>
      <c r="AN1422" s="3">
        <v>1512</v>
      </c>
      <c r="AO1422" s="3">
        <v>1086</v>
      </c>
      <c r="AP1422" s="3">
        <v>1260</v>
      </c>
      <c r="AQ1422" s="3">
        <v>2526</v>
      </c>
      <c r="AR1422" s="3">
        <v>1452</v>
      </c>
      <c r="AS1422" s="3">
        <v>702</v>
      </c>
      <c r="AT1422" s="3">
        <v>2832</v>
      </c>
      <c r="AU1422" s="3">
        <v>468</v>
      </c>
      <c r="AV1422" s="3">
        <v>1890</v>
      </c>
      <c r="AW1422" s="3">
        <v>324</v>
      </c>
    </row>
    <row r="1423" spans="1:49">
      <c r="A1423" s="4" t="s">
        <v>35</v>
      </c>
      <c r="B1423" s="4" t="str">
        <f t="shared" si="22"/>
        <v>Hair Color</v>
      </c>
      <c r="C1423" s="4" t="s">
        <v>1786</v>
      </c>
      <c r="D1423" s="4" t="s">
        <v>579</v>
      </c>
      <c r="E1423" s="24" t="s">
        <v>414</v>
      </c>
      <c r="F1423" s="12" t="s">
        <v>431</v>
      </c>
      <c r="G1423" s="4" t="s">
        <v>1787</v>
      </c>
      <c r="H1423" s="3">
        <v>1242</v>
      </c>
      <c r="I1423" s="3">
        <v>642</v>
      </c>
      <c r="J1423" s="3">
        <v>1020</v>
      </c>
      <c r="K1423" s="3">
        <v>280</v>
      </c>
      <c r="L1423" s="3">
        <v>612</v>
      </c>
      <c r="M1423" s="3">
        <v>1830</v>
      </c>
      <c r="N1423" s="3">
        <v>114</v>
      </c>
      <c r="O1423" s="3">
        <v>1428</v>
      </c>
      <c r="P1423" s="3">
        <v>372</v>
      </c>
      <c r="Q1423" s="3">
        <v>324</v>
      </c>
      <c r="R1423" s="3">
        <v>798</v>
      </c>
      <c r="S1423" s="3">
        <v>570</v>
      </c>
      <c r="T1423" s="3">
        <v>504</v>
      </c>
      <c r="U1423" s="3">
        <v>408</v>
      </c>
      <c r="V1423" s="3">
        <v>1422</v>
      </c>
      <c r="W1423" s="3">
        <v>270</v>
      </c>
      <c r="X1423" s="3">
        <v>402</v>
      </c>
      <c r="Y1423" s="3">
        <v>1728</v>
      </c>
      <c r="Z1423" s="3">
        <v>408</v>
      </c>
      <c r="AA1423" s="3">
        <v>276</v>
      </c>
      <c r="AB1423" s="3">
        <v>822</v>
      </c>
      <c r="AC1423" s="3">
        <v>252</v>
      </c>
      <c r="AD1423" s="3">
        <v>714</v>
      </c>
      <c r="AE1423" s="3">
        <v>816</v>
      </c>
      <c r="AF1423" s="3">
        <v>474</v>
      </c>
      <c r="AG1423" s="3">
        <v>0</v>
      </c>
      <c r="AH1423" s="3">
        <v>0</v>
      </c>
      <c r="AI1423" s="3">
        <v>1098</v>
      </c>
      <c r="AJ1423" s="3">
        <v>684</v>
      </c>
      <c r="AK1423" s="3">
        <v>1464</v>
      </c>
      <c r="AL1423" s="3">
        <v>324</v>
      </c>
      <c r="AM1423" s="3">
        <v>666</v>
      </c>
      <c r="AN1423" s="3">
        <v>744</v>
      </c>
      <c r="AO1423" s="3">
        <v>354</v>
      </c>
      <c r="AP1423" s="3">
        <v>426</v>
      </c>
      <c r="AQ1423" s="3">
        <v>624</v>
      </c>
      <c r="AR1423" s="3">
        <v>1008</v>
      </c>
      <c r="AS1423" s="3">
        <v>450</v>
      </c>
      <c r="AT1423" s="3">
        <v>1848</v>
      </c>
      <c r="AU1423" s="3">
        <v>162</v>
      </c>
      <c r="AV1423" s="3">
        <v>528</v>
      </c>
      <c r="AW1423" s="3">
        <v>390</v>
      </c>
    </row>
    <row r="1424" spans="1:49">
      <c r="A1424" s="4" t="s">
        <v>35</v>
      </c>
      <c r="B1424" s="4" t="str">
        <f t="shared" si="22"/>
        <v>Hair Color</v>
      </c>
      <c r="C1424" s="4" t="s">
        <v>1786</v>
      </c>
      <c r="D1424" s="4" t="s">
        <v>579</v>
      </c>
      <c r="E1424" s="24" t="s">
        <v>414</v>
      </c>
      <c r="F1424" s="12" t="s">
        <v>432</v>
      </c>
      <c r="G1424" s="4" t="s">
        <v>1787</v>
      </c>
      <c r="H1424" s="3">
        <v>1776</v>
      </c>
      <c r="I1424" s="3">
        <v>1218</v>
      </c>
      <c r="J1424" s="3">
        <v>2514</v>
      </c>
      <c r="K1424" s="3">
        <v>858</v>
      </c>
      <c r="L1424" s="3">
        <v>1902</v>
      </c>
      <c r="M1424" s="3">
        <v>3144</v>
      </c>
      <c r="N1424" s="3">
        <v>402</v>
      </c>
      <c r="O1424" s="3">
        <v>1980</v>
      </c>
      <c r="P1424" s="3">
        <v>888</v>
      </c>
      <c r="Q1424" s="3">
        <v>1302</v>
      </c>
      <c r="R1424" s="3">
        <v>1770</v>
      </c>
      <c r="S1424" s="3">
        <v>1314</v>
      </c>
      <c r="T1424" s="3">
        <v>1866</v>
      </c>
      <c r="U1424" s="3">
        <v>558</v>
      </c>
      <c r="V1424" s="3">
        <v>2910</v>
      </c>
      <c r="W1424" s="3">
        <v>600</v>
      </c>
      <c r="X1424" s="3">
        <v>1902</v>
      </c>
      <c r="Y1424" s="3">
        <v>3066</v>
      </c>
      <c r="Z1424" s="3">
        <v>588</v>
      </c>
      <c r="AA1424" s="3">
        <v>846</v>
      </c>
      <c r="AB1424" s="3">
        <v>1734</v>
      </c>
      <c r="AC1424" s="3">
        <v>756</v>
      </c>
      <c r="AD1424" s="3">
        <v>1326</v>
      </c>
      <c r="AE1424" s="3">
        <v>1392</v>
      </c>
      <c r="AF1424" s="3">
        <v>1818</v>
      </c>
      <c r="AG1424" s="3">
        <v>1062</v>
      </c>
      <c r="AH1424" s="3">
        <v>0</v>
      </c>
      <c r="AI1424" s="3">
        <v>2076</v>
      </c>
      <c r="AJ1424" s="3">
        <v>996</v>
      </c>
      <c r="AK1424" s="3">
        <v>3294</v>
      </c>
      <c r="AL1424" s="3">
        <v>114</v>
      </c>
      <c r="AM1424" s="3">
        <v>1860</v>
      </c>
      <c r="AN1424" s="3">
        <v>1290</v>
      </c>
      <c r="AO1424" s="3">
        <v>972</v>
      </c>
      <c r="AP1424" s="3">
        <v>1500</v>
      </c>
      <c r="AQ1424" s="3">
        <v>1464</v>
      </c>
      <c r="AR1424" s="3">
        <v>1740</v>
      </c>
      <c r="AS1424" s="3">
        <v>672</v>
      </c>
      <c r="AT1424" s="3">
        <v>2730</v>
      </c>
      <c r="AU1424" s="3">
        <v>270</v>
      </c>
      <c r="AV1424" s="3">
        <v>1470</v>
      </c>
      <c r="AW1424" s="3">
        <v>516</v>
      </c>
    </row>
    <row r="1425" spans="1:49">
      <c r="A1425" s="4" t="s">
        <v>35</v>
      </c>
      <c r="B1425" s="4" t="str">
        <f t="shared" si="22"/>
        <v>Hair Color</v>
      </c>
      <c r="C1425" s="4" t="s">
        <v>1786</v>
      </c>
      <c r="D1425" s="4" t="s">
        <v>579</v>
      </c>
      <c r="E1425" s="24" t="s">
        <v>414</v>
      </c>
      <c r="F1425" s="12" t="s">
        <v>433</v>
      </c>
      <c r="G1425" s="4" t="s">
        <v>1787</v>
      </c>
      <c r="H1425" s="3">
        <v>930</v>
      </c>
      <c r="I1425" s="3">
        <v>330</v>
      </c>
      <c r="J1425" s="3">
        <v>888</v>
      </c>
      <c r="K1425" s="3">
        <v>282</v>
      </c>
      <c r="L1425" s="3">
        <v>516</v>
      </c>
      <c r="M1425" s="3">
        <v>1554</v>
      </c>
      <c r="N1425" s="3">
        <v>42</v>
      </c>
      <c r="O1425" s="3">
        <v>960</v>
      </c>
      <c r="P1425" s="3">
        <v>294</v>
      </c>
      <c r="Q1425" s="3">
        <v>210</v>
      </c>
      <c r="R1425" s="3">
        <v>756</v>
      </c>
      <c r="S1425" s="3">
        <v>642</v>
      </c>
      <c r="T1425" s="3">
        <v>330</v>
      </c>
      <c r="U1425" s="3">
        <v>252</v>
      </c>
      <c r="V1425" s="3">
        <v>1020</v>
      </c>
      <c r="W1425" s="3">
        <v>210</v>
      </c>
      <c r="X1425" s="3">
        <v>318</v>
      </c>
      <c r="Y1425" s="3">
        <v>1632</v>
      </c>
      <c r="Z1425" s="3">
        <v>180</v>
      </c>
      <c r="AA1425" s="3">
        <v>108</v>
      </c>
      <c r="AB1425" s="3">
        <v>1002</v>
      </c>
      <c r="AC1425" s="3">
        <v>90</v>
      </c>
      <c r="AD1425" s="3">
        <v>150</v>
      </c>
      <c r="AE1425" s="3">
        <v>384</v>
      </c>
      <c r="AF1425" s="3">
        <v>246</v>
      </c>
      <c r="AG1425" s="3">
        <v>696</v>
      </c>
      <c r="AH1425" s="3">
        <v>18</v>
      </c>
      <c r="AI1425" s="3">
        <v>450</v>
      </c>
      <c r="AJ1425" s="3">
        <v>498</v>
      </c>
      <c r="AK1425" s="3">
        <v>846</v>
      </c>
      <c r="AL1425" s="3">
        <v>294</v>
      </c>
      <c r="AM1425" s="3">
        <v>390</v>
      </c>
      <c r="AN1425" s="3">
        <v>486</v>
      </c>
      <c r="AO1425" s="3">
        <v>102</v>
      </c>
      <c r="AP1425" s="3">
        <v>546</v>
      </c>
      <c r="AQ1425" s="3">
        <v>636</v>
      </c>
      <c r="AR1425" s="3">
        <v>804</v>
      </c>
      <c r="AS1425" s="3">
        <v>276</v>
      </c>
      <c r="AT1425" s="3">
        <v>1002</v>
      </c>
      <c r="AU1425" s="3">
        <v>42</v>
      </c>
      <c r="AV1425" s="3">
        <v>648</v>
      </c>
      <c r="AW1425" s="3">
        <v>240</v>
      </c>
    </row>
    <row r="1426" spans="1:49">
      <c r="A1426" s="4" t="s">
        <v>35</v>
      </c>
      <c r="B1426" s="4" t="str">
        <f t="shared" si="22"/>
        <v>Hair Color</v>
      </c>
      <c r="C1426" s="4" t="s">
        <v>1786</v>
      </c>
      <c r="D1426" s="4" t="s">
        <v>579</v>
      </c>
      <c r="E1426" s="24" t="s">
        <v>414</v>
      </c>
      <c r="F1426" s="12" t="s">
        <v>434</v>
      </c>
      <c r="G1426" s="4" t="s">
        <v>1787</v>
      </c>
      <c r="H1426" s="3">
        <v>768</v>
      </c>
      <c r="I1426" s="3">
        <v>414</v>
      </c>
      <c r="J1426" s="3">
        <v>1026</v>
      </c>
      <c r="K1426" s="3">
        <v>354</v>
      </c>
      <c r="L1426" s="3">
        <v>528</v>
      </c>
      <c r="M1426" s="3">
        <v>1752</v>
      </c>
      <c r="N1426" s="3">
        <v>54</v>
      </c>
      <c r="O1426" s="3">
        <v>1134</v>
      </c>
      <c r="P1426" s="3">
        <v>384</v>
      </c>
      <c r="Q1426" s="3">
        <v>324</v>
      </c>
      <c r="R1426" s="3">
        <v>804</v>
      </c>
      <c r="S1426" s="3">
        <v>528</v>
      </c>
      <c r="T1426" s="3">
        <v>450</v>
      </c>
      <c r="U1426" s="3">
        <v>396</v>
      </c>
      <c r="V1426" s="3">
        <v>1506</v>
      </c>
      <c r="W1426" s="3">
        <v>156</v>
      </c>
      <c r="X1426" s="3">
        <v>576</v>
      </c>
      <c r="Y1426" s="3">
        <v>1998</v>
      </c>
      <c r="Z1426" s="3">
        <v>186</v>
      </c>
      <c r="AA1426" s="3">
        <v>282</v>
      </c>
      <c r="AB1426" s="3">
        <v>1242</v>
      </c>
      <c r="AC1426" s="3">
        <v>342</v>
      </c>
      <c r="AD1426" s="3">
        <v>528</v>
      </c>
      <c r="AE1426" s="3">
        <v>780</v>
      </c>
      <c r="AF1426" s="3">
        <v>702</v>
      </c>
      <c r="AG1426" s="3">
        <v>576</v>
      </c>
      <c r="AH1426" s="3">
        <v>0</v>
      </c>
      <c r="AI1426" s="3">
        <v>888</v>
      </c>
      <c r="AJ1426" s="3">
        <v>384</v>
      </c>
      <c r="AK1426" s="3">
        <v>1026</v>
      </c>
      <c r="AL1426" s="3">
        <v>372</v>
      </c>
      <c r="AM1426" s="3">
        <v>756</v>
      </c>
      <c r="AN1426" s="3">
        <v>756</v>
      </c>
      <c r="AO1426" s="3">
        <v>516</v>
      </c>
      <c r="AP1426" s="3">
        <v>534</v>
      </c>
      <c r="AQ1426" s="3">
        <v>816</v>
      </c>
      <c r="AR1426" s="3">
        <v>660</v>
      </c>
      <c r="AS1426" s="3">
        <v>378</v>
      </c>
      <c r="AT1426" s="3">
        <v>1716</v>
      </c>
      <c r="AU1426" s="3">
        <v>30</v>
      </c>
      <c r="AV1426" s="3">
        <v>600</v>
      </c>
      <c r="AW1426" s="3">
        <v>312</v>
      </c>
    </row>
    <row r="1427" spans="1:49">
      <c r="A1427" s="4" t="s">
        <v>35</v>
      </c>
      <c r="B1427" s="4" t="str">
        <f t="shared" si="22"/>
        <v>Hair Color</v>
      </c>
      <c r="C1427" s="4" t="s">
        <v>1786</v>
      </c>
      <c r="D1427" s="4" t="s">
        <v>579</v>
      </c>
      <c r="E1427" s="24" t="s">
        <v>414</v>
      </c>
      <c r="F1427" s="12" t="s">
        <v>435</v>
      </c>
      <c r="G1427" s="4" t="s">
        <v>1787</v>
      </c>
      <c r="H1427" s="3">
        <v>3096</v>
      </c>
      <c r="I1427" s="3">
        <v>1308</v>
      </c>
      <c r="J1427" s="3">
        <v>3612</v>
      </c>
      <c r="K1427" s="3">
        <v>858</v>
      </c>
      <c r="L1427" s="3">
        <v>1985</v>
      </c>
      <c r="M1427" s="3">
        <v>3456</v>
      </c>
      <c r="N1427" s="3">
        <v>456</v>
      </c>
      <c r="O1427" s="3">
        <v>3708</v>
      </c>
      <c r="P1427" s="3">
        <v>1362</v>
      </c>
      <c r="Q1427" s="3">
        <v>1254</v>
      </c>
      <c r="R1427" s="3">
        <v>2214</v>
      </c>
      <c r="S1427" s="3">
        <v>2370</v>
      </c>
      <c r="T1427" s="3">
        <v>2400</v>
      </c>
      <c r="U1427" s="3">
        <v>774</v>
      </c>
      <c r="V1427" s="3">
        <v>4092</v>
      </c>
      <c r="W1427" s="3">
        <v>630</v>
      </c>
      <c r="X1427" s="3">
        <v>2382</v>
      </c>
      <c r="Y1427" s="3">
        <v>4698</v>
      </c>
      <c r="Z1427" s="3">
        <v>876</v>
      </c>
      <c r="AA1427" s="3">
        <v>1020</v>
      </c>
      <c r="AB1427" s="3">
        <v>1422</v>
      </c>
      <c r="AC1427" s="3">
        <v>174</v>
      </c>
      <c r="AD1427" s="3">
        <v>1896</v>
      </c>
      <c r="AE1427" s="3">
        <v>2904</v>
      </c>
      <c r="AF1427" s="3">
        <v>2238</v>
      </c>
      <c r="AG1427" s="3">
        <v>2820</v>
      </c>
      <c r="AH1427" s="3">
        <v>324</v>
      </c>
      <c r="AI1427" s="3">
        <v>372</v>
      </c>
      <c r="AJ1427" s="3">
        <v>1620</v>
      </c>
      <c r="AK1427" s="3">
        <v>3180</v>
      </c>
      <c r="AL1427" s="3">
        <v>1542</v>
      </c>
      <c r="AM1427" s="3">
        <v>1890</v>
      </c>
      <c r="AN1427" s="3">
        <v>1968</v>
      </c>
      <c r="AO1427" s="3">
        <v>1308</v>
      </c>
      <c r="AP1427" s="3">
        <v>1734</v>
      </c>
      <c r="AQ1427" s="3">
        <v>2982</v>
      </c>
      <c r="AR1427" s="3">
        <v>1896</v>
      </c>
      <c r="AS1427" s="3">
        <v>936</v>
      </c>
      <c r="AT1427" s="3">
        <v>3486</v>
      </c>
      <c r="AU1427" s="3">
        <v>744</v>
      </c>
      <c r="AV1427" s="3">
        <v>2286</v>
      </c>
      <c r="AW1427" s="3">
        <v>966</v>
      </c>
    </row>
    <row r="1428" spans="1:49">
      <c r="A1428" s="4" t="s">
        <v>35</v>
      </c>
      <c r="B1428" s="4" t="str">
        <f t="shared" si="22"/>
        <v>Hair Color</v>
      </c>
      <c r="C1428" s="4" t="s">
        <v>1786</v>
      </c>
      <c r="D1428" s="4" t="s">
        <v>579</v>
      </c>
      <c r="E1428" s="24" t="s">
        <v>414</v>
      </c>
      <c r="F1428" s="12" t="s">
        <v>436</v>
      </c>
      <c r="G1428" s="4" t="s">
        <v>1787</v>
      </c>
      <c r="H1428" s="3">
        <v>2112</v>
      </c>
      <c r="I1428" s="3">
        <v>1164</v>
      </c>
      <c r="J1428" s="3">
        <v>3318</v>
      </c>
      <c r="K1428" s="3">
        <v>972</v>
      </c>
      <c r="L1428" s="3">
        <v>1752</v>
      </c>
      <c r="M1428" s="3">
        <v>3756</v>
      </c>
      <c r="N1428" s="3">
        <v>522</v>
      </c>
      <c r="O1428" s="3">
        <v>2682</v>
      </c>
      <c r="P1428" s="3">
        <v>1188</v>
      </c>
      <c r="Q1428" s="3">
        <v>1440</v>
      </c>
      <c r="R1428" s="3">
        <v>2118</v>
      </c>
      <c r="S1428" s="3">
        <v>1608</v>
      </c>
      <c r="T1428" s="3">
        <v>2250</v>
      </c>
      <c r="U1428" s="3">
        <v>660</v>
      </c>
      <c r="V1428" s="3">
        <v>3504</v>
      </c>
      <c r="W1428" s="3">
        <v>564</v>
      </c>
      <c r="X1428" s="3">
        <v>2172</v>
      </c>
      <c r="Y1428" s="3">
        <v>3666</v>
      </c>
      <c r="Z1428" s="3">
        <v>600</v>
      </c>
      <c r="AA1428" s="3">
        <v>786</v>
      </c>
      <c r="AB1428" s="3">
        <v>2580</v>
      </c>
      <c r="AC1428" s="3">
        <v>414</v>
      </c>
      <c r="AD1428" s="3">
        <v>1578</v>
      </c>
      <c r="AE1428" s="3">
        <v>1590</v>
      </c>
      <c r="AF1428" s="3">
        <v>1812</v>
      </c>
      <c r="AG1428" s="3">
        <v>2112</v>
      </c>
      <c r="AH1428" s="3">
        <v>3090</v>
      </c>
      <c r="AI1428" s="3">
        <v>390</v>
      </c>
      <c r="AJ1428" s="3">
        <v>648</v>
      </c>
      <c r="AK1428" s="3">
        <v>2322</v>
      </c>
      <c r="AL1428" s="3">
        <v>972</v>
      </c>
      <c r="AM1428" s="3">
        <v>1398</v>
      </c>
      <c r="AN1428" s="3">
        <v>1476</v>
      </c>
      <c r="AO1428" s="3">
        <v>1206</v>
      </c>
      <c r="AP1428" s="3">
        <v>1506</v>
      </c>
      <c r="AQ1428" s="3">
        <v>1896</v>
      </c>
      <c r="AR1428" s="3">
        <v>1740</v>
      </c>
      <c r="AS1428" s="3">
        <v>966</v>
      </c>
      <c r="AT1428" s="3">
        <v>3570</v>
      </c>
      <c r="AU1428" s="3">
        <v>354</v>
      </c>
      <c r="AV1428" s="3">
        <v>1932</v>
      </c>
      <c r="AW1428" s="3">
        <v>786</v>
      </c>
    </row>
    <row r="1429" spans="1:49">
      <c r="A1429" s="4" t="s">
        <v>35</v>
      </c>
      <c r="B1429" s="4" t="str">
        <f t="shared" si="22"/>
        <v>Hair Color</v>
      </c>
      <c r="C1429" s="4" t="s">
        <v>1786</v>
      </c>
      <c r="D1429" s="4" t="s">
        <v>579</v>
      </c>
      <c r="E1429" s="24" t="s">
        <v>414</v>
      </c>
      <c r="F1429" s="12" t="s">
        <v>437</v>
      </c>
      <c r="G1429" s="4" t="s">
        <v>1787</v>
      </c>
      <c r="H1429" s="3">
        <v>1776</v>
      </c>
      <c r="I1429" s="3">
        <v>1554</v>
      </c>
      <c r="J1429" s="3">
        <v>3672</v>
      </c>
      <c r="K1429" s="3">
        <v>678</v>
      </c>
      <c r="L1429" s="3">
        <v>1901</v>
      </c>
      <c r="M1429" s="3">
        <v>3600</v>
      </c>
      <c r="N1429" s="3">
        <v>648</v>
      </c>
      <c r="O1429" s="3">
        <v>1878</v>
      </c>
      <c r="P1429" s="3">
        <v>1206</v>
      </c>
      <c r="Q1429" s="3">
        <v>1446</v>
      </c>
      <c r="R1429" s="3">
        <v>2292</v>
      </c>
      <c r="S1429" s="3">
        <v>1704</v>
      </c>
      <c r="T1429" s="3">
        <v>1860</v>
      </c>
      <c r="U1429" s="3">
        <v>528</v>
      </c>
      <c r="V1429" s="3">
        <v>3654</v>
      </c>
      <c r="W1429" s="3">
        <v>528</v>
      </c>
      <c r="X1429" s="3">
        <v>1776</v>
      </c>
      <c r="Y1429" s="3">
        <v>3690</v>
      </c>
      <c r="Z1429" s="3">
        <v>342</v>
      </c>
      <c r="AA1429" s="3">
        <v>840</v>
      </c>
      <c r="AB1429" s="3">
        <v>2262</v>
      </c>
      <c r="AC1429" s="3">
        <v>768</v>
      </c>
      <c r="AD1429" s="3">
        <v>1710</v>
      </c>
      <c r="AE1429" s="3">
        <v>1656</v>
      </c>
      <c r="AF1429" s="3">
        <v>1452</v>
      </c>
      <c r="AG1429" s="3">
        <v>318</v>
      </c>
      <c r="AH1429" s="3">
        <v>0</v>
      </c>
      <c r="AI1429" s="3">
        <v>2466</v>
      </c>
      <c r="AJ1429" s="3">
        <v>1080</v>
      </c>
      <c r="AK1429" s="3">
        <v>3252</v>
      </c>
      <c r="AL1429" s="3">
        <v>774</v>
      </c>
      <c r="AM1429" s="3">
        <v>1368</v>
      </c>
      <c r="AN1429" s="3">
        <v>1254</v>
      </c>
      <c r="AO1429" s="3">
        <v>1182</v>
      </c>
      <c r="AP1429" s="3">
        <v>1356</v>
      </c>
      <c r="AQ1429" s="3">
        <v>1806</v>
      </c>
      <c r="AR1429" s="3">
        <v>1710</v>
      </c>
      <c r="AS1429" s="3">
        <v>906</v>
      </c>
      <c r="AT1429" s="3">
        <v>3516</v>
      </c>
      <c r="AU1429" s="3">
        <v>372</v>
      </c>
      <c r="AV1429" s="3">
        <v>1284</v>
      </c>
      <c r="AW1429" s="3">
        <v>750</v>
      </c>
    </row>
    <row r="1430" spans="1:49">
      <c r="A1430" s="4" t="s">
        <v>35</v>
      </c>
      <c r="B1430" s="4" t="str">
        <f t="shared" si="22"/>
        <v>Hair Color</v>
      </c>
      <c r="C1430" s="4" t="s">
        <v>1786</v>
      </c>
      <c r="D1430" s="4" t="s">
        <v>579</v>
      </c>
      <c r="E1430" s="24" t="s">
        <v>414</v>
      </c>
      <c r="F1430" s="12" t="s">
        <v>438</v>
      </c>
      <c r="G1430" s="4" t="s">
        <v>1787</v>
      </c>
      <c r="H1430" s="3">
        <v>1356</v>
      </c>
      <c r="I1430" s="3">
        <v>360</v>
      </c>
      <c r="J1430" s="3">
        <v>1128</v>
      </c>
      <c r="K1430" s="3">
        <v>366</v>
      </c>
      <c r="L1430" s="3">
        <v>576</v>
      </c>
      <c r="M1430" s="3">
        <v>1902</v>
      </c>
      <c r="N1430" s="3">
        <v>126</v>
      </c>
      <c r="O1430" s="3">
        <v>906</v>
      </c>
      <c r="P1430" s="3">
        <v>366</v>
      </c>
      <c r="Q1430" s="3">
        <v>366</v>
      </c>
      <c r="R1430" s="3">
        <v>618</v>
      </c>
      <c r="S1430" s="3">
        <v>570</v>
      </c>
      <c r="T1430" s="3">
        <v>552</v>
      </c>
      <c r="U1430" s="3">
        <v>132</v>
      </c>
      <c r="V1430" s="3">
        <v>1464</v>
      </c>
      <c r="W1430" s="3">
        <v>150</v>
      </c>
      <c r="X1430" s="3">
        <v>360</v>
      </c>
      <c r="Y1430" s="3">
        <v>1464</v>
      </c>
      <c r="Z1430" s="3">
        <v>162</v>
      </c>
      <c r="AA1430" s="3">
        <v>342</v>
      </c>
      <c r="AB1430" s="3">
        <v>972</v>
      </c>
      <c r="AC1430" s="3">
        <v>126</v>
      </c>
      <c r="AD1430" s="3">
        <v>432</v>
      </c>
      <c r="AE1430" s="3">
        <v>474</v>
      </c>
      <c r="AF1430" s="3">
        <v>462</v>
      </c>
      <c r="AG1430" s="3">
        <v>180</v>
      </c>
      <c r="AH1430" s="3">
        <v>0</v>
      </c>
      <c r="AI1430" s="3">
        <v>792</v>
      </c>
      <c r="AJ1430" s="3">
        <v>630</v>
      </c>
      <c r="AK1430" s="3">
        <v>1068</v>
      </c>
      <c r="AL1430" s="3">
        <v>204</v>
      </c>
      <c r="AM1430" s="3">
        <v>654</v>
      </c>
      <c r="AN1430" s="3">
        <v>432</v>
      </c>
      <c r="AO1430" s="3">
        <v>438</v>
      </c>
      <c r="AP1430" s="3">
        <v>312</v>
      </c>
      <c r="AQ1430" s="3">
        <v>456</v>
      </c>
      <c r="AR1430" s="3">
        <v>726</v>
      </c>
      <c r="AS1430" s="3">
        <v>342</v>
      </c>
      <c r="AT1430" s="3">
        <v>1254</v>
      </c>
      <c r="AU1430" s="3">
        <v>102</v>
      </c>
      <c r="AV1430" s="3">
        <v>582</v>
      </c>
      <c r="AW1430" s="3">
        <v>144</v>
      </c>
    </row>
    <row r="1431" spans="1:49">
      <c r="A1431" s="4" t="s">
        <v>35</v>
      </c>
      <c r="B1431" s="4" t="str">
        <f t="shared" si="22"/>
        <v>Hair Color</v>
      </c>
      <c r="C1431" s="4" t="s">
        <v>1786</v>
      </c>
      <c r="D1431" s="4" t="s">
        <v>579</v>
      </c>
      <c r="E1431" s="24" t="s">
        <v>414</v>
      </c>
      <c r="F1431" s="12" t="s">
        <v>439</v>
      </c>
      <c r="G1431" s="4" t="s">
        <v>1787</v>
      </c>
      <c r="H1431" s="3">
        <v>828</v>
      </c>
      <c r="I1431" s="3">
        <v>624</v>
      </c>
      <c r="J1431" s="3">
        <v>1470</v>
      </c>
      <c r="K1431" s="3">
        <v>672</v>
      </c>
      <c r="L1431" s="3">
        <v>432</v>
      </c>
      <c r="M1431" s="3">
        <v>1956</v>
      </c>
      <c r="N1431" s="3">
        <v>66</v>
      </c>
      <c r="O1431" s="3">
        <v>1422</v>
      </c>
      <c r="P1431" s="3">
        <v>354</v>
      </c>
      <c r="Q1431" s="3">
        <v>624</v>
      </c>
      <c r="R1431" s="3">
        <v>762</v>
      </c>
      <c r="S1431" s="3">
        <v>1086</v>
      </c>
      <c r="T1431" s="3">
        <v>876</v>
      </c>
      <c r="U1431" s="3">
        <v>144</v>
      </c>
      <c r="V1431" s="3">
        <v>1146</v>
      </c>
      <c r="W1431" s="3">
        <v>330</v>
      </c>
      <c r="X1431" s="3">
        <v>642</v>
      </c>
      <c r="Y1431" s="3">
        <v>1326</v>
      </c>
      <c r="Z1431" s="3">
        <v>318</v>
      </c>
      <c r="AA1431" s="3">
        <v>390</v>
      </c>
      <c r="AB1431" s="3">
        <v>1062</v>
      </c>
      <c r="AC1431" s="3">
        <v>270</v>
      </c>
      <c r="AD1431" s="3">
        <v>618</v>
      </c>
      <c r="AE1431" s="3">
        <v>402</v>
      </c>
      <c r="AF1431" s="3">
        <v>600</v>
      </c>
      <c r="AG1431" s="3">
        <v>1008</v>
      </c>
      <c r="AH1431" s="3">
        <v>1488</v>
      </c>
      <c r="AI1431" s="3">
        <v>318</v>
      </c>
      <c r="AJ1431" s="3">
        <v>336</v>
      </c>
      <c r="AK1431" s="3">
        <v>846</v>
      </c>
      <c r="AL1431" s="3">
        <v>138</v>
      </c>
      <c r="AM1431" s="3">
        <v>402</v>
      </c>
      <c r="AN1431" s="3">
        <v>318</v>
      </c>
      <c r="AO1431" s="3">
        <v>498</v>
      </c>
      <c r="AP1431" s="3">
        <v>492</v>
      </c>
      <c r="AQ1431" s="3">
        <v>858</v>
      </c>
      <c r="AR1431" s="3">
        <v>684</v>
      </c>
      <c r="AS1431" s="3">
        <v>336</v>
      </c>
      <c r="AT1431" s="3">
        <v>1404</v>
      </c>
      <c r="AU1431" s="3">
        <v>30</v>
      </c>
      <c r="AV1431" s="3">
        <v>576</v>
      </c>
      <c r="AW1431" s="3">
        <v>198</v>
      </c>
    </row>
    <row r="1432" spans="1:49">
      <c r="A1432" s="4" t="s">
        <v>35</v>
      </c>
      <c r="B1432" s="4" t="str">
        <f t="shared" si="22"/>
        <v>Hair Color</v>
      </c>
      <c r="C1432" s="4" t="s">
        <v>1786</v>
      </c>
      <c r="D1432" s="4" t="s">
        <v>579</v>
      </c>
      <c r="E1432" s="24" t="s">
        <v>414</v>
      </c>
      <c r="F1432" s="12" t="s">
        <v>440</v>
      </c>
      <c r="G1432" s="4" t="s">
        <v>1787</v>
      </c>
      <c r="H1432" s="3">
        <v>1392</v>
      </c>
      <c r="I1432" s="3">
        <v>834</v>
      </c>
      <c r="J1432" s="3">
        <v>1818</v>
      </c>
      <c r="K1432" s="3">
        <v>582</v>
      </c>
      <c r="L1432" s="3">
        <v>756</v>
      </c>
      <c r="M1432" s="3">
        <v>2466</v>
      </c>
      <c r="N1432" s="3">
        <v>414</v>
      </c>
      <c r="O1432" s="3">
        <v>1722</v>
      </c>
      <c r="P1432" s="3">
        <v>570</v>
      </c>
      <c r="Q1432" s="3">
        <v>576</v>
      </c>
      <c r="R1432" s="3">
        <v>1266</v>
      </c>
      <c r="S1432" s="3">
        <v>1290</v>
      </c>
      <c r="T1432" s="3">
        <v>918</v>
      </c>
      <c r="U1432" s="3">
        <v>360</v>
      </c>
      <c r="V1432" s="3">
        <v>1764</v>
      </c>
      <c r="W1432" s="3">
        <v>366</v>
      </c>
      <c r="X1432" s="3">
        <v>756</v>
      </c>
      <c r="Y1432" s="3">
        <v>1668</v>
      </c>
      <c r="Z1432" s="3">
        <v>402</v>
      </c>
      <c r="AA1432" s="3">
        <v>564</v>
      </c>
      <c r="AB1432" s="3">
        <v>1668</v>
      </c>
      <c r="AC1432" s="3">
        <v>216</v>
      </c>
      <c r="AD1432" s="3">
        <v>882</v>
      </c>
      <c r="AE1432" s="3">
        <v>702</v>
      </c>
      <c r="AF1432" s="3">
        <v>1254</v>
      </c>
      <c r="AG1432" s="3">
        <v>1068</v>
      </c>
      <c r="AH1432" s="3">
        <v>1284</v>
      </c>
      <c r="AI1432" s="3">
        <v>378</v>
      </c>
      <c r="AJ1432" s="3">
        <v>372</v>
      </c>
      <c r="AK1432" s="3">
        <v>1038</v>
      </c>
      <c r="AL1432" s="3">
        <v>426</v>
      </c>
      <c r="AM1432" s="3">
        <v>876</v>
      </c>
      <c r="AN1432" s="3">
        <v>612</v>
      </c>
      <c r="AO1432" s="3">
        <v>570</v>
      </c>
      <c r="AP1432" s="3">
        <v>738</v>
      </c>
      <c r="AQ1432" s="3">
        <v>1476</v>
      </c>
      <c r="AR1432" s="3">
        <v>936</v>
      </c>
      <c r="AS1432" s="3">
        <v>618</v>
      </c>
      <c r="AT1432" s="3">
        <v>1554</v>
      </c>
      <c r="AU1432" s="3">
        <v>42</v>
      </c>
      <c r="AV1432" s="3">
        <v>618</v>
      </c>
      <c r="AW1432" s="3">
        <v>408</v>
      </c>
    </row>
    <row r="1433" spans="1:49">
      <c r="A1433" s="4" t="s">
        <v>35</v>
      </c>
      <c r="B1433" s="4" t="str">
        <f t="shared" si="22"/>
        <v>Hair Color</v>
      </c>
      <c r="C1433" s="4" t="s">
        <v>1786</v>
      </c>
      <c r="D1433" s="4" t="s">
        <v>579</v>
      </c>
      <c r="E1433" s="24" t="s">
        <v>441</v>
      </c>
      <c r="F1433" s="12" t="s">
        <v>442</v>
      </c>
      <c r="G1433" s="4" t="s">
        <v>1787</v>
      </c>
      <c r="H1433" s="3">
        <v>111</v>
      </c>
      <c r="I1433" s="3">
        <v>21</v>
      </c>
      <c r="J1433" s="3">
        <v>69</v>
      </c>
      <c r="K1433" s="3">
        <v>90</v>
      </c>
      <c r="L1433" s="3">
        <v>144</v>
      </c>
      <c r="M1433" s="3">
        <v>195</v>
      </c>
      <c r="N1433" s="3">
        <v>27</v>
      </c>
      <c r="O1433" s="3">
        <v>171</v>
      </c>
      <c r="P1433" s="3">
        <v>141</v>
      </c>
      <c r="Q1433" s="3">
        <v>129</v>
      </c>
      <c r="R1433" s="3">
        <v>201</v>
      </c>
      <c r="S1433" s="3">
        <v>78</v>
      </c>
      <c r="T1433" s="3">
        <v>108</v>
      </c>
      <c r="U1433" s="3">
        <v>87</v>
      </c>
      <c r="V1433" s="3">
        <v>216</v>
      </c>
      <c r="W1433" s="3">
        <v>60</v>
      </c>
      <c r="X1433" s="3">
        <v>30</v>
      </c>
      <c r="Y1433" s="3">
        <v>249</v>
      </c>
      <c r="Z1433" s="3">
        <v>18</v>
      </c>
      <c r="AA1433" s="3">
        <v>21</v>
      </c>
      <c r="AB1433" s="3">
        <v>192</v>
      </c>
      <c r="AC1433" s="3">
        <v>66</v>
      </c>
      <c r="AD1433" s="3">
        <v>126</v>
      </c>
      <c r="AE1433" s="3">
        <v>138</v>
      </c>
      <c r="AF1433" s="3">
        <v>63</v>
      </c>
      <c r="AG1433" s="3">
        <v>189</v>
      </c>
      <c r="AH1433" s="3">
        <v>135</v>
      </c>
      <c r="AI1433" s="3">
        <v>6</v>
      </c>
      <c r="AJ1433" s="3">
        <v>24</v>
      </c>
      <c r="AK1433" s="3">
        <v>243</v>
      </c>
      <c r="AL1433" s="3">
        <v>21</v>
      </c>
      <c r="AM1433" s="3">
        <v>0</v>
      </c>
      <c r="AN1433" s="3">
        <v>207</v>
      </c>
      <c r="AO1433" s="3">
        <v>81</v>
      </c>
      <c r="AP1433" s="3">
        <v>180</v>
      </c>
      <c r="AQ1433" s="3">
        <v>39</v>
      </c>
      <c r="AR1433" s="3">
        <v>192</v>
      </c>
      <c r="AS1433" s="3">
        <v>123</v>
      </c>
      <c r="AT1433" s="3">
        <v>75</v>
      </c>
      <c r="AU1433" s="3">
        <v>117</v>
      </c>
      <c r="AV1433" s="3">
        <v>123</v>
      </c>
      <c r="AW1433" s="3">
        <v>183</v>
      </c>
    </row>
    <row r="1434" spans="1:49">
      <c r="A1434" s="4" t="s">
        <v>35</v>
      </c>
      <c r="B1434" s="4" t="str">
        <f t="shared" si="22"/>
        <v>Hair Color</v>
      </c>
      <c r="C1434" s="4" t="s">
        <v>1786</v>
      </c>
      <c r="D1434" s="4" t="s">
        <v>579</v>
      </c>
      <c r="E1434" s="24" t="s">
        <v>441</v>
      </c>
      <c r="F1434" s="12" t="s">
        <v>443</v>
      </c>
      <c r="G1434" s="4" t="s">
        <v>1787</v>
      </c>
      <c r="H1434" s="3">
        <v>87</v>
      </c>
      <c r="I1434" s="3">
        <v>39</v>
      </c>
      <c r="J1434" s="3">
        <v>42</v>
      </c>
      <c r="K1434" s="3">
        <v>126</v>
      </c>
      <c r="L1434" s="3">
        <v>81</v>
      </c>
      <c r="M1434" s="3">
        <v>42</v>
      </c>
      <c r="N1434" s="3">
        <v>45</v>
      </c>
      <c r="O1434" s="3">
        <v>81</v>
      </c>
      <c r="P1434" s="3">
        <v>27</v>
      </c>
      <c r="Q1434" s="3">
        <v>123</v>
      </c>
      <c r="R1434" s="3">
        <v>54</v>
      </c>
      <c r="S1434" s="3">
        <v>18</v>
      </c>
      <c r="T1434" s="3">
        <v>75</v>
      </c>
      <c r="U1434" s="3">
        <v>6</v>
      </c>
      <c r="V1434" s="3">
        <v>69</v>
      </c>
      <c r="W1434" s="3">
        <v>51</v>
      </c>
      <c r="X1434" s="3">
        <v>54</v>
      </c>
      <c r="Y1434" s="3">
        <v>129</v>
      </c>
      <c r="Z1434" s="3">
        <v>0</v>
      </c>
      <c r="AA1434" s="3">
        <v>30</v>
      </c>
      <c r="AB1434" s="3">
        <v>114</v>
      </c>
      <c r="AC1434" s="3">
        <v>15</v>
      </c>
      <c r="AD1434" s="3">
        <v>51</v>
      </c>
      <c r="AE1434" s="3">
        <v>51</v>
      </c>
      <c r="AF1434" s="3">
        <v>33</v>
      </c>
      <c r="AG1434" s="3">
        <v>96</v>
      </c>
      <c r="AH1434" s="3">
        <v>0</v>
      </c>
      <c r="AI1434" s="3">
        <v>30</v>
      </c>
      <c r="AJ1434" s="3">
        <v>51</v>
      </c>
      <c r="AK1434" s="3">
        <v>111</v>
      </c>
      <c r="AL1434" s="3">
        <v>0</v>
      </c>
      <c r="AM1434" s="3">
        <v>6</v>
      </c>
      <c r="AN1434" s="3">
        <v>0</v>
      </c>
      <c r="AO1434" s="3">
        <v>48</v>
      </c>
      <c r="AP1434" s="3">
        <v>3</v>
      </c>
      <c r="AQ1434" s="3">
        <v>27</v>
      </c>
      <c r="AR1434" s="3">
        <v>108</v>
      </c>
      <c r="AS1434" s="3">
        <v>105</v>
      </c>
      <c r="AT1434" s="3">
        <v>27</v>
      </c>
      <c r="AU1434" s="3">
        <v>45</v>
      </c>
      <c r="AV1434" s="3">
        <v>78</v>
      </c>
      <c r="AW1434" s="3">
        <v>93</v>
      </c>
    </row>
    <row r="1435" spans="1:49">
      <c r="A1435" s="4" t="s">
        <v>35</v>
      </c>
      <c r="B1435" s="4" t="str">
        <f t="shared" si="22"/>
        <v>Hair Color</v>
      </c>
      <c r="C1435" s="4" t="s">
        <v>1786</v>
      </c>
      <c r="D1435" s="4" t="s">
        <v>579</v>
      </c>
      <c r="E1435" s="24" t="s">
        <v>441</v>
      </c>
      <c r="F1435" s="12" t="s">
        <v>444</v>
      </c>
      <c r="G1435" s="4" t="s">
        <v>1787</v>
      </c>
      <c r="H1435" s="3">
        <v>267</v>
      </c>
      <c r="I1435" s="3">
        <v>288</v>
      </c>
      <c r="J1435" s="3">
        <v>195</v>
      </c>
      <c r="K1435" s="3">
        <v>273</v>
      </c>
      <c r="L1435" s="3">
        <v>309</v>
      </c>
      <c r="M1435" s="3">
        <v>372</v>
      </c>
      <c r="N1435" s="3">
        <v>36</v>
      </c>
      <c r="O1435" s="3">
        <v>246</v>
      </c>
      <c r="P1435" s="3">
        <v>138</v>
      </c>
      <c r="Q1435" s="3">
        <v>255</v>
      </c>
      <c r="R1435" s="3">
        <v>471</v>
      </c>
      <c r="S1435" s="3">
        <v>39</v>
      </c>
      <c r="T1435" s="3">
        <v>150</v>
      </c>
      <c r="U1435" s="3">
        <v>156</v>
      </c>
      <c r="V1435" s="3">
        <v>195</v>
      </c>
      <c r="W1435" s="3">
        <v>111</v>
      </c>
      <c r="X1435" s="3">
        <v>258</v>
      </c>
      <c r="Y1435" s="3">
        <v>306</v>
      </c>
      <c r="Z1435" s="3">
        <v>27</v>
      </c>
      <c r="AA1435" s="3">
        <v>114</v>
      </c>
      <c r="AB1435" s="3">
        <v>339</v>
      </c>
      <c r="AC1435" s="3">
        <v>135</v>
      </c>
      <c r="AD1435" s="3">
        <v>228</v>
      </c>
      <c r="AE1435" s="3">
        <v>63</v>
      </c>
      <c r="AF1435" s="3">
        <v>129</v>
      </c>
      <c r="AG1435" s="3">
        <v>228</v>
      </c>
      <c r="AH1435" s="3">
        <v>540</v>
      </c>
      <c r="AI1435" s="3">
        <v>27</v>
      </c>
      <c r="AJ1435" s="3">
        <v>18</v>
      </c>
      <c r="AK1435" s="3">
        <v>48</v>
      </c>
      <c r="AL1435" s="3">
        <v>90</v>
      </c>
      <c r="AM1435" s="3">
        <v>141</v>
      </c>
      <c r="AN1435" s="3">
        <v>264</v>
      </c>
      <c r="AO1435" s="3">
        <v>120</v>
      </c>
      <c r="AP1435" s="3">
        <v>270</v>
      </c>
      <c r="AQ1435" s="3">
        <v>12</v>
      </c>
      <c r="AR1435" s="3">
        <v>288</v>
      </c>
      <c r="AS1435" s="3">
        <v>249</v>
      </c>
      <c r="AT1435" s="3">
        <v>18</v>
      </c>
      <c r="AU1435" s="3">
        <v>111</v>
      </c>
      <c r="AV1435" s="3">
        <v>171</v>
      </c>
      <c r="AW1435" s="3">
        <v>198</v>
      </c>
    </row>
    <row r="1436" spans="1:49">
      <c r="A1436" s="4" t="s">
        <v>35</v>
      </c>
      <c r="B1436" s="4" t="str">
        <f t="shared" si="22"/>
        <v>Hair Color</v>
      </c>
      <c r="C1436" s="4" t="s">
        <v>1786</v>
      </c>
      <c r="D1436" s="4" t="s">
        <v>579</v>
      </c>
      <c r="E1436" s="24" t="s">
        <v>441</v>
      </c>
      <c r="F1436" s="12" t="s">
        <v>445</v>
      </c>
      <c r="G1436" s="4" t="s">
        <v>1787</v>
      </c>
      <c r="H1436" s="3">
        <v>396</v>
      </c>
      <c r="I1436" s="3">
        <v>366</v>
      </c>
      <c r="J1436" s="3">
        <v>354</v>
      </c>
      <c r="K1436" s="3">
        <v>381</v>
      </c>
      <c r="L1436" s="3">
        <v>450</v>
      </c>
      <c r="M1436" s="3">
        <v>591</v>
      </c>
      <c r="N1436" s="3">
        <v>102</v>
      </c>
      <c r="O1436" s="3">
        <v>339</v>
      </c>
      <c r="P1436" s="3">
        <v>207</v>
      </c>
      <c r="Q1436" s="3">
        <v>345</v>
      </c>
      <c r="R1436" s="3">
        <v>480</v>
      </c>
      <c r="S1436" s="3">
        <v>102</v>
      </c>
      <c r="T1436" s="3">
        <v>294</v>
      </c>
      <c r="U1436" s="3">
        <v>159</v>
      </c>
      <c r="V1436" s="3">
        <v>507</v>
      </c>
      <c r="W1436" s="3">
        <v>147</v>
      </c>
      <c r="X1436" s="3">
        <v>183</v>
      </c>
      <c r="Y1436" s="3">
        <v>768</v>
      </c>
      <c r="Z1436" s="3">
        <v>51</v>
      </c>
      <c r="AA1436" s="3">
        <v>18</v>
      </c>
      <c r="AB1436" s="3">
        <v>483</v>
      </c>
      <c r="AC1436" s="3">
        <v>210</v>
      </c>
      <c r="AD1436" s="3">
        <v>360</v>
      </c>
      <c r="AE1436" s="3">
        <v>165</v>
      </c>
      <c r="AF1436" s="3">
        <v>255</v>
      </c>
      <c r="AG1436" s="3">
        <v>258</v>
      </c>
      <c r="AH1436" s="3">
        <v>0</v>
      </c>
      <c r="AI1436" s="3">
        <v>39</v>
      </c>
      <c r="AJ1436" s="3">
        <v>123</v>
      </c>
      <c r="AK1436" s="3">
        <v>756</v>
      </c>
      <c r="AL1436" s="3">
        <v>90</v>
      </c>
      <c r="AM1436" s="3">
        <v>51</v>
      </c>
      <c r="AN1436" s="3">
        <v>0</v>
      </c>
      <c r="AO1436" s="3">
        <v>159</v>
      </c>
      <c r="AP1436" s="3">
        <v>771</v>
      </c>
      <c r="AQ1436" s="3">
        <v>276</v>
      </c>
      <c r="AR1436" s="3">
        <v>273</v>
      </c>
      <c r="AS1436" s="3">
        <v>204</v>
      </c>
      <c r="AT1436" s="3">
        <v>96</v>
      </c>
      <c r="AU1436" s="3">
        <v>267</v>
      </c>
      <c r="AV1436" s="3">
        <v>240</v>
      </c>
      <c r="AW1436" s="3">
        <v>300</v>
      </c>
    </row>
    <row r="1437" spans="1:49">
      <c r="A1437" s="4" t="s">
        <v>35</v>
      </c>
      <c r="B1437" s="4" t="str">
        <f t="shared" si="22"/>
        <v>Hair Color</v>
      </c>
      <c r="C1437" s="4" t="s">
        <v>1786</v>
      </c>
      <c r="D1437" s="4" t="s">
        <v>579</v>
      </c>
      <c r="E1437" s="24" t="s">
        <v>441</v>
      </c>
      <c r="F1437" s="12" t="s">
        <v>446</v>
      </c>
      <c r="G1437" s="4" t="s">
        <v>1787</v>
      </c>
      <c r="H1437" s="3">
        <v>111</v>
      </c>
      <c r="I1437" s="3">
        <v>114</v>
      </c>
      <c r="J1437" s="3">
        <v>60</v>
      </c>
      <c r="K1437" s="3">
        <v>81</v>
      </c>
      <c r="L1437" s="3">
        <v>108</v>
      </c>
      <c r="M1437" s="3">
        <v>165</v>
      </c>
      <c r="N1437" s="3">
        <v>45</v>
      </c>
      <c r="O1437" s="3">
        <v>129</v>
      </c>
      <c r="P1437" s="3">
        <v>63</v>
      </c>
      <c r="Q1437" s="3">
        <v>132</v>
      </c>
      <c r="R1437" s="3">
        <v>105</v>
      </c>
      <c r="S1437" s="3">
        <v>21</v>
      </c>
      <c r="T1437" s="3">
        <v>3</v>
      </c>
      <c r="U1437" s="3">
        <v>36</v>
      </c>
      <c r="V1437" s="3">
        <v>63</v>
      </c>
      <c r="W1437" s="3">
        <v>78</v>
      </c>
      <c r="X1437" s="3">
        <v>93</v>
      </c>
      <c r="Y1437" s="3">
        <v>120</v>
      </c>
      <c r="Z1437" s="3">
        <v>15</v>
      </c>
      <c r="AA1437" s="3">
        <v>12</v>
      </c>
      <c r="AB1437" s="3">
        <v>213</v>
      </c>
      <c r="AC1437" s="3">
        <v>66</v>
      </c>
      <c r="AD1437" s="3">
        <v>9</v>
      </c>
      <c r="AE1437" s="3">
        <v>36</v>
      </c>
      <c r="AF1437" s="3">
        <v>132</v>
      </c>
      <c r="AG1437" s="3">
        <v>3</v>
      </c>
      <c r="AH1437" s="3">
        <v>138</v>
      </c>
      <c r="AI1437" s="3">
        <v>6</v>
      </c>
      <c r="AJ1437" s="3">
        <v>21</v>
      </c>
      <c r="AK1437" s="3">
        <v>180</v>
      </c>
      <c r="AL1437" s="3">
        <v>39</v>
      </c>
      <c r="AM1437" s="3">
        <v>138</v>
      </c>
      <c r="AN1437" s="3">
        <v>132</v>
      </c>
      <c r="AO1437" s="3">
        <v>9</v>
      </c>
      <c r="AP1437" s="3">
        <v>69</v>
      </c>
      <c r="AQ1437" s="3">
        <v>147</v>
      </c>
      <c r="AR1437" s="3">
        <v>69</v>
      </c>
      <c r="AS1437" s="3">
        <v>24</v>
      </c>
      <c r="AT1437" s="3">
        <v>36</v>
      </c>
      <c r="AU1437" s="3">
        <v>90</v>
      </c>
      <c r="AV1437" s="3">
        <v>51</v>
      </c>
      <c r="AW1437" s="3">
        <v>114</v>
      </c>
    </row>
    <row r="1438" spans="1:49">
      <c r="A1438" s="4" t="s">
        <v>35</v>
      </c>
      <c r="B1438" s="4" t="str">
        <f t="shared" si="22"/>
        <v>Hair Color</v>
      </c>
      <c r="C1438" s="4" t="s">
        <v>1786</v>
      </c>
      <c r="D1438" s="4" t="s">
        <v>579</v>
      </c>
      <c r="E1438" s="24" t="s">
        <v>441</v>
      </c>
      <c r="F1438" s="12" t="s">
        <v>447</v>
      </c>
      <c r="G1438" s="4" t="s">
        <v>1787</v>
      </c>
      <c r="H1438" s="3">
        <v>294</v>
      </c>
      <c r="I1438" s="3">
        <v>462</v>
      </c>
      <c r="J1438" s="3">
        <v>342</v>
      </c>
      <c r="K1438" s="3">
        <v>267</v>
      </c>
      <c r="L1438" s="3">
        <v>570</v>
      </c>
      <c r="M1438" s="3">
        <v>504</v>
      </c>
      <c r="N1438" s="3">
        <v>96</v>
      </c>
      <c r="O1438" s="3">
        <v>492</v>
      </c>
      <c r="P1438" s="3">
        <v>174</v>
      </c>
      <c r="Q1438" s="3">
        <v>339</v>
      </c>
      <c r="R1438" s="3">
        <v>471</v>
      </c>
      <c r="S1438" s="3">
        <v>123</v>
      </c>
      <c r="T1438" s="3">
        <v>240</v>
      </c>
      <c r="U1438" s="3">
        <v>261</v>
      </c>
      <c r="V1438" s="3">
        <v>465</v>
      </c>
      <c r="W1438" s="3">
        <v>201</v>
      </c>
      <c r="X1438" s="3">
        <v>45</v>
      </c>
      <c r="Y1438" s="3">
        <v>852</v>
      </c>
      <c r="Z1438" s="3">
        <v>87</v>
      </c>
      <c r="AA1438" s="3">
        <v>48</v>
      </c>
      <c r="AB1438" s="3">
        <v>588</v>
      </c>
      <c r="AC1438" s="3">
        <v>183</v>
      </c>
      <c r="AD1438" s="3">
        <v>231</v>
      </c>
      <c r="AE1438" s="3">
        <v>207</v>
      </c>
      <c r="AF1438" s="3">
        <v>192</v>
      </c>
      <c r="AG1438" s="3">
        <v>291</v>
      </c>
      <c r="AH1438" s="3">
        <v>1194</v>
      </c>
      <c r="AI1438" s="3">
        <v>33</v>
      </c>
      <c r="AJ1438" s="3">
        <v>15</v>
      </c>
      <c r="AK1438" s="3">
        <v>66</v>
      </c>
      <c r="AL1438" s="3">
        <v>108</v>
      </c>
      <c r="AM1438" s="3">
        <v>45</v>
      </c>
      <c r="AN1438" s="3">
        <v>0</v>
      </c>
      <c r="AO1438" s="3">
        <v>105</v>
      </c>
      <c r="AP1438" s="3">
        <v>729</v>
      </c>
      <c r="AQ1438" s="3">
        <v>384</v>
      </c>
      <c r="AR1438" s="3">
        <v>354</v>
      </c>
      <c r="AS1438" s="3">
        <v>261</v>
      </c>
      <c r="AT1438" s="3">
        <v>132</v>
      </c>
      <c r="AU1438" s="3">
        <v>345</v>
      </c>
      <c r="AV1438" s="3">
        <v>270</v>
      </c>
      <c r="AW1438" s="3">
        <v>255</v>
      </c>
    </row>
    <row r="1439" spans="1:49">
      <c r="A1439" s="4" t="s">
        <v>35</v>
      </c>
      <c r="B1439" s="4" t="str">
        <f t="shared" si="22"/>
        <v>Hair Color</v>
      </c>
      <c r="C1439" s="4" t="s">
        <v>1786</v>
      </c>
      <c r="D1439" s="4" t="s">
        <v>579</v>
      </c>
      <c r="E1439" s="24" t="s">
        <v>441</v>
      </c>
      <c r="F1439" s="12" t="s">
        <v>448</v>
      </c>
      <c r="G1439" s="4" t="s">
        <v>1787</v>
      </c>
      <c r="H1439" s="3">
        <v>129</v>
      </c>
      <c r="I1439" s="3">
        <v>99</v>
      </c>
      <c r="J1439" s="3">
        <v>69</v>
      </c>
      <c r="K1439" s="3">
        <v>165</v>
      </c>
      <c r="L1439" s="3">
        <v>111</v>
      </c>
      <c r="M1439" s="3">
        <v>153</v>
      </c>
      <c r="N1439" s="3">
        <v>114</v>
      </c>
      <c r="O1439" s="3">
        <v>186</v>
      </c>
      <c r="P1439" s="3">
        <v>66</v>
      </c>
      <c r="Q1439" s="3">
        <v>87</v>
      </c>
      <c r="R1439" s="3">
        <v>255</v>
      </c>
      <c r="S1439" s="3">
        <v>33</v>
      </c>
      <c r="T1439" s="3">
        <v>21</v>
      </c>
      <c r="U1439" s="3">
        <v>48</v>
      </c>
      <c r="V1439" s="3">
        <v>213</v>
      </c>
      <c r="W1439" s="3">
        <v>87</v>
      </c>
      <c r="X1439" s="3">
        <v>177</v>
      </c>
      <c r="Y1439" s="3">
        <v>18</v>
      </c>
      <c r="Z1439" s="3">
        <v>15</v>
      </c>
      <c r="AA1439" s="3">
        <v>87</v>
      </c>
      <c r="AB1439" s="3">
        <v>138</v>
      </c>
      <c r="AC1439" s="3">
        <v>90</v>
      </c>
      <c r="AD1439" s="3">
        <v>117</v>
      </c>
      <c r="AE1439" s="3">
        <v>51</v>
      </c>
      <c r="AF1439" s="3">
        <v>63</v>
      </c>
      <c r="AG1439" s="3">
        <v>135</v>
      </c>
      <c r="AH1439" s="3">
        <v>0</v>
      </c>
      <c r="AI1439" s="3">
        <v>87</v>
      </c>
      <c r="AJ1439" s="3">
        <v>99</v>
      </c>
      <c r="AK1439" s="3">
        <v>168</v>
      </c>
      <c r="AL1439" s="3">
        <v>45</v>
      </c>
      <c r="AM1439" s="3">
        <v>36</v>
      </c>
      <c r="AN1439" s="3">
        <v>150</v>
      </c>
      <c r="AO1439" s="3">
        <v>108</v>
      </c>
      <c r="AP1439" s="3">
        <v>147</v>
      </c>
      <c r="AQ1439" s="3">
        <v>12</v>
      </c>
      <c r="AR1439" s="3">
        <v>117</v>
      </c>
      <c r="AS1439" s="3">
        <v>192</v>
      </c>
      <c r="AT1439" s="3">
        <v>48</v>
      </c>
      <c r="AU1439" s="3">
        <v>123</v>
      </c>
      <c r="AV1439" s="3">
        <v>147</v>
      </c>
      <c r="AW1439" s="3">
        <v>84</v>
      </c>
    </row>
    <row r="1440" spans="1:49">
      <c r="A1440" s="4" t="s">
        <v>35</v>
      </c>
      <c r="B1440" s="4" t="str">
        <f t="shared" si="22"/>
        <v>Hair Color</v>
      </c>
      <c r="C1440" s="4" t="s">
        <v>1786</v>
      </c>
      <c r="D1440" s="4" t="s">
        <v>579</v>
      </c>
      <c r="E1440" s="24" t="s">
        <v>441</v>
      </c>
      <c r="F1440" s="12" t="s">
        <v>449</v>
      </c>
      <c r="G1440" s="4" t="s">
        <v>1787</v>
      </c>
      <c r="H1440" s="3">
        <v>243</v>
      </c>
      <c r="I1440" s="3">
        <v>219</v>
      </c>
      <c r="J1440" s="3">
        <v>207</v>
      </c>
      <c r="K1440" s="3">
        <v>279</v>
      </c>
      <c r="L1440" s="3">
        <v>333</v>
      </c>
      <c r="M1440" s="3">
        <v>450</v>
      </c>
      <c r="N1440" s="3">
        <v>36</v>
      </c>
      <c r="O1440" s="3">
        <v>300</v>
      </c>
      <c r="P1440" s="3">
        <v>96</v>
      </c>
      <c r="Q1440" s="3">
        <v>180</v>
      </c>
      <c r="R1440" s="3">
        <v>264</v>
      </c>
      <c r="S1440" s="3">
        <v>159</v>
      </c>
      <c r="T1440" s="3">
        <v>189</v>
      </c>
      <c r="U1440" s="3">
        <v>129</v>
      </c>
      <c r="V1440" s="3">
        <v>174</v>
      </c>
      <c r="W1440" s="3">
        <v>138</v>
      </c>
      <c r="X1440" s="3">
        <v>234</v>
      </c>
      <c r="Y1440" s="3">
        <v>279</v>
      </c>
      <c r="Z1440" s="3">
        <v>24</v>
      </c>
      <c r="AA1440" s="3">
        <v>144</v>
      </c>
      <c r="AB1440" s="3">
        <v>387</v>
      </c>
      <c r="AC1440" s="3">
        <v>150</v>
      </c>
      <c r="AD1440" s="3">
        <v>147</v>
      </c>
      <c r="AE1440" s="3">
        <v>120</v>
      </c>
      <c r="AF1440" s="3">
        <v>18</v>
      </c>
      <c r="AG1440" s="3">
        <v>258</v>
      </c>
      <c r="AH1440" s="3">
        <v>495</v>
      </c>
      <c r="AI1440" s="3">
        <v>30</v>
      </c>
      <c r="AJ1440" s="3">
        <v>18</v>
      </c>
      <c r="AK1440" s="3">
        <v>435</v>
      </c>
      <c r="AL1440" s="3">
        <v>81</v>
      </c>
      <c r="AM1440" s="3">
        <v>192</v>
      </c>
      <c r="AN1440" s="3">
        <v>78</v>
      </c>
      <c r="AO1440" s="3">
        <v>0</v>
      </c>
      <c r="AP1440" s="3">
        <v>447</v>
      </c>
      <c r="AQ1440" s="3">
        <v>273</v>
      </c>
      <c r="AR1440" s="3">
        <v>192</v>
      </c>
      <c r="AS1440" s="3">
        <v>147</v>
      </c>
      <c r="AT1440" s="3">
        <v>93</v>
      </c>
      <c r="AU1440" s="3">
        <v>198</v>
      </c>
      <c r="AV1440" s="3">
        <v>111</v>
      </c>
      <c r="AW1440" s="3">
        <v>210</v>
      </c>
    </row>
    <row r="1441" spans="1:49">
      <c r="A1441" s="4" t="s">
        <v>35</v>
      </c>
      <c r="B1441" s="4" t="str">
        <f t="shared" si="22"/>
        <v>Hair Color</v>
      </c>
      <c r="C1441" s="4" t="s">
        <v>1786</v>
      </c>
      <c r="D1441" s="4" t="s">
        <v>579</v>
      </c>
      <c r="E1441" s="24" t="s">
        <v>441</v>
      </c>
      <c r="F1441" s="12" t="s">
        <v>450</v>
      </c>
      <c r="G1441" s="4" t="s">
        <v>1787</v>
      </c>
      <c r="H1441" s="3">
        <v>201</v>
      </c>
      <c r="I1441" s="3">
        <v>228</v>
      </c>
      <c r="J1441" s="3">
        <v>156</v>
      </c>
      <c r="K1441" s="3">
        <v>195</v>
      </c>
      <c r="L1441" s="3">
        <v>333</v>
      </c>
      <c r="M1441" s="3">
        <v>348</v>
      </c>
      <c r="N1441" s="3">
        <v>66</v>
      </c>
      <c r="O1441" s="3">
        <v>426</v>
      </c>
      <c r="P1441" s="3">
        <v>39</v>
      </c>
      <c r="Q1441" s="3">
        <v>183</v>
      </c>
      <c r="R1441" s="3">
        <v>477</v>
      </c>
      <c r="S1441" s="3">
        <v>75</v>
      </c>
      <c r="T1441" s="3">
        <v>96</v>
      </c>
      <c r="U1441" s="3">
        <v>63</v>
      </c>
      <c r="V1441" s="3">
        <v>360</v>
      </c>
      <c r="W1441" s="3">
        <v>69</v>
      </c>
      <c r="X1441" s="3">
        <v>18</v>
      </c>
      <c r="Y1441" s="3">
        <v>504</v>
      </c>
      <c r="Z1441" s="3">
        <v>24</v>
      </c>
      <c r="AA1441" s="3">
        <v>126</v>
      </c>
      <c r="AB1441" s="3">
        <v>339</v>
      </c>
      <c r="AC1441" s="3">
        <v>201</v>
      </c>
      <c r="AD1441" s="3">
        <v>132</v>
      </c>
      <c r="AE1441" s="3">
        <v>30</v>
      </c>
      <c r="AF1441" s="3">
        <v>120</v>
      </c>
      <c r="AG1441" s="3">
        <v>252</v>
      </c>
      <c r="AH1441" s="3">
        <v>204</v>
      </c>
      <c r="AI1441" s="3">
        <v>24</v>
      </c>
      <c r="AJ1441" s="3">
        <v>150</v>
      </c>
      <c r="AK1441" s="3">
        <v>435</v>
      </c>
      <c r="AL1441" s="3">
        <v>69</v>
      </c>
      <c r="AM1441" s="3">
        <v>192</v>
      </c>
      <c r="AN1441" s="3">
        <v>105</v>
      </c>
      <c r="AO1441" s="3">
        <v>87</v>
      </c>
      <c r="AP1441" s="3">
        <v>387</v>
      </c>
      <c r="AQ1441" s="3">
        <v>153</v>
      </c>
      <c r="AR1441" s="3">
        <v>204</v>
      </c>
      <c r="AS1441" s="3">
        <v>171</v>
      </c>
      <c r="AT1441" s="3">
        <v>54</v>
      </c>
      <c r="AU1441" s="3">
        <v>162</v>
      </c>
      <c r="AV1441" s="3">
        <v>189</v>
      </c>
      <c r="AW1441" s="3">
        <v>186</v>
      </c>
    </row>
    <row r="1442" spans="1:49">
      <c r="A1442" s="4" t="s">
        <v>35</v>
      </c>
      <c r="B1442" s="4" t="str">
        <f t="shared" si="22"/>
        <v>Hair Color</v>
      </c>
      <c r="C1442" s="4" t="s">
        <v>1786</v>
      </c>
      <c r="D1442" s="4" t="s">
        <v>579</v>
      </c>
      <c r="E1442" s="24" t="s">
        <v>441</v>
      </c>
      <c r="F1442" s="12" t="s">
        <v>451</v>
      </c>
      <c r="G1442" s="4" t="s">
        <v>1787</v>
      </c>
      <c r="H1442" s="3">
        <v>54</v>
      </c>
      <c r="I1442" s="3">
        <v>57</v>
      </c>
      <c r="J1442" s="3">
        <v>54</v>
      </c>
      <c r="K1442" s="3">
        <v>114</v>
      </c>
      <c r="L1442" s="3">
        <v>84</v>
      </c>
      <c r="M1442" s="3">
        <v>111</v>
      </c>
      <c r="N1442" s="3">
        <v>33</v>
      </c>
      <c r="O1442" s="3">
        <v>114</v>
      </c>
      <c r="P1442" s="3">
        <v>12</v>
      </c>
      <c r="Q1442" s="3">
        <v>150</v>
      </c>
      <c r="R1442" s="3">
        <v>132</v>
      </c>
      <c r="S1442" s="3">
        <v>9</v>
      </c>
      <c r="T1442" s="3">
        <v>18</v>
      </c>
      <c r="U1442" s="3">
        <v>9</v>
      </c>
      <c r="V1442" s="3">
        <v>90</v>
      </c>
      <c r="W1442" s="3">
        <v>48</v>
      </c>
      <c r="X1442" s="3">
        <v>81</v>
      </c>
      <c r="Y1442" s="3">
        <v>84</v>
      </c>
      <c r="Z1442" s="3">
        <v>15</v>
      </c>
      <c r="AA1442" s="3">
        <v>30</v>
      </c>
      <c r="AB1442" s="3">
        <v>186</v>
      </c>
      <c r="AC1442" s="3">
        <v>27</v>
      </c>
      <c r="AD1442" s="3">
        <v>3</v>
      </c>
      <c r="AE1442" s="3">
        <v>9</v>
      </c>
      <c r="AF1442" s="3">
        <v>102</v>
      </c>
      <c r="AG1442" s="3">
        <v>132</v>
      </c>
      <c r="AH1442" s="3">
        <v>0</v>
      </c>
      <c r="AI1442" s="3">
        <v>3</v>
      </c>
      <c r="AJ1442" s="3">
        <v>3</v>
      </c>
      <c r="AK1442" s="3">
        <v>186</v>
      </c>
      <c r="AL1442" s="3">
        <v>15</v>
      </c>
      <c r="AM1442" s="3">
        <v>27</v>
      </c>
      <c r="AN1442" s="3">
        <v>57</v>
      </c>
      <c r="AO1442" s="3">
        <v>0</v>
      </c>
      <c r="AP1442" s="3">
        <v>72</v>
      </c>
      <c r="AQ1442" s="3">
        <v>9</v>
      </c>
      <c r="AR1442" s="3">
        <v>144</v>
      </c>
      <c r="AS1442" s="3">
        <v>117</v>
      </c>
      <c r="AT1442" s="3">
        <v>12</v>
      </c>
      <c r="AU1442" s="3">
        <v>39</v>
      </c>
      <c r="AV1442" s="3">
        <v>54</v>
      </c>
      <c r="AW1442" s="3">
        <v>39</v>
      </c>
    </row>
    <row r="1443" spans="1:49">
      <c r="A1443" s="4" t="s">
        <v>35</v>
      </c>
      <c r="B1443" s="4" t="str">
        <f t="shared" si="22"/>
        <v>Hair Color</v>
      </c>
      <c r="C1443" s="4" t="s">
        <v>1786</v>
      </c>
      <c r="D1443" s="4" t="s">
        <v>579</v>
      </c>
      <c r="E1443" s="24" t="s">
        <v>441</v>
      </c>
      <c r="F1443" s="12" t="s">
        <v>452</v>
      </c>
      <c r="G1443" s="4" t="s">
        <v>1787</v>
      </c>
      <c r="H1443" s="3">
        <v>708</v>
      </c>
      <c r="I1443" s="3">
        <v>549</v>
      </c>
      <c r="J1443" s="3">
        <v>405</v>
      </c>
      <c r="K1443" s="3">
        <v>378</v>
      </c>
      <c r="L1443" s="3">
        <v>651</v>
      </c>
      <c r="M1443" s="3">
        <v>789</v>
      </c>
      <c r="N1443" s="3">
        <v>120</v>
      </c>
      <c r="O1443" s="3">
        <v>708</v>
      </c>
      <c r="P1443" s="3">
        <v>285</v>
      </c>
      <c r="Q1443" s="3">
        <v>351</v>
      </c>
      <c r="R1443" s="3">
        <v>750</v>
      </c>
      <c r="S1443" s="3">
        <v>174</v>
      </c>
      <c r="T1443" s="3">
        <v>417</v>
      </c>
      <c r="U1443" s="3">
        <v>294</v>
      </c>
      <c r="V1443" s="3">
        <v>795</v>
      </c>
      <c r="W1443" s="3">
        <v>267</v>
      </c>
      <c r="X1443" s="3">
        <v>45</v>
      </c>
      <c r="Y1443" s="3">
        <v>1296</v>
      </c>
      <c r="Z1443" s="3">
        <v>81</v>
      </c>
      <c r="AA1443" s="3">
        <v>81</v>
      </c>
      <c r="AB1443" s="3">
        <v>867</v>
      </c>
      <c r="AC1443" s="3">
        <v>276</v>
      </c>
      <c r="AD1443" s="3">
        <v>267</v>
      </c>
      <c r="AE1443" s="3">
        <v>216</v>
      </c>
      <c r="AF1443" s="3">
        <v>321</v>
      </c>
      <c r="AG1443" s="3">
        <v>462</v>
      </c>
      <c r="AH1443" s="3">
        <v>450</v>
      </c>
      <c r="AI1443" s="3">
        <v>120</v>
      </c>
      <c r="AJ1443" s="3">
        <v>411</v>
      </c>
      <c r="AK1443" s="3">
        <v>876</v>
      </c>
      <c r="AL1443" s="3">
        <v>15</v>
      </c>
      <c r="AM1443" s="3">
        <v>0</v>
      </c>
      <c r="AN1443" s="3">
        <v>675</v>
      </c>
      <c r="AO1443" s="3">
        <v>24</v>
      </c>
      <c r="AP1443" s="3">
        <v>699</v>
      </c>
      <c r="AQ1443" s="3">
        <v>66</v>
      </c>
      <c r="AR1443" s="3">
        <v>789</v>
      </c>
      <c r="AS1443" s="3">
        <v>438</v>
      </c>
      <c r="AT1443" s="3">
        <v>201</v>
      </c>
      <c r="AU1443" s="3">
        <v>447</v>
      </c>
      <c r="AV1443" s="3">
        <v>498</v>
      </c>
      <c r="AW1443" s="3">
        <v>480</v>
      </c>
    </row>
    <row r="1444" spans="1:49">
      <c r="A1444" s="4" t="s">
        <v>35</v>
      </c>
      <c r="B1444" s="4" t="str">
        <f t="shared" si="22"/>
        <v>Hair Color</v>
      </c>
      <c r="C1444" s="4" t="s">
        <v>1786</v>
      </c>
      <c r="D1444" s="4" t="s">
        <v>579</v>
      </c>
      <c r="E1444" s="24" t="s">
        <v>441</v>
      </c>
      <c r="F1444" s="12" t="s">
        <v>453</v>
      </c>
      <c r="G1444" s="4" t="s">
        <v>1787</v>
      </c>
      <c r="H1444" s="3">
        <v>114</v>
      </c>
      <c r="I1444" s="3">
        <v>75</v>
      </c>
      <c r="J1444" s="3">
        <v>96</v>
      </c>
      <c r="K1444" s="3">
        <v>81</v>
      </c>
      <c r="L1444" s="3">
        <v>150</v>
      </c>
      <c r="M1444" s="3">
        <v>105</v>
      </c>
      <c r="N1444" s="3">
        <v>84</v>
      </c>
      <c r="O1444" s="3">
        <v>144</v>
      </c>
      <c r="P1444" s="3">
        <v>63</v>
      </c>
      <c r="Q1444" s="3">
        <v>183</v>
      </c>
      <c r="R1444" s="3">
        <v>102</v>
      </c>
      <c r="S1444" s="3">
        <v>30</v>
      </c>
      <c r="T1444" s="3">
        <v>105</v>
      </c>
      <c r="U1444" s="3">
        <v>87</v>
      </c>
      <c r="V1444" s="3">
        <v>126</v>
      </c>
      <c r="W1444" s="3">
        <v>66</v>
      </c>
      <c r="X1444" s="3">
        <v>30</v>
      </c>
      <c r="Y1444" s="3">
        <v>273</v>
      </c>
      <c r="Z1444" s="3">
        <v>15</v>
      </c>
      <c r="AA1444" s="3">
        <v>51</v>
      </c>
      <c r="AB1444" s="3">
        <v>177</v>
      </c>
      <c r="AC1444" s="3">
        <v>9</v>
      </c>
      <c r="AD1444" s="3">
        <v>138</v>
      </c>
      <c r="AE1444" s="3">
        <v>12</v>
      </c>
      <c r="AF1444" s="3">
        <v>120</v>
      </c>
      <c r="AG1444" s="3">
        <v>135</v>
      </c>
      <c r="AH1444" s="3">
        <v>327</v>
      </c>
      <c r="AI1444" s="3">
        <v>0</v>
      </c>
      <c r="AJ1444" s="3">
        <v>0</v>
      </c>
      <c r="AK1444" s="3">
        <v>39</v>
      </c>
      <c r="AL1444" s="3">
        <v>0</v>
      </c>
      <c r="AM1444" s="3">
        <v>117</v>
      </c>
      <c r="AN1444" s="3">
        <v>162</v>
      </c>
      <c r="AO1444" s="3">
        <v>21</v>
      </c>
      <c r="AP1444" s="3">
        <v>141</v>
      </c>
      <c r="AQ1444" s="3">
        <v>162</v>
      </c>
      <c r="AR1444" s="3">
        <v>51</v>
      </c>
      <c r="AS1444" s="3">
        <v>114</v>
      </c>
      <c r="AT1444" s="3">
        <v>21</v>
      </c>
      <c r="AU1444" s="3">
        <v>138</v>
      </c>
      <c r="AV1444" s="3">
        <v>39</v>
      </c>
      <c r="AW1444" s="3">
        <v>78</v>
      </c>
    </row>
    <row r="1445" spans="1:49">
      <c r="A1445" s="4" t="s">
        <v>35</v>
      </c>
      <c r="B1445" s="4" t="str">
        <f t="shared" si="22"/>
        <v>Hair Color</v>
      </c>
      <c r="C1445" s="4" t="s">
        <v>1786</v>
      </c>
      <c r="D1445" s="4" t="s">
        <v>579</v>
      </c>
      <c r="E1445" s="24" t="s">
        <v>441</v>
      </c>
      <c r="F1445" s="12" t="s">
        <v>454</v>
      </c>
      <c r="G1445" s="4" t="s">
        <v>1787</v>
      </c>
      <c r="H1445" s="3">
        <v>174</v>
      </c>
      <c r="I1445" s="3">
        <v>165</v>
      </c>
      <c r="J1445" s="3">
        <v>117</v>
      </c>
      <c r="K1445" s="3">
        <v>186</v>
      </c>
      <c r="L1445" s="3">
        <v>249</v>
      </c>
      <c r="M1445" s="3">
        <v>264</v>
      </c>
      <c r="N1445" s="3">
        <v>57</v>
      </c>
      <c r="O1445" s="3">
        <v>225</v>
      </c>
      <c r="P1445" s="3">
        <v>93</v>
      </c>
      <c r="Q1445" s="3">
        <v>195</v>
      </c>
      <c r="R1445" s="3">
        <v>333</v>
      </c>
      <c r="S1445" s="3">
        <v>27</v>
      </c>
      <c r="T1445" s="3">
        <v>96</v>
      </c>
      <c r="U1445" s="3">
        <v>81</v>
      </c>
      <c r="V1445" s="3">
        <v>195</v>
      </c>
      <c r="W1445" s="3">
        <v>90</v>
      </c>
      <c r="X1445" s="3">
        <v>192</v>
      </c>
      <c r="Y1445" s="3">
        <v>360</v>
      </c>
      <c r="Z1445" s="3">
        <v>27</v>
      </c>
      <c r="AA1445" s="3">
        <v>0</v>
      </c>
      <c r="AB1445" s="3">
        <v>129</v>
      </c>
      <c r="AC1445" s="3">
        <v>1</v>
      </c>
      <c r="AD1445" s="3">
        <v>6</v>
      </c>
      <c r="AE1445" s="3">
        <v>306</v>
      </c>
      <c r="AF1445" s="3">
        <v>141</v>
      </c>
      <c r="AG1445" s="3">
        <v>0</v>
      </c>
      <c r="AH1445" s="3">
        <v>12</v>
      </c>
      <c r="AI1445" s="3">
        <v>240</v>
      </c>
      <c r="AJ1445" s="3">
        <v>159</v>
      </c>
      <c r="AK1445" s="3">
        <v>306</v>
      </c>
      <c r="AL1445" s="3">
        <v>51</v>
      </c>
      <c r="AM1445" s="3">
        <v>75</v>
      </c>
      <c r="AN1445" s="3">
        <v>174</v>
      </c>
      <c r="AO1445" s="3">
        <v>75</v>
      </c>
      <c r="AP1445" s="3">
        <v>315</v>
      </c>
      <c r="AQ1445" s="3">
        <v>186</v>
      </c>
      <c r="AR1445" s="3">
        <v>114</v>
      </c>
      <c r="AS1445" s="3">
        <v>126</v>
      </c>
      <c r="AT1445" s="3">
        <v>78</v>
      </c>
      <c r="AU1445" s="3">
        <v>156</v>
      </c>
      <c r="AV1445" s="3">
        <v>255</v>
      </c>
      <c r="AW1445" s="3">
        <v>195</v>
      </c>
    </row>
    <row r="1446" spans="1:49">
      <c r="A1446" s="4" t="s">
        <v>35</v>
      </c>
      <c r="B1446" s="4" t="str">
        <f t="shared" si="22"/>
        <v>Hair Color</v>
      </c>
      <c r="C1446" s="4" t="s">
        <v>1786</v>
      </c>
      <c r="D1446" s="4" t="s">
        <v>579</v>
      </c>
      <c r="E1446" s="24" t="s">
        <v>441</v>
      </c>
      <c r="F1446" s="12" t="s">
        <v>455</v>
      </c>
      <c r="G1446" s="4" t="s">
        <v>1787</v>
      </c>
      <c r="H1446" s="3">
        <v>207</v>
      </c>
      <c r="I1446" s="3">
        <v>252</v>
      </c>
      <c r="J1446" s="3">
        <v>201</v>
      </c>
      <c r="K1446" s="3">
        <v>180</v>
      </c>
      <c r="L1446" s="3">
        <v>174</v>
      </c>
      <c r="M1446" s="3">
        <v>456</v>
      </c>
      <c r="N1446" s="3">
        <v>51</v>
      </c>
      <c r="O1446" s="3">
        <v>255</v>
      </c>
      <c r="P1446" s="3">
        <v>120</v>
      </c>
      <c r="Q1446" s="3">
        <v>240</v>
      </c>
      <c r="R1446" s="3">
        <v>270</v>
      </c>
      <c r="S1446" s="3">
        <v>9</v>
      </c>
      <c r="T1446" s="3">
        <v>213</v>
      </c>
      <c r="U1446" s="3">
        <v>69</v>
      </c>
      <c r="V1446" s="3">
        <v>357</v>
      </c>
      <c r="W1446" s="3">
        <v>129</v>
      </c>
      <c r="X1446" s="3">
        <v>45</v>
      </c>
      <c r="Y1446" s="3">
        <v>372</v>
      </c>
      <c r="Z1446" s="3">
        <v>42</v>
      </c>
      <c r="AA1446" s="3">
        <v>21</v>
      </c>
      <c r="AB1446" s="3">
        <v>306</v>
      </c>
      <c r="AC1446" s="3">
        <v>207</v>
      </c>
      <c r="AD1446" s="3">
        <v>99</v>
      </c>
      <c r="AE1446" s="3">
        <v>126</v>
      </c>
      <c r="AF1446" s="3">
        <v>135</v>
      </c>
      <c r="AG1446" s="3">
        <v>216</v>
      </c>
      <c r="AH1446" s="3">
        <v>63</v>
      </c>
      <c r="AI1446" s="3">
        <v>30</v>
      </c>
      <c r="AJ1446" s="3">
        <v>162</v>
      </c>
      <c r="AK1446" s="3">
        <v>324</v>
      </c>
      <c r="AL1446" s="3">
        <v>63</v>
      </c>
      <c r="AM1446" s="3">
        <v>162</v>
      </c>
      <c r="AN1446" s="3">
        <v>147</v>
      </c>
      <c r="AO1446" s="3">
        <v>63</v>
      </c>
      <c r="AP1446" s="3">
        <v>270</v>
      </c>
      <c r="AQ1446" s="3">
        <v>42</v>
      </c>
      <c r="AR1446" s="3">
        <v>230</v>
      </c>
      <c r="AS1446" s="3">
        <v>129</v>
      </c>
      <c r="AT1446" s="3">
        <v>33</v>
      </c>
      <c r="AU1446" s="3">
        <v>174</v>
      </c>
      <c r="AV1446" s="3">
        <v>120</v>
      </c>
      <c r="AW1446" s="3">
        <v>135</v>
      </c>
    </row>
    <row r="1447" spans="1:49">
      <c r="A1447" s="4" t="s">
        <v>35</v>
      </c>
      <c r="B1447" s="4" t="str">
        <f t="shared" si="22"/>
        <v>Hair Color</v>
      </c>
      <c r="C1447" s="4" t="s">
        <v>1786</v>
      </c>
      <c r="D1447" s="4" t="s">
        <v>579</v>
      </c>
      <c r="E1447" s="24" t="s">
        <v>441</v>
      </c>
      <c r="F1447" s="12" t="s">
        <v>456</v>
      </c>
      <c r="G1447" s="4" t="s">
        <v>1787</v>
      </c>
      <c r="H1447" s="3">
        <v>243</v>
      </c>
      <c r="I1447" s="3">
        <v>201</v>
      </c>
      <c r="J1447" s="3">
        <v>177</v>
      </c>
      <c r="K1447" s="3">
        <v>237</v>
      </c>
      <c r="L1447" s="3">
        <v>141</v>
      </c>
      <c r="M1447" s="3">
        <v>291</v>
      </c>
      <c r="N1447" s="3">
        <v>36</v>
      </c>
      <c r="O1447" s="3">
        <v>345</v>
      </c>
      <c r="P1447" s="3">
        <v>33</v>
      </c>
      <c r="Q1447" s="3">
        <v>156</v>
      </c>
      <c r="R1447" s="3">
        <v>243</v>
      </c>
      <c r="S1447" s="3">
        <v>21</v>
      </c>
      <c r="T1447" s="3">
        <v>78</v>
      </c>
      <c r="U1447" s="3">
        <v>138</v>
      </c>
      <c r="V1447" s="3">
        <v>204</v>
      </c>
      <c r="W1447" s="3">
        <v>105</v>
      </c>
      <c r="X1447" s="3">
        <v>18</v>
      </c>
      <c r="Y1447" s="3">
        <v>372</v>
      </c>
      <c r="Z1447" s="3">
        <v>18</v>
      </c>
      <c r="AA1447" s="3">
        <v>81</v>
      </c>
      <c r="AB1447" s="3">
        <v>261</v>
      </c>
      <c r="AC1447" s="3">
        <v>147</v>
      </c>
      <c r="AD1447" s="3">
        <v>96</v>
      </c>
      <c r="AE1447" s="3">
        <v>144</v>
      </c>
      <c r="AF1447" s="3">
        <v>60</v>
      </c>
      <c r="AG1447" s="3">
        <v>210</v>
      </c>
      <c r="AH1447" s="3">
        <v>135</v>
      </c>
      <c r="AI1447" s="3">
        <v>51</v>
      </c>
      <c r="AJ1447" s="3">
        <v>15</v>
      </c>
      <c r="AK1447" s="3">
        <v>288</v>
      </c>
      <c r="AL1447" s="3">
        <v>60</v>
      </c>
      <c r="AM1447" s="3">
        <v>114</v>
      </c>
      <c r="AN1447" s="3">
        <v>156</v>
      </c>
      <c r="AO1447" s="3">
        <v>117</v>
      </c>
      <c r="AP1447" s="3">
        <v>180</v>
      </c>
      <c r="AQ1447" s="3">
        <v>21</v>
      </c>
      <c r="AR1447" s="3">
        <v>207</v>
      </c>
      <c r="AS1447" s="3">
        <v>153</v>
      </c>
      <c r="AT1447" s="3">
        <v>39</v>
      </c>
      <c r="AU1447" s="3">
        <v>90</v>
      </c>
      <c r="AV1447" s="3">
        <v>132</v>
      </c>
      <c r="AW1447" s="3">
        <v>138</v>
      </c>
    </row>
    <row r="1448" spans="1:49">
      <c r="A1448" s="4" t="s">
        <v>35</v>
      </c>
      <c r="B1448" s="4" t="str">
        <f t="shared" si="22"/>
        <v>Hair Color</v>
      </c>
      <c r="C1448" s="4" t="s">
        <v>1786</v>
      </c>
      <c r="D1448" s="4" t="s">
        <v>579</v>
      </c>
      <c r="E1448" s="24" t="s">
        <v>441</v>
      </c>
      <c r="F1448" s="12" t="s">
        <v>457</v>
      </c>
      <c r="G1448" s="4" t="s">
        <v>1787</v>
      </c>
      <c r="H1448" s="3">
        <v>171</v>
      </c>
      <c r="I1448" s="3">
        <v>198</v>
      </c>
      <c r="J1448" s="3">
        <v>165</v>
      </c>
      <c r="K1448" s="3">
        <v>207</v>
      </c>
      <c r="L1448" s="3">
        <v>117</v>
      </c>
      <c r="M1448" s="3">
        <v>318</v>
      </c>
      <c r="N1448" s="3">
        <v>78</v>
      </c>
      <c r="O1448" s="3">
        <v>234</v>
      </c>
      <c r="P1448" s="3">
        <v>174</v>
      </c>
      <c r="Q1448" s="3">
        <v>84</v>
      </c>
      <c r="R1448" s="3">
        <v>273</v>
      </c>
      <c r="S1448" s="3">
        <v>99</v>
      </c>
      <c r="T1448" s="3">
        <v>171</v>
      </c>
      <c r="U1448" s="3">
        <v>81</v>
      </c>
      <c r="V1448" s="3">
        <v>243</v>
      </c>
      <c r="W1448" s="3">
        <v>111</v>
      </c>
      <c r="X1448" s="3">
        <v>12</v>
      </c>
      <c r="Y1448" s="3">
        <v>471</v>
      </c>
      <c r="Z1448" s="3">
        <v>24</v>
      </c>
      <c r="AA1448" s="3">
        <v>126</v>
      </c>
      <c r="AB1448" s="3">
        <v>354</v>
      </c>
      <c r="AC1448" s="3">
        <v>201</v>
      </c>
      <c r="AD1448" s="3">
        <v>105</v>
      </c>
      <c r="AE1448" s="3">
        <v>99</v>
      </c>
      <c r="AF1448" s="3">
        <v>126</v>
      </c>
      <c r="AG1448" s="3">
        <v>210</v>
      </c>
      <c r="AH1448" s="3">
        <v>660</v>
      </c>
      <c r="AI1448" s="3">
        <v>36</v>
      </c>
      <c r="AJ1448" s="3">
        <v>6</v>
      </c>
      <c r="AK1448" s="3">
        <v>33</v>
      </c>
      <c r="AL1448" s="3">
        <v>51</v>
      </c>
      <c r="AM1448" s="3">
        <v>123</v>
      </c>
      <c r="AN1448" s="3">
        <v>129</v>
      </c>
      <c r="AO1448" s="3">
        <v>45</v>
      </c>
      <c r="AP1448" s="3">
        <v>210</v>
      </c>
      <c r="AQ1448" s="3">
        <v>102</v>
      </c>
      <c r="AR1448" s="3">
        <v>132</v>
      </c>
      <c r="AS1448" s="3">
        <v>129</v>
      </c>
      <c r="AT1448" s="3">
        <v>72</v>
      </c>
      <c r="AU1448" s="3">
        <v>168</v>
      </c>
      <c r="AV1448" s="3">
        <v>126</v>
      </c>
      <c r="AW1448" s="3">
        <v>216</v>
      </c>
    </row>
    <row r="1449" spans="1:49">
      <c r="A1449" s="4" t="s">
        <v>35</v>
      </c>
      <c r="B1449" s="4" t="str">
        <f t="shared" si="22"/>
        <v>Hair Color</v>
      </c>
      <c r="C1449" s="4" t="s">
        <v>1786</v>
      </c>
      <c r="D1449" s="4" t="s">
        <v>579</v>
      </c>
      <c r="E1449" s="24" t="s">
        <v>441</v>
      </c>
      <c r="F1449" s="12" t="s">
        <v>458</v>
      </c>
      <c r="G1449" s="4" t="s">
        <v>1787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132</v>
      </c>
      <c r="R1449" s="3">
        <v>0</v>
      </c>
      <c r="S1449" s="3">
        <v>0</v>
      </c>
      <c r="T1449" s="3">
        <v>0</v>
      </c>
      <c r="U1449" s="3">
        <v>0</v>
      </c>
      <c r="V1449" s="3">
        <v>12</v>
      </c>
      <c r="W1449" s="3">
        <v>0</v>
      </c>
      <c r="X1449" s="3">
        <v>0</v>
      </c>
      <c r="Y1449" s="3">
        <v>24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24</v>
      </c>
      <c r="AI1449" s="3">
        <v>0</v>
      </c>
      <c r="AJ1449" s="3">
        <v>0</v>
      </c>
      <c r="AK1449" s="3">
        <v>0</v>
      </c>
      <c r="AL1449" s="3">
        <v>12</v>
      </c>
      <c r="AM1449" s="3">
        <v>72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3">
        <v>0</v>
      </c>
    </row>
    <row r="1450" spans="1:49">
      <c r="A1450" s="4" t="s">
        <v>35</v>
      </c>
      <c r="B1450" s="4" t="str">
        <f t="shared" si="22"/>
        <v>Hair Color</v>
      </c>
      <c r="C1450" s="4" t="s">
        <v>1786</v>
      </c>
      <c r="D1450" s="4" t="s">
        <v>579</v>
      </c>
      <c r="E1450" s="24" t="s">
        <v>441</v>
      </c>
      <c r="F1450" s="12" t="s">
        <v>459</v>
      </c>
      <c r="G1450" s="4" t="s">
        <v>1787</v>
      </c>
      <c r="H1450" s="3">
        <v>21</v>
      </c>
      <c r="I1450" s="3">
        <v>21</v>
      </c>
      <c r="J1450" s="3">
        <v>30</v>
      </c>
      <c r="K1450" s="3">
        <v>66</v>
      </c>
      <c r="L1450" s="3">
        <v>45</v>
      </c>
      <c r="M1450" s="3">
        <v>9</v>
      </c>
      <c r="N1450" s="3">
        <v>24</v>
      </c>
      <c r="O1450" s="3">
        <v>27</v>
      </c>
      <c r="P1450" s="3">
        <v>54</v>
      </c>
      <c r="Q1450" s="3">
        <v>3</v>
      </c>
      <c r="R1450" s="3">
        <v>9</v>
      </c>
      <c r="S1450" s="3">
        <v>0</v>
      </c>
      <c r="T1450" s="3">
        <v>33</v>
      </c>
      <c r="U1450" s="3">
        <v>3</v>
      </c>
      <c r="V1450" s="3">
        <v>42</v>
      </c>
      <c r="W1450" s="3">
        <v>21</v>
      </c>
      <c r="X1450" s="3">
        <v>12</v>
      </c>
      <c r="Y1450" s="3">
        <v>42</v>
      </c>
      <c r="Z1450" s="3">
        <v>6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</row>
    <row r="1451" spans="1:49">
      <c r="A1451" s="4" t="s">
        <v>35</v>
      </c>
      <c r="B1451" s="4" t="str">
        <f t="shared" si="22"/>
        <v>Hair Color</v>
      </c>
      <c r="C1451" s="4" t="s">
        <v>1786</v>
      </c>
      <c r="D1451" s="4" t="s">
        <v>579</v>
      </c>
      <c r="E1451" s="24" t="s">
        <v>441</v>
      </c>
      <c r="F1451" s="12" t="s">
        <v>460</v>
      </c>
      <c r="G1451" s="4" t="s">
        <v>1787</v>
      </c>
      <c r="H1451" s="3">
        <v>45</v>
      </c>
      <c r="I1451" s="3">
        <v>21</v>
      </c>
      <c r="J1451" s="3">
        <v>36</v>
      </c>
      <c r="K1451" s="3">
        <v>6</v>
      </c>
      <c r="L1451" s="3">
        <v>36</v>
      </c>
      <c r="M1451" s="3">
        <v>48</v>
      </c>
      <c r="N1451" s="3">
        <v>3</v>
      </c>
      <c r="O1451" s="3">
        <v>24</v>
      </c>
      <c r="P1451" s="3">
        <v>24</v>
      </c>
      <c r="Q1451" s="3">
        <v>0</v>
      </c>
      <c r="R1451" s="3">
        <v>72</v>
      </c>
      <c r="S1451" s="3">
        <v>27</v>
      </c>
      <c r="T1451" s="3">
        <v>0</v>
      </c>
      <c r="U1451" s="3">
        <v>0</v>
      </c>
      <c r="V1451" s="3">
        <v>24</v>
      </c>
      <c r="W1451" s="3">
        <v>0</v>
      </c>
      <c r="X1451" s="3">
        <v>51</v>
      </c>
      <c r="Y1451" s="3">
        <v>0</v>
      </c>
      <c r="Z1451" s="3">
        <v>0</v>
      </c>
      <c r="AA1451" s="3">
        <v>12</v>
      </c>
      <c r="AB1451" s="3">
        <v>48</v>
      </c>
      <c r="AC1451" s="3">
        <v>0</v>
      </c>
      <c r="AD1451" s="3">
        <v>3</v>
      </c>
      <c r="AE1451" s="3">
        <v>0</v>
      </c>
      <c r="AF1451" s="3">
        <v>0</v>
      </c>
      <c r="AG1451" s="3">
        <v>0</v>
      </c>
      <c r="AH1451" s="3">
        <v>69</v>
      </c>
      <c r="AI1451" s="3">
        <v>3</v>
      </c>
      <c r="AJ1451" s="3">
        <v>3</v>
      </c>
      <c r="AK1451" s="3">
        <v>12</v>
      </c>
      <c r="AL1451" s="3">
        <v>24</v>
      </c>
      <c r="AM1451" s="3">
        <v>63</v>
      </c>
      <c r="AN1451" s="3">
        <v>36</v>
      </c>
      <c r="AO1451" s="3">
        <v>0</v>
      </c>
      <c r="AP1451" s="3">
        <v>30</v>
      </c>
      <c r="AQ1451" s="3">
        <v>24</v>
      </c>
      <c r="AR1451" s="3">
        <v>12</v>
      </c>
      <c r="AS1451" s="3">
        <v>24</v>
      </c>
      <c r="AT1451" s="3">
        <v>0</v>
      </c>
      <c r="AU1451" s="3">
        <v>27</v>
      </c>
      <c r="AV1451" s="3">
        <v>15</v>
      </c>
      <c r="AW1451" s="3">
        <v>0</v>
      </c>
    </row>
    <row r="1452" spans="1:49">
      <c r="A1452" s="4" t="s">
        <v>35</v>
      </c>
      <c r="B1452" s="4" t="str">
        <f t="shared" si="22"/>
        <v>Hair Color</v>
      </c>
      <c r="C1452" s="4" t="s">
        <v>1786</v>
      </c>
      <c r="D1452" s="4" t="s">
        <v>579</v>
      </c>
      <c r="E1452" s="24" t="s">
        <v>441</v>
      </c>
      <c r="F1452" s="12" t="s">
        <v>461</v>
      </c>
      <c r="G1452" s="4" t="s">
        <v>1787</v>
      </c>
      <c r="H1452" s="3">
        <v>81</v>
      </c>
      <c r="I1452" s="3">
        <v>57</v>
      </c>
      <c r="J1452" s="3">
        <v>39</v>
      </c>
      <c r="K1452" s="3">
        <v>9</v>
      </c>
      <c r="L1452" s="3">
        <v>72</v>
      </c>
      <c r="M1452" s="3">
        <v>24</v>
      </c>
      <c r="N1452" s="3">
        <v>3</v>
      </c>
      <c r="O1452" s="3">
        <v>36</v>
      </c>
      <c r="P1452" s="3">
        <v>24</v>
      </c>
      <c r="Q1452" s="3">
        <v>27</v>
      </c>
      <c r="R1452" s="3">
        <v>3</v>
      </c>
      <c r="S1452" s="3">
        <v>6</v>
      </c>
      <c r="T1452" s="3">
        <v>48</v>
      </c>
      <c r="U1452" s="3">
        <v>3</v>
      </c>
      <c r="V1452" s="3">
        <v>12</v>
      </c>
      <c r="W1452" s="3">
        <v>48</v>
      </c>
      <c r="X1452" s="3">
        <v>18</v>
      </c>
      <c r="Y1452" s="3">
        <v>0</v>
      </c>
      <c r="Z1452" s="3">
        <v>12</v>
      </c>
      <c r="AA1452" s="3">
        <v>12</v>
      </c>
      <c r="AB1452" s="3">
        <v>12</v>
      </c>
      <c r="AC1452" s="3">
        <v>12</v>
      </c>
      <c r="AD1452" s="3">
        <v>27</v>
      </c>
      <c r="AE1452" s="3">
        <v>0</v>
      </c>
      <c r="AF1452" s="3">
        <v>18</v>
      </c>
      <c r="AG1452" s="3">
        <v>0</v>
      </c>
      <c r="AH1452" s="3">
        <v>78</v>
      </c>
      <c r="AI1452" s="3">
        <v>6</v>
      </c>
      <c r="AJ1452" s="3">
        <v>9</v>
      </c>
      <c r="AK1452" s="3">
        <v>12</v>
      </c>
      <c r="AL1452" s="3">
        <v>15</v>
      </c>
      <c r="AM1452" s="3">
        <v>51</v>
      </c>
      <c r="AN1452" s="3">
        <v>18</v>
      </c>
      <c r="AO1452" s="3">
        <v>0</v>
      </c>
      <c r="AP1452" s="3">
        <v>42</v>
      </c>
      <c r="AQ1452" s="3">
        <v>6</v>
      </c>
      <c r="AR1452" s="3">
        <v>42</v>
      </c>
      <c r="AS1452" s="3">
        <v>12</v>
      </c>
      <c r="AT1452" s="3">
        <v>3</v>
      </c>
      <c r="AU1452" s="3">
        <v>15</v>
      </c>
      <c r="AV1452" s="3">
        <v>12</v>
      </c>
      <c r="AW1452" s="3">
        <v>18</v>
      </c>
    </row>
    <row r="1453" spans="1:49">
      <c r="A1453" s="4" t="s">
        <v>35</v>
      </c>
      <c r="B1453" s="4" t="str">
        <f t="shared" si="22"/>
        <v>Hair Color</v>
      </c>
      <c r="C1453" s="4" t="s">
        <v>1786</v>
      </c>
      <c r="D1453" s="4" t="s">
        <v>579</v>
      </c>
      <c r="E1453" s="24" t="s">
        <v>441</v>
      </c>
      <c r="F1453" s="12" t="s">
        <v>462</v>
      </c>
      <c r="G1453" s="4" t="s">
        <v>1787</v>
      </c>
      <c r="H1453" s="3">
        <v>108</v>
      </c>
      <c r="I1453" s="3">
        <v>48</v>
      </c>
      <c r="J1453" s="3">
        <v>12</v>
      </c>
      <c r="K1453" s="3">
        <v>6</v>
      </c>
      <c r="L1453" s="3">
        <v>45</v>
      </c>
      <c r="M1453" s="3">
        <v>60</v>
      </c>
      <c r="N1453" s="3">
        <v>15</v>
      </c>
      <c r="O1453" s="3">
        <v>60</v>
      </c>
      <c r="P1453" s="3">
        <v>3</v>
      </c>
      <c r="Q1453" s="3">
        <v>36</v>
      </c>
      <c r="R1453" s="3">
        <v>51</v>
      </c>
      <c r="S1453" s="3">
        <v>12</v>
      </c>
      <c r="T1453" s="3">
        <v>30</v>
      </c>
      <c r="U1453" s="3">
        <v>24</v>
      </c>
      <c r="V1453" s="3">
        <v>30</v>
      </c>
      <c r="W1453" s="3">
        <v>51</v>
      </c>
      <c r="X1453" s="3">
        <v>21</v>
      </c>
      <c r="Y1453" s="3">
        <v>0</v>
      </c>
      <c r="Z1453" s="3">
        <v>3</v>
      </c>
      <c r="AA1453" s="3">
        <v>27</v>
      </c>
      <c r="AB1453" s="3">
        <v>39</v>
      </c>
      <c r="AC1453" s="3">
        <v>3</v>
      </c>
      <c r="AD1453" s="3">
        <v>54</v>
      </c>
      <c r="AE1453" s="3">
        <v>6</v>
      </c>
      <c r="AF1453" s="3">
        <v>30</v>
      </c>
      <c r="AG1453" s="3">
        <v>75</v>
      </c>
      <c r="AH1453" s="3">
        <v>57</v>
      </c>
      <c r="AI1453" s="3">
        <v>6</v>
      </c>
      <c r="AJ1453" s="3">
        <v>9</v>
      </c>
      <c r="AK1453" s="3">
        <v>12</v>
      </c>
      <c r="AL1453" s="3">
        <v>24</v>
      </c>
      <c r="AM1453" s="3">
        <v>72</v>
      </c>
      <c r="AN1453" s="3">
        <v>12</v>
      </c>
      <c r="AO1453" s="3">
        <v>3</v>
      </c>
      <c r="AP1453" s="3">
        <v>69</v>
      </c>
      <c r="AQ1453" s="3">
        <v>3</v>
      </c>
      <c r="AR1453" s="3">
        <v>33</v>
      </c>
      <c r="AS1453" s="3">
        <v>15</v>
      </c>
      <c r="AT1453" s="3">
        <v>0</v>
      </c>
      <c r="AU1453" s="3">
        <v>39</v>
      </c>
      <c r="AV1453" s="3">
        <v>0</v>
      </c>
      <c r="AW1453" s="3">
        <v>30</v>
      </c>
    </row>
    <row r="1454" spans="1:49">
      <c r="A1454" s="4" t="s">
        <v>35</v>
      </c>
      <c r="B1454" s="4" t="str">
        <f t="shared" si="22"/>
        <v>Hair Color</v>
      </c>
      <c r="C1454" s="4" t="s">
        <v>1786</v>
      </c>
      <c r="D1454" s="4" t="s">
        <v>579</v>
      </c>
      <c r="E1454" s="24" t="s">
        <v>441</v>
      </c>
      <c r="F1454" s="12" t="s">
        <v>463</v>
      </c>
      <c r="G1454" s="4" t="s">
        <v>1787</v>
      </c>
      <c r="H1454" s="3">
        <v>75</v>
      </c>
      <c r="I1454" s="3">
        <v>27</v>
      </c>
      <c r="J1454" s="3">
        <v>48</v>
      </c>
      <c r="K1454" s="3">
        <v>3</v>
      </c>
      <c r="L1454" s="3">
        <v>21</v>
      </c>
      <c r="M1454" s="3">
        <v>48</v>
      </c>
      <c r="N1454" s="3">
        <v>3</v>
      </c>
      <c r="O1454" s="3">
        <v>84</v>
      </c>
      <c r="P1454" s="3">
        <v>24</v>
      </c>
      <c r="Q1454" s="3">
        <v>60</v>
      </c>
      <c r="R1454" s="3">
        <v>3</v>
      </c>
      <c r="S1454" s="3">
        <v>0</v>
      </c>
      <c r="T1454" s="3">
        <v>15</v>
      </c>
      <c r="U1454" s="3">
        <v>57</v>
      </c>
      <c r="V1454" s="3">
        <v>6</v>
      </c>
      <c r="W1454" s="3">
        <v>0</v>
      </c>
      <c r="X1454" s="3">
        <v>15</v>
      </c>
      <c r="Y1454" s="3">
        <v>30</v>
      </c>
      <c r="Z1454" s="3">
        <v>0</v>
      </c>
      <c r="AA1454" s="3">
        <v>0</v>
      </c>
      <c r="AB1454" s="3">
        <v>39</v>
      </c>
      <c r="AC1454" s="3">
        <v>24</v>
      </c>
      <c r="AD1454" s="3">
        <v>15</v>
      </c>
      <c r="AE1454" s="3">
        <v>3</v>
      </c>
      <c r="AF1454" s="3">
        <v>0</v>
      </c>
      <c r="AG1454" s="3">
        <v>12</v>
      </c>
      <c r="AH1454" s="3">
        <v>48</v>
      </c>
      <c r="AI1454" s="3">
        <v>6</v>
      </c>
      <c r="AJ1454" s="3">
        <v>0</v>
      </c>
      <c r="AK1454" s="3">
        <v>42</v>
      </c>
      <c r="AL1454" s="3">
        <v>27</v>
      </c>
      <c r="AM1454" s="3">
        <v>63</v>
      </c>
      <c r="AN1454" s="3">
        <v>0</v>
      </c>
      <c r="AO1454" s="3">
        <v>24</v>
      </c>
      <c r="AP1454" s="3">
        <v>0</v>
      </c>
      <c r="AQ1454" s="3">
        <v>36</v>
      </c>
      <c r="AR1454" s="3">
        <v>6</v>
      </c>
      <c r="AS1454" s="3">
        <v>24</v>
      </c>
      <c r="AT1454" s="3">
        <v>12</v>
      </c>
      <c r="AU1454" s="3">
        <v>6</v>
      </c>
      <c r="AV1454" s="3">
        <v>0</v>
      </c>
      <c r="AW1454" s="3">
        <v>24</v>
      </c>
    </row>
    <row r="1455" spans="1:49">
      <c r="A1455" s="4" t="s">
        <v>35</v>
      </c>
      <c r="B1455" s="4" t="str">
        <f t="shared" si="22"/>
        <v>Hair Color</v>
      </c>
      <c r="C1455" s="4" t="s">
        <v>1786</v>
      </c>
      <c r="D1455" s="4" t="s">
        <v>579</v>
      </c>
      <c r="E1455" s="24" t="s">
        <v>441</v>
      </c>
      <c r="F1455" s="12" t="s">
        <v>464</v>
      </c>
      <c r="G1455" s="4" t="s">
        <v>1787</v>
      </c>
      <c r="H1455" s="3">
        <v>42</v>
      </c>
      <c r="I1455" s="3">
        <v>27</v>
      </c>
      <c r="J1455" s="3">
        <v>42</v>
      </c>
      <c r="K1455" s="3">
        <v>9</v>
      </c>
      <c r="L1455" s="3">
        <v>96</v>
      </c>
      <c r="M1455" s="3">
        <v>33</v>
      </c>
      <c r="N1455" s="3">
        <v>6</v>
      </c>
      <c r="O1455" s="3">
        <v>60</v>
      </c>
      <c r="P1455" s="3">
        <v>9</v>
      </c>
      <c r="Q1455" s="3">
        <v>48</v>
      </c>
      <c r="R1455" s="3">
        <v>75</v>
      </c>
      <c r="S1455" s="3">
        <v>12</v>
      </c>
      <c r="T1455" s="3">
        <v>21</v>
      </c>
      <c r="U1455" s="3">
        <v>0</v>
      </c>
      <c r="V1455" s="3">
        <v>6</v>
      </c>
      <c r="W1455" s="3">
        <v>36</v>
      </c>
      <c r="X1455" s="3">
        <v>69</v>
      </c>
      <c r="Y1455" s="3">
        <v>15</v>
      </c>
      <c r="Z1455" s="3">
        <v>0</v>
      </c>
      <c r="AA1455" s="3">
        <v>12</v>
      </c>
      <c r="AB1455" s="3">
        <v>48</v>
      </c>
      <c r="AC1455" s="3">
        <v>36</v>
      </c>
      <c r="AD1455" s="3">
        <v>3</v>
      </c>
      <c r="AE1455" s="3">
        <v>12</v>
      </c>
      <c r="AF1455" s="3">
        <v>36</v>
      </c>
      <c r="AG1455" s="3">
        <v>36</v>
      </c>
      <c r="AH1455" s="3">
        <v>6</v>
      </c>
      <c r="AI1455" s="3">
        <v>0</v>
      </c>
      <c r="AJ1455" s="3">
        <v>18</v>
      </c>
      <c r="AK1455" s="3">
        <v>78</v>
      </c>
      <c r="AL1455" s="3">
        <v>6</v>
      </c>
      <c r="AM1455" s="3">
        <v>48</v>
      </c>
      <c r="AN1455" s="3">
        <v>39</v>
      </c>
      <c r="AO1455" s="3">
        <v>15</v>
      </c>
      <c r="AP1455" s="3">
        <v>39</v>
      </c>
      <c r="AQ1455" s="3">
        <v>6</v>
      </c>
      <c r="AR1455" s="3">
        <v>66</v>
      </c>
      <c r="AS1455" s="3">
        <v>33</v>
      </c>
      <c r="AT1455" s="3">
        <v>12</v>
      </c>
      <c r="AU1455" s="3">
        <v>21</v>
      </c>
      <c r="AV1455" s="3">
        <v>36</v>
      </c>
      <c r="AW1455" s="3">
        <v>12</v>
      </c>
    </row>
    <row r="1456" spans="1:49">
      <c r="A1456" s="4" t="s">
        <v>35</v>
      </c>
      <c r="B1456" s="4" t="str">
        <f t="shared" si="22"/>
        <v>Hair Color</v>
      </c>
      <c r="C1456" s="4" t="s">
        <v>1786</v>
      </c>
      <c r="D1456" s="4" t="s">
        <v>579</v>
      </c>
      <c r="E1456" s="24" t="s">
        <v>441</v>
      </c>
      <c r="F1456" s="12" t="s">
        <v>465</v>
      </c>
      <c r="G1456" s="4" t="s">
        <v>1787</v>
      </c>
      <c r="H1456" s="3">
        <v>60</v>
      </c>
      <c r="I1456" s="3">
        <v>0</v>
      </c>
      <c r="J1456" s="3">
        <v>0</v>
      </c>
      <c r="K1456" s="3">
        <v>57</v>
      </c>
      <c r="L1456" s="3">
        <v>90</v>
      </c>
      <c r="M1456" s="3">
        <v>105</v>
      </c>
      <c r="N1456" s="3">
        <v>18</v>
      </c>
      <c r="O1456" s="3">
        <v>96</v>
      </c>
      <c r="P1456" s="3">
        <v>27</v>
      </c>
      <c r="Q1456" s="3">
        <v>72</v>
      </c>
      <c r="R1456" s="3">
        <v>75</v>
      </c>
      <c r="S1456" s="3">
        <v>12</v>
      </c>
      <c r="T1456" s="3">
        <v>12</v>
      </c>
      <c r="U1456" s="3">
        <v>3</v>
      </c>
      <c r="V1456" s="3">
        <v>66</v>
      </c>
      <c r="W1456" s="3">
        <v>24</v>
      </c>
      <c r="X1456" s="3">
        <v>18</v>
      </c>
      <c r="Y1456" s="3">
        <v>54</v>
      </c>
      <c r="Z1456" s="3">
        <v>6</v>
      </c>
      <c r="AA1456" s="3">
        <v>0</v>
      </c>
      <c r="AB1456" s="3">
        <v>36</v>
      </c>
      <c r="AC1456" s="3">
        <v>39</v>
      </c>
      <c r="AD1456" s="3">
        <v>12</v>
      </c>
      <c r="AE1456" s="3">
        <v>9</v>
      </c>
      <c r="AF1456" s="3">
        <v>0</v>
      </c>
      <c r="AG1456" s="3">
        <v>102</v>
      </c>
      <c r="AH1456" s="3">
        <v>126</v>
      </c>
      <c r="AI1456" s="3">
        <v>0</v>
      </c>
      <c r="AJ1456" s="3">
        <v>3</v>
      </c>
      <c r="AK1456" s="3">
        <v>6</v>
      </c>
      <c r="AL1456" s="3">
        <v>27</v>
      </c>
      <c r="AM1456" s="3">
        <v>48</v>
      </c>
      <c r="AN1456" s="3">
        <v>12</v>
      </c>
      <c r="AO1456" s="3">
        <v>0</v>
      </c>
      <c r="AP1456" s="3">
        <v>39</v>
      </c>
      <c r="AQ1456" s="3">
        <v>18</v>
      </c>
      <c r="AR1456" s="3">
        <v>21</v>
      </c>
      <c r="AS1456" s="3">
        <v>36</v>
      </c>
      <c r="AT1456" s="3">
        <v>6</v>
      </c>
      <c r="AU1456" s="3">
        <v>54</v>
      </c>
      <c r="AV1456" s="3">
        <v>0</v>
      </c>
      <c r="AW1456" s="3">
        <v>6</v>
      </c>
    </row>
    <row r="1457" spans="1:49">
      <c r="A1457" s="4" t="s">
        <v>35</v>
      </c>
      <c r="B1457" s="4" t="str">
        <f t="shared" si="22"/>
        <v>Hair Color</v>
      </c>
      <c r="C1457" s="4" t="s">
        <v>1786</v>
      </c>
      <c r="D1457" s="4" t="s">
        <v>579</v>
      </c>
      <c r="E1457" s="24" t="s">
        <v>441</v>
      </c>
      <c r="F1457" s="12" t="s">
        <v>466</v>
      </c>
      <c r="G1457" s="4" t="s">
        <v>1787</v>
      </c>
      <c r="H1457" s="3">
        <v>315</v>
      </c>
      <c r="I1457" s="3">
        <v>0</v>
      </c>
      <c r="J1457" s="3">
        <v>6</v>
      </c>
      <c r="K1457" s="3">
        <v>75</v>
      </c>
      <c r="L1457" s="3">
        <v>123</v>
      </c>
      <c r="M1457" s="3">
        <v>135</v>
      </c>
      <c r="N1457" s="3">
        <v>87</v>
      </c>
      <c r="O1457" s="3">
        <v>78</v>
      </c>
      <c r="P1457" s="3">
        <v>63</v>
      </c>
      <c r="Q1457" s="3">
        <v>69</v>
      </c>
      <c r="R1457" s="3">
        <v>138</v>
      </c>
      <c r="S1457" s="3">
        <v>3</v>
      </c>
      <c r="T1457" s="3">
        <v>78</v>
      </c>
      <c r="U1457" s="3">
        <v>51</v>
      </c>
      <c r="V1457" s="3">
        <v>96</v>
      </c>
      <c r="W1457" s="3">
        <v>36</v>
      </c>
      <c r="X1457" s="3">
        <v>105</v>
      </c>
      <c r="Y1457" s="3">
        <v>117</v>
      </c>
      <c r="Z1457" s="3">
        <v>3</v>
      </c>
      <c r="AA1457" s="3">
        <v>0</v>
      </c>
      <c r="AB1457" s="3">
        <v>93</v>
      </c>
      <c r="AC1457" s="3">
        <v>63</v>
      </c>
      <c r="AD1457" s="3">
        <v>66</v>
      </c>
      <c r="AE1457" s="3">
        <v>6</v>
      </c>
      <c r="AF1457" s="3">
        <v>0</v>
      </c>
      <c r="AG1457" s="3">
        <v>0</v>
      </c>
      <c r="AH1457" s="3">
        <v>3</v>
      </c>
      <c r="AI1457" s="3">
        <v>51</v>
      </c>
      <c r="AJ1457" s="3">
        <v>57</v>
      </c>
      <c r="AK1457" s="3">
        <v>114</v>
      </c>
      <c r="AL1457" s="3">
        <v>24</v>
      </c>
      <c r="AM1457" s="3">
        <v>75</v>
      </c>
      <c r="AN1457" s="3">
        <v>93</v>
      </c>
      <c r="AO1457" s="3">
        <v>15</v>
      </c>
      <c r="AP1457" s="3">
        <v>87</v>
      </c>
      <c r="AQ1457" s="3">
        <v>6</v>
      </c>
      <c r="AR1457" s="3">
        <v>66</v>
      </c>
      <c r="AS1457" s="3">
        <v>30</v>
      </c>
      <c r="AT1457" s="3">
        <v>6</v>
      </c>
      <c r="AU1457" s="3">
        <v>66</v>
      </c>
      <c r="AV1457" s="3">
        <v>12</v>
      </c>
      <c r="AW1457" s="3">
        <v>60</v>
      </c>
    </row>
    <row r="1458" spans="1:49">
      <c r="A1458" s="4" t="s">
        <v>35</v>
      </c>
      <c r="B1458" s="4" t="str">
        <f t="shared" si="22"/>
        <v>Hair Color</v>
      </c>
      <c r="C1458" s="4" t="s">
        <v>1786</v>
      </c>
      <c r="D1458" s="4" t="s">
        <v>579</v>
      </c>
      <c r="E1458" s="24" t="s">
        <v>441</v>
      </c>
      <c r="F1458" s="12" t="s">
        <v>467</v>
      </c>
      <c r="G1458" s="4" t="s">
        <v>1787</v>
      </c>
      <c r="H1458" s="3">
        <v>396</v>
      </c>
      <c r="I1458" s="3">
        <v>72</v>
      </c>
      <c r="J1458" s="3">
        <v>12</v>
      </c>
      <c r="K1458" s="3">
        <v>6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24</v>
      </c>
      <c r="R1458" s="3">
        <v>0</v>
      </c>
      <c r="S1458" s="3">
        <v>0</v>
      </c>
      <c r="T1458" s="3">
        <v>0</v>
      </c>
      <c r="U1458" s="3">
        <v>0</v>
      </c>
      <c r="V1458" s="3">
        <v>12</v>
      </c>
      <c r="W1458" s="3">
        <v>0</v>
      </c>
      <c r="X1458" s="3">
        <v>12</v>
      </c>
      <c r="Y1458" s="3">
        <v>0</v>
      </c>
      <c r="Z1458" s="3">
        <v>24</v>
      </c>
      <c r="AA1458" s="3">
        <v>0</v>
      </c>
      <c r="AB1458" s="3">
        <v>12</v>
      </c>
      <c r="AC1458" s="3">
        <v>12</v>
      </c>
      <c r="AD1458" s="3">
        <v>72</v>
      </c>
      <c r="AE1458" s="3">
        <v>0</v>
      </c>
      <c r="AF1458" s="3">
        <v>36</v>
      </c>
      <c r="AG1458" s="3">
        <v>3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12</v>
      </c>
      <c r="AN1458" s="3">
        <v>0</v>
      </c>
      <c r="AO1458" s="3">
        <v>0</v>
      </c>
      <c r="AP1458" s="3">
        <v>36</v>
      </c>
      <c r="AQ1458" s="3">
        <v>0</v>
      </c>
      <c r="AR1458" s="3">
        <v>0</v>
      </c>
      <c r="AS1458" s="3">
        <v>24</v>
      </c>
      <c r="AT1458" s="3">
        <v>0</v>
      </c>
      <c r="AU1458" s="3">
        <v>0</v>
      </c>
      <c r="AV1458" s="3">
        <v>0</v>
      </c>
      <c r="AW1458" s="3">
        <v>0</v>
      </c>
    </row>
    <row r="1459" spans="1:49">
      <c r="A1459" s="4" t="s">
        <v>35</v>
      </c>
      <c r="B1459" s="4" t="str">
        <f t="shared" si="22"/>
        <v>Hair Color</v>
      </c>
      <c r="C1459" s="4" t="s">
        <v>1786</v>
      </c>
      <c r="D1459" s="4" t="s">
        <v>579</v>
      </c>
      <c r="E1459" s="24" t="s">
        <v>441</v>
      </c>
      <c r="F1459" s="12" t="s">
        <v>468</v>
      </c>
      <c r="G1459" s="4" t="s">
        <v>1787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294</v>
      </c>
      <c r="AA1459" s="3">
        <v>105</v>
      </c>
      <c r="AB1459" s="3">
        <v>15</v>
      </c>
      <c r="AC1459" s="3">
        <v>6</v>
      </c>
      <c r="AD1459" s="3">
        <v>12</v>
      </c>
      <c r="AE1459" s="3">
        <v>0</v>
      </c>
      <c r="AF1459" s="3">
        <v>0</v>
      </c>
      <c r="AG1459" s="3">
        <v>3</v>
      </c>
      <c r="AH1459" s="3">
        <v>120</v>
      </c>
      <c r="AI1459" s="3">
        <v>3</v>
      </c>
      <c r="AJ1459" s="3">
        <v>0</v>
      </c>
      <c r="AK1459" s="3">
        <v>3</v>
      </c>
      <c r="AL1459" s="3">
        <v>0</v>
      </c>
      <c r="AM1459" s="3">
        <v>6</v>
      </c>
      <c r="AN1459" s="3">
        <v>15</v>
      </c>
      <c r="AO1459" s="3">
        <v>12</v>
      </c>
      <c r="AP1459" s="3">
        <v>36</v>
      </c>
      <c r="AQ1459" s="3">
        <v>18</v>
      </c>
      <c r="AR1459" s="3">
        <v>48</v>
      </c>
      <c r="AS1459" s="3">
        <v>63</v>
      </c>
      <c r="AT1459" s="3">
        <v>12</v>
      </c>
      <c r="AU1459" s="3">
        <v>12</v>
      </c>
      <c r="AV1459" s="3">
        <v>48</v>
      </c>
      <c r="AW1459" s="3">
        <v>42</v>
      </c>
    </row>
    <row r="1460" spans="1:49">
      <c r="A1460" s="4" t="s">
        <v>35</v>
      </c>
      <c r="B1460" s="4" t="str">
        <f t="shared" si="22"/>
        <v>Hair Color</v>
      </c>
      <c r="C1460" s="4" t="s">
        <v>1786</v>
      </c>
      <c r="D1460" s="4" t="s">
        <v>579</v>
      </c>
      <c r="E1460" s="24" t="s">
        <v>441</v>
      </c>
      <c r="F1460" s="12" t="s">
        <v>469</v>
      </c>
      <c r="G1460" s="4" t="s">
        <v>1787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324</v>
      </c>
      <c r="AA1460" s="3">
        <v>105</v>
      </c>
      <c r="AB1460" s="3">
        <v>51</v>
      </c>
      <c r="AC1460" s="3">
        <v>39</v>
      </c>
      <c r="AD1460" s="3">
        <v>78</v>
      </c>
      <c r="AE1460" s="3">
        <v>18</v>
      </c>
      <c r="AF1460" s="3">
        <v>0</v>
      </c>
      <c r="AG1460" s="3">
        <v>69</v>
      </c>
      <c r="AH1460" s="3">
        <v>99</v>
      </c>
      <c r="AI1460" s="3">
        <v>63</v>
      </c>
      <c r="AJ1460" s="3">
        <v>51</v>
      </c>
      <c r="AK1460" s="3">
        <v>93</v>
      </c>
      <c r="AL1460" s="3">
        <v>42</v>
      </c>
      <c r="AM1460" s="3">
        <v>12</v>
      </c>
      <c r="AN1460" s="3">
        <v>0</v>
      </c>
      <c r="AO1460" s="3">
        <v>6</v>
      </c>
      <c r="AP1460" s="3">
        <v>117</v>
      </c>
      <c r="AQ1460" s="3">
        <v>12</v>
      </c>
      <c r="AR1460" s="3">
        <v>117</v>
      </c>
      <c r="AS1460" s="3">
        <v>162</v>
      </c>
      <c r="AT1460" s="3">
        <v>42</v>
      </c>
      <c r="AU1460" s="3">
        <v>39</v>
      </c>
      <c r="AV1460" s="3">
        <v>144</v>
      </c>
      <c r="AW1460" s="3">
        <v>48</v>
      </c>
    </row>
    <row r="1461" spans="1:49">
      <c r="A1461" s="4" t="s">
        <v>35</v>
      </c>
      <c r="B1461" s="4" t="str">
        <f t="shared" si="22"/>
        <v>Hair Color</v>
      </c>
      <c r="C1461" s="4" t="s">
        <v>1786</v>
      </c>
      <c r="D1461" s="4" t="s">
        <v>579</v>
      </c>
      <c r="E1461" s="24" t="s">
        <v>441</v>
      </c>
      <c r="F1461" s="12" t="s">
        <v>470</v>
      </c>
      <c r="G1461" s="4" t="s">
        <v>1787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318</v>
      </c>
      <c r="AA1461" s="3">
        <v>72</v>
      </c>
      <c r="AB1461" s="3">
        <v>15</v>
      </c>
      <c r="AC1461" s="3">
        <v>3</v>
      </c>
      <c r="AD1461" s="3">
        <v>24</v>
      </c>
      <c r="AE1461" s="3">
        <v>0</v>
      </c>
      <c r="AF1461" s="3">
        <v>0</v>
      </c>
      <c r="AG1461" s="3">
        <v>3</v>
      </c>
      <c r="AH1461" s="3">
        <v>120</v>
      </c>
      <c r="AI1461" s="3">
        <v>3</v>
      </c>
      <c r="AJ1461" s="3">
        <v>3</v>
      </c>
      <c r="AK1461" s="3">
        <v>0</v>
      </c>
      <c r="AL1461" s="3">
        <v>18</v>
      </c>
      <c r="AM1461" s="3">
        <v>15</v>
      </c>
      <c r="AN1461" s="3">
        <v>24</v>
      </c>
      <c r="AO1461" s="3">
        <v>-12</v>
      </c>
      <c r="AP1461" s="3">
        <v>72</v>
      </c>
      <c r="AQ1461" s="3">
        <v>18</v>
      </c>
      <c r="AR1461" s="3">
        <v>27</v>
      </c>
      <c r="AS1461" s="3">
        <v>57</v>
      </c>
      <c r="AT1461" s="3">
        <v>15</v>
      </c>
      <c r="AU1461" s="3">
        <v>12</v>
      </c>
      <c r="AV1461" s="3">
        <v>12</v>
      </c>
      <c r="AW1461" s="3">
        <v>87</v>
      </c>
    </row>
    <row r="1462" spans="1:49">
      <c r="A1462" s="4" t="s">
        <v>35</v>
      </c>
      <c r="B1462" s="4" t="str">
        <f t="shared" si="22"/>
        <v>Hair Color</v>
      </c>
      <c r="C1462" s="4" t="s">
        <v>1786</v>
      </c>
      <c r="D1462" s="4" t="s">
        <v>579</v>
      </c>
      <c r="E1462" s="24" t="s">
        <v>441</v>
      </c>
      <c r="F1462" s="12" t="s">
        <v>471</v>
      </c>
      <c r="G1462" s="4" t="s">
        <v>1787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360</v>
      </c>
      <c r="AB1462" s="3">
        <v>15</v>
      </c>
      <c r="AC1462" s="3">
        <v>3</v>
      </c>
      <c r="AD1462" s="3">
        <v>12</v>
      </c>
      <c r="AE1462" s="3">
        <v>3</v>
      </c>
      <c r="AF1462" s="3">
        <v>0</v>
      </c>
      <c r="AG1462" s="3">
        <v>12</v>
      </c>
      <c r="AH1462" s="3">
        <v>48</v>
      </c>
      <c r="AI1462" s="3">
        <v>3</v>
      </c>
      <c r="AJ1462" s="3">
        <v>0</v>
      </c>
      <c r="AK1462" s="3">
        <v>0</v>
      </c>
      <c r="AL1462" s="3">
        <v>0</v>
      </c>
      <c r="AM1462" s="3">
        <v>3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3">
        <v>0</v>
      </c>
    </row>
    <row r="1463" spans="1:49">
      <c r="A1463" s="4" t="s">
        <v>35</v>
      </c>
      <c r="B1463" s="4" t="str">
        <f t="shared" si="22"/>
        <v>Hair Color</v>
      </c>
      <c r="C1463" s="4" t="s">
        <v>1786</v>
      </c>
      <c r="D1463" s="4" t="s">
        <v>579</v>
      </c>
      <c r="E1463" s="24" t="s">
        <v>441</v>
      </c>
      <c r="F1463" s="12" t="s">
        <v>472</v>
      </c>
      <c r="G1463" s="4" t="s">
        <v>1787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294</v>
      </c>
      <c r="AA1463" s="3">
        <v>96</v>
      </c>
      <c r="AB1463" s="3">
        <v>15</v>
      </c>
      <c r="AC1463" s="3">
        <v>6</v>
      </c>
      <c r="AD1463" s="3">
        <v>30</v>
      </c>
      <c r="AE1463" s="3">
        <v>3</v>
      </c>
      <c r="AF1463" s="3">
        <v>0</v>
      </c>
      <c r="AG1463" s="3">
        <v>3</v>
      </c>
      <c r="AH1463" s="3">
        <v>0</v>
      </c>
      <c r="AI1463" s="3">
        <v>0</v>
      </c>
      <c r="AJ1463" s="3">
        <v>0</v>
      </c>
      <c r="AK1463" s="3">
        <v>54</v>
      </c>
      <c r="AL1463" s="3">
        <v>54</v>
      </c>
      <c r="AM1463" s="3">
        <v>51</v>
      </c>
      <c r="AN1463" s="3">
        <v>50</v>
      </c>
      <c r="AO1463" s="3">
        <v>15</v>
      </c>
      <c r="AP1463" s="3">
        <v>96</v>
      </c>
      <c r="AQ1463" s="3">
        <v>57</v>
      </c>
      <c r="AR1463" s="3">
        <v>51</v>
      </c>
      <c r="AS1463" s="3">
        <v>66</v>
      </c>
      <c r="AT1463" s="3">
        <v>24</v>
      </c>
      <c r="AU1463" s="3">
        <v>99</v>
      </c>
      <c r="AV1463" s="3">
        <v>60</v>
      </c>
      <c r="AW1463" s="3">
        <v>81</v>
      </c>
    </row>
    <row r="1464" spans="1:49">
      <c r="A1464" s="4" t="s">
        <v>35</v>
      </c>
      <c r="B1464" s="4" t="str">
        <f t="shared" si="22"/>
        <v>Hair Color</v>
      </c>
      <c r="C1464" s="4" t="s">
        <v>1786</v>
      </c>
      <c r="D1464" s="4" t="s">
        <v>579</v>
      </c>
      <c r="E1464" s="24" t="s">
        <v>441</v>
      </c>
      <c r="F1464" s="12" t="s">
        <v>473</v>
      </c>
      <c r="G1464" s="4" t="s">
        <v>1787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318</v>
      </c>
      <c r="AA1464" s="3">
        <v>81</v>
      </c>
      <c r="AB1464" s="3">
        <v>15</v>
      </c>
      <c r="AC1464" s="3">
        <v>6</v>
      </c>
      <c r="AD1464" s="3">
        <v>24</v>
      </c>
      <c r="AE1464" s="3">
        <v>0</v>
      </c>
      <c r="AF1464" s="3">
        <v>0</v>
      </c>
      <c r="AG1464" s="3">
        <v>48</v>
      </c>
      <c r="AH1464" s="3">
        <v>123</v>
      </c>
      <c r="AI1464" s="3">
        <v>3</v>
      </c>
      <c r="AJ1464" s="3">
        <v>6</v>
      </c>
      <c r="AK1464" s="3">
        <v>3</v>
      </c>
      <c r="AL1464" s="3">
        <v>3</v>
      </c>
      <c r="AM1464" s="3">
        <v>3</v>
      </c>
      <c r="AN1464" s="3">
        <v>3</v>
      </c>
      <c r="AO1464" s="3">
        <v>0</v>
      </c>
      <c r="AP1464" s="3">
        <v>15</v>
      </c>
      <c r="AQ1464" s="3">
        <v>0</v>
      </c>
      <c r="AR1464" s="3">
        <v>36</v>
      </c>
      <c r="AS1464" s="3">
        <v>27</v>
      </c>
      <c r="AT1464" s="3">
        <v>12</v>
      </c>
      <c r="AU1464" s="3">
        <v>36</v>
      </c>
      <c r="AV1464" s="3">
        <v>27</v>
      </c>
      <c r="AW1464" s="3">
        <v>24</v>
      </c>
    </row>
    <row r="1465" spans="1:49">
      <c r="A1465" s="4" t="s">
        <v>35</v>
      </c>
      <c r="B1465" s="4" t="str">
        <f t="shared" si="22"/>
        <v>Hair Color</v>
      </c>
      <c r="C1465" s="4" t="s">
        <v>1786</v>
      </c>
      <c r="D1465" s="4" t="s">
        <v>579</v>
      </c>
      <c r="E1465" s="24" t="s">
        <v>441</v>
      </c>
      <c r="F1465" s="12" t="s">
        <v>474</v>
      </c>
      <c r="G1465" s="4" t="s">
        <v>1787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318</v>
      </c>
      <c r="AA1465" s="3">
        <v>81</v>
      </c>
      <c r="AB1465" s="3">
        <v>15</v>
      </c>
      <c r="AC1465" s="3">
        <v>6</v>
      </c>
      <c r="AD1465" s="3">
        <v>24</v>
      </c>
      <c r="AE1465" s="3">
        <v>3</v>
      </c>
      <c r="AF1465" s="3">
        <v>0</v>
      </c>
      <c r="AG1465" s="3">
        <v>6</v>
      </c>
      <c r="AH1465" s="3">
        <v>180</v>
      </c>
      <c r="AI1465" s="3">
        <v>0</v>
      </c>
      <c r="AJ1465" s="3">
        <v>0</v>
      </c>
      <c r="AK1465" s="3">
        <v>12</v>
      </c>
      <c r="AL1465" s="3">
        <v>57</v>
      </c>
      <c r="AM1465" s="3">
        <v>3</v>
      </c>
      <c r="AN1465" s="3">
        <v>0</v>
      </c>
      <c r="AO1465" s="3">
        <v>36</v>
      </c>
      <c r="AP1465" s="3">
        <v>75</v>
      </c>
      <c r="AQ1465" s="3">
        <v>12</v>
      </c>
      <c r="AR1465" s="3">
        <v>66</v>
      </c>
      <c r="AS1465" s="3">
        <v>57</v>
      </c>
      <c r="AT1465" s="3">
        <v>21</v>
      </c>
      <c r="AU1465" s="3">
        <v>39</v>
      </c>
      <c r="AV1465" s="3">
        <v>93</v>
      </c>
      <c r="AW1465" s="3">
        <v>63</v>
      </c>
    </row>
    <row r="1466" spans="1:49">
      <c r="A1466" s="4" t="s">
        <v>35</v>
      </c>
      <c r="B1466" s="4" t="str">
        <f t="shared" si="22"/>
        <v>Hair Color</v>
      </c>
      <c r="C1466" s="4" t="s">
        <v>1786</v>
      </c>
      <c r="D1466" s="4" t="s">
        <v>579</v>
      </c>
      <c r="E1466" s="24" t="s">
        <v>441</v>
      </c>
      <c r="F1466" s="12" t="s">
        <v>475</v>
      </c>
      <c r="G1466" s="4" t="s">
        <v>1787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324</v>
      </c>
      <c r="AA1466" s="3">
        <v>72</v>
      </c>
      <c r="AB1466" s="3">
        <v>15</v>
      </c>
      <c r="AC1466" s="3">
        <v>9</v>
      </c>
      <c r="AD1466" s="3">
        <v>30</v>
      </c>
      <c r="AE1466" s="3">
        <v>27</v>
      </c>
      <c r="AF1466" s="3">
        <v>24</v>
      </c>
      <c r="AG1466" s="3">
        <v>75</v>
      </c>
      <c r="AH1466" s="3">
        <v>180</v>
      </c>
      <c r="AI1466" s="3">
        <v>3</v>
      </c>
      <c r="AJ1466" s="3">
        <v>9</v>
      </c>
      <c r="AK1466" s="3">
        <v>0</v>
      </c>
      <c r="AL1466" s="3">
        <v>36</v>
      </c>
      <c r="AM1466" s="3">
        <v>75</v>
      </c>
      <c r="AN1466" s="3">
        <v>93</v>
      </c>
      <c r="AO1466" s="3">
        <v>60</v>
      </c>
      <c r="AP1466" s="3">
        <v>69</v>
      </c>
      <c r="AQ1466" s="3">
        <v>0</v>
      </c>
      <c r="AR1466" s="3">
        <v>84</v>
      </c>
      <c r="AS1466" s="3">
        <v>114</v>
      </c>
      <c r="AT1466" s="3">
        <v>12</v>
      </c>
      <c r="AU1466" s="3">
        <v>51</v>
      </c>
      <c r="AV1466" s="3">
        <v>117</v>
      </c>
      <c r="AW1466" s="3">
        <v>27</v>
      </c>
    </row>
    <row r="1467" spans="1:49">
      <c r="A1467" s="4" t="s">
        <v>35</v>
      </c>
      <c r="B1467" s="4" t="str">
        <f t="shared" si="22"/>
        <v>Hair Color</v>
      </c>
      <c r="C1467" s="4" t="s">
        <v>1786</v>
      </c>
      <c r="D1467" s="4" t="s">
        <v>579</v>
      </c>
      <c r="E1467" s="24" t="s">
        <v>441</v>
      </c>
      <c r="F1467" s="12" t="s">
        <v>476</v>
      </c>
      <c r="G1467" s="4" t="s">
        <v>1787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360</v>
      </c>
      <c r="AB1467" s="3">
        <v>15</v>
      </c>
      <c r="AC1467" s="3">
        <v>9</v>
      </c>
      <c r="AD1467" s="3">
        <v>27</v>
      </c>
      <c r="AE1467" s="3">
        <v>30</v>
      </c>
      <c r="AF1467" s="3">
        <v>12</v>
      </c>
      <c r="AG1467" s="3">
        <v>75</v>
      </c>
      <c r="AH1467" s="3">
        <v>126</v>
      </c>
      <c r="AI1467" s="3">
        <v>3</v>
      </c>
      <c r="AJ1467" s="3">
        <v>3</v>
      </c>
      <c r="AK1467" s="3">
        <v>0</v>
      </c>
      <c r="AL1467" s="3">
        <v>24</v>
      </c>
      <c r="AM1467" s="3">
        <v>54</v>
      </c>
      <c r="AN1467" s="3">
        <v>54</v>
      </c>
      <c r="AO1467" s="3">
        <v>24</v>
      </c>
      <c r="AP1467" s="3">
        <v>72</v>
      </c>
      <c r="AQ1467" s="3">
        <v>12</v>
      </c>
      <c r="AR1467" s="3">
        <v>72</v>
      </c>
      <c r="AS1467" s="3">
        <v>36</v>
      </c>
      <c r="AT1467" s="3">
        <v>3</v>
      </c>
      <c r="AU1467" s="3">
        <v>39</v>
      </c>
      <c r="AV1467" s="3">
        <v>69</v>
      </c>
      <c r="AW1467" s="3">
        <v>48</v>
      </c>
    </row>
    <row r="1468" spans="1:49">
      <c r="A1468" s="4" t="s">
        <v>35</v>
      </c>
      <c r="B1468" s="4" t="str">
        <f t="shared" si="22"/>
        <v>Hair Color</v>
      </c>
      <c r="C1468" s="4" t="s">
        <v>1786</v>
      </c>
      <c r="D1468" s="4" t="s">
        <v>579</v>
      </c>
      <c r="E1468" s="24" t="s">
        <v>441</v>
      </c>
      <c r="F1468" s="12" t="s">
        <v>477</v>
      </c>
      <c r="G1468" s="4" t="s">
        <v>1787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6</v>
      </c>
      <c r="AI1468" s="3">
        <v>33</v>
      </c>
      <c r="AJ1468" s="3">
        <v>6</v>
      </c>
      <c r="AK1468" s="3">
        <v>138</v>
      </c>
      <c r="AL1468" s="3">
        <v>210</v>
      </c>
      <c r="AM1468" s="3">
        <v>177</v>
      </c>
      <c r="AN1468" s="3">
        <v>279</v>
      </c>
      <c r="AO1468" s="3">
        <v>75</v>
      </c>
      <c r="AP1468" s="3">
        <v>270</v>
      </c>
      <c r="AQ1468" s="3">
        <v>6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</row>
    <row r="1469" spans="1:49">
      <c r="A1469" s="4" t="s">
        <v>35</v>
      </c>
      <c r="B1469" s="4" t="str">
        <f t="shared" si="22"/>
        <v>Hair Color</v>
      </c>
      <c r="C1469" s="4" t="s">
        <v>1786</v>
      </c>
      <c r="D1469" s="4" t="s">
        <v>579</v>
      </c>
      <c r="E1469" s="24" t="s">
        <v>441</v>
      </c>
      <c r="F1469" s="12" t="s">
        <v>478</v>
      </c>
      <c r="G1469" s="4" t="s">
        <v>1787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12</v>
      </c>
      <c r="AK1469" s="3">
        <v>429</v>
      </c>
      <c r="AL1469" s="3">
        <v>39</v>
      </c>
      <c r="AM1469" s="3">
        <v>27</v>
      </c>
      <c r="AN1469" s="3">
        <v>21</v>
      </c>
      <c r="AO1469" s="3">
        <v>36</v>
      </c>
      <c r="AP1469" s="3">
        <v>90</v>
      </c>
      <c r="AQ1469" s="3">
        <v>66</v>
      </c>
      <c r="AR1469" s="3">
        <v>6</v>
      </c>
      <c r="AS1469" s="3">
        <v>87</v>
      </c>
      <c r="AT1469" s="3">
        <v>51</v>
      </c>
      <c r="AU1469" s="3">
        <v>3</v>
      </c>
      <c r="AV1469" s="3">
        <v>0</v>
      </c>
      <c r="AW1469" s="3">
        <v>0</v>
      </c>
    </row>
    <row r="1470" spans="1:49">
      <c r="A1470" s="4" t="s">
        <v>35</v>
      </c>
      <c r="B1470" s="4" t="str">
        <f t="shared" si="22"/>
        <v>Hair Color</v>
      </c>
      <c r="C1470" s="4" t="s">
        <v>1786</v>
      </c>
      <c r="D1470" s="4" t="s">
        <v>579</v>
      </c>
      <c r="E1470" s="24" t="s">
        <v>441</v>
      </c>
      <c r="F1470" s="12" t="s">
        <v>479</v>
      </c>
      <c r="G1470" s="4" t="s">
        <v>1787</v>
      </c>
      <c r="H1470" s="3">
        <v>9</v>
      </c>
      <c r="I1470" s="3">
        <v>0</v>
      </c>
      <c r="J1470" s="3">
        <v>0</v>
      </c>
      <c r="K1470" s="3">
        <v>0</v>
      </c>
      <c r="L1470" s="3">
        <v>0</v>
      </c>
      <c r="M1470" s="3">
        <v>9</v>
      </c>
      <c r="N1470" s="3">
        <v>9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15</v>
      </c>
      <c r="V1470" s="3">
        <v>0</v>
      </c>
      <c r="W1470" s="3">
        <v>0</v>
      </c>
      <c r="X1470" s="3">
        <v>3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0</v>
      </c>
      <c r="AU1470" s="3">
        <v>0</v>
      </c>
      <c r="AV1470" s="3">
        <v>0</v>
      </c>
      <c r="AW1470" s="3">
        <v>0</v>
      </c>
    </row>
    <row r="1471" spans="1:49">
      <c r="A1471" s="4" t="s">
        <v>35</v>
      </c>
      <c r="B1471" s="4" t="str">
        <f t="shared" si="22"/>
        <v>Hair Color</v>
      </c>
      <c r="C1471" s="4" t="s">
        <v>1786</v>
      </c>
      <c r="D1471" s="4" t="s">
        <v>579</v>
      </c>
      <c r="E1471" s="24" t="s">
        <v>441</v>
      </c>
      <c r="F1471" s="12" t="s">
        <v>480</v>
      </c>
      <c r="G1471" s="4" t="s">
        <v>1787</v>
      </c>
      <c r="H1471" s="3">
        <v>3</v>
      </c>
      <c r="I1471" s="3">
        <v>3</v>
      </c>
      <c r="J1471" s="3">
        <v>0</v>
      </c>
      <c r="K1471" s="3">
        <v>0</v>
      </c>
      <c r="L1471" s="3">
        <v>24</v>
      </c>
      <c r="M1471" s="3">
        <v>0</v>
      </c>
      <c r="N1471" s="3">
        <v>3</v>
      </c>
      <c r="O1471" s="3">
        <v>12</v>
      </c>
      <c r="P1471" s="3">
        <v>12</v>
      </c>
      <c r="Q1471" s="3">
        <v>24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</row>
    <row r="1472" spans="1:49">
      <c r="A1472" s="4" t="s">
        <v>35</v>
      </c>
      <c r="B1472" s="4" t="str">
        <f t="shared" si="22"/>
        <v>Hair Color</v>
      </c>
      <c r="C1472" s="4" t="s">
        <v>1786</v>
      </c>
      <c r="D1472" s="4" t="s">
        <v>579</v>
      </c>
      <c r="E1472" s="24" t="s">
        <v>441</v>
      </c>
      <c r="F1472" s="12" t="s">
        <v>481</v>
      </c>
      <c r="G1472" s="4" t="s">
        <v>1787</v>
      </c>
      <c r="H1472" s="3">
        <v>6</v>
      </c>
      <c r="I1472" s="3">
        <v>0</v>
      </c>
      <c r="J1472" s="3">
        <v>36</v>
      </c>
      <c r="K1472" s="3">
        <v>0</v>
      </c>
      <c r="L1472" s="3">
        <v>42</v>
      </c>
      <c r="M1472" s="3">
        <v>9</v>
      </c>
      <c r="N1472" s="3">
        <v>0</v>
      </c>
      <c r="O1472" s="3">
        <v>12</v>
      </c>
      <c r="P1472" s="3">
        <v>30</v>
      </c>
      <c r="Q1472" s="3">
        <v>12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</row>
    <row r="1473" spans="1:49">
      <c r="A1473" s="4" t="s">
        <v>35</v>
      </c>
      <c r="B1473" s="4" t="str">
        <f t="shared" si="22"/>
        <v>Hair Color</v>
      </c>
      <c r="C1473" s="4" t="s">
        <v>1786</v>
      </c>
      <c r="D1473" s="4" t="s">
        <v>579</v>
      </c>
      <c r="E1473" s="24" t="s">
        <v>441</v>
      </c>
      <c r="F1473" s="12" t="s">
        <v>482</v>
      </c>
      <c r="G1473" s="4" t="s">
        <v>1787</v>
      </c>
      <c r="H1473" s="3">
        <v>18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</row>
    <row r="1474" spans="1:49">
      <c r="A1474" s="4" t="s">
        <v>35</v>
      </c>
      <c r="B1474" s="4" t="str">
        <f t="shared" si="22"/>
        <v>Hair Color</v>
      </c>
      <c r="C1474" s="4" t="s">
        <v>1786</v>
      </c>
      <c r="D1474" s="4" t="s">
        <v>579</v>
      </c>
      <c r="E1474" s="24" t="s">
        <v>441</v>
      </c>
      <c r="F1474" s="12" t="s">
        <v>483</v>
      </c>
      <c r="G1474" s="4" t="s">
        <v>1787</v>
      </c>
      <c r="H1474" s="3">
        <v>51</v>
      </c>
      <c r="I1474" s="3">
        <v>18</v>
      </c>
      <c r="J1474" s="3">
        <v>51</v>
      </c>
      <c r="K1474" s="3">
        <v>48</v>
      </c>
      <c r="L1474" s="3">
        <v>0</v>
      </c>
      <c r="M1474" s="3">
        <v>84</v>
      </c>
      <c r="N1474" s="3">
        <v>30</v>
      </c>
      <c r="O1474" s="3">
        <v>63</v>
      </c>
      <c r="P1474" s="3">
        <v>24</v>
      </c>
      <c r="Q1474" s="3">
        <v>72</v>
      </c>
      <c r="R1474" s="3">
        <v>60</v>
      </c>
      <c r="S1474" s="3">
        <v>0</v>
      </c>
      <c r="T1474" s="3">
        <v>84</v>
      </c>
      <c r="U1474" s="3">
        <v>15</v>
      </c>
      <c r="V1474" s="3">
        <v>24</v>
      </c>
      <c r="W1474" s="3">
        <v>48</v>
      </c>
      <c r="X1474" s="3">
        <v>51</v>
      </c>
      <c r="Y1474" s="3">
        <v>36</v>
      </c>
      <c r="Z1474" s="3">
        <v>6</v>
      </c>
      <c r="AA1474" s="3">
        <v>24</v>
      </c>
      <c r="AB1474" s="3">
        <v>72</v>
      </c>
      <c r="AC1474" s="3">
        <v>27</v>
      </c>
      <c r="AD1474" s="3">
        <v>3</v>
      </c>
      <c r="AE1474" s="3">
        <v>84</v>
      </c>
      <c r="AF1474" s="3">
        <v>0</v>
      </c>
      <c r="AG1474" s="3">
        <v>0</v>
      </c>
      <c r="AH1474" s="3">
        <v>126</v>
      </c>
      <c r="AI1474" s="3">
        <v>3</v>
      </c>
      <c r="AJ1474" s="3">
        <v>96</v>
      </c>
      <c r="AK1474" s="3">
        <v>6</v>
      </c>
      <c r="AL1474" s="3">
        <v>36</v>
      </c>
      <c r="AM1474" s="3">
        <v>48</v>
      </c>
      <c r="AN1474" s="3">
        <v>72</v>
      </c>
      <c r="AO1474" s="3">
        <v>12</v>
      </c>
      <c r="AP1474" s="3">
        <v>84</v>
      </c>
      <c r="AQ1474" s="3">
        <v>30</v>
      </c>
      <c r="AR1474" s="3">
        <v>72</v>
      </c>
      <c r="AS1474" s="3">
        <v>36</v>
      </c>
      <c r="AT1474" s="3">
        <v>12</v>
      </c>
      <c r="AU1474" s="3">
        <v>39</v>
      </c>
      <c r="AV1474" s="3">
        <v>72</v>
      </c>
      <c r="AW1474" s="3">
        <v>48</v>
      </c>
    </row>
    <row r="1475" spans="1:49">
      <c r="A1475" s="4" t="s">
        <v>35</v>
      </c>
      <c r="B1475" s="4" t="str">
        <f t="shared" ref="B1475:B1538" si="23">A1475</f>
        <v>Hair Color</v>
      </c>
      <c r="C1475" s="4" t="s">
        <v>1786</v>
      </c>
      <c r="D1475" s="4" t="s">
        <v>579</v>
      </c>
      <c r="E1475" s="24" t="s">
        <v>441</v>
      </c>
      <c r="F1475" s="12" t="s">
        <v>484</v>
      </c>
      <c r="G1475" s="4" t="s">
        <v>1787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1002</v>
      </c>
      <c r="AI1475" s="3">
        <v>6</v>
      </c>
      <c r="AJ1475" s="3">
        <v>36</v>
      </c>
      <c r="AK1475" s="3">
        <v>109</v>
      </c>
      <c r="AL1475" s="3">
        <v>12</v>
      </c>
      <c r="AM1475" s="3">
        <v>213</v>
      </c>
      <c r="AN1475" s="3">
        <v>282</v>
      </c>
      <c r="AO1475" s="3">
        <v>114</v>
      </c>
      <c r="AP1475" s="3">
        <v>310</v>
      </c>
      <c r="AQ1475" s="3">
        <v>48</v>
      </c>
      <c r="AR1475" s="3">
        <v>228</v>
      </c>
      <c r="AS1475" s="3">
        <v>135</v>
      </c>
      <c r="AT1475" s="3">
        <v>60</v>
      </c>
      <c r="AU1475" s="3">
        <v>0</v>
      </c>
      <c r="AV1475" s="3">
        <v>0</v>
      </c>
      <c r="AW1475" s="3">
        <v>0</v>
      </c>
    </row>
    <row r="1476" spans="1:49">
      <c r="A1476" s="4" t="s">
        <v>35</v>
      </c>
      <c r="B1476" s="4" t="str">
        <f t="shared" si="23"/>
        <v>Hair Color</v>
      </c>
      <c r="C1476" s="4" t="s">
        <v>1786</v>
      </c>
      <c r="D1476" s="4" t="s">
        <v>579</v>
      </c>
      <c r="E1476" s="24" t="s">
        <v>441</v>
      </c>
      <c r="F1476" s="12" t="s">
        <v>485</v>
      </c>
      <c r="G1476" s="4" t="s">
        <v>1787</v>
      </c>
      <c r="H1476" s="3">
        <v>129</v>
      </c>
      <c r="I1476" s="3">
        <v>69</v>
      </c>
      <c r="J1476" s="3">
        <v>90</v>
      </c>
      <c r="K1476" s="3">
        <v>63</v>
      </c>
      <c r="L1476" s="3">
        <v>174</v>
      </c>
      <c r="M1476" s="3">
        <v>102</v>
      </c>
      <c r="N1476" s="3">
        <v>15</v>
      </c>
      <c r="O1476" s="3">
        <v>129</v>
      </c>
      <c r="P1476" s="3">
        <v>36</v>
      </c>
      <c r="Q1476" s="3">
        <v>150</v>
      </c>
      <c r="R1476" s="3">
        <v>102</v>
      </c>
      <c r="S1476" s="3">
        <v>9</v>
      </c>
      <c r="T1476" s="3">
        <v>27</v>
      </c>
      <c r="U1476" s="3">
        <v>39</v>
      </c>
      <c r="V1476" s="3">
        <v>90</v>
      </c>
      <c r="W1476" s="3">
        <v>75</v>
      </c>
      <c r="X1476" s="3">
        <v>81</v>
      </c>
      <c r="Y1476" s="3">
        <v>135</v>
      </c>
      <c r="Z1476" s="3">
        <v>3</v>
      </c>
      <c r="AA1476" s="3">
        <v>3</v>
      </c>
      <c r="AB1476" s="3">
        <v>120</v>
      </c>
      <c r="AC1476" s="3">
        <v>96</v>
      </c>
      <c r="AD1476" s="3">
        <v>48</v>
      </c>
      <c r="AE1476" s="3">
        <v>51</v>
      </c>
      <c r="AF1476" s="3">
        <v>72</v>
      </c>
      <c r="AG1476" s="3">
        <v>129</v>
      </c>
      <c r="AH1476" s="3">
        <v>6</v>
      </c>
      <c r="AI1476" s="3">
        <v>9</v>
      </c>
      <c r="AJ1476" s="3">
        <v>69</v>
      </c>
      <c r="AK1476" s="3">
        <v>60</v>
      </c>
      <c r="AL1476" s="3">
        <v>30</v>
      </c>
      <c r="AM1476" s="3">
        <v>144</v>
      </c>
      <c r="AN1476" s="3">
        <v>0</v>
      </c>
      <c r="AO1476" s="3">
        <v>57</v>
      </c>
      <c r="AP1476" s="3">
        <v>129</v>
      </c>
      <c r="AQ1476" s="3">
        <v>3</v>
      </c>
      <c r="AR1476" s="3">
        <v>135</v>
      </c>
      <c r="AS1476" s="3">
        <v>30</v>
      </c>
      <c r="AT1476" s="3">
        <v>78</v>
      </c>
      <c r="AU1476" s="3">
        <v>54</v>
      </c>
      <c r="AV1476" s="3">
        <v>84</v>
      </c>
      <c r="AW1476" s="3">
        <v>78</v>
      </c>
    </row>
    <row r="1477" spans="1:49">
      <c r="A1477" s="4" t="s">
        <v>35</v>
      </c>
      <c r="B1477" s="4" t="str">
        <f t="shared" si="23"/>
        <v>Hair Color</v>
      </c>
      <c r="C1477" s="4" t="s">
        <v>1786</v>
      </c>
      <c r="D1477" s="4" t="s">
        <v>579</v>
      </c>
      <c r="E1477" s="24" t="s">
        <v>441</v>
      </c>
      <c r="F1477" s="12" t="s">
        <v>486</v>
      </c>
      <c r="G1477" s="4" t="s">
        <v>1787</v>
      </c>
      <c r="H1477" s="3">
        <v>1137</v>
      </c>
      <c r="I1477" s="3">
        <v>279</v>
      </c>
      <c r="J1477" s="3">
        <v>465</v>
      </c>
      <c r="K1477" s="3">
        <v>447</v>
      </c>
      <c r="L1477" s="3">
        <v>654</v>
      </c>
      <c r="M1477" s="3">
        <v>714</v>
      </c>
      <c r="N1477" s="3">
        <v>114</v>
      </c>
      <c r="O1477" s="3">
        <v>483</v>
      </c>
      <c r="P1477" s="3">
        <v>444</v>
      </c>
      <c r="Q1477" s="3">
        <v>477</v>
      </c>
      <c r="R1477" s="3">
        <v>675</v>
      </c>
      <c r="S1477" s="3">
        <v>120</v>
      </c>
      <c r="T1477" s="3">
        <v>441</v>
      </c>
      <c r="U1477" s="3">
        <v>261</v>
      </c>
      <c r="V1477" s="3">
        <v>717</v>
      </c>
      <c r="W1477" s="3">
        <v>243</v>
      </c>
      <c r="X1477" s="3">
        <v>6</v>
      </c>
      <c r="Y1477" s="3">
        <v>1137</v>
      </c>
      <c r="Z1477" s="3">
        <v>75</v>
      </c>
      <c r="AA1477" s="3">
        <v>114</v>
      </c>
      <c r="AB1477" s="3">
        <v>819</v>
      </c>
      <c r="AC1477" s="3">
        <v>261</v>
      </c>
      <c r="AD1477" s="3">
        <v>294</v>
      </c>
      <c r="AE1477" s="3">
        <v>282</v>
      </c>
      <c r="AF1477" s="3">
        <v>288</v>
      </c>
      <c r="AG1477" s="3">
        <v>552</v>
      </c>
      <c r="AH1477" s="3">
        <v>1122</v>
      </c>
      <c r="AI1477" s="3">
        <v>15</v>
      </c>
      <c r="AJ1477" s="3">
        <v>18</v>
      </c>
      <c r="AK1477" s="3">
        <v>771</v>
      </c>
      <c r="AL1477" s="3">
        <v>132</v>
      </c>
      <c r="AM1477" s="3">
        <v>204</v>
      </c>
      <c r="AN1477" s="3">
        <v>528</v>
      </c>
      <c r="AO1477" s="3">
        <v>309</v>
      </c>
      <c r="AP1477" s="3">
        <v>597</v>
      </c>
      <c r="AQ1477" s="3">
        <v>36</v>
      </c>
      <c r="AR1477" s="3">
        <v>744</v>
      </c>
      <c r="AS1477" s="3">
        <v>306</v>
      </c>
      <c r="AT1477" s="3">
        <v>171</v>
      </c>
      <c r="AU1477" s="3">
        <v>411</v>
      </c>
      <c r="AV1477" s="3">
        <v>408</v>
      </c>
      <c r="AW1477" s="3">
        <v>525</v>
      </c>
    </row>
    <row r="1478" spans="1:49">
      <c r="A1478" s="4" t="s">
        <v>35</v>
      </c>
      <c r="B1478" s="4" t="str">
        <f t="shared" si="23"/>
        <v>Hair Color</v>
      </c>
      <c r="C1478" s="4" t="s">
        <v>1786</v>
      </c>
      <c r="D1478" s="4" t="s">
        <v>579</v>
      </c>
      <c r="E1478" s="24" t="s">
        <v>441</v>
      </c>
      <c r="F1478" s="12" t="s">
        <v>487</v>
      </c>
      <c r="G1478" s="4" t="s">
        <v>1787</v>
      </c>
      <c r="H1478" s="3">
        <v>396</v>
      </c>
      <c r="I1478" s="3">
        <v>264</v>
      </c>
      <c r="J1478" s="3">
        <v>219</v>
      </c>
      <c r="K1478" s="3">
        <v>177</v>
      </c>
      <c r="L1478" s="3">
        <v>555</v>
      </c>
      <c r="M1478" s="3">
        <v>639</v>
      </c>
      <c r="N1478" s="3">
        <v>63</v>
      </c>
      <c r="O1478" s="3">
        <v>381</v>
      </c>
      <c r="P1478" s="3">
        <v>147</v>
      </c>
      <c r="Q1478" s="3">
        <v>219</v>
      </c>
      <c r="R1478" s="3">
        <v>447</v>
      </c>
      <c r="S1478" s="3">
        <v>201</v>
      </c>
      <c r="T1478" s="3">
        <v>279</v>
      </c>
      <c r="U1478" s="3">
        <v>150</v>
      </c>
      <c r="V1478" s="3">
        <v>537</v>
      </c>
      <c r="W1478" s="3">
        <v>207</v>
      </c>
      <c r="X1478" s="3">
        <v>6</v>
      </c>
      <c r="Y1478" s="3">
        <v>825</v>
      </c>
      <c r="Z1478" s="3">
        <v>66</v>
      </c>
      <c r="AA1478" s="3">
        <v>36</v>
      </c>
      <c r="AB1478" s="3">
        <v>561</v>
      </c>
      <c r="AC1478" s="3">
        <v>213</v>
      </c>
      <c r="AD1478" s="3">
        <v>318</v>
      </c>
      <c r="AE1478" s="3">
        <v>213</v>
      </c>
      <c r="AF1478" s="3">
        <v>225</v>
      </c>
      <c r="AG1478" s="3">
        <v>399</v>
      </c>
      <c r="AH1478" s="3">
        <v>1119</v>
      </c>
      <c r="AI1478" s="3">
        <v>30</v>
      </c>
      <c r="AJ1478" s="3">
        <v>27</v>
      </c>
      <c r="AK1478" s="3">
        <v>75</v>
      </c>
      <c r="AL1478" s="3">
        <v>159</v>
      </c>
      <c r="AM1478" s="3">
        <v>186</v>
      </c>
      <c r="AN1478" s="3">
        <v>387</v>
      </c>
      <c r="AO1478" s="3">
        <v>123</v>
      </c>
      <c r="AP1478" s="3">
        <v>354</v>
      </c>
      <c r="AQ1478" s="3">
        <v>183</v>
      </c>
      <c r="AR1478" s="3">
        <v>294</v>
      </c>
      <c r="AS1478" s="3">
        <v>309</v>
      </c>
      <c r="AT1478" s="3">
        <v>54</v>
      </c>
      <c r="AU1478" s="3">
        <v>279</v>
      </c>
      <c r="AV1478" s="3">
        <v>315</v>
      </c>
      <c r="AW1478" s="3">
        <v>324</v>
      </c>
    </row>
    <row r="1479" spans="1:49">
      <c r="A1479" s="4" t="s">
        <v>35</v>
      </c>
      <c r="B1479" s="4" t="str">
        <f t="shared" si="23"/>
        <v>Hair Color</v>
      </c>
      <c r="C1479" s="4" t="s">
        <v>1786</v>
      </c>
      <c r="D1479" s="4" t="s">
        <v>579</v>
      </c>
      <c r="E1479" s="24" t="s">
        <v>441</v>
      </c>
      <c r="F1479" s="12" t="s">
        <v>488</v>
      </c>
      <c r="G1479" s="4" t="s">
        <v>1787</v>
      </c>
      <c r="H1479" s="3">
        <v>93</v>
      </c>
      <c r="I1479" s="3">
        <v>81</v>
      </c>
      <c r="J1479" s="3">
        <v>66</v>
      </c>
      <c r="K1479" s="3">
        <v>72</v>
      </c>
      <c r="L1479" s="3">
        <v>78</v>
      </c>
      <c r="M1479" s="3">
        <v>165</v>
      </c>
      <c r="N1479" s="3">
        <v>6</v>
      </c>
      <c r="O1479" s="3">
        <v>114</v>
      </c>
      <c r="P1479" s="3">
        <v>33</v>
      </c>
      <c r="Q1479" s="3">
        <v>66</v>
      </c>
      <c r="R1479" s="3">
        <v>120</v>
      </c>
      <c r="S1479" s="3">
        <v>12</v>
      </c>
      <c r="T1479" s="3">
        <v>75</v>
      </c>
      <c r="U1479" s="3">
        <v>0</v>
      </c>
      <c r="V1479" s="3">
        <v>138</v>
      </c>
      <c r="W1479" s="3">
        <v>51</v>
      </c>
      <c r="X1479" s="3">
        <v>99</v>
      </c>
      <c r="Y1479" s="3">
        <v>153</v>
      </c>
      <c r="Z1479" s="3">
        <v>9</v>
      </c>
      <c r="AA1479" s="3">
        <v>6</v>
      </c>
      <c r="AB1479" s="3">
        <v>126</v>
      </c>
      <c r="AC1479" s="3">
        <v>69</v>
      </c>
      <c r="AD1479" s="3">
        <v>18</v>
      </c>
      <c r="AE1479" s="3">
        <v>9</v>
      </c>
      <c r="AF1479" s="3">
        <v>15</v>
      </c>
      <c r="AG1479" s="3">
        <v>96</v>
      </c>
      <c r="AH1479" s="3">
        <v>195</v>
      </c>
      <c r="AI1479" s="3">
        <v>0</v>
      </c>
      <c r="AJ1479" s="3">
        <v>0</v>
      </c>
      <c r="AK1479" s="3">
        <v>27</v>
      </c>
      <c r="AL1479" s="3">
        <v>36</v>
      </c>
      <c r="AM1479" s="3">
        <v>81</v>
      </c>
      <c r="AN1479" s="3">
        <v>48</v>
      </c>
      <c r="AO1479" s="3">
        <v>66</v>
      </c>
      <c r="AP1479" s="3">
        <v>111</v>
      </c>
      <c r="AQ1479" s="3">
        <v>63</v>
      </c>
      <c r="AR1479" s="3">
        <v>99</v>
      </c>
      <c r="AS1479" s="3">
        <v>12</v>
      </c>
      <c r="AT1479" s="3">
        <v>42</v>
      </c>
      <c r="AU1479" s="3">
        <v>60</v>
      </c>
      <c r="AV1479" s="3">
        <v>45</v>
      </c>
      <c r="AW1479" s="3">
        <v>87</v>
      </c>
    </row>
    <row r="1480" spans="1:49">
      <c r="A1480" s="4" t="s">
        <v>35</v>
      </c>
      <c r="B1480" s="4" t="str">
        <f t="shared" si="23"/>
        <v>Hair Color</v>
      </c>
      <c r="C1480" s="4" t="s">
        <v>1786</v>
      </c>
      <c r="D1480" s="4" t="s">
        <v>579</v>
      </c>
      <c r="E1480" s="24" t="s">
        <v>441</v>
      </c>
      <c r="F1480" s="12" t="s">
        <v>489</v>
      </c>
      <c r="G1480" s="4" t="s">
        <v>1787</v>
      </c>
      <c r="H1480" s="3">
        <v>198</v>
      </c>
      <c r="I1480" s="3">
        <v>237</v>
      </c>
      <c r="J1480" s="3">
        <v>171</v>
      </c>
      <c r="K1480" s="3">
        <v>153</v>
      </c>
      <c r="L1480" s="3">
        <v>246</v>
      </c>
      <c r="M1480" s="3">
        <v>306</v>
      </c>
      <c r="N1480" s="3">
        <v>105</v>
      </c>
      <c r="O1480" s="3">
        <v>348</v>
      </c>
      <c r="P1480" s="3">
        <v>138</v>
      </c>
      <c r="Q1480" s="3">
        <v>168</v>
      </c>
      <c r="R1480" s="3">
        <v>318</v>
      </c>
      <c r="S1480" s="3">
        <v>60</v>
      </c>
      <c r="T1480" s="3">
        <v>63</v>
      </c>
      <c r="U1480" s="3">
        <v>165</v>
      </c>
      <c r="V1480" s="3">
        <v>333</v>
      </c>
      <c r="W1480" s="3">
        <v>105</v>
      </c>
      <c r="X1480" s="3">
        <v>0</v>
      </c>
      <c r="Y1480" s="3">
        <v>186</v>
      </c>
      <c r="Z1480" s="3">
        <v>93</v>
      </c>
      <c r="AA1480" s="3">
        <v>249</v>
      </c>
      <c r="AB1480" s="3">
        <v>279</v>
      </c>
      <c r="AC1480" s="3">
        <v>195</v>
      </c>
      <c r="AD1480" s="3">
        <v>36</v>
      </c>
      <c r="AE1480" s="3">
        <v>78</v>
      </c>
      <c r="AF1480" s="3">
        <v>120</v>
      </c>
      <c r="AG1480" s="3">
        <v>240</v>
      </c>
      <c r="AH1480" s="3">
        <v>627</v>
      </c>
      <c r="AI1480" s="3">
        <v>15</v>
      </c>
      <c r="AJ1480" s="3">
        <v>27</v>
      </c>
      <c r="AK1480" s="3">
        <v>57</v>
      </c>
      <c r="AL1480" s="3">
        <v>21</v>
      </c>
      <c r="AM1480" s="3">
        <v>123</v>
      </c>
      <c r="AN1480" s="3">
        <v>234</v>
      </c>
      <c r="AO1480" s="3">
        <v>51</v>
      </c>
      <c r="AP1480" s="3">
        <v>285</v>
      </c>
      <c r="AQ1480" s="3">
        <v>54</v>
      </c>
      <c r="AR1480" s="3">
        <v>234</v>
      </c>
      <c r="AS1480" s="3">
        <v>87</v>
      </c>
      <c r="AT1480" s="3">
        <v>111</v>
      </c>
      <c r="AU1480" s="3">
        <v>177</v>
      </c>
      <c r="AV1480" s="3">
        <v>264</v>
      </c>
      <c r="AW1480" s="3">
        <v>168</v>
      </c>
    </row>
    <row r="1481" spans="1:49">
      <c r="A1481" s="4" t="s">
        <v>35</v>
      </c>
      <c r="B1481" s="4" t="str">
        <f t="shared" si="23"/>
        <v>Hair Color</v>
      </c>
      <c r="C1481" s="4" t="s">
        <v>1786</v>
      </c>
      <c r="D1481" s="4" t="s">
        <v>579</v>
      </c>
      <c r="E1481" s="24" t="s">
        <v>441</v>
      </c>
      <c r="F1481" s="12" t="s">
        <v>478</v>
      </c>
      <c r="G1481" s="4" t="s">
        <v>1787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  <c r="AR1481" s="3">
        <v>0</v>
      </c>
      <c r="AS1481" s="3">
        <v>0</v>
      </c>
      <c r="AT1481" s="3">
        <v>0</v>
      </c>
      <c r="AU1481" s="3">
        <v>0</v>
      </c>
      <c r="AV1481" s="3">
        <v>48</v>
      </c>
      <c r="AW1481" s="3">
        <v>30</v>
      </c>
    </row>
    <row r="1482" spans="1:49">
      <c r="A1482" s="4" t="s">
        <v>35</v>
      </c>
      <c r="B1482" s="4" t="str">
        <f t="shared" si="23"/>
        <v>Hair Color</v>
      </c>
      <c r="C1482" s="4" t="s">
        <v>1786</v>
      </c>
      <c r="D1482" s="4" t="s">
        <v>579</v>
      </c>
      <c r="E1482" s="24" t="s">
        <v>441</v>
      </c>
      <c r="F1482" s="12" t="s">
        <v>477</v>
      </c>
      <c r="G1482" s="4" t="s">
        <v>1787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15</v>
      </c>
      <c r="AR1482" s="3">
        <v>6</v>
      </c>
      <c r="AS1482" s="3">
        <v>18</v>
      </c>
      <c r="AT1482" s="3">
        <v>24</v>
      </c>
      <c r="AU1482" s="3">
        <v>261</v>
      </c>
      <c r="AV1482" s="3">
        <v>141</v>
      </c>
      <c r="AW1482" s="3">
        <v>150</v>
      </c>
    </row>
    <row r="1483" spans="1:49">
      <c r="A1483" s="4" t="s">
        <v>35</v>
      </c>
      <c r="B1483" s="4" t="str">
        <f t="shared" si="23"/>
        <v>Hair Color</v>
      </c>
      <c r="C1483" s="4" t="s">
        <v>1786</v>
      </c>
      <c r="D1483" s="4" t="s">
        <v>579</v>
      </c>
      <c r="E1483" s="24" t="s">
        <v>441</v>
      </c>
      <c r="F1483" s="12" t="s">
        <v>490</v>
      </c>
      <c r="G1483" s="4" t="s">
        <v>1787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279</v>
      </c>
      <c r="AV1483" s="3">
        <v>105</v>
      </c>
      <c r="AW1483" s="3">
        <v>192</v>
      </c>
    </row>
    <row r="1484" spans="1:49">
      <c r="A1484" s="4" t="s">
        <v>35</v>
      </c>
      <c r="B1484" s="4" t="str">
        <f t="shared" si="23"/>
        <v>Hair Color</v>
      </c>
      <c r="C1484" s="4" t="s">
        <v>1786</v>
      </c>
      <c r="D1484" s="4" t="s">
        <v>579</v>
      </c>
      <c r="E1484" s="24" t="s">
        <v>441</v>
      </c>
      <c r="F1484" s="12" t="s">
        <v>491</v>
      </c>
      <c r="G1484" s="4" t="s">
        <v>1787</v>
      </c>
      <c r="H1484" s="3">
        <v>348</v>
      </c>
      <c r="I1484" s="3">
        <v>225</v>
      </c>
      <c r="J1484" s="3">
        <v>219</v>
      </c>
      <c r="K1484" s="3">
        <v>219</v>
      </c>
      <c r="L1484" s="3">
        <v>387</v>
      </c>
      <c r="M1484" s="3">
        <v>609</v>
      </c>
      <c r="N1484" s="3">
        <v>78</v>
      </c>
      <c r="O1484" s="3">
        <v>408</v>
      </c>
      <c r="P1484" s="3">
        <v>183</v>
      </c>
      <c r="Q1484" s="3">
        <v>324</v>
      </c>
      <c r="R1484" s="3">
        <v>492</v>
      </c>
      <c r="S1484" s="3">
        <v>102</v>
      </c>
      <c r="T1484" s="3">
        <v>135</v>
      </c>
      <c r="U1484" s="3">
        <v>261</v>
      </c>
      <c r="V1484" s="3">
        <v>423</v>
      </c>
      <c r="W1484" s="3">
        <v>204</v>
      </c>
      <c r="X1484" s="3">
        <v>249</v>
      </c>
      <c r="Y1484" s="3">
        <v>177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0</v>
      </c>
      <c r="AW1484" s="3">
        <v>0</v>
      </c>
    </row>
    <row r="1485" spans="1:49">
      <c r="A1485" s="4" t="s">
        <v>35</v>
      </c>
      <c r="B1485" s="4" t="str">
        <f t="shared" si="23"/>
        <v>Hair Color</v>
      </c>
      <c r="C1485" s="4" t="s">
        <v>1786</v>
      </c>
      <c r="D1485" s="4" t="s">
        <v>579</v>
      </c>
      <c r="E1485" s="24" t="s">
        <v>441</v>
      </c>
      <c r="F1485" s="12" t="s">
        <v>492</v>
      </c>
      <c r="G1485" s="4" t="s">
        <v>1787</v>
      </c>
      <c r="H1485" s="3">
        <v>156</v>
      </c>
      <c r="I1485" s="3">
        <v>78</v>
      </c>
      <c r="J1485" s="3">
        <v>138</v>
      </c>
      <c r="K1485" s="3">
        <v>12</v>
      </c>
      <c r="L1485" s="3">
        <v>153</v>
      </c>
      <c r="M1485" s="3">
        <v>141</v>
      </c>
      <c r="N1485" s="3">
        <v>138</v>
      </c>
      <c r="O1485" s="3">
        <v>120</v>
      </c>
      <c r="P1485" s="3">
        <v>99</v>
      </c>
      <c r="Q1485" s="3">
        <v>201</v>
      </c>
      <c r="R1485" s="3">
        <v>138</v>
      </c>
      <c r="S1485" s="3">
        <v>6</v>
      </c>
      <c r="T1485" s="3">
        <v>75</v>
      </c>
      <c r="U1485" s="3">
        <v>0</v>
      </c>
      <c r="V1485" s="3">
        <v>141</v>
      </c>
      <c r="W1485" s="3">
        <v>63</v>
      </c>
      <c r="X1485" s="3">
        <v>132</v>
      </c>
      <c r="Y1485" s="3">
        <v>213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</row>
    <row r="1486" spans="1:49">
      <c r="A1486" s="4" t="s">
        <v>35</v>
      </c>
      <c r="B1486" s="4" t="str">
        <f t="shared" si="23"/>
        <v>Hair Color</v>
      </c>
      <c r="C1486" s="4" t="s">
        <v>1786</v>
      </c>
      <c r="D1486" s="4" t="s">
        <v>579</v>
      </c>
      <c r="E1486" s="24" t="s">
        <v>441</v>
      </c>
      <c r="F1486" s="12" t="s">
        <v>493</v>
      </c>
      <c r="G1486" s="4" t="s">
        <v>1787</v>
      </c>
      <c r="H1486" s="3">
        <v>24</v>
      </c>
      <c r="I1486" s="3">
        <v>78</v>
      </c>
      <c r="J1486" s="3">
        <v>45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</row>
    <row r="1487" spans="1:49">
      <c r="A1487" s="4" t="s">
        <v>35</v>
      </c>
      <c r="B1487" s="4" t="str">
        <f t="shared" si="23"/>
        <v>Hair Color</v>
      </c>
      <c r="C1487" s="4" t="s">
        <v>1786</v>
      </c>
      <c r="D1487" s="4" t="s">
        <v>579</v>
      </c>
      <c r="E1487" s="24" t="s">
        <v>441</v>
      </c>
      <c r="F1487" s="12" t="s">
        <v>494</v>
      </c>
      <c r="G1487" s="4" t="s">
        <v>1787</v>
      </c>
      <c r="H1487" s="3">
        <v>114</v>
      </c>
      <c r="I1487" s="3">
        <v>108</v>
      </c>
      <c r="J1487" s="3">
        <v>123</v>
      </c>
      <c r="K1487" s="3">
        <v>168</v>
      </c>
      <c r="L1487" s="3">
        <v>198</v>
      </c>
      <c r="M1487" s="3">
        <v>261</v>
      </c>
      <c r="N1487" s="3">
        <v>117</v>
      </c>
      <c r="O1487" s="3">
        <v>297</v>
      </c>
      <c r="P1487" s="3">
        <v>108</v>
      </c>
      <c r="Q1487" s="3">
        <v>111</v>
      </c>
      <c r="R1487" s="3">
        <v>312</v>
      </c>
      <c r="S1487" s="3">
        <v>21</v>
      </c>
      <c r="T1487" s="3">
        <v>75</v>
      </c>
      <c r="U1487" s="3">
        <v>66</v>
      </c>
      <c r="V1487" s="3">
        <v>186</v>
      </c>
      <c r="W1487" s="3">
        <v>87</v>
      </c>
      <c r="X1487" s="3">
        <v>156</v>
      </c>
      <c r="Y1487" s="3">
        <v>228</v>
      </c>
      <c r="Z1487" s="3">
        <v>21</v>
      </c>
      <c r="AA1487" s="3">
        <v>84</v>
      </c>
      <c r="AB1487" s="3">
        <v>276</v>
      </c>
      <c r="AC1487" s="3">
        <v>207</v>
      </c>
      <c r="AD1487" s="3">
        <v>57</v>
      </c>
      <c r="AE1487" s="3">
        <v>12</v>
      </c>
      <c r="AF1487" s="3">
        <v>18</v>
      </c>
      <c r="AG1487" s="3">
        <v>3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</row>
    <row r="1488" spans="1:49">
      <c r="A1488" s="4" t="s">
        <v>35</v>
      </c>
      <c r="B1488" s="4" t="str">
        <f t="shared" si="23"/>
        <v>Hair Color</v>
      </c>
      <c r="C1488" s="4" t="s">
        <v>1786</v>
      </c>
      <c r="D1488" s="4" t="s">
        <v>579</v>
      </c>
      <c r="E1488" s="24" t="s">
        <v>441</v>
      </c>
      <c r="F1488" s="12" t="s">
        <v>495</v>
      </c>
      <c r="G1488" s="4" t="s">
        <v>1787</v>
      </c>
      <c r="H1488" s="3">
        <v>30</v>
      </c>
      <c r="I1488" s="3">
        <v>27</v>
      </c>
      <c r="J1488" s="3">
        <v>3</v>
      </c>
      <c r="K1488" s="3">
        <v>6</v>
      </c>
      <c r="L1488" s="3">
        <v>18</v>
      </c>
      <c r="M1488" s="3">
        <v>21</v>
      </c>
      <c r="N1488" s="3">
        <v>27</v>
      </c>
      <c r="O1488" s="3">
        <v>48</v>
      </c>
      <c r="P1488" s="3">
        <v>57</v>
      </c>
      <c r="Q1488" s="3">
        <v>12</v>
      </c>
      <c r="R1488" s="3">
        <v>9</v>
      </c>
      <c r="S1488" s="3">
        <v>6</v>
      </c>
      <c r="T1488" s="3">
        <v>33</v>
      </c>
      <c r="U1488" s="3">
        <v>24</v>
      </c>
      <c r="V1488" s="3">
        <v>27</v>
      </c>
      <c r="W1488" s="3">
        <v>15</v>
      </c>
      <c r="X1488" s="3">
        <v>33</v>
      </c>
      <c r="Y1488" s="3">
        <v>36</v>
      </c>
      <c r="Z1488" s="3">
        <v>30</v>
      </c>
      <c r="AA1488" s="3">
        <v>39</v>
      </c>
      <c r="AB1488" s="3">
        <v>66</v>
      </c>
      <c r="AC1488" s="3">
        <v>0</v>
      </c>
      <c r="AD1488" s="3">
        <v>3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  <c r="AR1488" s="3">
        <v>0</v>
      </c>
      <c r="AS1488" s="3">
        <v>0</v>
      </c>
      <c r="AT1488" s="3">
        <v>0</v>
      </c>
      <c r="AU1488" s="3">
        <v>0</v>
      </c>
      <c r="AV1488" s="3">
        <v>0</v>
      </c>
      <c r="AW1488" s="3">
        <v>0</v>
      </c>
    </row>
    <row r="1489" spans="1:49">
      <c r="A1489" s="4" t="s">
        <v>35</v>
      </c>
      <c r="B1489" s="4" t="str">
        <f t="shared" si="23"/>
        <v>Hair Color</v>
      </c>
      <c r="C1489" s="4" t="s">
        <v>1786</v>
      </c>
      <c r="D1489" s="4" t="s">
        <v>579</v>
      </c>
      <c r="E1489" s="24" t="s">
        <v>36</v>
      </c>
      <c r="F1489" s="12" t="s">
        <v>496</v>
      </c>
      <c r="G1489" s="4" t="s">
        <v>1787</v>
      </c>
      <c r="H1489" s="3">
        <v>24</v>
      </c>
      <c r="I1489" s="3">
        <v>0</v>
      </c>
      <c r="J1489" s="3">
        <v>12</v>
      </c>
      <c r="K1489" s="3">
        <v>24</v>
      </c>
      <c r="L1489" s="3">
        <v>36</v>
      </c>
      <c r="M1489" s="3">
        <v>48</v>
      </c>
      <c r="N1489" s="3">
        <v>0</v>
      </c>
      <c r="O1489" s="3">
        <v>0</v>
      </c>
      <c r="P1489" s="3">
        <v>0</v>
      </c>
      <c r="Q1489" s="3">
        <v>0</v>
      </c>
      <c r="R1489" s="3">
        <v>24</v>
      </c>
      <c r="S1489" s="3">
        <v>0</v>
      </c>
      <c r="T1489" s="3">
        <v>0</v>
      </c>
      <c r="U1489" s="3">
        <v>12</v>
      </c>
      <c r="V1489" s="3">
        <v>0</v>
      </c>
      <c r="W1489" s="3">
        <v>0</v>
      </c>
      <c r="X1489" s="3">
        <v>12</v>
      </c>
      <c r="Y1489" s="3">
        <v>0</v>
      </c>
      <c r="Z1489" s="3">
        <v>0</v>
      </c>
      <c r="AA1489" s="3">
        <v>0</v>
      </c>
      <c r="AB1489" s="3">
        <v>12</v>
      </c>
      <c r="AC1489" s="3">
        <v>12</v>
      </c>
      <c r="AD1489" s="3">
        <v>12</v>
      </c>
      <c r="AE1489" s="3">
        <v>18</v>
      </c>
      <c r="AF1489" s="3">
        <v>0</v>
      </c>
      <c r="AG1489" s="3">
        <v>12</v>
      </c>
      <c r="AH1489" s="3">
        <v>12</v>
      </c>
      <c r="AI1489" s="3">
        <v>6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48</v>
      </c>
      <c r="AQ1489" s="3">
        <v>0</v>
      </c>
      <c r="AR1489" s="3">
        <v>0</v>
      </c>
      <c r="AS1489" s="3">
        <v>0</v>
      </c>
      <c r="AT1489" s="3">
        <v>0</v>
      </c>
      <c r="AU1489" s="3">
        <v>30</v>
      </c>
      <c r="AV1489" s="3">
        <v>18</v>
      </c>
      <c r="AW1489" s="3">
        <v>6</v>
      </c>
    </row>
    <row r="1490" spans="1:49">
      <c r="A1490" s="4" t="s">
        <v>35</v>
      </c>
      <c r="B1490" s="4" t="str">
        <f t="shared" si="23"/>
        <v>Hair Color</v>
      </c>
      <c r="C1490" s="4" t="s">
        <v>1786</v>
      </c>
      <c r="D1490" s="4" t="s">
        <v>579</v>
      </c>
      <c r="E1490" s="24" t="s">
        <v>36</v>
      </c>
      <c r="F1490" s="12" t="s">
        <v>497</v>
      </c>
      <c r="G1490" s="4" t="s">
        <v>1787</v>
      </c>
      <c r="H1490" s="3">
        <v>0</v>
      </c>
      <c r="I1490" s="3">
        <v>0</v>
      </c>
      <c r="J1490" s="3">
        <v>18</v>
      </c>
      <c r="K1490" s="3">
        <v>18</v>
      </c>
      <c r="L1490" s="3">
        <v>36</v>
      </c>
      <c r="M1490" s="3">
        <v>48</v>
      </c>
      <c r="N1490" s="3">
        <v>12</v>
      </c>
      <c r="O1490" s="3">
        <v>48</v>
      </c>
      <c r="P1490" s="3">
        <v>0</v>
      </c>
      <c r="Q1490" s="3">
        <v>0</v>
      </c>
      <c r="R1490" s="3">
        <v>0</v>
      </c>
      <c r="S1490" s="3">
        <v>12</v>
      </c>
      <c r="T1490" s="3">
        <v>12</v>
      </c>
      <c r="U1490" s="3">
        <v>0</v>
      </c>
      <c r="V1490" s="3">
        <v>12</v>
      </c>
      <c r="W1490" s="3">
        <v>12</v>
      </c>
      <c r="X1490" s="3">
        <v>12</v>
      </c>
      <c r="Y1490" s="3">
        <v>0</v>
      </c>
      <c r="Z1490" s="3">
        <v>12</v>
      </c>
      <c r="AA1490" s="3">
        <v>0</v>
      </c>
      <c r="AB1490" s="3">
        <v>0</v>
      </c>
      <c r="AC1490" s="3">
        <v>0</v>
      </c>
      <c r="AD1490" s="3">
        <v>24</v>
      </c>
      <c r="AE1490" s="3">
        <v>6</v>
      </c>
      <c r="AF1490" s="3">
        <v>0</v>
      </c>
      <c r="AG1490" s="3">
        <v>0</v>
      </c>
      <c r="AH1490" s="3">
        <v>0</v>
      </c>
      <c r="AI1490" s="3">
        <v>6</v>
      </c>
      <c r="AJ1490" s="3">
        <v>6</v>
      </c>
      <c r="AK1490" s="3">
        <v>18</v>
      </c>
      <c r="AL1490" s="3">
        <v>0</v>
      </c>
      <c r="AM1490" s="3">
        <v>0</v>
      </c>
      <c r="AN1490" s="3">
        <v>66</v>
      </c>
      <c r="AO1490" s="3">
        <v>0</v>
      </c>
      <c r="AP1490" s="3">
        <v>0</v>
      </c>
      <c r="AQ1490" s="3">
        <v>0</v>
      </c>
      <c r="AR1490" s="3">
        <v>72</v>
      </c>
      <c r="AS1490" s="3">
        <v>0</v>
      </c>
      <c r="AT1490" s="3">
        <v>0</v>
      </c>
      <c r="AU1490" s="3">
        <v>6</v>
      </c>
      <c r="AV1490" s="3">
        <v>18</v>
      </c>
      <c r="AW1490" s="3">
        <v>0</v>
      </c>
    </row>
    <row r="1491" spans="1:49">
      <c r="A1491" s="4" t="s">
        <v>35</v>
      </c>
      <c r="B1491" s="4" t="str">
        <f t="shared" si="23"/>
        <v>Hair Color</v>
      </c>
      <c r="C1491" s="4" t="s">
        <v>1786</v>
      </c>
      <c r="D1491" s="4" t="s">
        <v>579</v>
      </c>
      <c r="E1491" s="24" t="s">
        <v>36</v>
      </c>
      <c r="F1491" s="12" t="s">
        <v>497</v>
      </c>
      <c r="G1491" s="4" t="s">
        <v>1787</v>
      </c>
      <c r="H1491" s="3">
        <v>24</v>
      </c>
      <c r="I1491" s="3">
        <v>0</v>
      </c>
      <c r="J1491" s="3">
        <v>0</v>
      </c>
      <c r="K1491" s="3">
        <v>12</v>
      </c>
      <c r="L1491" s="3">
        <v>60</v>
      </c>
      <c r="M1491" s="3">
        <v>120</v>
      </c>
      <c r="N1491" s="3">
        <v>0</v>
      </c>
      <c r="O1491" s="3">
        <v>90</v>
      </c>
      <c r="P1491" s="3">
        <v>0</v>
      </c>
      <c r="Q1491" s="3">
        <v>72</v>
      </c>
      <c r="R1491" s="3">
        <v>6</v>
      </c>
      <c r="S1491" s="3">
        <v>12</v>
      </c>
      <c r="T1491" s="3">
        <v>18</v>
      </c>
      <c r="U1491" s="3">
        <v>12</v>
      </c>
      <c r="V1491" s="3">
        <v>36</v>
      </c>
      <c r="W1491" s="3">
        <v>12</v>
      </c>
      <c r="X1491" s="3">
        <v>48</v>
      </c>
      <c r="Y1491" s="3">
        <v>48</v>
      </c>
      <c r="Z1491" s="3">
        <v>12</v>
      </c>
      <c r="AA1491" s="3">
        <v>0</v>
      </c>
      <c r="AB1491" s="3">
        <v>0</v>
      </c>
      <c r="AC1491" s="3">
        <v>0</v>
      </c>
      <c r="AD1491" s="3">
        <v>12</v>
      </c>
      <c r="AE1491" s="3">
        <v>12</v>
      </c>
      <c r="AF1491" s="3">
        <v>42</v>
      </c>
      <c r="AG1491" s="3">
        <v>18</v>
      </c>
      <c r="AH1491" s="3">
        <v>36</v>
      </c>
      <c r="AI1491" s="3">
        <v>6</v>
      </c>
      <c r="AJ1491" s="3">
        <v>42</v>
      </c>
      <c r="AK1491" s="3">
        <v>12</v>
      </c>
      <c r="AL1491" s="3">
        <v>12</v>
      </c>
      <c r="AM1491" s="3">
        <v>12</v>
      </c>
      <c r="AN1491" s="3">
        <v>0</v>
      </c>
      <c r="AO1491" s="3">
        <v>0</v>
      </c>
      <c r="AP1491" s="3">
        <v>54</v>
      </c>
      <c r="AQ1491" s="3">
        <v>36</v>
      </c>
      <c r="AR1491" s="3">
        <v>108</v>
      </c>
      <c r="AS1491" s="3">
        <v>6</v>
      </c>
      <c r="AT1491" s="3">
        <v>0</v>
      </c>
      <c r="AU1491" s="3">
        <v>96</v>
      </c>
      <c r="AV1491" s="3">
        <v>48</v>
      </c>
      <c r="AW1491" s="3">
        <v>30</v>
      </c>
    </row>
    <row r="1492" spans="1:49">
      <c r="A1492" s="4" t="s">
        <v>35</v>
      </c>
      <c r="B1492" s="4" t="str">
        <f t="shared" si="23"/>
        <v>Hair Color</v>
      </c>
      <c r="C1492" s="4" t="s">
        <v>1786</v>
      </c>
      <c r="D1492" s="4" t="s">
        <v>579</v>
      </c>
      <c r="E1492" s="24" t="s">
        <v>36</v>
      </c>
      <c r="F1492" s="12" t="s">
        <v>498</v>
      </c>
      <c r="G1492" s="4" t="s">
        <v>1787</v>
      </c>
      <c r="H1492" s="3">
        <v>0</v>
      </c>
      <c r="I1492" s="3">
        <v>0</v>
      </c>
      <c r="J1492" s="3">
        <v>18</v>
      </c>
      <c r="K1492" s="3">
        <v>30</v>
      </c>
      <c r="L1492" s="3">
        <v>0</v>
      </c>
      <c r="M1492" s="3">
        <v>192</v>
      </c>
      <c r="N1492" s="3">
        <v>12</v>
      </c>
      <c r="O1492" s="3">
        <v>0</v>
      </c>
      <c r="P1492" s="3">
        <v>12</v>
      </c>
      <c r="Q1492" s="3">
        <v>78</v>
      </c>
      <c r="R1492" s="3">
        <v>96</v>
      </c>
      <c r="S1492" s="3">
        <v>24</v>
      </c>
      <c r="T1492" s="3">
        <v>24</v>
      </c>
      <c r="U1492" s="3">
        <v>42</v>
      </c>
      <c r="V1492" s="3">
        <v>108</v>
      </c>
      <c r="W1492" s="3">
        <v>24</v>
      </c>
      <c r="X1492" s="3">
        <v>72</v>
      </c>
      <c r="Y1492" s="3">
        <v>60</v>
      </c>
      <c r="Z1492" s="3">
        <v>24</v>
      </c>
      <c r="AA1492" s="3">
        <v>54</v>
      </c>
      <c r="AB1492" s="3">
        <v>144</v>
      </c>
      <c r="AC1492" s="3">
        <v>0</v>
      </c>
      <c r="AD1492" s="3">
        <v>60</v>
      </c>
      <c r="AE1492" s="3">
        <v>60</v>
      </c>
      <c r="AF1492" s="3">
        <v>60</v>
      </c>
      <c r="AG1492" s="3">
        <v>0</v>
      </c>
      <c r="AH1492" s="3">
        <v>24</v>
      </c>
      <c r="AI1492" s="3">
        <v>30</v>
      </c>
      <c r="AJ1492" s="3">
        <v>0</v>
      </c>
      <c r="AK1492" s="3">
        <v>0</v>
      </c>
      <c r="AL1492" s="3">
        <v>36</v>
      </c>
      <c r="AM1492" s="3">
        <v>0</v>
      </c>
      <c r="AN1492" s="3">
        <v>60</v>
      </c>
      <c r="AO1492" s="3">
        <v>0</v>
      </c>
      <c r="AP1492" s="3">
        <v>18</v>
      </c>
      <c r="AQ1492" s="3">
        <v>0</v>
      </c>
      <c r="AR1492" s="3">
        <v>162</v>
      </c>
      <c r="AS1492" s="3">
        <v>48</v>
      </c>
      <c r="AT1492" s="3">
        <v>30</v>
      </c>
      <c r="AU1492" s="3">
        <v>96</v>
      </c>
      <c r="AV1492" s="3">
        <v>48</v>
      </c>
      <c r="AW1492" s="3">
        <v>48</v>
      </c>
    </row>
    <row r="1493" spans="1:49">
      <c r="A1493" s="4" t="s">
        <v>35</v>
      </c>
      <c r="B1493" s="4" t="str">
        <f t="shared" si="23"/>
        <v>Hair Color</v>
      </c>
      <c r="C1493" s="4" t="s">
        <v>1786</v>
      </c>
      <c r="D1493" s="4" t="s">
        <v>579</v>
      </c>
      <c r="E1493" s="24" t="s">
        <v>36</v>
      </c>
      <c r="F1493" s="12" t="s">
        <v>499</v>
      </c>
      <c r="G1493" s="4" t="s">
        <v>1787</v>
      </c>
      <c r="H1493" s="3">
        <v>24</v>
      </c>
      <c r="I1493" s="3">
        <v>0</v>
      </c>
      <c r="J1493" s="3">
        <v>0</v>
      </c>
      <c r="K1493" s="3">
        <v>18</v>
      </c>
      <c r="L1493" s="3">
        <v>60</v>
      </c>
      <c r="M1493" s="3">
        <v>150</v>
      </c>
      <c r="N1493" s="3">
        <v>0</v>
      </c>
      <c r="O1493" s="3">
        <v>84</v>
      </c>
      <c r="P1493" s="3">
        <v>36</v>
      </c>
      <c r="Q1493" s="3">
        <v>48</v>
      </c>
      <c r="R1493" s="3">
        <v>0</v>
      </c>
      <c r="S1493" s="3">
        <v>0</v>
      </c>
      <c r="T1493" s="3">
        <v>36</v>
      </c>
      <c r="U1493" s="3">
        <v>30</v>
      </c>
      <c r="V1493" s="3">
        <v>48</v>
      </c>
      <c r="W1493" s="3">
        <v>12</v>
      </c>
      <c r="X1493" s="3">
        <v>36</v>
      </c>
      <c r="Y1493" s="3">
        <v>36</v>
      </c>
      <c r="Z1493" s="3">
        <v>6</v>
      </c>
      <c r="AA1493" s="3">
        <v>60</v>
      </c>
      <c r="AB1493" s="3">
        <v>36</v>
      </c>
      <c r="AC1493" s="3">
        <v>0</v>
      </c>
      <c r="AD1493" s="3">
        <v>72</v>
      </c>
      <c r="AE1493" s="3">
        <v>42</v>
      </c>
      <c r="AF1493" s="3">
        <v>0</v>
      </c>
      <c r="AG1493" s="3">
        <v>0</v>
      </c>
      <c r="AH1493" s="3">
        <v>0</v>
      </c>
      <c r="AI1493" s="3">
        <v>6</v>
      </c>
      <c r="AJ1493" s="3">
        <v>18</v>
      </c>
      <c r="AK1493" s="3">
        <v>0</v>
      </c>
      <c r="AL1493" s="3">
        <v>60</v>
      </c>
      <c r="AM1493" s="3">
        <v>0</v>
      </c>
      <c r="AN1493" s="3">
        <v>48</v>
      </c>
      <c r="AO1493" s="3">
        <v>0</v>
      </c>
      <c r="AP1493" s="3">
        <v>72</v>
      </c>
      <c r="AQ1493" s="3">
        <v>60</v>
      </c>
      <c r="AR1493" s="3">
        <v>72</v>
      </c>
      <c r="AS1493" s="3">
        <v>6</v>
      </c>
      <c r="AT1493" s="3">
        <v>6</v>
      </c>
      <c r="AU1493" s="3">
        <v>24</v>
      </c>
      <c r="AV1493" s="3">
        <v>96</v>
      </c>
      <c r="AW1493" s="3">
        <v>12</v>
      </c>
    </row>
    <row r="1494" spans="1:49">
      <c r="A1494" s="4" t="s">
        <v>35</v>
      </c>
      <c r="B1494" s="4" t="str">
        <f t="shared" si="23"/>
        <v>Hair Color</v>
      </c>
      <c r="C1494" s="4" t="s">
        <v>1786</v>
      </c>
      <c r="D1494" s="4" t="s">
        <v>579</v>
      </c>
      <c r="E1494" s="24" t="s">
        <v>36</v>
      </c>
      <c r="F1494" s="12" t="s">
        <v>500</v>
      </c>
      <c r="G1494" s="4" t="s">
        <v>1787</v>
      </c>
      <c r="H1494" s="3">
        <v>6</v>
      </c>
      <c r="I1494" s="3">
        <v>0</v>
      </c>
      <c r="J1494" s="3">
        <v>12</v>
      </c>
      <c r="K1494" s="3">
        <v>6</v>
      </c>
      <c r="L1494" s="3">
        <v>0</v>
      </c>
      <c r="M1494" s="3">
        <v>174</v>
      </c>
      <c r="N1494" s="3">
        <v>12</v>
      </c>
      <c r="O1494" s="3">
        <v>78</v>
      </c>
      <c r="P1494" s="3">
        <v>0</v>
      </c>
      <c r="Q1494" s="3">
        <v>108</v>
      </c>
      <c r="R1494" s="3">
        <v>12</v>
      </c>
      <c r="S1494" s="3">
        <v>12</v>
      </c>
      <c r="T1494" s="3">
        <v>36</v>
      </c>
      <c r="U1494" s="3">
        <v>72</v>
      </c>
      <c r="V1494" s="3">
        <v>114</v>
      </c>
      <c r="W1494" s="3">
        <v>12</v>
      </c>
      <c r="X1494" s="3">
        <v>48</v>
      </c>
      <c r="Y1494" s="3">
        <v>60</v>
      </c>
      <c r="Z1494" s="3">
        <v>0</v>
      </c>
      <c r="AA1494" s="3">
        <v>60</v>
      </c>
      <c r="AB1494" s="3">
        <v>48</v>
      </c>
      <c r="AC1494" s="3">
        <v>0</v>
      </c>
      <c r="AD1494" s="3">
        <v>78</v>
      </c>
      <c r="AE1494" s="3">
        <v>84</v>
      </c>
      <c r="AF1494" s="3">
        <v>108</v>
      </c>
      <c r="AG1494" s="3">
        <v>24</v>
      </c>
      <c r="AH1494" s="3">
        <v>24</v>
      </c>
      <c r="AI1494" s="3">
        <v>6</v>
      </c>
      <c r="AJ1494" s="3">
        <v>24</v>
      </c>
      <c r="AK1494" s="3">
        <v>0</v>
      </c>
      <c r="AL1494" s="3">
        <v>66</v>
      </c>
      <c r="AM1494" s="3">
        <v>0</v>
      </c>
      <c r="AN1494" s="3">
        <v>156</v>
      </c>
      <c r="AO1494" s="3">
        <v>54</v>
      </c>
      <c r="AP1494" s="3">
        <v>162</v>
      </c>
      <c r="AQ1494" s="3">
        <v>48</v>
      </c>
      <c r="AR1494" s="3">
        <v>156</v>
      </c>
      <c r="AS1494" s="3">
        <v>36</v>
      </c>
      <c r="AT1494" s="3">
        <v>36</v>
      </c>
      <c r="AU1494" s="3">
        <v>60</v>
      </c>
      <c r="AV1494" s="3">
        <v>48</v>
      </c>
      <c r="AW1494" s="3">
        <v>72</v>
      </c>
    </row>
    <row r="1495" spans="1:49">
      <c r="A1495" s="4" t="s">
        <v>35</v>
      </c>
      <c r="B1495" s="4" t="str">
        <f t="shared" si="23"/>
        <v>Hair Color</v>
      </c>
      <c r="C1495" s="4" t="s">
        <v>1786</v>
      </c>
      <c r="D1495" s="4" t="s">
        <v>579</v>
      </c>
      <c r="E1495" s="24" t="s">
        <v>36</v>
      </c>
      <c r="F1495" s="12" t="s">
        <v>501</v>
      </c>
      <c r="G1495" s="4" t="s">
        <v>1787</v>
      </c>
      <c r="H1495" s="3">
        <v>0</v>
      </c>
      <c r="I1495" s="3">
        <v>0</v>
      </c>
      <c r="J1495" s="3">
        <v>0</v>
      </c>
      <c r="K1495" s="3">
        <v>6</v>
      </c>
      <c r="L1495" s="3">
        <v>48</v>
      </c>
      <c r="M1495" s="3">
        <v>90</v>
      </c>
      <c r="N1495" s="3">
        <v>72</v>
      </c>
      <c r="O1495" s="3">
        <v>0</v>
      </c>
      <c r="P1495" s="3">
        <v>12</v>
      </c>
      <c r="Q1495" s="3">
        <v>78</v>
      </c>
      <c r="R1495" s="3">
        <v>84</v>
      </c>
      <c r="S1495" s="3">
        <v>24</v>
      </c>
      <c r="T1495" s="3">
        <v>72</v>
      </c>
      <c r="U1495" s="3">
        <v>48</v>
      </c>
      <c r="V1495" s="3">
        <v>66</v>
      </c>
      <c r="W1495" s="3">
        <v>24</v>
      </c>
      <c r="X1495" s="3">
        <v>96</v>
      </c>
      <c r="Y1495" s="3">
        <v>60</v>
      </c>
      <c r="Z1495" s="3">
        <v>42</v>
      </c>
      <c r="AA1495" s="3">
        <v>66</v>
      </c>
      <c r="AB1495" s="3">
        <v>132</v>
      </c>
      <c r="AC1495" s="3">
        <v>0</v>
      </c>
      <c r="AD1495" s="3">
        <v>84</v>
      </c>
      <c r="AE1495" s="3">
        <v>60</v>
      </c>
      <c r="AF1495" s="3">
        <v>54</v>
      </c>
      <c r="AG1495" s="3">
        <v>6</v>
      </c>
      <c r="AH1495" s="3">
        <v>0</v>
      </c>
      <c r="AI1495" s="3">
        <v>6</v>
      </c>
      <c r="AJ1495" s="3">
        <v>0</v>
      </c>
      <c r="AK1495" s="3">
        <v>0</v>
      </c>
      <c r="AL1495" s="3">
        <v>60</v>
      </c>
      <c r="AM1495" s="3">
        <v>0</v>
      </c>
      <c r="AN1495" s="3">
        <v>60</v>
      </c>
      <c r="AO1495" s="3">
        <v>0</v>
      </c>
      <c r="AP1495" s="3">
        <v>96</v>
      </c>
      <c r="AQ1495" s="3">
        <v>0</v>
      </c>
      <c r="AR1495" s="3">
        <v>162</v>
      </c>
      <c r="AS1495" s="3">
        <v>12</v>
      </c>
      <c r="AT1495" s="3">
        <v>6</v>
      </c>
      <c r="AU1495" s="3">
        <v>108</v>
      </c>
      <c r="AV1495" s="3">
        <v>96</v>
      </c>
      <c r="AW1495" s="3">
        <v>66</v>
      </c>
    </row>
    <row r="1496" spans="1:49">
      <c r="A1496" s="4" t="s">
        <v>35</v>
      </c>
      <c r="B1496" s="4" t="str">
        <f t="shared" si="23"/>
        <v>Hair Color</v>
      </c>
      <c r="C1496" s="4" t="s">
        <v>1786</v>
      </c>
      <c r="D1496" s="4" t="s">
        <v>579</v>
      </c>
      <c r="E1496" s="24" t="s">
        <v>36</v>
      </c>
      <c r="F1496" s="12" t="s">
        <v>502</v>
      </c>
      <c r="G1496" s="4" t="s">
        <v>1787</v>
      </c>
      <c r="H1496" s="3">
        <v>12</v>
      </c>
      <c r="I1496" s="3">
        <v>0</v>
      </c>
      <c r="J1496" s="3">
        <v>0</v>
      </c>
      <c r="K1496" s="3">
        <v>12</v>
      </c>
      <c r="L1496" s="3">
        <v>12</v>
      </c>
      <c r="M1496" s="3">
        <v>48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12</v>
      </c>
      <c r="W1496" s="3">
        <v>0</v>
      </c>
      <c r="X1496" s="3">
        <v>24</v>
      </c>
      <c r="Y1496" s="3">
        <v>0</v>
      </c>
      <c r="Z1496" s="3">
        <v>0</v>
      </c>
      <c r="AA1496" s="3">
        <v>12</v>
      </c>
      <c r="AB1496" s="3">
        <v>54</v>
      </c>
      <c r="AC1496" s="3">
        <v>0</v>
      </c>
      <c r="AD1496" s="3">
        <v>12</v>
      </c>
      <c r="AE1496" s="3">
        <v>0</v>
      </c>
      <c r="AF1496" s="3">
        <v>0</v>
      </c>
      <c r="AG1496" s="3">
        <v>0</v>
      </c>
      <c r="AH1496" s="3">
        <v>0</v>
      </c>
      <c r="AI1496" s="3">
        <v>18</v>
      </c>
      <c r="AJ1496" s="3">
        <v>0</v>
      </c>
      <c r="AK1496" s="3">
        <v>0</v>
      </c>
      <c r="AL1496" s="3">
        <v>24</v>
      </c>
      <c r="AM1496" s="3">
        <v>0</v>
      </c>
      <c r="AN1496" s="3">
        <v>12</v>
      </c>
      <c r="AO1496" s="3">
        <v>0</v>
      </c>
      <c r="AP1496" s="3">
        <v>6</v>
      </c>
      <c r="AQ1496" s="3">
        <v>24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</row>
    <row r="1497" spans="1:49">
      <c r="A1497" s="4" t="s">
        <v>35</v>
      </c>
      <c r="B1497" s="4" t="str">
        <f t="shared" si="23"/>
        <v>Hair Color</v>
      </c>
      <c r="C1497" s="4" t="s">
        <v>1786</v>
      </c>
      <c r="D1497" s="4" t="s">
        <v>579</v>
      </c>
      <c r="E1497" s="24" t="s">
        <v>503</v>
      </c>
      <c r="F1497" s="12" t="s">
        <v>504</v>
      </c>
      <c r="G1497" s="4" t="s">
        <v>1787</v>
      </c>
      <c r="H1497" s="3">
        <v>42</v>
      </c>
      <c r="I1497" s="3">
        <v>3</v>
      </c>
      <c r="J1497" s="3">
        <v>36</v>
      </c>
      <c r="K1497" s="3">
        <v>6</v>
      </c>
      <c r="L1497" s="3">
        <v>27</v>
      </c>
      <c r="M1497" s="3">
        <v>42</v>
      </c>
      <c r="N1497" s="3">
        <v>12</v>
      </c>
      <c r="O1497" s="3">
        <v>0</v>
      </c>
      <c r="P1497" s="3">
        <v>18</v>
      </c>
      <c r="Q1497" s="3">
        <v>15</v>
      </c>
      <c r="R1497" s="3">
        <v>30</v>
      </c>
      <c r="S1497" s="3">
        <v>12</v>
      </c>
      <c r="T1497" s="3">
        <v>24</v>
      </c>
      <c r="U1497" s="3">
        <v>3</v>
      </c>
      <c r="V1497" s="3">
        <v>24</v>
      </c>
      <c r="W1497" s="3">
        <v>12</v>
      </c>
      <c r="X1497" s="3">
        <v>30</v>
      </c>
      <c r="Y1497" s="3">
        <v>12</v>
      </c>
      <c r="Z1497" s="3">
        <v>0</v>
      </c>
      <c r="AA1497" s="3">
        <v>12</v>
      </c>
      <c r="AB1497" s="3">
        <v>36</v>
      </c>
      <c r="AC1497" s="3">
        <v>6</v>
      </c>
      <c r="AD1497" s="3">
        <v>39</v>
      </c>
      <c r="AE1497" s="3">
        <v>3</v>
      </c>
      <c r="AF1497" s="3">
        <v>6</v>
      </c>
      <c r="AG1497" s="3">
        <v>51</v>
      </c>
      <c r="AH1497" s="3">
        <v>0</v>
      </c>
      <c r="AI1497" s="3">
        <v>0</v>
      </c>
      <c r="AJ1497" s="3">
        <v>27</v>
      </c>
      <c r="AK1497" s="3">
        <v>12</v>
      </c>
      <c r="AL1497" s="3">
        <v>0</v>
      </c>
      <c r="AM1497" s="3">
        <v>39</v>
      </c>
      <c r="AN1497" s="3">
        <v>27</v>
      </c>
      <c r="AO1497" s="3">
        <v>36</v>
      </c>
      <c r="AP1497" s="3">
        <v>0</v>
      </c>
      <c r="AQ1497" s="3">
        <v>0</v>
      </c>
      <c r="AR1497" s="3">
        <v>30</v>
      </c>
      <c r="AS1497" s="3">
        <v>24</v>
      </c>
      <c r="AT1497" s="3">
        <v>12</v>
      </c>
      <c r="AU1497" s="3">
        <v>3</v>
      </c>
      <c r="AV1497" s="3">
        <v>24</v>
      </c>
      <c r="AW1497" s="3">
        <v>0</v>
      </c>
    </row>
    <row r="1498" spans="1:49">
      <c r="A1498" s="4" t="s">
        <v>35</v>
      </c>
      <c r="B1498" s="4" t="str">
        <f t="shared" si="23"/>
        <v>Hair Color</v>
      </c>
      <c r="C1498" s="4" t="s">
        <v>1786</v>
      </c>
      <c r="D1498" s="4" t="s">
        <v>579</v>
      </c>
      <c r="E1498" s="24" t="s">
        <v>503</v>
      </c>
      <c r="F1498" s="12" t="s">
        <v>505</v>
      </c>
      <c r="G1498" s="4" t="s">
        <v>1787</v>
      </c>
      <c r="H1498" s="3">
        <v>24</v>
      </c>
      <c r="I1498" s="3">
        <v>21</v>
      </c>
      <c r="J1498" s="3">
        <v>6</v>
      </c>
      <c r="K1498" s="3">
        <v>12</v>
      </c>
      <c r="L1498" s="3">
        <v>24</v>
      </c>
      <c r="M1498" s="3">
        <v>15</v>
      </c>
      <c r="N1498" s="3">
        <v>12</v>
      </c>
      <c r="O1498" s="3">
        <v>0</v>
      </c>
      <c r="P1498" s="3">
        <v>27</v>
      </c>
      <c r="Q1498" s="3">
        <v>12</v>
      </c>
      <c r="R1498" s="3">
        <v>15</v>
      </c>
      <c r="S1498" s="3">
        <v>0</v>
      </c>
      <c r="T1498" s="3">
        <v>36</v>
      </c>
      <c r="U1498" s="3">
        <v>21</v>
      </c>
      <c r="V1498" s="3">
        <v>41</v>
      </c>
      <c r="W1498" s="3">
        <v>24</v>
      </c>
      <c r="X1498" s="3">
        <v>0</v>
      </c>
      <c r="Y1498" s="3">
        <v>12</v>
      </c>
      <c r="Z1498" s="3">
        <v>0</v>
      </c>
      <c r="AA1498" s="3">
        <v>0</v>
      </c>
      <c r="AB1498" s="3">
        <v>12</v>
      </c>
      <c r="AC1498" s="3">
        <v>3</v>
      </c>
      <c r="AD1498" s="3">
        <v>36</v>
      </c>
      <c r="AE1498" s="3">
        <v>3</v>
      </c>
      <c r="AF1498" s="3">
        <v>6</v>
      </c>
      <c r="AG1498" s="3">
        <v>39</v>
      </c>
      <c r="AH1498" s="3">
        <v>0</v>
      </c>
      <c r="AI1498" s="3">
        <v>0</v>
      </c>
      <c r="AJ1498" s="3">
        <v>12</v>
      </c>
      <c r="AK1498" s="3">
        <v>24</v>
      </c>
      <c r="AL1498" s="3">
        <v>33</v>
      </c>
      <c r="AM1498" s="3">
        <v>12</v>
      </c>
      <c r="AN1498" s="3">
        <v>27</v>
      </c>
      <c r="AO1498" s="3">
        <v>0</v>
      </c>
      <c r="AP1498" s="3">
        <v>54</v>
      </c>
      <c r="AQ1498" s="3">
        <v>15</v>
      </c>
      <c r="AR1498" s="3">
        <v>24</v>
      </c>
      <c r="AS1498" s="3">
        <v>3</v>
      </c>
      <c r="AT1498" s="3">
        <v>0</v>
      </c>
      <c r="AU1498" s="3">
        <v>12</v>
      </c>
      <c r="AV1498" s="3">
        <v>12</v>
      </c>
      <c r="AW1498" s="3">
        <v>24</v>
      </c>
    </row>
    <row r="1499" spans="1:49">
      <c r="A1499" s="4" t="s">
        <v>35</v>
      </c>
      <c r="B1499" s="4" t="str">
        <f t="shared" si="23"/>
        <v>Hair Color</v>
      </c>
      <c r="C1499" s="4" t="s">
        <v>1786</v>
      </c>
      <c r="D1499" s="4" t="s">
        <v>579</v>
      </c>
      <c r="E1499" s="24" t="s">
        <v>503</v>
      </c>
      <c r="F1499" s="12" t="s">
        <v>506</v>
      </c>
      <c r="G1499" s="4" t="s">
        <v>1787</v>
      </c>
      <c r="H1499" s="3">
        <v>63</v>
      </c>
      <c r="I1499" s="3">
        <v>27</v>
      </c>
      <c r="J1499" s="3">
        <v>30</v>
      </c>
      <c r="K1499" s="3">
        <v>54</v>
      </c>
      <c r="L1499" s="3">
        <v>15</v>
      </c>
      <c r="M1499" s="3">
        <v>3</v>
      </c>
      <c r="N1499" s="3">
        <v>15</v>
      </c>
      <c r="O1499" s="3">
        <v>24</v>
      </c>
      <c r="P1499" s="3">
        <v>21</v>
      </c>
      <c r="Q1499" s="3">
        <v>33</v>
      </c>
      <c r="R1499" s="3">
        <v>33</v>
      </c>
      <c r="S1499" s="3">
        <v>24</v>
      </c>
      <c r="T1499" s="3">
        <v>39</v>
      </c>
      <c r="U1499" s="3">
        <v>21</v>
      </c>
      <c r="V1499" s="3">
        <v>36</v>
      </c>
      <c r="W1499" s="3">
        <v>24</v>
      </c>
      <c r="X1499" s="3">
        <v>36</v>
      </c>
      <c r="Y1499" s="3">
        <v>12</v>
      </c>
      <c r="Z1499" s="3">
        <v>0</v>
      </c>
      <c r="AA1499" s="3">
        <v>18</v>
      </c>
      <c r="AB1499" s="3">
        <v>24</v>
      </c>
      <c r="AC1499" s="3">
        <v>15</v>
      </c>
      <c r="AD1499" s="3">
        <v>0</v>
      </c>
      <c r="AE1499" s="3">
        <v>24</v>
      </c>
      <c r="AF1499" s="3">
        <v>21</v>
      </c>
      <c r="AG1499" s="3">
        <v>39</v>
      </c>
      <c r="AH1499" s="3">
        <v>0</v>
      </c>
      <c r="AI1499" s="3">
        <v>12</v>
      </c>
      <c r="AJ1499" s="3">
        <v>15</v>
      </c>
      <c r="AK1499" s="3">
        <v>12</v>
      </c>
      <c r="AL1499" s="3">
        <v>27</v>
      </c>
      <c r="AM1499" s="3">
        <v>12</v>
      </c>
      <c r="AN1499" s="3">
        <v>0</v>
      </c>
      <c r="AO1499" s="3">
        <v>0</v>
      </c>
      <c r="AP1499" s="3">
        <v>3</v>
      </c>
      <c r="AQ1499" s="3">
        <v>30</v>
      </c>
      <c r="AR1499" s="3">
        <v>3</v>
      </c>
      <c r="AS1499" s="3">
        <v>30</v>
      </c>
      <c r="AT1499" s="3">
        <v>0</v>
      </c>
      <c r="AU1499" s="3">
        <v>30</v>
      </c>
      <c r="AV1499" s="3">
        <v>12</v>
      </c>
      <c r="AW1499" s="3">
        <v>15</v>
      </c>
    </row>
    <row r="1500" spans="1:49">
      <c r="A1500" s="4" t="s">
        <v>35</v>
      </c>
      <c r="B1500" s="4" t="str">
        <f t="shared" si="23"/>
        <v>Hair Color</v>
      </c>
      <c r="C1500" s="4" t="s">
        <v>1786</v>
      </c>
      <c r="D1500" s="4" t="s">
        <v>579</v>
      </c>
      <c r="E1500" s="24" t="s">
        <v>503</v>
      </c>
      <c r="F1500" s="12" t="s">
        <v>507</v>
      </c>
      <c r="G1500" s="4" t="s">
        <v>1787</v>
      </c>
      <c r="H1500" s="3">
        <v>99</v>
      </c>
      <c r="I1500" s="3">
        <v>15</v>
      </c>
      <c r="J1500" s="3">
        <v>78</v>
      </c>
      <c r="K1500" s="3">
        <v>45</v>
      </c>
      <c r="L1500" s="3">
        <v>45</v>
      </c>
      <c r="M1500" s="3">
        <v>84</v>
      </c>
      <c r="N1500" s="3">
        <v>3</v>
      </c>
      <c r="O1500" s="3">
        <v>66</v>
      </c>
      <c r="P1500" s="3">
        <v>66</v>
      </c>
      <c r="Q1500" s="3">
        <v>60</v>
      </c>
      <c r="R1500" s="3">
        <v>81</v>
      </c>
      <c r="S1500" s="3">
        <v>60</v>
      </c>
      <c r="T1500" s="3">
        <v>54</v>
      </c>
      <c r="U1500" s="3">
        <v>81</v>
      </c>
      <c r="V1500" s="3">
        <v>48</v>
      </c>
      <c r="W1500" s="3">
        <v>48</v>
      </c>
      <c r="X1500" s="3">
        <v>87</v>
      </c>
      <c r="Y1500" s="3">
        <v>36</v>
      </c>
      <c r="Z1500" s="3">
        <v>27</v>
      </c>
      <c r="AA1500" s="3">
        <v>39</v>
      </c>
      <c r="AB1500" s="3">
        <v>96</v>
      </c>
      <c r="AC1500" s="3">
        <v>15</v>
      </c>
      <c r="AD1500" s="3">
        <v>102</v>
      </c>
      <c r="AE1500" s="3">
        <v>24</v>
      </c>
      <c r="AF1500" s="3">
        <v>48</v>
      </c>
      <c r="AG1500" s="3">
        <v>96</v>
      </c>
      <c r="AH1500" s="3">
        <v>6</v>
      </c>
      <c r="AI1500" s="3">
        <v>24</v>
      </c>
      <c r="AJ1500" s="3">
        <v>24</v>
      </c>
      <c r="AK1500" s="3">
        <v>0</v>
      </c>
      <c r="AL1500" s="3">
        <v>57</v>
      </c>
      <c r="AM1500" s="3">
        <v>24</v>
      </c>
      <c r="AN1500" s="3">
        <v>0</v>
      </c>
      <c r="AO1500" s="3">
        <v>0</v>
      </c>
      <c r="AP1500" s="3">
        <v>27</v>
      </c>
      <c r="AQ1500" s="3">
        <v>0</v>
      </c>
      <c r="AR1500" s="3">
        <v>99</v>
      </c>
      <c r="AS1500" s="3">
        <v>15</v>
      </c>
      <c r="AT1500" s="3">
        <v>24</v>
      </c>
      <c r="AU1500" s="3">
        <v>48</v>
      </c>
      <c r="AV1500" s="3">
        <v>36</v>
      </c>
      <c r="AW1500" s="3">
        <v>24</v>
      </c>
    </row>
    <row r="1501" spans="1:49">
      <c r="A1501" s="4" t="s">
        <v>35</v>
      </c>
      <c r="B1501" s="4" t="str">
        <f t="shared" si="23"/>
        <v>Hair Color</v>
      </c>
      <c r="C1501" s="4" t="s">
        <v>1786</v>
      </c>
      <c r="D1501" s="4" t="s">
        <v>579</v>
      </c>
      <c r="E1501" s="24" t="s">
        <v>47</v>
      </c>
      <c r="F1501" s="12" t="s">
        <v>508</v>
      </c>
      <c r="G1501" s="4" t="s">
        <v>1787</v>
      </c>
      <c r="H1501" s="3">
        <v>519</v>
      </c>
      <c r="I1501" s="3">
        <v>417</v>
      </c>
      <c r="J1501" s="3">
        <v>285</v>
      </c>
      <c r="K1501" s="3">
        <v>681</v>
      </c>
      <c r="L1501" s="3">
        <v>471</v>
      </c>
      <c r="M1501" s="3">
        <v>543</v>
      </c>
      <c r="N1501" s="3">
        <v>42</v>
      </c>
      <c r="O1501" s="3">
        <v>693</v>
      </c>
      <c r="P1501" s="3">
        <v>555</v>
      </c>
      <c r="Q1501" s="3">
        <v>315</v>
      </c>
      <c r="R1501" s="3">
        <v>111</v>
      </c>
      <c r="S1501" s="3">
        <v>366</v>
      </c>
      <c r="T1501" s="3">
        <v>324</v>
      </c>
      <c r="U1501" s="3">
        <v>90</v>
      </c>
      <c r="V1501" s="3">
        <v>534</v>
      </c>
      <c r="W1501" s="3">
        <v>180</v>
      </c>
      <c r="X1501" s="3">
        <v>429</v>
      </c>
      <c r="Y1501" s="3">
        <v>567</v>
      </c>
      <c r="Z1501" s="3">
        <v>90</v>
      </c>
      <c r="AA1501" s="3">
        <v>72</v>
      </c>
      <c r="AB1501" s="3">
        <v>309</v>
      </c>
      <c r="AC1501" s="3">
        <v>261</v>
      </c>
      <c r="AD1501" s="3">
        <v>363</v>
      </c>
      <c r="AE1501" s="3">
        <v>114</v>
      </c>
      <c r="AF1501" s="3">
        <v>3</v>
      </c>
      <c r="AG1501" s="3">
        <v>0</v>
      </c>
      <c r="AH1501" s="3">
        <v>33</v>
      </c>
      <c r="AI1501" s="3">
        <v>315</v>
      </c>
      <c r="AJ1501" s="3">
        <v>180</v>
      </c>
      <c r="AK1501" s="3">
        <v>696</v>
      </c>
      <c r="AL1501" s="3">
        <v>126</v>
      </c>
      <c r="AM1501" s="3">
        <v>264</v>
      </c>
      <c r="AN1501" s="3">
        <v>396</v>
      </c>
      <c r="AO1501" s="3">
        <v>204</v>
      </c>
      <c r="AP1501" s="3">
        <v>489</v>
      </c>
      <c r="AQ1501" s="3">
        <v>96</v>
      </c>
      <c r="AR1501" s="3">
        <v>402</v>
      </c>
      <c r="AS1501" s="3">
        <v>339</v>
      </c>
      <c r="AT1501" s="3">
        <v>471</v>
      </c>
      <c r="AU1501" s="3">
        <v>21</v>
      </c>
      <c r="AV1501" s="3">
        <v>57</v>
      </c>
      <c r="AW1501" s="3">
        <v>186</v>
      </c>
    </row>
    <row r="1502" spans="1:49">
      <c r="A1502" s="4" t="s">
        <v>35</v>
      </c>
      <c r="B1502" s="4" t="str">
        <f t="shared" si="23"/>
        <v>Hair Color</v>
      </c>
      <c r="C1502" s="4" t="s">
        <v>1786</v>
      </c>
      <c r="D1502" s="4" t="s">
        <v>579</v>
      </c>
      <c r="E1502" s="24" t="s">
        <v>47</v>
      </c>
      <c r="F1502" s="12" t="s">
        <v>509</v>
      </c>
      <c r="G1502" s="4" t="s">
        <v>1787</v>
      </c>
      <c r="H1502" s="3">
        <v>363</v>
      </c>
      <c r="I1502" s="3">
        <v>240</v>
      </c>
      <c r="J1502" s="3">
        <v>330</v>
      </c>
      <c r="K1502" s="3">
        <v>495</v>
      </c>
      <c r="L1502" s="3">
        <v>273</v>
      </c>
      <c r="M1502" s="3">
        <v>396</v>
      </c>
      <c r="N1502" s="3">
        <v>144</v>
      </c>
      <c r="O1502" s="3">
        <v>549</v>
      </c>
      <c r="P1502" s="3">
        <v>387</v>
      </c>
      <c r="Q1502" s="3">
        <v>264</v>
      </c>
      <c r="R1502" s="3">
        <v>81</v>
      </c>
      <c r="S1502" s="3">
        <v>159</v>
      </c>
      <c r="T1502" s="3">
        <v>252</v>
      </c>
      <c r="U1502" s="3">
        <v>147</v>
      </c>
      <c r="V1502" s="3">
        <v>387</v>
      </c>
      <c r="W1502" s="3">
        <v>153</v>
      </c>
      <c r="X1502" s="3">
        <v>249</v>
      </c>
      <c r="Y1502" s="3">
        <v>426</v>
      </c>
      <c r="Z1502" s="3">
        <v>54</v>
      </c>
      <c r="AA1502" s="3">
        <v>132</v>
      </c>
      <c r="AB1502" s="3">
        <v>330</v>
      </c>
      <c r="AC1502" s="3">
        <v>162</v>
      </c>
      <c r="AD1502" s="3">
        <v>219</v>
      </c>
      <c r="AE1502" s="3">
        <v>63</v>
      </c>
      <c r="AF1502" s="3">
        <v>123</v>
      </c>
      <c r="AG1502" s="3">
        <v>0</v>
      </c>
      <c r="AH1502" s="3">
        <v>0</v>
      </c>
      <c r="AI1502" s="3">
        <v>225</v>
      </c>
      <c r="AJ1502" s="3">
        <v>168</v>
      </c>
      <c r="AK1502" s="3">
        <v>315</v>
      </c>
      <c r="AL1502" s="3">
        <v>87</v>
      </c>
      <c r="AM1502" s="3">
        <v>312</v>
      </c>
      <c r="AN1502" s="3">
        <v>369</v>
      </c>
      <c r="AO1502" s="3">
        <v>81</v>
      </c>
      <c r="AP1502" s="3">
        <v>357</v>
      </c>
      <c r="AQ1502" s="3">
        <v>66</v>
      </c>
      <c r="AR1502" s="3">
        <v>150</v>
      </c>
      <c r="AS1502" s="3">
        <v>183</v>
      </c>
      <c r="AT1502" s="3">
        <v>309</v>
      </c>
      <c r="AU1502" s="3">
        <v>18</v>
      </c>
      <c r="AV1502" s="3">
        <v>141</v>
      </c>
      <c r="AW1502" s="3">
        <v>63</v>
      </c>
    </row>
    <row r="1503" spans="1:49">
      <c r="A1503" s="4" t="s">
        <v>35</v>
      </c>
      <c r="B1503" s="4" t="str">
        <f t="shared" si="23"/>
        <v>Hair Color</v>
      </c>
      <c r="C1503" s="4" t="s">
        <v>1786</v>
      </c>
      <c r="D1503" s="4" t="s">
        <v>579</v>
      </c>
      <c r="E1503" s="24" t="s">
        <v>47</v>
      </c>
      <c r="F1503" s="12" t="s">
        <v>510</v>
      </c>
      <c r="G1503" s="4" t="s">
        <v>1787</v>
      </c>
      <c r="H1503" s="3">
        <v>438</v>
      </c>
      <c r="I1503" s="3">
        <v>372</v>
      </c>
      <c r="J1503" s="3">
        <v>279</v>
      </c>
      <c r="K1503" s="3">
        <v>693</v>
      </c>
      <c r="L1503" s="3">
        <v>330</v>
      </c>
      <c r="M1503" s="3">
        <v>423</v>
      </c>
      <c r="N1503" s="3">
        <v>45</v>
      </c>
      <c r="O1503" s="3">
        <v>555</v>
      </c>
      <c r="P1503" s="3">
        <v>486</v>
      </c>
      <c r="Q1503" s="3">
        <v>210</v>
      </c>
      <c r="R1503" s="3">
        <v>120</v>
      </c>
      <c r="S1503" s="3">
        <v>369</v>
      </c>
      <c r="T1503" s="3">
        <v>312</v>
      </c>
      <c r="U1503" s="3">
        <v>192</v>
      </c>
      <c r="V1503" s="3">
        <v>681</v>
      </c>
      <c r="W1503" s="3">
        <v>216</v>
      </c>
      <c r="X1503" s="3">
        <v>480</v>
      </c>
      <c r="Y1503" s="3">
        <v>243</v>
      </c>
      <c r="Z1503" s="3">
        <v>90</v>
      </c>
      <c r="AA1503" s="3">
        <v>312</v>
      </c>
      <c r="AB1503" s="3">
        <v>336</v>
      </c>
      <c r="AC1503" s="3">
        <v>285</v>
      </c>
      <c r="AD1503" s="3">
        <v>384</v>
      </c>
      <c r="AE1503" s="3">
        <v>138</v>
      </c>
      <c r="AF1503" s="3">
        <v>219</v>
      </c>
      <c r="AG1503" s="3">
        <v>123</v>
      </c>
      <c r="AH1503" s="3">
        <v>0</v>
      </c>
      <c r="AI1503" s="3">
        <v>360</v>
      </c>
      <c r="AJ1503" s="3">
        <v>0</v>
      </c>
      <c r="AK1503" s="3">
        <v>90</v>
      </c>
      <c r="AL1503" s="3">
        <v>354</v>
      </c>
      <c r="AM1503" s="3">
        <v>522</v>
      </c>
      <c r="AN1503" s="3">
        <v>471</v>
      </c>
      <c r="AO1503" s="3">
        <v>285</v>
      </c>
      <c r="AP1503" s="3">
        <v>585</v>
      </c>
      <c r="AQ1503" s="3">
        <v>93</v>
      </c>
      <c r="AR1503" s="3">
        <v>426</v>
      </c>
      <c r="AS1503" s="3">
        <v>366</v>
      </c>
      <c r="AT1503" s="3">
        <v>495</v>
      </c>
      <c r="AU1503" s="3">
        <v>45</v>
      </c>
      <c r="AV1503" s="3">
        <v>156</v>
      </c>
      <c r="AW1503" s="3">
        <v>129</v>
      </c>
    </row>
    <row r="1504" spans="1:49">
      <c r="A1504" s="4" t="s">
        <v>35</v>
      </c>
      <c r="B1504" s="4" t="str">
        <f t="shared" si="23"/>
        <v>Hair Color</v>
      </c>
      <c r="C1504" s="4" t="s">
        <v>1786</v>
      </c>
      <c r="D1504" s="4" t="s">
        <v>579</v>
      </c>
      <c r="E1504" s="24" t="s">
        <v>47</v>
      </c>
      <c r="F1504" s="12" t="s">
        <v>511</v>
      </c>
      <c r="G1504" s="4" t="s">
        <v>1787</v>
      </c>
      <c r="H1504" s="3">
        <v>438</v>
      </c>
      <c r="I1504" s="3">
        <v>306</v>
      </c>
      <c r="J1504" s="3">
        <v>303</v>
      </c>
      <c r="K1504" s="3">
        <v>591</v>
      </c>
      <c r="L1504" s="3">
        <v>300</v>
      </c>
      <c r="M1504" s="3">
        <v>321</v>
      </c>
      <c r="N1504" s="3">
        <v>120</v>
      </c>
      <c r="O1504" s="3">
        <v>492</v>
      </c>
      <c r="P1504" s="3">
        <v>165</v>
      </c>
      <c r="Q1504" s="3">
        <v>453</v>
      </c>
      <c r="R1504" s="3">
        <v>66</v>
      </c>
      <c r="S1504" s="3">
        <v>354</v>
      </c>
      <c r="T1504" s="3">
        <v>237</v>
      </c>
      <c r="U1504" s="3">
        <v>204</v>
      </c>
      <c r="V1504" s="3">
        <v>453</v>
      </c>
      <c r="W1504" s="3">
        <v>240</v>
      </c>
      <c r="X1504" s="3">
        <v>351</v>
      </c>
      <c r="Y1504" s="3">
        <v>450</v>
      </c>
      <c r="Z1504" s="3">
        <v>45</v>
      </c>
      <c r="AA1504" s="3">
        <v>69</v>
      </c>
      <c r="AB1504" s="3">
        <v>330</v>
      </c>
      <c r="AC1504" s="3">
        <v>231</v>
      </c>
      <c r="AD1504" s="3">
        <v>363</v>
      </c>
      <c r="AE1504" s="3">
        <v>93</v>
      </c>
      <c r="AF1504" s="3">
        <v>198</v>
      </c>
      <c r="AG1504" s="3">
        <v>6</v>
      </c>
      <c r="AH1504" s="3">
        <v>6</v>
      </c>
      <c r="AI1504" s="3">
        <v>321</v>
      </c>
      <c r="AJ1504" s="3">
        <v>165</v>
      </c>
      <c r="AK1504" s="3">
        <v>477</v>
      </c>
      <c r="AL1504" s="3">
        <v>54</v>
      </c>
      <c r="AM1504" s="3">
        <v>258</v>
      </c>
      <c r="AN1504" s="3">
        <v>414</v>
      </c>
      <c r="AO1504" s="3">
        <v>93</v>
      </c>
      <c r="AP1504" s="3">
        <v>519</v>
      </c>
      <c r="AQ1504" s="3">
        <v>72</v>
      </c>
      <c r="AR1504" s="3">
        <v>378</v>
      </c>
      <c r="AS1504" s="3">
        <v>222</v>
      </c>
      <c r="AT1504" s="3">
        <v>501</v>
      </c>
      <c r="AU1504" s="3">
        <v>66</v>
      </c>
      <c r="AV1504" s="3">
        <v>180</v>
      </c>
      <c r="AW1504" s="3">
        <v>93</v>
      </c>
    </row>
    <row r="1505" spans="1:49">
      <c r="A1505" s="4" t="s">
        <v>35</v>
      </c>
      <c r="B1505" s="4" t="str">
        <f t="shared" si="23"/>
        <v>Hair Color</v>
      </c>
      <c r="C1505" s="4" t="s">
        <v>1786</v>
      </c>
      <c r="D1505" s="4" t="s">
        <v>579</v>
      </c>
      <c r="E1505" s="24" t="s">
        <v>47</v>
      </c>
      <c r="F1505" s="12" t="s">
        <v>512</v>
      </c>
      <c r="G1505" s="4" t="s">
        <v>1787</v>
      </c>
      <c r="H1505" s="3">
        <v>207</v>
      </c>
      <c r="I1505" s="3">
        <v>108</v>
      </c>
      <c r="J1505" s="3">
        <v>96</v>
      </c>
      <c r="K1505" s="3">
        <v>240</v>
      </c>
      <c r="L1505" s="3">
        <v>51</v>
      </c>
      <c r="M1505" s="3">
        <v>234</v>
      </c>
      <c r="N1505" s="3">
        <v>12</v>
      </c>
      <c r="O1505" s="3">
        <v>183</v>
      </c>
      <c r="P1505" s="3">
        <v>204</v>
      </c>
      <c r="Q1505" s="3">
        <v>57</v>
      </c>
      <c r="R1505" s="3">
        <v>18</v>
      </c>
      <c r="S1505" s="3">
        <v>102</v>
      </c>
      <c r="T1505" s="3">
        <v>93</v>
      </c>
      <c r="U1505" s="3">
        <v>30</v>
      </c>
      <c r="V1505" s="3">
        <v>213</v>
      </c>
      <c r="W1505" s="3">
        <v>72</v>
      </c>
      <c r="X1505" s="3">
        <v>141</v>
      </c>
      <c r="Y1505" s="3">
        <v>75</v>
      </c>
      <c r="Z1505" s="3">
        <v>24</v>
      </c>
      <c r="AA1505" s="3">
        <v>123</v>
      </c>
      <c r="AB1505" s="3">
        <v>108</v>
      </c>
      <c r="AC1505" s="3">
        <v>165</v>
      </c>
      <c r="AD1505" s="3">
        <v>90</v>
      </c>
      <c r="AE1505" s="3">
        <v>39</v>
      </c>
      <c r="AF1505" s="3">
        <v>90</v>
      </c>
      <c r="AG1505" s="3">
        <v>150</v>
      </c>
      <c r="AH1505" s="3">
        <v>54</v>
      </c>
      <c r="AI1505" s="3">
        <v>18</v>
      </c>
      <c r="AJ1505" s="3">
        <v>45</v>
      </c>
      <c r="AK1505" s="3">
        <v>66</v>
      </c>
      <c r="AL1505" s="3">
        <v>138</v>
      </c>
      <c r="AM1505" s="3">
        <v>120</v>
      </c>
      <c r="AN1505" s="3">
        <v>129</v>
      </c>
      <c r="AO1505" s="3">
        <v>6</v>
      </c>
      <c r="AP1505" s="3">
        <v>195</v>
      </c>
      <c r="AQ1505" s="3">
        <v>6</v>
      </c>
      <c r="AR1505" s="3">
        <v>120</v>
      </c>
      <c r="AS1505" s="3">
        <v>177</v>
      </c>
      <c r="AT1505" s="3">
        <v>156</v>
      </c>
      <c r="AU1505" s="3">
        <v>3</v>
      </c>
      <c r="AV1505" s="3">
        <v>93</v>
      </c>
      <c r="AW1505" s="3">
        <v>69</v>
      </c>
    </row>
    <row r="1506" spans="1:49">
      <c r="A1506" s="4" t="s">
        <v>35</v>
      </c>
      <c r="B1506" s="4" t="str">
        <f t="shared" si="23"/>
        <v>Hair Color</v>
      </c>
      <c r="C1506" s="4" t="s">
        <v>1786</v>
      </c>
      <c r="D1506" s="4" t="s">
        <v>579</v>
      </c>
      <c r="E1506" s="24" t="s">
        <v>47</v>
      </c>
      <c r="F1506" s="12" t="s">
        <v>513</v>
      </c>
      <c r="G1506" s="4" t="s">
        <v>1787</v>
      </c>
      <c r="H1506" s="3">
        <v>303</v>
      </c>
      <c r="I1506" s="3">
        <v>150</v>
      </c>
      <c r="J1506" s="3">
        <v>213</v>
      </c>
      <c r="K1506" s="3">
        <v>402</v>
      </c>
      <c r="L1506" s="3">
        <v>99</v>
      </c>
      <c r="M1506" s="3">
        <v>432</v>
      </c>
      <c r="N1506" s="3">
        <v>69</v>
      </c>
      <c r="O1506" s="3">
        <v>369</v>
      </c>
      <c r="P1506" s="3">
        <v>279</v>
      </c>
      <c r="Q1506" s="3">
        <v>162</v>
      </c>
      <c r="R1506" s="3">
        <v>15</v>
      </c>
      <c r="S1506" s="3">
        <v>192</v>
      </c>
      <c r="T1506" s="3">
        <v>219</v>
      </c>
      <c r="U1506" s="3">
        <v>105</v>
      </c>
      <c r="V1506" s="3">
        <v>225</v>
      </c>
      <c r="W1506" s="3">
        <v>138</v>
      </c>
      <c r="X1506" s="3">
        <v>267</v>
      </c>
      <c r="Y1506" s="3">
        <v>387</v>
      </c>
      <c r="Z1506" s="3">
        <v>45</v>
      </c>
      <c r="AA1506" s="3">
        <v>48</v>
      </c>
      <c r="AB1506" s="3">
        <v>219</v>
      </c>
      <c r="AC1506" s="3">
        <v>108</v>
      </c>
      <c r="AD1506" s="3">
        <v>156</v>
      </c>
      <c r="AE1506" s="3">
        <v>90</v>
      </c>
      <c r="AF1506" s="3">
        <v>147</v>
      </c>
      <c r="AG1506" s="3">
        <v>228</v>
      </c>
      <c r="AH1506" s="3">
        <v>60</v>
      </c>
      <c r="AI1506" s="3">
        <v>234</v>
      </c>
      <c r="AJ1506" s="3">
        <v>36</v>
      </c>
      <c r="AK1506" s="3">
        <v>120</v>
      </c>
      <c r="AL1506" s="3">
        <v>51</v>
      </c>
      <c r="AM1506" s="3">
        <v>186</v>
      </c>
      <c r="AN1506" s="3">
        <v>138</v>
      </c>
      <c r="AO1506" s="3">
        <v>0</v>
      </c>
      <c r="AP1506" s="3">
        <v>150</v>
      </c>
      <c r="AQ1506" s="3">
        <v>129</v>
      </c>
      <c r="AR1506" s="3">
        <v>231</v>
      </c>
      <c r="AS1506" s="3">
        <v>336</v>
      </c>
      <c r="AT1506" s="3">
        <v>279</v>
      </c>
      <c r="AU1506" s="3">
        <v>39</v>
      </c>
      <c r="AV1506" s="3">
        <v>75</v>
      </c>
      <c r="AW1506" s="3">
        <v>51</v>
      </c>
    </row>
    <row r="1507" spans="1:49">
      <c r="A1507" s="4" t="s">
        <v>35</v>
      </c>
      <c r="B1507" s="4" t="str">
        <f t="shared" si="23"/>
        <v>Hair Color</v>
      </c>
      <c r="C1507" s="4" t="s">
        <v>1786</v>
      </c>
      <c r="D1507" s="4" t="s">
        <v>579</v>
      </c>
      <c r="E1507" s="24" t="s">
        <v>47</v>
      </c>
      <c r="F1507" s="12" t="s">
        <v>514</v>
      </c>
      <c r="G1507" s="4" t="s">
        <v>1787</v>
      </c>
      <c r="H1507" s="3">
        <v>213</v>
      </c>
      <c r="I1507" s="3">
        <v>189</v>
      </c>
      <c r="J1507" s="3">
        <v>165</v>
      </c>
      <c r="K1507" s="3">
        <v>504</v>
      </c>
      <c r="L1507" s="3">
        <v>102</v>
      </c>
      <c r="M1507" s="3">
        <v>399</v>
      </c>
      <c r="N1507" s="3">
        <v>42</v>
      </c>
      <c r="O1507" s="3">
        <v>420</v>
      </c>
      <c r="P1507" s="3">
        <v>279</v>
      </c>
      <c r="Q1507" s="3">
        <v>99</v>
      </c>
      <c r="R1507" s="3">
        <v>30</v>
      </c>
      <c r="S1507" s="3">
        <v>78</v>
      </c>
      <c r="T1507" s="3">
        <v>201</v>
      </c>
      <c r="U1507" s="3">
        <v>78</v>
      </c>
      <c r="V1507" s="3">
        <v>303</v>
      </c>
      <c r="W1507" s="3">
        <v>162</v>
      </c>
      <c r="X1507" s="3">
        <v>117</v>
      </c>
      <c r="Y1507" s="3">
        <v>393</v>
      </c>
      <c r="Z1507" s="3">
        <v>24</v>
      </c>
      <c r="AA1507" s="3">
        <v>15</v>
      </c>
      <c r="AB1507" s="3">
        <v>270</v>
      </c>
      <c r="AC1507" s="3">
        <v>123</v>
      </c>
      <c r="AD1507" s="3">
        <v>216</v>
      </c>
      <c r="AE1507" s="3">
        <v>81</v>
      </c>
      <c r="AF1507" s="3">
        <v>78</v>
      </c>
      <c r="AG1507" s="3">
        <v>12</v>
      </c>
      <c r="AH1507" s="3">
        <v>0</v>
      </c>
      <c r="AI1507" s="3">
        <v>243</v>
      </c>
      <c r="AJ1507" s="3">
        <v>51</v>
      </c>
      <c r="AK1507" s="3">
        <v>234</v>
      </c>
      <c r="AL1507" s="3">
        <v>27</v>
      </c>
      <c r="AM1507" s="3">
        <v>147</v>
      </c>
      <c r="AN1507" s="3">
        <v>162</v>
      </c>
      <c r="AO1507" s="3">
        <v>117</v>
      </c>
      <c r="AP1507" s="3">
        <v>315</v>
      </c>
      <c r="AQ1507" s="3">
        <v>18</v>
      </c>
      <c r="AR1507" s="3">
        <v>177</v>
      </c>
      <c r="AS1507" s="3">
        <v>246</v>
      </c>
      <c r="AT1507" s="3">
        <v>126</v>
      </c>
      <c r="AU1507" s="3">
        <v>27</v>
      </c>
      <c r="AV1507" s="3">
        <v>153</v>
      </c>
      <c r="AW1507" s="3">
        <v>90</v>
      </c>
    </row>
    <row r="1508" spans="1:49">
      <c r="A1508" s="4" t="s">
        <v>35</v>
      </c>
      <c r="B1508" s="4" t="str">
        <f t="shared" si="23"/>
        <v>Hair Color</v>
      </c>
      <c r="C1508" s="4" t="s">
        <v>1786</v>
      </c>
      <c r="D1508" s="4" t="s">
        <v>579</v>
      </c>
      <c r="E1508" s="24" t="s">
        <v>47</v>
      </c>
      <c r="F1508" s="12" t="s">
        <v>515</v>
      </c>
      <c r="G1508" s="4" t="s">
        <v>1787</v>
      </c>
      <c r="H1508" s="3">
        <v>345</v>
      </c>
      <c r="I1508" s="3">
        <v>297</v>
      </c>
      <c r="J1508" s="3">
        <v>345</v>
      </c>
      <c r="K1508" s="3">
        <v>618</v>
      </c>
      <c r="L1508" s="3">
        <v>276</v>
      </c>
      <c r="M1508" s="3">
        <v>423</v>
      </c>
      <c r="N1508" s="3">
        <v>84</v>
      </c>
      <c r="O1508" s="3">
        <v>636</v>
      </c>
      <c r="P1508" s="3">
        <v>447</v>
      </c>
      <c r="Q1508" s="3">
        <v>174</v>
      </c>
      <c r="R1508" s="3">
        <v>45</v>
      </c>
      <c r="S1508" s="3">
        <v>291</v>
      </c>
      <c r="T1508" s="3">
        <v>288</v>
      </c>
      <c r="U1508" s="3">
        <v>150</v>
      </c>
      <c r="V1508" s="3">
        <v>534</v>
      </c>
      <c r="W1508" s="3">
        <v>165</v>
      </c>
      <c r="X1508" s="3">
        <v>402</v>
      </c>
      <c r="Y1508" s="3">
        <v>537</v>
      </c>
      <c r="Z1508" s="3">
        <v>102</v>
      </c>
      <c r="AA1508" s="3">
        <v>21</v>
      </c>
      <c r="AB1508" s="3">
        <v>369</v>
      </c>
      <c r="AC1508" s="3">
        <v>300</v>
      </c>
      <c r="AD1508" s="3">
        <v>207</v>
      </c>
      <c r="AE1508" s="3">
        <v>124</v>
      </c>
      <c r="AF1508" s="3">
        <v>93</v>
      </c>
      <c r="AG1508" s="3">
        <v>0</v>
      </c>
      <c r="AH1508" s="3">
        <v>6</v>
      </c>
      <c r="AI1508" s="3">
        <v>360</v>
      </c>
      <c r="AJ1508" s="3">
        <v>114</v>
      </c>
      <c r="AK1508" s="3">
        <v>393</v>
      </c>
      <c r="AL1508" s="3">
        <v>63</v>
      </c>
      <c r="AM1508" s="3">
        <v>243</v>
      </c>
      <c r="AN1508" s="3">
        <v>495</v>
      </c>
      <c r="AO1508" s="3">
        <v>93</v>
      </c>
      <c r="AP1508" s="3">
        <v>378</v>
      </c>
      <c r="AQ1508" s="3">
        <v>30</v>
      </c>
      <c r="AR1508" s="3">
        <v>348</v>
      </c>
      <c r="AS1508" s="3">
        <v>189</v>
      </c>
      <c r="AT1508" s="3">
        <v>363</v>
      </c>
      <c r="AU1508" s="3">
        <v>60</v>
      </c>
      <c r="AV1508" s="3">
        <v>150</v>
      </c>
      <c r="AW1508" s="3">
        <v>108</v>
      </c>
    </row>
    <row r="1509" spans="1:49">
      <c r="A1509" s="4" t="s">
        <v>35</v>
      </c>
      <c r="B1509" s="4" t="str">
        <f t="shared" si="23"/>
        <v>Hair Color</v>
      </c>
      <c r="C1509" s="4" t="s">
        <v>1786</v>
      </c>
      <c r="D1509" s="4" t="s">
        <v>579</v>
      </c>
      <c r="E1509" s="24" t="s">
        <v>47</v>
      </c>
      <c r="F1509" s="12" t="s">
        <v>516</v>
      </c>
      <c r="G1509" s="4" t="s">
        <v>1787</v>
      </c>
      <c r="H1509" s="3">
        <v>294</v>
      </c>
      <c r="I1509" s="3">
        <v>249</v>
      </c>
      <c r="J1509" s="3">
        <v>228</v>
      </c>
      <c r="K1509" s="3">
        <v>441</v>
      </c>
      <c r="L1509" s="3">
        <v>324</v>
      </c>
      <c r="M1509" s="3">
        <v>294</v>
      </c>
      <c r="N1509" s="3">
        <v>144</v>
      </c>
      <c r="O1509" s="3">
        <v>219</v>
      </c>
      <c r="P1509" s="3">
        <v>420</v>
      </c>
      <c r="Q1509" s="3">
        <v>273</v>
      </c>
      <c r="R1509" s="3">
        <v>45</v>
      </c>
      <c r="S1509" s="3">
        <v>297</v>
      </c>
      <c r="T1509" s="3">
        <v>219</v>
      </c>
      <c r="U1509" s="3">
        <v>63</v>
      </c>
      <c r="V1509" s="3">
        <v>288</v>
      </c>
      <c r="W1509" s="3">
        <v>219</v>
      </c>
      <c r="X1509" s="3">
        <v>252</v>
      </c>
      <c r="Y1509" s="3">
        <v>399</v>
      </c>
      <c r="Z1509" s="3">
        <v>39</v>
      </c>
      <c r="AA1509" s="3">
        <v>57</v>
      </c>
      <c r="AB1509" s="3">
        <v>210</v>
      </c>
      <c r="AC1509" s="3">
        <v>174</v>
      </c>
      <c r="AD1509" s="3">
        <v>225</v>
      </c>
      <c r="AE1509" s="3">
        <v>42</v>
      </c>
      <c r="AF1509" s="3">
        <v>99</v>
      </c>
      <c r="AG1509" s="3">
        <v>198</v>
      </c>
      <c r="AH1509" s="3">
        <v>51</v>
      </c>
      <c r="AI1509" s="3">
        <v>117</v>
      </c>
      <c r="AJ1509" s="3">
        <v>114</v>
      </c>
      <c r="AK1509" s="3">
        <v>297</v>
      </c>
      <c r="AL1509" s="3">
        <v>144</v>
      </c>
      <c r="AM1509" s="3">
        <v>141</v>
      </c>
      <c r="AN1509" s="3">
        <v>381</v>
      </c>
      <c r="AO1509" s="3">
        <v>33</v>
      </c>
      <c r="AP1509" s="3">
        <v>414</v>
      </c>
      <c r="AQ1509" s="3">
        <v>9</v>
      </c>
      <c r="AR1509" s="3">
        <v>282</v>
      </c>
      <c r="AS1509" s="3">
        <v>105</v>
      </c>
      <c r="AT1509" s="3">
        <v>246</v>
      </c>
      <c r="AU1509" s="3">
        <v>27</v>
      </c>
      <c r="AV1509" s="3">
        <v>138</v>
      </c>
      <c r="AW1509" s="3">
        <v>75</v>
      </c>
    </row>
    <row r="1510" spans="1:49">
      <c r="A1510" s="4" t="s">
        <v>35</v>
      </c>
      <c r="B1510" s="4" t="str">
        <f t="shared" si="23"/>
        <v>Hair Color</v>
      </c>
      <c r="C1510" s="4" t="s">
        <v>1786</v>
      </c>
      <c r="D1510" s="4" t="s">
        <v>579</v>
      </c>
      <c r="E1510" s="24" t="s">
        <v>47</v>
      </c>
      <c r="F1510" s="12" t="s">
        <v>517</v>
      </c>
      <c r="G1510" s="4" t="s">
        <v>1787</v>
      </c>
      <c r="H1510" s="3">
        <v>33</v>
      </c>
      <c r="I1510" s="3">
        <v>123</v>
      </c>
      <c r="J1510" s="3">
        <v>117</v>
      </c>
      <c r="K1510" s="3">
        <v>285</v>
      </c>
      <c r="L1510" s="3">
        <v>78</v>
      </c>
      <c r="M1510" s="3">
        <v>195</v>
      </c>
      <c r="N1510" s="3">
        <v>30</v>
      </c>
      <c r="O1510" s="3">
        <v>276</v>
      </c>
      <c r="P1510" s="3">
        <v>309</v>
      </c>
      <c r="Q1510" s="3">
        <v>60</v>
      </c>
      <c r="R1510" s="3">
        <v>66</v>
      </c>
      <c r="S1510" s="3">
        <v>123</v>
      </c>
      <c r="T1510" s="3">
        <v>183</v>
      </c>
      <c r="U1510" s="3">
        <v>108</v>
      </c>
      <c r="V1510" s="3">
        <v>228</v>
      </c>
      <c r="W1510" s="3">
        <v>60</v>
      </c>
      <c r="X1510" s="3">
        <v>267</v>
      </c>
      <c r="Y1510" s="3">
        <v>84</v>
      </c>
      <c r="Z1510" s="3">
        <v>99</v>
      </c>
      <c r="AA1510" s="3">
        <v>150</v>
      </c>
      <c r="AB1510" s="3">
        <v>135</v>
      </c>
      <c r="AC1510" s="3">
        <v>204</v>
      </c>
      <c r="AD1510" s="3">
        <v>120</v>
      </c>
      <c r="AE1510" s="3">
        <v>48</v>
      </c>
      <c r="AF1510" s="3">
        <v>114</v>
      </c>
      <c r="AG1510" s="3">
        <v>0</v>
      </c>
      <c r="AH1510" s="3">
        <v>12</v>
      </c>
      <c r="AI1510" s="3">
        <v>102</v>
      </c>
      <c r="AJ1510" s="3">
        <v>156</v>
      </c>
      <c r="AK1510" s="3">
        <v>228</v>
      </c>
      <c r="AL1510" s="3">
        <v>102</v>
      </c>
      <c r="AM1510" s="3">
        <v>174</v>
      </c>
      <c r="AN1510" s="3">
        <v>165</v>
      </c>
      <c r="AO1510" s="3">
        <v>150</v>
      </c>
      <c r="AP1510" s="3">
        <v>180</v>
      </c>
      <c r="AQ1510" s="3">
        <v>27</v>
      </c>
      <c r="AR1510" s="3">
        <v>189</v>
      </c>
      <c r="AS1510" s="3">
        <v>219</v>
      </c>
      <c r="AT1510" s="3">
        <v>228</v>
      </c>
      <c r="AU1510" s="3">
        <v>51</v>
      </c>
      <c r="AV1510" s="3">
        <v>51</v>
      </c>
      <c r="AW1510" s="3">
        <v>84</v>
      </c>
    </row>
    <row r="1511" spans="1:49">
      <c r="A1511" s="4" t="s">
        <v>35</v>
      </c>
      <c r="B1511" s="4" t="str">
        <f t="shared" si="23"/>
        <v>Hair Color</v>
      </c>
      <c r="C1511" s="4" t="s">
        <v>1786</v>
      </c>
      <c r="D1511" s="4" t="s">
        <v>579</v>
      </c>
      <c r="E1511" s="24" t="s">
        <v>47</v>
      </c>
      <c r="F1511" s="12" t="s">
        <v>518</v>
      </c>
      <c r="G1511" s="4" t="s">
        <v>1787</v>
      </c>
      <c r="H1511" s="3">
        <v>294</v>
      </c>
      <c r="I1511" s="3">
        <v>246</v>
      </c>
      <c r="J1511" s="3">
        <v>309</v>
      </c>
      <c r="K1511" s="3">
        <v>405</v>
      </c>
      <c r="L1511" s="3">
        <v>225</v>
      </c>
      <c r="M1511" s="3">
        <v>312</v>
      </c>
      <c r="N1511" s="3">
        <v>21</v>
      </c>
      <c r="O1511" s="3">
        <v>612</v>
      </c>
      <c r="P1511" s="3">
        <v>477</v>
      </c>
      <c r="Q1511" s="3">
        <v>288</v>
      </c>
      <c r="R1511" s="3">
        <v>27</v>
      </c>
      <c r="S1511" s="3">
        <v>249</v>
      </c>
      <c r="T1511" s="3">
        <v>354</v>
      </c>
      <c r="U1511" s="3">
        <v>165</v>
      </c>
      <c r="V1511" s="3">
        <v>480</v>
      </c>
      <c r="W1511" s="3">
        <v>162</v>
      </c>
      <c r="X1511" s="3">
        <v>336</v>
      </c>
      <c r="Y1511" s="3">
        <v>483</v>
      </c>
      <c r="Z1511" s="3">
        <v>66</v>
      </c>
      <c r="AA1511" s="3">
        <v>69</v>
      </c>
      <c r="AB1511" s="3">
        <v>486</v>
      </c>
      <c r="AC1511" s="3">
        <v>291</v>
      </c>
      <c r="AD1511" s="3">
        <v>321</v>
      </c>
      <c r="AE1511" s="3">
        <v>9</v>
      </c>
      <c r="AF1511" s="3">
        <v>291</v>
      </c>
      <c r="AG1511" s="3">
        <v>0</v>
      </c>
      <c r="AH1511" s="3">
        <v>9</v>
      </c>
      <c r="AI1511" s="3">
        <v>429</v>
      </c>
      <c r="AJ1511" s="3">
        <v>96</v>
      </c>
      <c r="AK1511" s="3">
        <v>351</v>
      </c>
      <c r="AL1511" s="3">
        <v>111</v>
      </c>
      <c r="AM1511" s="3">
        <v>324</v>
      </c>
      <c r="AN1511" s="3">
        <v>399</v>
      </c>
      <c r="AO1511" s="3">
        <v>174</v>
      </c>
      <c r="AP1511" s="3">
        <v>495</v>
      </c>
      <c r="AQ1511" s="3">
        <v>33</v>
      </c>
      <c r="AR1511" s="3">
        <v>204</v>
      </c>
      <c r="AS1511" s="3">
        <v>219</v>
      </c>
      <c r="AT1511" s="3">
        <v>375</v>
      </c>
      <c r="AU1511" s="3">
        <v>9</v>
      </c>
      <c r="AV1511" s="3">
        <v>195</v>
      </c>
      <c r="AW1511" s="3">
        <v>78</v>
      </c>
    </row>
    <row r="1512" spans="1:49">
      <c r="A1512" s="4" t="s">
        <v>35</v>
      </c>
      <c r="B1512" s="4" t="str">
        <f t="shared" si="23"/>
        <v>Hair Color</v>
      </c>
      <c r="C1512" s="4" t="s">
        <v>1786</v>
      </c>
      <c r="D1512" s="4" t="s">
        <v>579</v>
      </c>
      <c r="E1512" s="24" t="s">
        <v>47</v>
      </c>
      <c r="F1512" s="12" t="s">
        <v>519</v>
      </c>
      <c r="G1512" s="4" t="s">
        <v>1787</v>
      </c>
      <c r="H1512" s="3">
        <v>153</v>
      </c>
      <c r="I1512" s="3">
        <v>96</v>
      </c>
      <c r="J1512" s="3">
        <v>96</v>
      </c>
      <c r="K1512" s="3">
        <v>228</v>
      </c>
      <c r="L1512" s="3">
        <v>147</v>
      </c>
      <c r="M1512" s="3">
        <v>240</v>
      </c>
      <c r="N1512" s="3">
        <v>93</v>
      </c>
      <c r="O1512" s="3">
        <v>279</v>
      </c>
      <c r="P1512" s="3">
        <v>195</v>
      </c>
      <c r="Q1512" s="3">
        <v>117</v>
      </c>
      <c r="R1512" s="3">
        <v>33</v>
      </c>
      <c r="S1512" s="3">
        <v>165</v>
      </c>
      <c r="T1512" s="3">
        <v>147</v>
      </c>
      <c r="U1512" s="3">
        <v>27</v>
      </c>
      <c r="V1512" s="3">
        <v>183</v>
      </c>
      <c r="W1512" s="3">
        <v>78</v>
      </c>
      <c r="X1512" s="3">
        <v>192</v>
      </c>
      <c r="Y1512" s="3">
        <v>321</v>
      </c>
      <c r="Z1512" s="3">
        <v>39</v>
      </c>
      <c r="AA1512" s="3">
        <v>60</v>
      </c>
      <c r="AB1512" s="3">
        <v>234</v>
      </c>
      <c r="AC1512" s="3">
        <v>78</v>
      </c>
      <c r="AD1512" s="3">
        <v>138</v>
      </c>
      <c r="AE1512" s="3">
        <v>54</v>
      </c>
      <c r="AF1512" s="3">
        <v>81</v>
      </c>
      <c r="AG1512" s="3">
        <v>153</v>
      </c>
      <c r="AH1512" s="3">
        <v>0</v>
      </c>
      <c r="AI1512" s="3">
        <v>15</v>
      </c>
      <c r="AJ1512" s="3">
        <v>45</v>
      </c>
      <c r="AK1512" s="3">
        <v>57</v>
      </c>
      <c r="AL1512" s="3">
        <v>177</v>
      </c>
      <c r="AM1512" s="3">
        <v>195</v>
      </c>
      <c r="AN1512" s="3">
        <v>126</v>
      </c>
      <c r="AO1512" s="3">
        <v>36</v>
      </c>
      <c r="AP1512" s="3">
        <v>318</v>
      </c>
      <c r="AQ1512" s="3">
        <v>-3</v>
      </c>
      <c r="AR1512" s="3">
        <v>192</v>
      </c>
      <c r="AS1512" s="3">
        <v>105</v>
      </c>
      <c r="AT1512" s="3">
        <v>0</v>
      </c>
      <c r="AU1512" s="3">
        <v>150</v>
      </c>
      <c r="AV1512" s="3">
        <v>177</v>
      </c>
      <c r="AW1512" s="3">
        <v>54</v>
      </c>
    </row>
    <row r="1513" spans="1:49">
      <c r="A1513" s="4" t="s">
        <v>35</v>
      </c>
      <c r="B1513" s="4" t="str">
        <f t="shared" si="23"/>
        <v>Hair Color</v>
      </c>
      <c r="C1513" s="4" t="s">
        <v>1786</v>
      </c>
      <c r="D1513" s="4" t="s">
        <v>579</v>
      </c>
      <c r="E1513" s="24" t="s">
        <v>47</v>
      </c>
      <c r="F1513" s="12" t="s">
        <v>520</v>
      </c>
      <c r="G1513" s="4" t="s">
        <v>1787</v>
      </c>
      <c r="H1513" s="3">
        <v>471</v>
      </c>
      <c r="I1513" s="3">
        <v>402</v>
      </c>
      <c r="J1513" s="3">
        <v>261</v>
      </c>
      <c r="K1513" s="3">
        <v>495</v>
      </c>
      <c r="L1513" s="3">
        <v>294</v>
      </c>
      <c r="M1513" s="3">
        <v>468</v>
      </c>
      <c r="N1513" s="3">
        <v>111</v>
      </c>
      <c r="O1513" s="3">
        <v>597</v>
      </c>
      <c r="P1513" s="3">
        <v>507</v>
      </c>
      <c r="Q1513" s="3">
        <v>315</v>
      </c>
      <c r="R1513" s="3">
        <v>54</v>
      </c>
      <c r="S1513" s="3">
        <v>285</v>
      </c>
      <c r="T1513" s="3">
        <v>327</v>
      </c>
      <c r="U1513" s="3">
        <v>183</v>
      </c>
      <c r="V1513" s="3">
        <v>390</v>
      </c>
      <c r="W1513" s="3">
        <v>240</v>
      </c>
      <c r="X1513" s="3">
        <v>465</v>
      </c>
      <c r="Y1513" s="3">
        <v>582</v>
      </c>
      <c r="Z1513" s="3">
        <v>84</v>
      </c>
      <c r="AA1513" s="3">
        <v>63</v>
      </c>
      <c r="AB1513" s="3">
        <v>321</v>
      </c>
      <c r="AC1513" s="3">
        <v>357</v>
      </c>
      <c r="AD1513" s="3">
        <v>444</v>
      </c>
      <c r="AE1513" s="3">
        <v>36</v>
      </c>
      <c r="AF1513" s="3">
        <v>243</v>
      </c>
      <c r="AG1513" s="3">
        <v>0</v>
      </c>
      <c r="AH1513" s="3">
        <v>0</v>
      </c>
      <c r="AI1513" s="3">
        <v>333</v>
      </c>
      <c r="AJ1513" s="3">
        <v>63</v>
      </c>
      <c r="AK1513" s="3">
        <v>33</v>
      </c>
      <c r="AL1513" s="3">
        <v>426</v>
      </c>
      <c r="AM1513" s="3">
        <v>219</v>
      </c>
      <c r="AN1513" s="3">
        <v>525</v>
      </c>
      <c r="AO1513" s="3">
        <v>138</v>
      </c>
      <c r="AP1513" s="3">
        <v>552</v>
      </c>
      <c r="AQ1513" s="3">
        <v>96</v>
      </c>
      <c r="AR1513" s="3">
        <v>432</v>
      </c>
      <c r="AS1513" s="3">
        <v>162</v>
      </c>
      <c r="AT1513" s="3">
        <v>417</v>
      </c>
      <c r="AU1513" s="3">
        <v>27</v>
      </c>
      <c r="AV1513" s="3">
        <v>243</v>
      </c>
      <c r="AW1513" s="3">
        <v>51</v>
      </c>
    </row>
    <row r="1514" spans="1:49">
      <c r="A1514" s="4" t="s">
        <v>35</v>
      </c>
      <c r="B1514" s="4" t="str">
        <f t="shared" si="23"/>
        <v>Hair Color</v>
      </c>
      <c r="C1514" s="4" t="s">
        <v>1786</v>
      </c>
      <c r="D1514" s="4" t="s">
        <v>579</v>
      </c>
      <c r="E1514" s="24" t="s">
        <v>47</v>
      </c>
      <c r="F1514" s="12" t="s">
        <v>521</v>
      </c>
      <c r="G1514" s="4" t="s">
        <v>1787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3</v>
      </c>
      <c r="U1514" s="3">
        <v>48</v>
      </c>
      <c r="V1514" s="3">
        <v>300</v>
      </c>
      <c r="W1514" s="3">
        <v>96</v>
      </c>
      <c r="X1514" s="3">
        <v>225</v>
      </c>
      <c r="Y1514" s="3">
        <v>318</v>
      </c>
      <c r="Z1514" s="3">
        <v>6</v>
      </c>
      <c r="AA1514" s="3">
        <v>48</v>
      </c>
      <c r="AB1514" s="3">
        <v>252</v>
      </c>
      <c r="AC1514" s="3">
        <v>60</v>
      </c>
      <c r="AD1514" s="3">
        <v>111</v>
      </c>
      <c r="AE1514" s="3">
        <v>24</v>
      </c>
      <c r="AF1514" s="3">
        <v>-12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</row>
    <row r="1515" spans="1:49">
      <c r="A1515" s="4" t="s">
        <v>35</v>
      </c>
      <c r="B1515" s="4" t="str">
        <f t="shared" si="23"/>
        <v>Hair Color</v>
      </c>
      <c r="C1515" s="4" t="s">
        <v>1786</v>
      </c>
      <c r="D1515" s="4" t="s">
        <v>579</v>
      </c>
      <c r="E1515" s="24" t="s">
        <v>47</v>
      </c>
      <c r="F1515" s="12" t="s">
        <v>522</v>
      </c>
      <c r="G1515" s="4" t="s">
        <v>1787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6</v>
      </c>
      <c r="U1515" s="3">
        <v>18</v>
      </c>
      <c r="V1515" s="3">
        <v>327</v>
      </c>
      <c r="W1515" s="3">
        <v>12</v>
      </c>
      <c r="X1515" s="3">
        <v>249</v>
      </c>
      <c r="Y1515" s="3">
        <v>309</v>
      </c>
      <c r="Z1515" s="3">
        <v>231</v>
      </c>
      <c r="AA1515" s="3">
        <v>156</v>
      </c>
      <c r="AB1515" s="3">
        <v>279</v>
      </c>
      <c r="AC1515" s="3">
        <v>108</v>
      </c>
      <c r="AD1515" s="3">
        <v>24</v>
      </c>
      <c r="AE1515" s="3">
        <v>198</v>
      </c>
      <c r="AF1515" s="3">
        <v>123</v>
      </c>
      <c r="AG1515" s="3">
        <v>212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</row>
    <row r="1516" spans="1:49">
      <c r="A1516" s="4" t="s">
        <v>35</v>
      </c>
      <c r="B1516" s="4" t="str">
        <f t="shared" si="23"/>
        <v>Hair Color</v>
      </c>
      <c r="C1516" s="4" t="s">
        <v>1786</v>
      </c>
      <c r="D1516" s="4" t="s">
        <v>579</v>
      </c>
      <c r="E1516" s="24" t="s">
        <v>47</v>
      </c>
      <c r="F1516" s="12" t="s">
        <v>523</v>
      </c>
      <c r="G1516" s="4" t="s">
        <v>1787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9</v>
      </c>
      <c r="U1516" s="3">
        <v>51</v>
      </c>
      <c r="V1516" s="3">
        <v>426</v>
      </c>
      <c r="W1516" s="3">
        <v>246</v>
      </c>
      <c r="X1516" s="3">
        <v>429</v>
      </c>
      <c r="Y1516" s="3">
        <v>366</v>
      </c>
      <c r="Z1516" s="3">
        <v>24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30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0</v>
      </c>
      <c r="AW1516" s="3">
        <v>0</v>
      </c>
    </row>
    <row r="1517" spans="1:49">
      <c r="A1517" s="4" t="s">
        <v>35</v>
      </c>
      <c r="B1517" s="4" t="str">
        <f t="shared" si="23"/>
        <v>Hair Color</v>
      </c>
      <c r="C1517" s="4" t="s">
        <v>1786</v>
      </c>
      <c r="D1517" s="4" t="s">
        <v>579</v>
      </c>
      <c r="E1517" s="24" t="s">
        <v>47</v>
      </c>
      <c r="F1517" s="12" t="s">
        <v>524</v>
      </c>
      <c r="G1517" s="4" t="s">
        <v>1787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6</v>
      </c>
      <c r="U1517" s="3">
        <v>60</v>
      </c>
      <c r="V1517" s="3">
        <v>231</v>
      </c>
      <c r="W1517" s="3">
        <v>36</v>
      </c>
      <c r="X1517" s="3">
        <v>162</v>
      </c>
      <c r="Y1517" s="3">
        <v>330</v>
      </c>
      <c r="Z1517" s="3">
        <v>75</v>
      </c>
      <c r="AA1517" s="3">
        <v>105</v>
      </c>
      <c r="AB1517" s="3">
        <v>75</v>
      </c>
      <c r="AC1517" s="3">
        <v>0</v>
      </c>
      <c r="AD1517" s="3">
        <v>0</v>
      </c>
      <c r="AE1517" s="3">
        <v>135</v>
      </c>
      <c r="AF1517" s="3">
        <v>136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</row>
    <row r="1518" spans="1:49">
      <c r="A1518" s="4" t="s">
        <v>35</v>
      </c>
      <c r="B1518" s="4" t="str">
        <f t="shared" si="23"/>
        <v>Hair Color</v>
      </c>
      <c r="C1518" s="4" t="s">
        <v>1786</v>
      </c>
      <c r="D1518" s="4" t="s">
        <v>579</v>
      </c>
      <c r="E1518" s="24" t="s">
        <v>47</v>
      </c>
      <c r="F1518" s="12" t="s">
        <v>525</v>
      </c>
      <c r="G1518" s="4" t="s">
        <v>1787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12</v>
      </c>
      <c r="S1518" s="3">
        <v>6</v>
      </c>
      <c r="T1518" s="3">
        <v>266</v>
      </c>
      <c r="U1518" s="3">
        <v>34</v>
      </c>
      <c r="V1518" s="3">
        <v>258</v>
      </c>
      <c r="W1518" s="3">
        <v>165</v>
      </c>
      <c r="X1518" s="3">
        <v>195</v>
      </c>
      <c r="Y1518" s="3">
        <v>225</v>
      </c>
      <c r="Z1518" s="3">
        <v>18</v>
      </c>
      <c r="AA1518" s="3">
        <v>36</v>
      </c>
      <c r="AB1518" s="3">
        <v>243</v>
      </c>
      <c r="AC1518" s="3">
        <v>63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</row>
    <row r="1519" spans="1:49">
      <c r="A1519" s="4" t="s">
        <v>35</v>
      </c>
      <c r="B1519" s="4" t="str">
        <f t="shared" si="23"/>
        <v>Hair Color</v>
      </c>
      <c r="C1519" s="4" t="s">
        <v>1786</v>
      </c>
      <c r="D1519" s="4" t="s">
        <v>579</v>
      </c>
      <c r="E1519" s="24" t="s">
        <v>47</v>
      </c>
      <c r="F1519" s="12" t="s">
        <v>526</v>
      </c>
      <c r="G1519" s="4" t="s">
        <v>1787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144</v>
      </c>
      <c r="Q1519" s="3">
        <v>12</v>
      </c>
      <c r="R1519" s="3">
        <v>84</v>
      </c>
      <c r="S1519" s="3">
        <v>660</v>
      </c>
      <c r="T1519" s="3">
        <v>429</v>
      </c>
      <c r="U1519" s="3">
        <v>99</v>
      </c>
      <c r="V1519" s="3">
        <v>528</v>
      </c>
      <c r="W1519" s="3">
        <v>162</v>
      </c>
      <c r="X1519" s="3">
        <v>459</v>
      </c>
      <c r="Y1519" s="3">
        <v>522</v>
      </c>
      <c r="Z1519" s="3">
        <v>48</v>
      </c>
      <c r="AA1519" s="3">
        <v>63</v>
      </c>
      <c r="AB1519" s="3">
        <v>111</v>
      </c>
      <c r="AC1519" s="3">
        <v>0</v>
      </c>
      <c r="AD1519" s="3">
        <v>0</v>
      </c>
      <c r="AE1519" s="3">
        <v>0</v>
      </c>
      <c r="AF1519" s="3">
        <v>0</v>
      </c>
      <c r="AG1519" s="3">
        <v>30</v>
      </c>
      <c r="AH1519" s="3">
        <v>0</v>
      </c>
      <c r="AI1519" s="3">
        <v>0</v>
      </c>
      <c r="AJ1519" s="3">
        <v>21</v>
      </c>
      <c r="AK1519" s="3">
        <v>51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</row>
    <row r="1520" spans="1:49">
      <c r="A1520" s="4" t="s">
        <v>35</v>
      </c>
      <c r="B1520" s="4" t="str">
        <f t="shared" si="23"/>
        <v>Hair Color</v>
      </c>
      <c r="C1520" s="4" t="s">
        <v>1786</v>
      </c>
      <c r="D1520" s="4" t="s">
        <v>579</v>
      </c>
      <c r="E1520" s="24" t="s">
        <v>47</v>
      </c>
      <c r="F1520" s="12" t="s">
        <v>527</v>
      </c>
      <c r="G1520" s="4" t="s">
        <v>1787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78</v>
      </c>
      <c r="Q1520" s="3">
        <v>6</v>
      </c>
      <c r="R1520" s="3">
        <v>111</v>
      </c>
      <c r="S1520" s="3">
        <v>387</v>
      </c>
      <c r="T1520" s="3">
        <v>270</v>
      </c>
      <c r="U1520" s="3">
        <v>63</v>
      </c>
      <c r="V1520" s="3">
        <v>300</v>
      </c>
      <c r="W1520" s="3">
        <v>150</v>
      </c>
      <c r="X1520" s="3">
        <v>243</v>
      </c>
      <c r="Y1520" s="3">
        <v>393</v>
      </c>
      <c r="Z1520" s="3">
        <v>48</v>
      </c>
      <c r="AA1520" s="3">
        <v>51</v>
      </c>
      <c r="AB1520" s="3">
        <v>336</v>
      </c>
      <c r="AC1520" s="3">
        <v>138</v>
      </c>
      <c r="AD1520" s="3">
        <v>171</v>
      </c>
      <c r="AE1520" s="3">
        <v>93</v>
      </c>
      <c r="AF1520" s="3">
        <v>156</v>
      </c>
      <c r="AG1520" s="3">
        <v>261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</row>
    <row r="1521" spans="1:49">
      <c r="A1521" s="4" t="s">
        <v>35</v>
      </c>
      <c r="B1521" s="4" t="str">
        <f t="shared" si="23"/>
        <v>Hair Color</v>
      </c>
      <c r="C1521" s="4" t="s">
        <v>1786</v>
      </c>
      <c r="D1521" s="4" t="s">
        <v>579</v>
      </c>
      <c r="E1521" s="24" t="s">
        <v>47</v>
      </c>
      <c r="F1521" s="12" t="s">
        <v>528</v>
      </c>
      <c r="G1521" s="4" t="s">
        <v>1787</v>
      </c>
      <c r="H1521" s="3">
        <v>48</v>
      </c>
      <c r="I1521" s="3">
        <v>75</v>
      </c>
      <c r="J1521" s="3">
        <v>30</v>
      </c>
      <c r="K1521" s="3">
        <v>156</v>
      </c>
      <c r="L1521" s="3">
        <v>54</v>
      </c>
      <c r="M1521" s="3">
        <v>195</v>
      </c>
      <c r="N1521" s="3">
        <v>54</v>
      </c>
      <c r="O1521" s="3">
        <v>177</v>
      </c>
      <c r="P1521" s="3">
        <v>135</v>
      </c>
      <c r="Q1521" s="3">
        <v>48</v>
      </c>
      <c r="R1521" s="3">
        <v>42</v>
      </c>
      <c r="S1521" s="3">
        <v>120</v>
      </c>
      <c r="T1521" s="3">
        <v>138</v>
      </c>
      <c r="U1521" s="3">
        <v>27</v>
      </c>
      <c r="V1521" s="3">
        <v>75</v>
      </c>
      <c r="W1521" s="3">
        <v>84</v>
      </c>
      <c r="X1521" s="3">
        <v>180</v>
      </c>
      <c r="Y1521" s="3">
        <v>15</v>
      </c>
      <c r="Z1521" s="3">
        <v>72</v>
      </c>
      <c r="AA1521" s="3">
        <v>51</v>
      </c>
      <c r="AB1521" s="3">
        <v>153</v>
      </c>
      <c r="AC1521" s="3">
        <v>51</v>
      </c>
      <c r="AD1521" s="3">
        <v>78</v>
      </c>
      <c r="AE1521" s="3">
        <v>39</v>
      </c>
      <c r="AF1521" s="3">
        <v>111</v>
      </c>
      <c r="AG1521" s="3">
        <v>192</v>
      </c>
      <c r="AH1521" s="3">
        <v>45</v>
      </c>
      <c r="AI1521" s="3">
        <v>0</v>
      </c>
      <c r="AJ1521" s="3">
        <v>6</v>
      </c>
      <c r="AK1521" s="3">
        <v>0</v>
      </c>
      <c r="AL1521" s="3">
        <v>126</v>
      </c>
      <c r="AM1521" s="3">
        <v>162</v>
      </c>
      <c r="AN1521" s="3">
        <v>144</v>
      </c>
      <c r="AO1521" s="3">
        <v>12</v>
      </c>
      <c r="AP1521" s="3">
        <v>156</v>
      </c>
      <c r="AQ1521" s="3">
        <v>-9</v>
      </c>
      <c r="AR1521" s="3">
        <v>156</v>
      </c>
      <c r="AS1521" s="3">
        <v>102</v>
      </c>
      <c r="AT1521" s="3">
        <v>123</v>
      </c>
      <c r="AU1521" s="3">
        <v>9</v>
      </c>
      <c r="AV1521" s="3">
        <v>42</v>
      </c>
      <c r="AW1521" s="3">
        <v>27</v>
      </c>
    </row>
    <row r="1522" spans="1:49">
      <c r="A1522" s="4" t="s">
        <v>35</v>
      </c>
      <c r="B1522" s="4" t="str">
        <f t="shared" si="23"/>
        <v>Hair Color</v>
      </c>
      <c r="C1522" s="4" t="s">
        <v>1786</v>
      </c>
      <c r="D1522" s="4" t="s">
        <v>579</v>
      </c>
      <c r="E1522" s="24" t="s">
        <v>47</v>
      </c>
      <c r="F1522" s="12" t="s">
        <v>529</v>
      </c>
      <c r="G1522" s="4" t="s">
        <v>1787</v>
      </c>
      <c r="H1522" s="3">
        <v>87</v>
      </c>
      <c r="I1522" s="3">
        <v>39</v>
      </c>
      <c r="J1522" s="3">
        <v>42</v>
      </c>
      <c r="K1522" s="3">
        <v>174</v>
      </c>
      <c r="L1522" s="3">
        <v>42</v>
      </c>
      <c r="M1522" s="3">
        <v>66</v>
      </c>
      <c r="N1522" s="3">
        <v>30</v>
      </c>
      <c r="O1522" s="3">
        <v>165</v>
      </c>
      <c r="P1522" s="3">
        <v>117</v>
      </c>
      <c r="Q1522" s="3">
        <v>72</v>
      </c>
      <c r="R1522" s="3">
        <v>18</v>
      </c>
      <c r="S1522" s="3">
        <v>0</v>
      </c>
      <c r="T1522" s="3">
        <v>27</v>
      </c>
      <c r="U1522" s="3">
        <v>93</v>
      </c>
      <c r="V1522" s="3">
        <v>123</v>
      </c>
      <c r="W1522" s="3">
        <v>36</v>
      </c>
      <c r="X1522" s="3">
        <v>66</v>
      </c>
      <c r="Y1522" s="3">
        <v>63</v>
      </c>
      <c r="Z1522" s="3">
        <v>21</v>
      </c>
      <c r="AA1522" s="3">
        <v>81</v>
      </c>
      <c r="AB1522" s="3">
        <v>93</v>
      </c>
      <c r="AC1522" s="3">
        <v>54</v>
      </c>
      <c r="AD1522" s="3">
        <v>81</v>
      </c>
      <c r="AE1522" s="3">
        <v>42</v>
      </c>
      <c r="AF1522" s="3">
        <v>24</v>
      </c>
      <c r="AG1522" s="3">
        <v>78</v>
      </c>
      <c r="AH1522" s="3">
        <v>0</v>
      </c>
      <c r="AI1522" s="3">
        <v>129</v>
      </c>
      <c r="AJ1522" s="3">
        <v>6</v>
      </c>
      <c r="AK1522" s="3">
        <v>42</v>
      </c>
      <c r="AL1522" s="3">
        <v>90</v>
      </c>
      <c r="AM1522" s="3">
        <v>24</v>
      </c>
      <c r="AN1522" s="3">
        <v>108</v>
      </c>
      <c r="AO1522" s="3">
        <v>6</v>
      </c>
      <c r="AP1522" s="3">
        <v>30</v>
      </c>
      <c r="AQ1522" s="3">
        <v>0</v>
      </c>
      <c r="AR1522" s="3">
        <v>87</v>
      </c>
      <c r="AS1522" s="3">
        <v>42</v>
      </c>
      <c r="AT1522" s="3">
        <v>111</v>
      </c>
      <c r="AU1522" s="3">
        <v>0</v>
      </c>
      <c r="AV1522" s="3">
        <v>42</v>
      </c>
      <c r="AW1522" s="3">
        <v>39</v>
      </c>
    </row>
    <row r="1523" spans="1:49">
      <c r="A1523" s="4" t="s">
        <v>35</v>
      </c>
      <c r="B1523" s="4" t="str">
        <f t="shared" si="23"/>
        <v>Hair Color</v>
      </c>
      <c r="C1523" s="4" t="s">
        <v>1786</v>
      </c>
      <c r="D1523" s="4" t="s">
        <v>579</v>
      </c>
      <c r="E1523" s="24" t="s">
        <v>47</v>
      </c>
      <c r="F1523" s="12" t="s">
        <v>530</v>
      </c>
      <c r="G1523" s="4" t="s">
        <v>1787</v>
      </c>
      <c r="H1523" s="3">
        <v>156</v>
      </c>
      <c r="I1523" s="3">
        <v>108</v>
      </c>
      <c r="J1523" s="3">
        <v>93</v>
      </c>
      <c r="K1523" s="3">
        <v>270</v>
      </c>
      <c r="L1523" s="3">
        <v>144</v>
      </c>
      <c r="M1523" s="3">
        <v>183</v>
      </c>
      <c r="N1523" s="3">
        <v>27</v>
      </c>
      <c r="O1523" s="3">
        <v>249</v>
      </c>
      <c r="P1523" s="3">
        <v>213</v>
      </c>
      <c r="Q1523" s="3">
        <v>147</v>
      </c>
      <c r="R1523" s="3">
        <v>45</v>
      </c>
      <c r="S1523" s="3">
        <v>0</v>
      </c>
      <c r="T1523" s="3">
        <v>78</v>
      </c>
      <c r="U1523" s="3">
        <v>111</v>
      </c>
      <c r="V1523" s="3">
        <v>279</v>
      </c>
      <c r="W1523" s="3">
        <v>87</v>
      </c>
      <c r="X1523" s="3">
        <v>201</v>
      </c>
      <c r="Y1523" s="3">
        <v>294</v>
      </c>
      <c r="Z1523" s="3">
        <v>33</v>
      </c>
      <c r="AA1523" s="3">
        <v>15</v>
      </c>
      <c r="AB1523" s="3">
        <v>225</v>
      </c>
      <c r="AC1523" s="3">
        <v>138</v>
      </c>
      <c r="AD1523" s="3">
        <v>141</v>
      </c>
      <c r="AE1523" s="3">
        <v>36</v>
      </c>
      <c r="AF1523" s="3">
        <v>90</v>
      </c>
      <c r="AG1523" s="3">
        <v>141</v>
      </c>
      <c r="AH1523" s="3">
        <v>12</v>
      </c>
      <c r="AI1523" s="3">
        <v>180</v>
      </c>
      <c r="AJ1523" s="3">
        <v>27</v>
      </c>
      <c r="AK1523" s="3">
        <v>237</v>
      </c>
      <c r="AL1523" s="3">
        <v>48</v>
      </c>
      <c r="AM1523" s="3">
        <v>216</v>
      </c>
      <c r="AN1523" s="3">
        <v>240</v>
      </c>
      <c r="AO1523" s="3">
        <v>6</v>
      </c>
      <c r="AP1523" s="3">
        <v>315</v>
      </c>
      <c r="AQ1523" s="3">
        <v>12</v>
      </c>
      <c r="AR1523" s="3">
        <v>189</v>
      </c>
      <c r="AS1523" s="3">
        <v>117</v>
      </c>
      <c r="AT1523" s="3">
        <v>246</v>
      </c>
      <c r="AU1523" s="3">
        <v>18</v>
      </c>
      <c r="AV1523" s="3">
        <v>6</v>
      </c>
      <c r="AW1523" s="3">
        <v>24</v>
      </c>
    </row>
    <row r="1524" spans="1:49">
      <c r="A1524" s="4" t="s">
        <v>35</v>
      </c>
      <c r="B1524" s="4" t="str">
        <f t="shared" si="23"/>
        <v>Hair Color</v>
      </c>
      <c r="C1524" s="4" t="s">
        <v>1786</v>
      </c>
      <c r="D1524" s="4" t="s">
        <v>579</v>
      </c>
      <c r="E1524" s="24" t="s">
        <v>47</v>
      </c>
      <c r="F1524" s="12" t="s">
        <v>531</v>
      </c>
      <c r="G1524" s="4" t="s">
        <v>1787</v>
      </c>
      <c r="H1524" s="3">
        <v>72</v>
      </c>
      <c r="I1524" s="3">
        <v>39</v>
      </c>
      <c r="J1524" s="3">
        <v>21</v>
      </c>
      <c r="K1524" s="3">
        <v>87</v>
      </c>
      <c r="L1524" s="3">
        <v>36</v>
      </c>
      <c r="M1524" s="3">
        <v>99</v>
      </c>
      <c r="N1524" s="3">
        <v>63</v>
      </c>
      <c r="O1524" s="3">
        <v>129</v>
      </c>
      <c r="P1524" s="3">
        <v>126</v>
      </c>
      <c r="Q1524" s="3">
        <v>72</v>
      </c>
      <c r="R1524" s="3">
        <v>6</v>
      </c>
      <c r="S1524" s="3">
        <v>18</v>
      </c>
      <c r="T1524" s="3">
        <v>30</v>
      </c>
      <c r="U1524" s="3">
        <v>21</v>
      </c>
      <c r="V1524" s="3">
        <v>96</v>
      </c>
      <c r="W1524" s="3">
        <v>63</v>
      </c>
      <c r="X1524" s="3">
        <v>99</v>
      </c>
      <c r="Y1524" s="3">
        <v>90</v>
      </c>
      <c r="Z1524" s="3">
        <v>66</v>
      </c>
      <c r="AA1524" s="3">
        <v>42</v>
      </c>
      <c r="AB1524" s="3">
        <v>123</v>
      </c>
      <c r="AC1524" s="3">
        <v>27</v>
      </c>
      <c r="AD1524" s="3">
        <v>63</v>
      </c>
      <c r="AE1524" s="3">
        <v>27</v>
      </c>
      <c r="AF1524" s="3">
        <v>36</v>
      </c>
      <c r="AG1524" s="3">
        <v>66</v>
      </c>
      <c r="AH1524" s="3">
        <v>33</v>
      </c>
      <c r="AI1524" s="3">
        <v>18</v>
      </c>
      <c r="AJ1524" s="3">
        <v>15</v>
      </c>
      <c r="AK1524" s="3">
        <v>57</v>
      </c>
      <c r="AL1524" s="3">
        <v>45</v>
      </c>
      <c r="AM1524" s="3">
        <v>123</v>
      </c>
      <c r="AN1524" s="3">
        <v>51</v>
      </c>
      <c r="AO1524" s="3">
        <v>42</v>
      </c>
      <c r="AP1524" s="3">
        <v>60</v>
      </c>
      <c r="AQ1524" s="3">
        <v>9</v>
      </c>
      <c r="AR1524" s="3">
        <v>63</v>
      </c>
      <c r="AS1524" s="3">
        <v>24</v>
      </c>
      <c r="AT1524" s="3">
        <v>0</v>
      </c>
      <c r="AU1524" s="3">
        <v>0</v>
      </c>
      <c r="AV1524" s="3">
        <v>12</v>
      </c>
      <c r="AW1524" s="3">
        <v>66</v>
      </c>
    </row>
    <row r="1525" spans="1:49">
      <c r="A1525" s="4" t="s">
        <v>35</v>
      </c>
      <c r="B1525" s="4" t="str">
        <f t="shared" si="23"/>
        <v>Hair Color</v>
      </c>
      <c r="C1525" s="4" t="s">
        <v>1786</v>
      </c>
      <c r="D1525" s="4" t="s">
        <v>579</v>
      </c>
      <c r="E1525" s="24" t="s">
        <v>47</v>
      </c>
      <c r="F1525" s="12" t="s">
        <v>532</v>
      </c>
      <c r="G1525" s="4" t="s">
        <v>1787</v>
      </c>
      <c r="H1525" s="3">
        <v>102</v>
      </c>
      <c r="I1525" s="3">
        <v>6</v>
      </c>
      <c r="J1525" s="3">
        <v>51</v>
      </c>
      <c r="K1525" s="3">
        <v>111</v>
      </c>
      <c r="L1525" s="3">
        <v>18</v>
      </c>
      <c r="M1525" s="3">
        <v>15</v>
      </c>
      <c r="N1525" s="3">
        <v>78</v>
      </c>
      <c r="O1525" s="3">
        <v>72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</row>
    <row r="1526" spans="1:49">
      <c r="A1526" s="4" t="s">
        <v>35</v>
      </c>
      <c r="B1526" s="4" t="str">
        <f t="shared" si="23"/>
        <v>Hair Color</v>
      </c>
      <c r="C1526" s="4" t="s">
        <v>1786</v>
      </c>
      <c r="D1526" s="4" t="s">
        <v>579</v>
      </c>
      <c r="E1526" s="24" t="s">
        <v>47</v>
      </c>
      <c r="F1526" s="12" t="s">
        <v>533</v>
      </c>
      <c r="G1526" s="4" t="s">
        <v>1787</v>
      </c>
      <c r="H1526" s="3">
        <v>90</v>
      </c>
      <c r="I1526" s="3">
        <v>81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0</v>
      </c>
      <c r="AU1526" s="3">
        <v>0</v>
      </c>
      <c r="AV1526" s="3">
        <v>0</v>
      </c>
      <c r="AW1526" s="3">
        <v>0</v>
      </c>
    </row>
    <row r="1527" spans="1:49">
      <c r="A1527" s="4" t="s">
        <v>35</v>
      </c>
      <c r="B1527" s="4" t="str">
        <f t="shared" si="23"/>
        <v>Hair Color</v>
      </c>
      <c r="C1527" s="4" t="s">
        <v>1786</v>
      </c>
      <c r="D1527" s="4" t="s">
        <v>579</v>
      </c>
      <c r="E1527" s="24" t="s">
        <v>47</v>
      </c>
      <c r="F1527" s="12" t="s">
        <v>577</v>
      </c>
      <c r="G1527" s="4" t="s">
        <v>1787</v>
      </c>
      <c r="H1527" s="3">
        <v>48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0</v>
      </c>
      <c r="AU1527" s="3">
        <v>0</v>
      </c>
      <c r="AV1527" s="3">
        <v>0</v>
      </c>
      <c r="AW1527" s="3">
        <v>0</v>
      </c>
    </row>
    <row r="1528" spans="1:49">
      <c r="A1528" s="4" t="s">
        <v>35</v>
      </c>
      <c r="B1528" s="4" t="str">
        <f t="shared" si="23"/>
        <v>Hair Color</v>
      </c>
      <c r="C1528" s="4" t="s">
        <v>1786</v>
      </c>
      <c r="D1528" s="4" t="s">
        <v>579</v>
      </c>
      <c r="E1528" s="24" t="s">
        <v>47</v>
      </c>
      <c r="F1528" s="12" t="s">
        <v>534</v>
      </c>
      <c r="G1528" s="4" t="s">
        <v>1787</v>
      </c>
      <c r="H1528" s="3">
        <v>84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</row>
    <row r="1529" spans="1:49">
      <c r="A1529" s="4" t="s">
        <v>35</v>
      </c>
      <c r="B1529" s="4" t="str">
        <f t="shared" si="23"/>
        <v>Hair Color</v>
      </c>
      <c r="C1529" s="4" t="s">
        <v>1786</v>
      </c>
      <c r="D1529" s="4" t="s">
        <v>579</v>
      </c>
      <c r="E1529" s="24" t="s">
        <v>47</v>
      </c>
      <c r="F1529" s="12" t="s">
        <v>535</v>
      </c>
      <c r="G1529" s="4" t="s">
        <v>1787</v>
      </c>
      <c r="H1529" s="3">
        <v>57</v>
      </c>
      <c r="I1529" s="3">
        <v>36</v>
      </c>
      <c r="J1529" s="3">
        <v>0</v>
      </c>
      <c r="K1529" s="3">
        <v>30</v>
      </c>
      <c r="L1529" s="3">
        <v>0</v>
      </c>
      <c r="M1529" s="3">
        <v>27</v>
      </c>
      <c r="N1529" s="3">
        <v>36</v>
      </c>
      <c r="O1529" s="3">
        <v>108</v>
      </c>
      <c r="P1529" s="3">
        <v>21</v>
      </c>
      <c r="Q1529" s="3">
        <v>15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</row>
    <row r="1530" spans="1:49">
      <c r="A1530" s="4" t="s">
        <v>35</v>
      </c>
      <c r="B1530" s="4" t="str">
        <f t="shared" si="23"/>
        <v>Hair Color</v>
      </c>
      <c r="C1530" s="4" t="s">
        <v>1786</v>
      </c>
      <c r="D1530" s="4" t="s">
        <v>579</v>
      </c>
      <c r="E1530" s="24" t="s">
        <v>47</v>
      </c>
      <c r="F1530" s="12" t="s">
        <v>536</v>
      </c>
      <c r="G1530" s="4" t="s">
        <v>1787</v>
      </c>
      <c r="H1530" s="3">
        <v>123</v>
      </c>
      <c r="I1530" s="3">
        <v>87</v>
      </c>
      <c r="J1530" s="3">
        <v>0</v>
      </c>
      <c r="K1530" s="3">
        <v>314</v>
      </c>
      <c r="L1530" s="3">
        <v>66</v>
      </c>
      <c r="M1530" s="3">
        <v>242</v>
      </c>
      <c r="N1530" s="3">
        <v>18</v>
      </c>
      <c r="O1530" s="3">
        <v>222</v>
      </c>
      <c r="P1530" s="3">
        <v>99</v>
      </c>
      <c r="Q1530" s="3">
        <v>66</v>
      </c>
      <c r="R1530" s="3">
        <v>33</v>
      </c>
      <c r="S1530" s="3">
        <v>57</v>
      </c>
      <c r="T1530" s="3">
        <v>99</v>
      </c>
      <c r="U1530" s="3">
        <v>27</v>
      </c>
      <c r="V1530" s="3">
        <v>123</v>
      </c>
      <c r="W1530" s="3">
        <v>60</v>
      </c>
      <c r="X1530" s="3">
        <v>153</v>
      </c>
      <c r="Y1530" s="3">
        <v>216</v>
      </c>
      <c r="Z1530" s="3">
        <v>18</v>
      </c>
      <c r="AA1530" s="3">
        <v>12</v>
      </c>
      <c r="AB1530" s="3">
        <v>90</v>
      </c>
      <c r="AC1530" s="3">
        <v>60</v>
      </c>
      <c r="AD1530" s="3">
        <v>99</v>
      </c>
      <c r="AE1530" s="3">
        <v>105</v>
      </c>
      <c r="AF1530" s="3">
        <v>45</v>
      </c>
      <c r="AG1530" s="3">
        <v>123</v>
      </c>
      <c r="AH1530" s="3">
        <v>24</v>
      </c>
      <c r="AI1530" s="3">
        <v>0</v>
      </c>
      <c r="AJ1530" s="3">
        <v>0</v>
      </c>
      <c r="AK1530" s="3">
        <v>0</v>
      </c>
      <c r="AL1530" s="3">
        <v>0</v>
      </c>
      <c r="AM1530" s="3">
        <v>45</v>
      </c>
      <c r="AN1530" s="3">
        <v>261</v>
      </c>
      <c r="AO1530" s="3">
        <v>93</v>
      </c>
      <c r="AP1530" s="3">
        <v>0</v>
      </c>
      <c r="AQ1530" s="3">
        <v>0</v>
      </c>
      <c r="AR1530" s="3">
        <v>165</v>
      </c>
      <c r="AS1530" s="3">
        <v>174</v>
      </c>
      <c r="AT1530" s="3">
        <v>135</v>
      </c>
      <c r="AU1530" s="3">
        <v>3</v>
      </c>
      <c r="AV1530" s="3">
        <v>36</v>
      </c>
      <c r="AW1530" s="3">
        <v>33</v>
      </c>
    </row>
    <row r="1531" spans="1:49">
      <c r="A1531" s="4" t="s">
        <v>35</v>
      </c>
      <c r="B1531" s="4" t="str">
        <f t="shared" si="23"/>
        <v>Hair Color</v>
      </c>
      <c r="C1531" s="4" t="s">
        <v>1786</v>
      </c>
      <c r="D1531" s="4" t="s">
        <v>579</v>
      </c>
      <c r="E1531" s="24" t="s">
        <v>47</v>
      </c>
      <c r="F1531" s="12" t="s">
        <v>537</v>
      </c>
      <c r="G1531" s="4" t="s">
        <v>1787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126</v>
      </c>
      <c r="AH1531" s="3">
        <v>24</v>
      </c>
      <c r="AI1531" s="3">
        <v>-12</v>
      </c>
      <c r="AJ1531" s="3">
        <v>0</v>
      </c>
      <c r="AK1531" s="3">
        <v>12</v>
      </c>
      <c r="AL1531" s="3">
        <v>12</v>
      </c>
      <c r="AM1531" s="3">
        <v>6</v>
      </c>
      <c r="AN1531" s="3">
        <v>0</v>
      </c>
      <c r="AO1531" s="3">
        <v>0</v>
      </c>
      <c r="AP1531" s="3">
        <v>18</v>
      </c>
      <c r="AQ1531" s="3">
        <v>36</v>
      </c>
      <c r="AR1531" s="3">
        <v>0</v>
      </c>
      <c r="AS1531" s="3">
        <v>12</v>
      </c>
      <c r="AT1531" s="3">
        <v>48</v>
      </c>
      <c r="AU1531" s="3">
        <v>3</v>
      </c>
      <c r="AV1531" s="3">
        <v>0</v>
      </c>
      <c r="AW1531" s="3">
        <v>0</v>
      </c>
    </row>
    <row r="1532" spans="1:49">
      <c r="A1532" s="4" t="s">
        <v>35</v>
      </c>
      <c r="B1532" s="4" t="str">
        <f t="shared" si="23"/>
        <v>Hair Color</v>
      </c>
      <c r="C1532" s="4" t="s">
        <v>1786</v>
      </c>
      <c r="D1532" s="4" t="s">
        <v>579</v>
      </c>
      <c r="E1532" s="24" t="s">
        <v>47</v>
      </c>
      <c r="F1532" s="12" t="s">
        <v>538</v>
      </c>
      <c r="G1532" s="4" t="s">
        <v>1787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126</v>
      </c>
      <c r="AH1532" s="3">
        <v>24</v>
      </c>
      <c r="AI1532" s="3">
        <v>-12</v>
      </c>
      <c r="AJ1532" s="3">
        <v>0</v>
      </c>
      <c r="AK1532" s="3">
        <v>12</v>
      </c>
      <c r="AL1532" s="3">
        <v>0</v>
      </c>
      <c r="AM1532" s="3">
        <v>18</v>
      </c>
      <c r="AN1532" s="3">
        <v>0</v>
      </c>
      <c r="AO1532" s="3">
        <v>12</v>
      </c>
      <c r="AP1532" s="3">
        <v>24</v>
      </c>
      <c r="AQ1532" s="3">
        <v>18</v>
      </c>
      <c r="AR1532" s="3">
        <v>18</v>
      </c>
      <c r="AS1532" s="3">
        <v>24</v>
      </c>
      <c r="AT1532" s="3">
        <v>36</v>
      </c>
      <c r="AU1532" s="3">
        <v>3</v>
      </c>
      <c r="AV1532" s="3">
        <v>12</v>
      </c>
      <c r="AW1532" s="3">
        <v>0</v>
      </c>
    </row>
    <row r="1533" spans="1:49">
      <c r="A1533" s="4" t="s">
        <v>35</v>
      </c>
      <c r="B1533" s="4" t="str">
        <f t="shared" si="23"/>
        <v>Hair Color</v>
      </c>
      <c r="C1533" s="4" t="s">
        <v>1786</v>
      </c>
      <c r="D1533" s="4" t="s">
        <v>579</v>
      </c>
      <c r="E1533" s="24" t="s">
        <v>47</v>
      </c>
      <c r="F1533" s="12" t="s">
        <v>539</v>
      </c>
      <c r="G1533" s="4" t="s">
        <v>1787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126</v>
      </c>
      <c r="AH1533" s="3">
        <v>24</v>
      </c>
      <c r="AI1533" s="3">
        <v>12</v>
      </c>
      <c r="AJ1533" s="3">
        <v>0</v>
      </c>
      <c r="AK1533" s="3">
        <v>12</v>
      </c>
      <c r="AL1533" s="3">
        <v>30</v>
      </c>
      <c r="AM1533" s="3">
        <v>0</v>
      </c>
      <c r="AN1533" s="3">
        <v>24</v>
      </c>
      <c r="AO1533" s="3">
        <v>12</v>
      </c>
      <c r="AP1533" s="3">
        <v>12</v>
      </c>
      <c r="AQ1533" s="3">
        <v>36</v>
      </c>
      <c r="AR1533" s="3">
        <v>18</v>
      </c>
      <c r="AS1533" s="3">
        <v>12</v>
      </c>
      <c r="AT1533" s="3">
        <v>36</v>
      </c>
      <c r="AU1533" s="3">
        <v>3</v>
      </c>
      <c r="AV1533" s="3">
        <v>0</v>
      </c>
      <c r="AW1533" s="3">
        <v>12</v>
      </c>
    </row>
    <row r="1534" spans="1:49">
      <c r="A1534" s="4" t="s">
        <v>35</v>
      </c>
      <c r="B1534" s="4" t="str">
        <f t="shared" si="23"/>
        <v>Hair Color</v>
      </c>
      <c r="C1534" s="4" t="s">
        <v>1786</v>
      </c>
      <c r="D1534" s="4" t="s">
        <v>579</v>
      </c>
      <c r="E1534" s="24" t="s">
        <v>47</v>
      </c>
      <c r="F1534" s="12" t="s">
        <v>540</v>
      </c>
      <c r="G1534" s="4" t="s">
        <v>1787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12</v>
      </c>
      <c r="AL1534" s="3">
        <v>60</v>
      </c>
      <c r="AM1534" s="3">
        <v>6</v>
      </c>
      <c r="AN1534" s="3">
        <v>24</v>
      </c>
      <c r="AO1534" s="3">
        <v>0</v>
      </c>
      <c r="AP1534" s="3">
        <v>36</v>
      </c>
      <c r="AQ1534" s="3">
        <v>0</v>
      </c>
      <c r="AR1534" s="3">
        <v>24</v>
      </c>
      <c r="AS1534" s="3">
        <v>12</v>
      </c>
      <c r="AT1534" s="3">
        <v>36</v>
      </c>
      <c r="AU1534" s="3">
        <v>0</v>
      </c>
      <c r="AV1534" s="3">
        <v>0</v>
      </c>
      <c r="AW1534" s="3">
        <v>36</v>
      </c>
    </row>
    <row r="1535" spans="1:49">
      <c r="A1535" s="4" t="s">
        <v>35</v>
      </c>
      <c r="B1535" s="4" t="str">
        <f t="shared" si="23"/>
        <v>Hair Color</v>
      </c>
      <c r="C1535" s="4" t="s">
        <v>1786</v>
      </c>
      <c r="D1535" s="4" t="s">
        <v>579</v>
      </c>
      <c r="E1535" s="24" t="s">
        <v>47</v>
      </c>
      <c r="F1535" s="12" t="s">
        <v>541</v>
      </c>
      <c r="G1535" s="4" t="s">
        <v>1787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126</v>
      </c>
      <c r="AH1535" s="3">
        <v>24</v>
      </c>
      <c r="AI1535" s="3">
        <v>-12</v>
      </c>
      <c r="AJ1535" s="3">
        <v>0</v>
      </c>
      <c r="AK1535" s="3">
        <v>0</v>
      </c>
      <c r="AL1535" s="3">
        <v>24</v>
      </c>
      <c r="AM1535" s="3">
        <v>6</v>
      </c>
      <c r="AN1535" s="3">
        <v>0</v>
      </c>
      <c r="AO1535" s="3">
        <v>0</v>
      </c>
      <c r="AP1535" s="3">
        <v>0</v>
      </c>
      <c r="AQ1535" s="3">
        <v>36</v>
      </c>
      <c r="AR1535" s="3">
        <v>12</v>
      </c>
      <c r="AS1535" s="3">
        <v>0</v>
      </c>
      <c r="AT1535" s="3">
        <v>24</v>
      </c>
      <c r="AU1535" s="3">
        <v>3</v>
      </c>
      <c r="AV1535" s="3">
        <v>24</v>
      </c>
      <c r="AW1535" s="3">
        <v>0</v>
      </c>
    </row>
    <row r="1536" spans="1:49">
      <c r="A1536" s="4" t="s">
        <v>35</v>
      </c>
      <c r="B1536" s="4" t="str">
        <f t="shared" si="23"/>
        <v>Hair Color</v>
      </c>
      <c r="C1536" s="4" t="s">
        <v>1786</v>
      </c>
      <c r="D1536" s="4" t="s">
        <v>579</v>
      </c>
      <c r="E1536" s="24" t="s">
        <v>47</v>
      </c>
      <c r="F1536" s="12" t="s">
        <v>542</v>
      </c>
      <c r="G1536" s="4" t="s">
        <v>1787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126</v>
      </c>
      <c r="AH1536" s="3">
        <v>36</v>
      </c>
      <c r="AI1536" s="3">
        <v>24</v>
      </c>
      <c r="AJ1536" s="3">
        <v>0</v>
      </c>
      <c r="AK1536" s="3">
        <v>36</v>
      </c>
      <c r="AL1536" s="3">
        <v>12</v>
      </c>
      <c r="AM1536" s="3">
        <v>18</v>
      </c>
      <c r="AN1536" s="3">
        <v>60</v>
      </c>
      <c r="AO1536" s="3">
        <v>0</v>
      </c>
      <c r="AP1536" s="3">
        <v>24</v>
      </c>
      <c r="AQ1536" s="3">
        <v>42</v>
      </c>
      <c r="AR1536" s="3">
        <v>42</v>
      </c>
      <c r="AS1536" s="3">
        <v>36</v>
      </c>
      <c r="AT1536" s="3">
        <v>60</v>
      </c>
      <c r="AU1536" s="3">
        <v>3</v>
      </c>
      <c r="AV1536" s="3">
        <v>0</v>
      </c>
      <c r="AW1536" s="3">
        <v>0</v>
      </c>
    </row>
    <row r="1537" spans="1:49">
      <c r="A1537" s="4" t="s">
        <v>35</v>
      </c>
      <c r="B1537" s="4" t="str">
        <f t="shared" si="23"/>
        <v>Hair Color</v>
      </c>
      <c r="C1537" s="4" t="s">
        <v>1786</v>
      </c>
      <c r="D1537" s="4" t="s">
        <v>579</v>
      </c>
      <c r="E1537" s="24" t="s">
        <v>47</v>
      </c>
      <c r="F1537" s="12" t="s">
        <v>543</v>
      </c>
      <c r="G1537" s="4" t="s">
        <v>1787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126</v>
      </c>
      <c r="AH1537" s="3">
        <v>24</v>
      </c>
      <c r="AI1537" s="3">
        <v>0</v>
      </c>
      <c r="AJ1537" s="3">
        <v>24</v>
      </c>
      <c r="AK1537" s="3">
        <v>12</v>
      </c>
      <c r="AL1537" s="3">
        <v>9</v>
      </c>
      <c r="AM1537" s="3">
        <v>6</v>
      </c>
      <c r="AN1537" s="3">
        <v>15</v>
      </c>
      <c r="AO1537" s="3">
        <v>0</v>
      </c>
      <c r="AP1537" s="3">
        <v>6</v>
      </c>
      <c r="AQ1537" s="3">
        <v>42</v>
      </c>
      <c r="AR1537" s="3">
        <v>30</v>
      </c>
      <c r="AS1537" s="3">
        <v>24</v>
      </c>
      <c r="AT1537" s="3">
        <v>36</v>
      </c>
      <c r="AU1537" s="3">
        <v>9</v>
      </c>
      <c r="AV1537" s="3">
        <v>0</v>
      </c>
      <c r="AW1537" s="3">
        <v>0</v>
      </c>
    </row>
    <row r="1538" spans="1:49">
      <c r="A1538" s="4" t="s">
        <v>35</v>
      </c>
      <c r="B1538" s="4" t="str">
        <f t="shared" si="23"/>
        <v>Hair Color</v>
      </c>
      <c r="C1538" s="4" t="s">
        <v>1786</v>
      </c>
      <c r="D1538" s="4" t="s">
        <v>579</v>
      </c>
      <c r="E1538" s="24" t="s">
        <v>47</v>
      </c>
      <c r="F1538" s="12" t="s">
        <v>544</v>
      </c>
      <c r="G1538" s="4" t="s">
        <v>1787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126</v>
      </c>
      <c r="AH1538" s="3">
        <v>24</v>
      </c>
      <c r="AI1538" s="3">
        <v>24</v>
      </c>
      <c r="AJ1538" s="3">
        <v>0</v>
      </c>
      <c r="AK1538" s="3">
        <v>36</v>
      </c>
      <c r="AL1538" s="3">
        <v>24</v>
      </c>
      <c r="AM1538" s="3">
        <v>36</v>
      </c>
      <c r="AN1538" s="3">
        <v>0</v>
      </c>
      <c r="AO1538" s="3">
        <v>0</v>
      </c>
      <c r="AP1538" s="3">
        <v>0</v>
      </c>
      <c r="AQ1538" s="3">
        <v>12</v>
      </c>
      <c r="AR1538" s="3">
        <v>36</v>
      </c>
      <c r="AS1538" s="3">
        <v>48</v>
      </c>
      <c r="AT1538" s="3">
        <v>48</v>
      </c>
      <c r="AU1538" s="3">
        <v>9</v>
      </c>
      <c r="AV1538" s="3">
        <v>36</v>
      </c>
      <c r="AW1538" s="3">
        <v>18</v>
      </c>
    </row>
    <row r="1539" spans="1:49">
      <c r="A1539" s="4" t="s">
        <v>35</v>
      </c>
      <c r="B1539" s="4" t="str">
        <f t="shared" ref="B1539:B1602" si="24">A1539</f>
        <v>Hair Color</v>
      </c>
      <c r="C1539" s="4" t="s">
        <v>1786</v>
      </c>
      <c r="D1539" s="4" t="s">
        <v>579</v>
      </c>
      <c r="E1539" s="24" t="s">
        <v>47</v>
      </c>
      <c r="F1539" s="12" t="s">
        <v>545</v>
      </c>
      <c r="G1539" s="4" t="s">
        <v>1787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126</v>
      </c>
      <c r="AH1539" s="3">
        <v>24</v>
      </c>
      <c r="AI1539" s="3">
        <v>12</v>
      </c>
      <c r="AJ1539" s="3">
        <v>0</v>
      </c>
      <c r="AK1539" s="3">
        <v>24</v>
      </c>
      <c r="AL1539" s="3">
        <v>18</v>
      </c>
      <c r="AM1539" s="3">
        <v>18</v>
      </c>
      <c r="AN1539" s="3">
        <v>12</v>
      </c>
      <c r="AO1539" s="3">
        <v>12</v>
      </c>
      <c r="AP1539" s="3">
        <v>36</v>
      </c>
      <c r="AQ1539" s="3">
        <v>36</v>
      </c>
      <c r="AR1539" s="3">
        <v>48</v>
      </c>
      <c r="AS1539" s="3">
        <v>0</v>
      </c>
      <c r="AT1539" s="3">
        <v>60</v>
      </c>
      <c r="AU1539" s="3">
        <v>9</v>
      </c>
      <c r="AV1539" s="3">
        <v>0</v>
      </c>
      <c r="AW1539" s="3">
        <v>6</v>
      </c>
    </row>
    <row r="1540" spans="1:49">
      <c r="A1540" s="4" t="s">
        <v>35</v>
      </c>
      <c r="B1540" s="4" t="str">
        <f t="shared" si="24"/>
        <v>Hair Color</v>
      </c>
      <c r="C1540" s="4" t="s">
        <v>1786</v>
      </c>
      <c r="D1540" s="4" t="s">
        <v>579</v>
      </c>
      <c r="E1540" s="24" t="s">
        <v>47</v>
      </c>
      <c r="F1540" s="12" t="s">
        <v>546</v>
      </c>
      <c r="G1540" s="4" t="s">
        <v>1787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126</v>
      </c>
      <c r="AH1540" s="3">
        <v>12</v>
      </c>
      <c r="AI1540" s="3">
        <v>12</v>
      </c>
      <c r="AJ1540" s="3">
        <v>12</v>
      </c>
      <c r="AK1540" s="3">
        <v>24</v>
      </c>
      <c r="AL1540" s="3">
        <v>18</v>
      </c>
      <c r="AM1540" s="3">
        <v>6</v>
      </c>
      <c r="AN1540" s="3">
        <v>0</v>
      </c>
      <c r="AO1540" s="3">
        <v>12</v>
      </c>
      <c r="AP1540" s="3">
        <v>0</v>
      </c>
      <c r="AQ1540" s="3">
        <v>36</v>
      </c>
      <c r="AR1540" s="3">
        <v>24</v>
      </c>
      <c r="AS1540" s="3">
        <v>0</v>
      </c>
      <c r="AT1540" s="3">
        <v>36</v>
      </c>
      <c r="AU1540" s="3">
        <v>3</v>
      </c>
      <c r="AV1540" s="3">
        <v>0</v>
      </c>
      <c r="AW1540" s="3">
        <v>12</v>
      </c>
    </row>
    <row r="1541" spans="1:49">
      <c r="A1541" s="4" t="s">
        <v>35</v>
      </c>
      <c r="B1541" s="4" t="str">
        <f t="shared" si="24"/>
        <v>Hair Color</v>
      </c>
      <c r="C1541" s="4" t="s">
        <v>1786</v>
      </c>
      <c r="D1541" s="4" t="s">
        <v>579</v>
      </c>
      <c r="E1541" s="24" t="s">
        <v>47</v>
      </c>
      <c r="F1541" s="12" t="s">
        <v>547</v>
      </c>
      <c r="G1541" s="4" t="s">
        <v>1787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126</v>
      </c>
      <c r="AH1541" s="3">
        <v>12</v>
      </c>
      <c r="AI1541" s="3">
        <v>12</v>
      </c>
      <c r="AJ1541" s="3">
        <v>0</v>
      </c>
      <c r="AK1541" s="3">
        <v>24</v>
      </c>
      <c r="AL1541" s="3">
        <v>12</v>
      </c>
      <c r="AM1541" s="3">
        <v>6</v>
      </c>
      <c r="AN1541" s="3">
        <v>12</v>
      </c>
      <c r="AO1541" s="3">
        <v>0</v>
      </c>
      <c r="AP1541" s="3">
        <v>12</v>
      </c>
      <c r="AQ1541" s="3">
        <v>12</v>
      </c>
      <c r="AR1541" s="3">
        <v>42</v>
      </c>
      <c r="AS1541" s="3">
        <v>24</v>
      </c>
      <c r="AT1541" s="3">
        <v>24</v>
      </c>
      <c r="AU1541" s="3">
        <v>6</v>
      </c>
      <c r="AV1541" s="3">
        <v>12</v>
      </c>
      <c r="AW1541" s="3">
        <v>0</v>
      </c>
    </row>
    <row r="1542" spans="1:49">
      <c r="A1542" s="4" t="s">
        <v>35</v>
      </c>
      <c r="B1542" s="4" t="str">
        <f t="shared" si="24"/>
        <v>Hair Color</v>
      </c>
      <c r="C1542" s="4" t="s">
        <v>1786</v>
      </c>
      <c r="D1542" s="4" t="s">
        <v>579</v>
      </c>
      <c r="E1542" s="24" t="s">
        <v>47</v>
      </c>
      <c r="F1542" s="12" t="s">
        <v>548</v>
      </c>
      <c r="G1542" s="4" t="s">
        <v>1787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120</v>
      </c>
      <c r="AH1542" s="3">
        <v>18</v>
      </c>
      <c r="AI1542" s="3">
        <v>24</v>
      </c>
      <c r="AJ1542" s="3">
        <v>0</v>
      </c>
      <c r="AK1542" s="3">
        <v>12</v>
      </c>
      <c r="AL1542" s="3">
        <v>30</v>
      </c>
      <c r="AM1542" s="3">
        <v>12</v>
      </c>
      <c r="AN1542" s="3">
        <v>15</v>
      </c>
      <c r="AO1542" s="3">
        <v>6</v>
      </c>
      <c r="AP1542" s="3">
        <v>18</v>
      </c>
      <c r="AQ1542" s="3">
        <v>48</v>
      </c>
      <c r="AR1542" s="3">
        <v>30</v>
      </c>
      <c r="AS1542" s="3">
        <v>12</v>
      </c>
      <c r="AT1542" s="3">
        <v>24</v>
      </c>
      <c r="AU1542" s="3">
        <v>9</v>
      </c>
      <c r="AV1542" s="3">
        <v>0</v>
      </c>
      <c r="AW1542" s="3">
        <v>12</v>
      </c>
    </row>
    <row r="1543" spans="1:49">
      <c r="A1543" s="4" t="s">
        <v>35</v>
      </c>
      <c r="B1543" s="4" t="str">
        <f t="shared" si="24"/>
        <v>Hair Color</v>
      </c>
      <c r="C1543" s="4" t="s">
        <v>1786</v>
      </c>
      <c r="D1543" s="4" t="s">
        <v>579</v>
      </c>
      <c r="E1543" s="24" t="s">
        <v>47</v>
      </c>
      <c r="F1543" s="12" t="s">
        <v>549</v>
      </c>
      <c r="G1543" s="4" t="s">
        <v>1787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126</v>
      </c>
      <c r="AH1543" s="3">
        <v>24</v>
      </c>
      <c r="AI1543" s="3">
        <v>-12</v>
      </c>
      <c r="AJ1543" s="3">
        <v>12</v>
      </c>
      <c r="AK1543" s="3">
        <v>12</v>
      </c>
      <c r="AL1543" s="3">
        <v>18</v>
      </c>
      <c r="AM1543" s="3">
        <v>0</v>
      </c>
      <c r="AN1543" s="3">
        <v>24</v>
      </c>
      <c r="AO1543" s="3">
        <v>0</v>
      </c>
      <c r="AP1543" s="3">
        <v>0</v>
      </c>
      <c r="AQ1543" s="3">
        <v>12</v>
      </c>
      <c r="AR1543" s="3">
        <v>30</v>
      </c>
      <c r="AS1543" s="3">
        <v>24</v>
      </c>
      <c r="AT1543" s="3">
        <v>36</v>
      </c>
      <c r="AU1543" s="3">
        <v>3</v>
      </c>
      <c r="AV1543" s="3">
        <v>0</v>
      </c>
      <c r="AW1543" s="3">
        <v>0</v>
      </c>
    </row>
    <row r="1544" spans="1:49">
      <c r="A1544" s="4" t="s">
        <v>35</v>
      </c>
      <c r="B1544" s="4" t="str">
        <f t="shared" si="24"/>
        <v>Hair Color</v>
      </c>
      <c r="C1544" s="4" t="s">
        <v>1786</v>
      </c>
      <c r="D1544" s="4" t="s">
        <v>579</v>
      </c>
      <c r="E1544" s="24" t="s">
        <v>47</v>
      </c>
      <c r="F1544" s="12" t="s">
        <v>550</v>
      </c>
      <c r="G1544" s="4" t="s">
        <v>1787</v>
      </c>
      <c r="H1544" s="3">
        <v>123</v>
      </c>
      <c r="I1544" s="3">
        <v>111</v>
      </c>
      <c r="J1544" s="3">
        <v>69</v>
      </c>
      <c r="K1544" s="3">
        <v>180</v>
      </c>
      <c r="L1544" s="3">
        <v>81</v>
      </c>
      <c r="M1544" s="3">
        <v>144</v>
      </c>
      <c r="N1544" s="3">
        <v>33</v>
      </c>
      <c r="O1544" s="3">
        <v>198</v>
      </c>
      <c r="P1544" s="3">
        <v>135</v>
      </c>
      <c r="Q1544" s="3">
        <v>18</v>
      </c>
      <c r="R1544" s="3">
        <v>9</v>
      </c>
      <c r="S1544" s="3">
        <v>66</v>
      </c>
      <c r="T1544" s="3">
        <v>87</v>
      </c>
      <c r="U1544" s="3">
        <v>54</v>
      </c>
      <c r="V1544" s="3">
        <v>147</v>
      </c>
      <c r="W1544" s="3">
        <v>90</v>
      </c>
      <c r="X1544" s="3">
        <v>111</v>
      </c>
      <c r="Y1544" s="3">
        <v>126</v>
      </c>
      <c r="Z1544" s="3">
        <v>42</v>
      </c>
      <c r="AA1544" s="3">
        <v>18</v>
      </c>
      <c r="AB1544" s="3">
        <v>150</v>
      </c>
      <c r="AC1544" s="3">
        <v>66</v>
      </c>
      <c r="AD1544" s="3">
        <v>6</v>
      </c>
      <c r="AE1544" s="3">
        <v>0</v>
      </c>
      <c r="AF1544" s="3">
        <v>105</v>
      </c>
      <c r="AG1544" s="3">
        <v>129</v>
      </c>
      <c r="AH1544" s="3">
        <v>0</v>
      </c>
      <c r="AI1544" s="3">
        <v>156</v>
      </c>
      <c r="AJ1544" s="3">
        <v>24</v>
      </c>
      <c r="AK1544" s="3">
        <v>141</v>
      </c>
      <c r="AL1544" s="3">
        <v>171</v>
      </c>
      <c r="AM1544" s="3">
        <v>171</v>
      </c>
      <c r="AN1544" s="3">
        <v>198</v>
      </c>
      <c r="AO1544" s="3">
        <v>54</v>
      </c>
      <c r="AP1544" s="3">
        <v>243</v>
      </c>
      <c r="AQ1544" s="3">
        <v>24</v>
      </c>
      <c r="AR1544" s="3">
        <v>66</v>
      </c>
      <c r="AS1544" s="3">
        <v>141</v>
      </c>
      <c r="AT1544" s="3">
        <v>150</v>
      </c>
      <c r="AU1544" s="3">
        <v>3</v>
      </c>
      <c r="AV1544" s="3">
        <v>60</v>
      </c>
      <c r="AW1544" s="3">
        <v>75</v>
      </c>
    </row>
    <row r="1545" spans="1:49">
      <c r="A1545" s="4" t="s">
        <v>35</v>
      </c>
      <c r="B1545" s="4" t="str">
        <f t="shared" si="24"/>
        <v>Hair Color</v>
      </c>
      <c r="C1545" s="4" t="s">
        <v>1786</v>
      </c>
      <c r="D1545" s="4" t="s">
        <v>579</v>
      </c>
      <c r="E1545" s="24" t="s">
        <v>47</v>
      </c>
      <c r="F1545" s="12" t="s">
        <v>551</v>
      </c>
      <c r="G1545" s="4" t="s">
        <v>1787</v>
      </c>
      <c r="H1545" s="3">
        <v>117</v>
      </c>
      <c r="I1545" s="3">
        <v>75</v>
      </c>
      <c r="J1545" s="3">
        <v>66</v>
      </c>
      <c r="K1545" s="3">
        <v>120</v>
      </c>
      <c r="L1545" s="3">
        <v>63</v>
      </c>
      <c r="M1545" s="3">
        <v>126</v>
      </c>
      <c r="N1545" s="3">
        <v>27</v>
      </c>
      <c r="O1545" s="3">
        <v>168</v>
      </c>
      <c r="P1545" s="3">
        <v>117</v>
      </c>
      <c r="Q1545" s="3">
        <v>57</v>
      </c>
      <c r="R1545" s="3">
        <v>12</v>
      </c>
      <c r="S1545" s="3">
        <v>204</v>
      </c>
      <c r="T1545" s="3">
        <v>159</v>
      </c>
      <c r="U1545" s="3">
        <v>18</v>
      </c>
      <c r="V1545" s="3">
        <v>87</v>
      </c>
      <c r="W1545" s="3">
        <v>117</v>
      </c>
      <c r="X1545" s="3">
        <v>138</v>
      </c>
      <c r="Y1545" s="3">
        <v>156</v>
      </c>
      <c r="Z1545" s="3">
        <v>45</v>
      </c>
      <c r="AA1545" s="3">
        <v>18</v>
      </c>
      <c r="AB1545" s="3">
        <v>144</v>
      </c>
      <c r="AC1545" s="3">
        <v>78</v>
      </c>
      <c r="AD1545" s="3">
        <v>102</v>
      </c>
      <c r="AE1545" s="3">
        <v>66</v>
      </c>
      <c r="AF1545" s="3">
        <v>51</v>
      </c>
      <c r="AG1545" s="3">
        <v>111</v>
      </c>
      <c r="AH1545" s="3">
        <v>12</v>
      </c>
      <c r="AI1545" s="3">
        <v>75</v>
      </c>
      <c r="AJ1545" s="3">
        <v>15</v>
      </c>
      <c r="AK1545" s="3">
        <v>0</v>
      </c>
      <c r="AL1545" s="3">
        <v>0</v>
      </c>
      <c r="AM1545" s="3">
        <v>0</v>
      </c>
      <c r="AN1545" s="3">
        <v>0</v>
      </c>
      <c r="AO1545" s="3">
        <v>276</v>
      </c>
      <c r="AP1545" s="3">
        <v>45</v>
      </c>
      <c r="AQ1545" s="3">
        <v>15</v>
      </c>
      <c r="AR1545" s="3">
        <v>144</v>
      </c>
      <c r="AS1545" s="3">
        <v>102</v>
      </c>
      <c r="AT1545" s="3">
        <v>156</v>
      </c>
      <c r="AU1545" s="3">
        <v>6</v>
      </c>
      <c r="AV1545" s="3">
        <v>21</v>
      </c>
      <c r="AW1545" s="3">
        <v>60</v>
      </c>
    </row>
    <row r="1546" spans="1:49">
      <c r="A1546" s="4" t="s">
        <v>35</v>
      </c>
      <c r="B1546" s="4" t="str">
        <f t="shared" si="24"/>
        <v>Hair Color</v>
      </c>
      <c r="C1546" s="4" t="s">
        <v>1786</v>
      </c>
      <c r="D1546" s="4" t="s">
        <v>579</v>
      </c>
      <c r="E1546" s="24" t="s">
        <v>47</v>
      </c>
      <c r="F1546" s="12" t="s">
        <v>552</v>
      </c>
      <c r="G1546" s="4" t="s">
        <v>1787</v>
      </c>
      <c r="H1546" s="3">
        <v>66</v>
      </c>
      <c r="I1546" s="3">
        <v>18</v>
      </c>
      <c r="J1546" s="3">
        <v>39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</row>
    <row r="1547" spans="1:49">
      <c r="A1547" s="4" t="s">
        <v>35</v>
      </c>
      <c r="B1547" s="4" t="str">
        <f t="shared" si="24"/>
        <v>Hair Color</v>
      </c>
      <c r="C1547" s="4" t="s">
        <v>1786</v>
      </c>
      <c r="D1547" s="4" t="s">
        <v>579</v>
      </c>
      <c r="E1547" s="24" t="s">
        <v>47</v>
      </c>
      <c r="F1547" s="12" t="s">
        <v>553</v>
      </c>
      <c r="G1547" s="4" t="s">
        <v>1787</v>
      </c>
      <c r="H1547" s="3">
        <v>30</v>
      </c>
      <c r="I1547" s="3">
        <v>3</v>
      </c>
      <c r="J1547" s="3">
        <v>3</v>
      </c>
      <c r="K1547" s="3">
        <v>24</v>
      </c>
      <c r="L1547" s="3">
        <v>18</v>
      </c>
      <c r="M1547" s="3">
        <v>48</v>
      </c>
      <c r="N1547" s="3">
        <v>0</v>
      </c>
      <c r="O1547" s="3">
        <v>96</v>
      </c>
      <c r="P1547" s="3">
        <v>51</v>
      </c>
      <c r="Q1547" s="3">
        <v>30</v>
      </c>
      <c r="R1547" s="3">
        <v>0</v>
      </c>
      <c r="S1547" s="3">
        <v>12</v>
      </c>
      <c r="T1547" s="3">
        <v>24</v>
      </c>
      <c r="U1547" s="3">
        <v>6</v>
      </c>
      <c r="V1547" s="3">
        <v>24</v>
      </c>
      <c r="W1547" s="3">
        <v>24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 s="3">
        <v>0</v>
      </c>
    </row>
    <row r="1548" spans="1:49">
      <c r="A1548" s="4" t="s">
        <v>35</v>
      </c>
      <c r="B1548" s="4" t="str">
        <f t="shared" si="24"/>
        <v>Hair Color</v>
      </c>
      <c r="C1548" s="4" t="s">
        <v>1786</v>
      </c>
      <c r="D1548" s="4" t="s">
        <v>579</v>
      </c>
      <c r="E1548" s="24" t="s">
        <v>47</v>
      </c>
      <c r="F1548" s="12" t="s">
        <v>521</v>
      </c>
      <c r="G1548" s="4" t="s">
        <v>1787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353</v>
      </c>
      <c r="AJ1548" s="3">
        <v>-22</v>
      </c>
      <c r="AK1548" s="3">
        <v>312</v>
      </c>
      <c r="AL1548" s="3">
        <v>54</v>
      </c>
      <c r="AM1548" s="3">
        <v>114</v>
      </c>
      <c r="AN1548" s="3">
        <v>198</v>
      </c>
      <c r="AO1548" s="3">
        <v>114</v>
      </c>
      <c r="AP1548" s="3">
        <v>240</v>
      </c>
      <c r="AQ1548" s="3">
        <v>54</v>
      </c>
      <c r="AR1548" s="3">
        <v>114</v>
      </c>
      <c r="AS1548" s="3">
        <v>144</v>
      </c>
      <c r="AT1548" s="3">
        <v>216</v>
      </c>
      <c r="AU1548" s="3">
        <v>18</v>
      </c>
      <c r="AV1548" s="3">
        <v>6</v>
      </c>
      <c r="AW1548" s="3">
        <v>126</v>
      </c>
    </row>
    <row r="1549" spans="1:49">
      <c r="A1549" s="4" t="s">
        <v>35</v>
      </c>
      <c r="B1549" s="4" t="str">
        <f t="shared" si="24"/>
        <v>Hair Color</v>
      </c>
      <c r="C1549" s="4" t="s">
        <v>1786</v>
      </c>
      <c r="D1549" s="4" t="s">
        <v>579</v>
      </c>
      <c r="E1549" s="24" t="s">
        <v>47</v>
      </c>
      <c r="F1549" s="12" t="s">
        <v>554</v>
      </c>
      <c r="G1549" s="4" t="s">
        <v>1787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36</v>
      </c>
      <c r="AI1549" s="3">
        <v>219</v>
      </c>
      <c r="AJ1549" s="3">
        <v>42</v>
      </c>
      <c r="AK1549" s="3">
        <v>276</v>
      </c>
      <c r="AL1549" s="3">
        <v>72</v>
      </c>
      <c r="AM1549" s="3">
        <v>90</v>
      </c>
      <c r="AN1549" s="3">
        <v>174</v>
      </c>
      <c r="AO1549" s="3">
        <v>66</v>
      </c>
      <c r="AP1549" s="3">
        <v>228</v>
      </c>
      <c r="AQ1549" s="3">
        <v>120</v>
      </c>
      <c r="AR1549" s="3">
        <v>174</v>
      </c>
      <c r="AS1549" s="3">
        <v>84</v>
      </c>
      <c r="AT1549" s="3">
        <v>216</v>
      </c>
      <c r="AU1549" s="3">
        <v>6</v>
      </c>
      <c r="AV1549" s="3">
        <v>60</v>
      </c>
      <c r="AW1549" s="3">
        <v>60</v>
      </c>
    </row>
    <row r="1550" spans="1:49">
      <c r="A1550" s="4" t="s">
        <v>35</v>
      </c>
      <c r="B1550" s="4" t="str">
        <f t="shared" si="24"/>
        <v>Hair Color</v>
      </c>
      <c r="C1550" s="4" t="s">
        <v>1786</v>
      </c>
      <c r="D1550" s="4" t="s">
        <v>579</v>
      </c>
      <c r="E1550" s="24" t="s">
        <v>47</v>
      </c>
      <c r="F1550" s="12" t="s">
        <v>523</v>
      </c>
      <c r="G1550" s="4" t="s">
        <v>1787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392</v>
      </c>
      <c r="AJ1550" s="3">
        <v>50</v>
      </c>
      <c r="AK1550" s="3">
        <v>492</v>
      </c>
      <c r="AL1550" s="3">
        <v>96</v>
      </c>
      <c r="AM1550" s="3">
        <v>120</v>
      </c>
      <c r="AN1550" s="3">
        <v>318</v>
      </c>
      <c r="AO1550" s="3">
        <v>120</v>
      </c>
      <c r="AP1550" s="3">
        <v>330</v>
      </c>
      <c r="AQ1550" s="3">
        <v>42</v>
      </c>
      <c r="AR1550" s="3">
        <v>150</v>
      </c>
      <c r="AS1550" s="3">
        <v>198</v>
      </c>
      <c r="AT1550" s="3">
        <v>282</v>
      </c>
      <c r="AU1550" s="3">
        <v>12</v>
      </c>
      <c r="AV1550" s="3">
        <v>96</v>
      </c>
      <c r="AW1550" s="3">
        <v>90</v>
      </c>
    </row>
    <row r="1551" spans="1:49">
      <c r="A1551" s="4" t="s">
        <v>35</v>
      </c>
      <c r="B1551" s="4" t="str">
        <f t="shared" si="24"/>
        <v>Hair Color</v>
      </c>
      <c r="C1551" s="4" t="s">
        <v>1786</v>
      </c>
      <c r="D1551" s="4" t="s">
        <v>579</v>
      </c>
      <c r="E1551" s="24" t="s">
        <v>47</v>
      </c>
      <c r="F1551" s="12" t="s">
        <v>522</v>
      </c>
      <c r="G1551" s="4" t="s">
        <v>1787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209</v>
      </c>
      <c r="AJ1551" s="3">
        <v>122</v>
      </c>
      <c r="AK1551" s="3">
        <v>324</v>
      </c>
      <c r="AL1551" s="3">
        <v>48</v>
      </c>
      <c r="AM1551" s="3">
        <v>150</v>
      </c>
      <c r="AN1551" s="3">
        <v>360</v>
      </c>
      <c r="AO1551" s="3">
        <v>72</v>
      </c>
      <c r="AP1551" s="3">
        <v>360</v>
      </c>
      <c r="AQ1551" s="3">
        <v>54</v>
      </c>
      <c r="AR1551" s="3">
        <v>144</v>
      </c>
      <c r="AS1551" s="3">
        <v>156</v>
      </c>
      <c r="AT1551" s="3">
        <v>258</v>
      </c>
      <c r="AU1551" s="3">
        <v>24</v>
      </c>
      <c r="AV1551" s="3">
        <v>132</v>
      </c>
      <c r="AW1551" s="3">
        <v>42</v>
      </c>
    </row>
    <row r="1552" spans="1:49">
      <c r="A1552" s="4" t="s">
        <v>35</v>
      </c>
      <c r="B1552" s="4" t="str">
        <f t="shared" si="24"/>
        <v>Hair Color</v>
      </c>
      <c r="C1552" s="4" t="s">
        <v>1786</v>
      </c>
      <c r="D1552" s="4" t="s">
        <v>579</v>
      </c>
      <c r="E1552" s="24" t="s">
        <v>47</v>
      </c>
      <c r="F1552" s="12" t="s">
        <v>527</v>
      </c>
      <c r="G1552" s="4" t="s">
        <v>1787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131</v>
      </c>
      <c r="AJ1552" s="3">
        <v>170</v>
      </c>
      <c r="AK1552" s="3">
        <v>294</v>
      </c>
      <c r="AL1552" s="3">
        <v>42</v>
      </c>
      <c r="AM1552" s="3">
        <v>174</v>
      </c>
      <c r="AN1552" s="3">
        <v>306</v>
      </c>
      <c r="AO1552" s="3">
        <v>96</v>
      </c>
      <c r="AP1552" s="3">
        <v>324</v>
      </c>
      <c r="AQ1552" s="3">
        <v>60</v>
      </c>
      <c r="AR1552" s="3">
        <v>294</v>
      </c>
      <c r="AS1552" s="3">
        <v>84</v>
      </c>
      <c r="AT1552" s="3">
        <v>348</v>
      </c>
      <c r="AU1552" s="3">
        <v>18</v>
      </c>
      <c r="AV1552" s="3">
        <v>108</v>
      </c>
      <c r="AW1552" s="3">
        <v>96</v>
      </c>
    </row>
    <row r="1553" spans="1:49">
      <c r="A1553" s="4" t="s">
        <v>35</v>
      </c>
      <c r="B1553" s="4" t="str">
        <f t="shared" si="24"/>
        <v>Hair Color</v>
      </c>
      <c r="C1553" s="4" t="s">
        <v>1786</v>
      </c>
      <c r="D1553" s="4" t="s">
        <v>579</v>
      </c>
      <c r="E1553" s="24" t="s">
        <v>47</v>
      </c>
      <c r="F1553" s="12" t="s">
        <v>555</v>
      </c>
      <c r="G1553" s="4" t="s">
        <v>1787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191</v>
      </c>
      <c r="AJ1553" s="3">
        <v>254</v>
      </c>
      <c r="AK1553" s="3">
        <v>744</v>
      </c>
      <c r="AL1553" s="3">
        <v>66</v>
      </c>
      <c r="AM1553" s="3">
        <v>96</v>
      </c>
      <c r="AN1553" s="3">
        <v>456</v>
      </c>
      <c r="AO1553" s="3">
        <v>126</v>
      </c>
      <c r="AP1553" s="3">
        <v>450</v>
      </c>
      <c r="AQ1553" s="3">
        <v>60</v>
      </c>
      <c r="AR1553" s="3">
        <v>318</v>
      </c>
      <c r="AS1553" s="3">
        <v>282</v>
      </c>
      <c r="AT1553" s="3">
        <v>402</v>
      </c>
      <c r="AU1553" s="3">
        <v>42</v>
      </c>
      <c r="AV1553" s="3">
        <v>168</v>
      </c>
      <c r="AW1553" s="3">
        <v>90</v>
      </c>
    </row>
    <row r="1554" spans="1:49">
      <c r="A1554" s="4" t="s">
        <v>35</v>
      </c>
      <c r="B1554" s="4" t="str">
        <f t="shared" si="24"/>
        <v>Hair Color</v>
      </c>
      <c r="C1554" s="4" t="s">
        <v>1786</v>
      </c>
      <c r="D1554" s="4" t="s">
        <v>579</v>
      </c>
      <c r="E1554" s="24" t="s">
        <v>47</v>
      </c>
      <c r="F1554" s="12" t="s">
        <v>524</v>
      </c>
      <c r="G1554" s="4" t="s">
        <v>1787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218</v>
      </c>
      <c r="AJ1554" s="3">
        <v>80</v>
      </c>
      <c r="AK1554" s="3">
        <v>216</v>
      </c>
      <c r="AL1554" s="3">
        <v>42</v>
      </c>
      <c r="AM1554" s="3">
        <v>114</v>
      </c>
      <c r="AN1554" s="3">
        <v>144</v>
      </c>
      <c r="AO1554" s="3">
        <v>96</v>
      </c>
      <c r="AP1554" s="3">
        <v>234</v>
      </c>
      <c r="AQ1554" s="3">
        <v>72</v>
      </c>
      <c r="AR1554" s="3">
        <v>144</v>
      </c>
      <c r="AS1554" s="3">
        <v>144</v>
      </c>
      <c r="AT1554" s="3">
        <v>234</v>
      </c>
      <c r="AU1554" s="3">
        <v>36</v>
      </c>
      <c r="AV1554" s="3">
        <v>36</v>
      </c>
      <c r="AW1554" s="3">
        <v>54</v>
      </c>
    </row>
    <row r="1555" spans="1:49">
      <c r="A1555" s="4" t="s">
        <v>35</v>
      </c>
      <c r="B1555" s="4" t="str">
        <f t="shared" si="24"/>
        <v>Hair Color</v>
      </c>
      <c r="C1555" s="4" t="s">
        <v>1786</v>
      </c>
      <c r="D1555" s="4" t="s">
        <v>579</v>
      </c>
      <c r="E1555" s="24" t="s">
        <v>47</v>
      </c>
      <c r="F1555" s="12" t="s">
        <v>556</v>
      </c>
      <c r="G1555" s="4" t="s">
        <v>1787</v>
      </c>
      <c r="H1555" s="3">
        <v>174</v>
      </c>
      <c r="I1555" s="3">
        <v>141</v>
      </c>
      <c r="J1555" s="3">
        <v>120</v>
      </c>
      <c r="K1555" s="3">
        <v>282</v>
      </c>
      <c r="L1555" s="3">
        <v>111</v>
      </c>
      <c r="M1555" s="3">
        <v>243</v>
      </c>
      <c r="N1555" s="3">
        <v>36</v>
      </c>
      <c r="O1555" s="3">
        <v>219</v>
      </c>
      <c r="P1555" s="3">
        <v>162</v>
      </c>
      <c r="Q1555" s="3">
        <v>174</v>
      </c>
      <c r="R1555" s="3">
        <v>27</v>
      </c>
      <c r="S1555" s="3">
        <v>63</v>
      </c>
      <c r="T1555" s="3">
        <v>192</v>
      </c>
      <c r="U1555" s="3">
        <v>45</v>
      </c>
      <c r="V1555" s="3">
        <v>186</v>
      </c>
      <c r="W1555" s="3">
        <v>96</v>
      </c>
      <c r="X1555" s="3">
        <v>210</v>
      </c>
      <c r="Y1555" s="3">
        <v>261</v>
      </c>
      <c r="Z1555" s="3">
        <v>21</v>
      </c>
      <c r="AA1555" s="3">
        <v>12</v>
      </c>
      <c r="AB1555" s="3">
        <v>75</v>
      </c>
      <c r="AC1555" s="3">
        <v>192</v>
      </c>
      <c r="AD1555" s="3">
        <v>177</v>
      </c>
      <c r="AE1555" s="3">
        <v>0</v>
      </c>
      <c r="AF1555" s="3">
        <v>147</v>
      </c>
      <c r="AG1555" s="3">
        <v>228</v>
      </c>
      <c r="AH1555" s="3">
        <v>15</v>
      </c>
      <c r="AI1555" s="3">
        <v>33</v>
      </c>
      <c r="AJ1555" s="3">
        <v>90</v>
      </c>
      <c r="AK1555" s="3">
        <v>165</v>
      </c>
      <c r="AL1555" s="3">
        <v>120</v>
      </c>
      <c r="AM1555" s="3">
        <v>189</v>
      </c>
      <c r="AN1555" s="3">
        <v>246</v>
      </c>
      <c r="AO1555" s="3">
        <v>57</v>
      </c>
      <c r="AP1555" s="3">
        <v>240</v>
      </c>
      <c r="AQ1555" s="3">
        <v>12</v>
      </c>
      <c r="AR1555" s="3">
        <v>171</v>
      </c>
      <c r="AS1555" s="3">
        <v>126</v>
      </c>
      <c r="AT1555" s="3">
        <v>105</v>
      </c>
      <c r="AU1555" s="3">
        <v>0</v>
      </c>
      <c r="AV1555" s="3">
        <v>0</v>
      </c>
      <c r="AW1555" s="3">
        <v>162</v>
      </c>
    </row>
    <row r="1556" spans="1:49">
      <c r="A1556" s="4" t="s">
        <v>35</v>
      </c>
      <c r="B1556" s="4" t="str">
        <f t="shared" si="24"/>
        <v>Hair Color</v>
      </c>
      <c r="C1556" s="4" t="s">
        <v>1786</v>
      </c>
      <c r="D1556" s="4" t="s">
        <v>579</v>
      </c>
      <c r="E1556" s="24" t="s">
        <v>47</v>
      </c>
      <c r="F1556" s="12" t="s">
        <v>557</v>
      </c>
      <c r="G1556" s="4" t="s">
        <v>1787</v>
      </c>
      <c r="H1556" s="3">
        <v>132</v>
      </c>
      <c r="I1556" s="3">
        <v>159</v>
      </c>
      <c r="J1556" s="3">
        <v>120</v>
      </c>
      <c r="K1556" s="3">
        <v>285</v>
      </c>
      <c r="L1556" s="3">
        <v>60</v>
      </c>
      <c r="M1556" s="3">
        <v>279</v>
      </c>
      <c r="N1556" s="3">
        <v>54</v>
      </c>
      <c r="O1556" s="3">
        <v>309</v>
      </c>
      <c r="P1556" s="3">
        <v>237</v>
      </c>
      <c r="Q1556" s="3">
        <v>156</v>
      </c>
      <c r="R1556" s="3">
        <v>39</v>
      </c>
      <c r="S1556" s="3">
        <v>60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</row>
    <row r="1557" spans="1:49">
      <c r="A1557" s="4" t="s">
        <v>35</v>
      </c>
      <c r="B1557" s="4" t="str">
        <f t="shared" si="24"/>
        <v>Hair Color</v>
      </c>
      <c r="C1557" s="4" t="s">
        <v>1786</v>
      </c>
      <c r="D1557" s="4" t="s">
        <v>579</v>
      </c>
      <c r="E1557" s="24" t="s">
        <v>47</v>
      </c>
      <c r="F1557" s="12" t="s">
        <v>558</v>
      </c>
      <c r="G1557" s="4" t="s">
        <v>1787</v>
      </c>
      <c r="H1557" s="3">
        <v>369</v>
      </c>
      <c r="I1557" s="3">
        <v>363</v>
      </c>
      <c r="J1557" s="3">
        <v>312</v>
      </c>
      <c r="K1557" s="3">
        <v>708</v>
      </c>
      <c r="L1557" s="3">
        <v>288</v>
      </c>
      <c r="M1557" s="3">
        <v>564</v>
      </c>
      <c r="N1557" s="3">
        <v>48</v>
      </c>
      <c r="O1557" s="3">
        <v>495</v>
      </c>
      <c r="P1557" s="3">
        <v>30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</row>
    <row r="1558" spans="1:49">
      <c r="A1558" s="4" t="s">
        <v>35</v>
      </c>
      <c r="B1558" s="4" t="str">
        <f t="shared" si="24"/>
        <v>Hair Color</v>
      </c>
      <c r="C1558" s="4" t="s">
        <v>1786</v>
      </c>
      <c r="D1558" s="4" t="s">
        <v>579</v>
      </c>
      <c r="E1558" s="24" t="s">
        <v>47</v>
      </c>
      <c r="F1558" s="12" t="s">
        <v>559</v>
      </c>
      <c r="G1558" s="4" t="s">
        <v>1787</v>
      </c>
      <c r="H1558" s="3">
        <v>234</v>
      </c>
      <c r="I1558" s="3">
        <v>219</v>
      </c>
      <c r="J1558" s="3">
        <v>171</v>
      </c>
      <c r="K1558" s="3">
        <v>468</v>
      </c>
      <c r="L1558" s="3">
        <v>93</v>
      </c>
      <c r="M1558" s="3">
        <v>375</v>
      </c>
      <c r="N1558" s="3">
        <v>27</v>
      </c>
      <c r="O1558" s="3">
        <v>213</v>
      </c>
      <c r="P1558" s="3">
        <v>9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</row>
    <row r="1559" spans="1:49">
      <c r="A1559" s="4" t="s">
        <v>35</v>
      </c>
      <c r="B1559" s="4" t="str">
        <f t="shared" si="24"/>
        <v>Hair Color</v>
      </c>
      <c r="C1559" s="4" t="s">
        <v>1786</v>
      </c>
      <c r="D1559" s="4" t="s">
        <v>579</v>
      </c>
      <c r="E1559" s="24" t="s">
        <v>47</v>
      </c>
      <c r="F1559" s="12" t="s">
        <v>560</v>
      </c>
      <c r="G1559" s="4" t="s">
        <v>1787</v>
      </c>
      <c r="H1559" s="3">
        <v>258</v>
      </c>
      <c r="I1559" s="3">
        <v>240</v>
      </c>
      <c r="J1559" s="3">
        <v>150</v>
      </c>
      <c r="K1559" s="3">
        <v>489</v>
      </c>
      <c r="L1559" s="3">
        <v>45</v>
      </c>
      <c r="M1559" s="3">
        <v>336</v>
      </c>
      <c r="N1559" s="3">
        <v>6</v>
      </c>
      <c r="O1559" s="3">
        <v>408</v>
      </c>
      <c r="P1559" s="3">
        <v>315</v>
      </c>
      <c r="Q1559" s="3">
        <v>255</v>
      </c>
      <c r="R1559" s="3">
        <v>18</v>
      </c>
      <c r="S1559" s="3">
        <v>132</v>
      </c>
      <c r="T1559" s="3">
        <v>204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</row>
    <row r="1560" spans="1:49">
      <c r="A1560" s="4" t="s">
        <v>35</v>
      </c>
      <c r="B1560" s="4" t="str">
        <f t="shared" si="24"/>
        <v>Hair Color</v>
      </c>
      <c r="C1560" s="4" t="s">
        <v>1786</v>
      </c>
      <c r="D1560" s="4" t="s">
        <v>579</v>
      </c>
      <c r="E1560" s="24" t="s">
        <v>47</v>
      </c>
      <c r="F1560" s="12" t="s">
        <v>561</v>
      </c>
      <c r="G1560" s="4" t="s">
        <v>1787</v>
      </c>
      <c r="H1560" s="3">
        <v>231</v>
      </c>
      <c r="I1560" s="3">
        <v>255</v>
      </c>
      <c r="J1560" s="3">
        <v>114</v>
      </c>
      <c r="K1560" s="3">
        <v>609</v>
      </c>
      <c r="L1560" s="3">
        <v>198</v>
      </c>
      <c r="M1560" s="3">
        <v>264</v>
      </c>
      <c r="N1560" s="3">
        <v>21</v>
      </c>
      <c r="O1560" s="3">
        <v>408</v>
      </c>
      <c r="P1560" s="3">
        <v>345</v>
      </c>
      <c r="Q1560" s="3">
        <v>240</v>
      </c>
      <c r="R1560" s="3">
        <v>48</v>
      </c>
      <c r="S1560" s="3">
        <v>3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</row>
    <row r="1561" spans="1:49">
      <c r="A1561" s="4" t="s">
        <v>35</v>
      </c>
      <c r="B1561" s="4" t="str">
        <f t="shared" si="24"/>
        <v>Hair Color</v>
      </c>
      <c r="C1561" s="4" t="s">
        <v>1786</v>
      </c>
      <c r="D1561" s="4" t="s">
        <v>579</v>
      </c>
      <c r="E1561" s="24" t="s">
        <v>47</v>
      </c>
      <c r="F1561" s="12" t="s">
        <v>562</v>
      </c>
      <c r="G1561" s="4" t="s">
        <v>1787</v>
      </c>
      <c r="H1561" s="3">
        <v>231</v>
      </c>
      <c r="I1561" s="3">
        <v>186</v>
      </c>
      <c r="J1561" s="3">
        <v>135</v>
      </c>
      <c r="K1561" s="3">
        <v>285</v>
      </c>
      <c r="L1561" s="3">
        <v>174</v>
      </c>
      <c r="M1561" s="3">
        <v>213</v>
      </c>
      <c r="N1561" s="3">
        <v>12</v>
      </c>
      <c r="O1561" s="3">
        <v>264</v>
      </c>
      <c r="P1561" s="3">
        <v>246</v>
      </c>
      <c r="Q1561" s="3">
        <v>126</v>
      </c>
      <c r="R1561" s="3">
        <v>33</v>
      </c>
      <c r="S1561" s="3">
        <v>60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</row>
    <row r="1562" spans="1:49">
      <c r="A1562" s="4" t="s">
        <v>35</v>
      </c>
      <c r="B1562" s="4" t="str">
        <f t="shared" si="24"/>
        <v>Hair Color</v>
      </c>
      <c r="C1562" s="4" t="s">
        <v>1786</v>
      </c>
      <c r="D1562" s="4" t="s">
        <v>579</v>
      </c>
      <c r="E1562" s="24" t="s">
        <v>47</v>
      </c>
      <c r="F1562" s="12" t="s">
        <v>563</v>
      </c>
      <c r="G1562" s="4" t="s">
        <v>1787</v>
      </c>
      <c r="H1562" s="3">
        <v>198</v>
      </c>
      <c r="I1562" s="3">
        <v>183</v>
      </c>
      <c r="J1562" s="3">
        <v>108</v>
      </c>
      <c r="K1562" s="3">
        <v>261</v>
      </c>
      <c r="L1562" s="3">
        <v>129</v>
      </c>
      <c r="M1562" s="3">
        <v>198</v>
      </c>
      <c r="N1562" s="3">
        <v>63</v>
      </c>
      <c r="O1562" s="3">
        <v>369</v>
      </c>
      <c r="P1562" s="3">
        <v>240</v>
      </c>
      <c r="Q1562" s="3">
        <v>141</v>
      </c>
      <c r="R1562" s="3">
        <v>33</v>
      </c>
      <c r="S1562" s="3">
        <v>186</v>
      </c>
      <c r="T1562" s="3">
        <v>159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</row>
    <row r="1563" spans="1:49">
      <c r="A1563" s="4" t="s">
        <v>35</v>
      </c>
      <c r="B1563" s="4" t="str">
        <f t="shared" si="24"/>
        <v>Hair Color</v>
      </c>
      <c r="C1563" s="4" t="s">
        <v>1786</v>
      </c>
      <c r="D1563" s="4" t="s">
        <v>579</v>
      </c>
      <c r="E1563" s="24" t="s">
        <v>47</v>
      </c>
      <c r="F1563" s="12" t="s">
        <v>564</v>
      </c>
      <c r="G1563" s="4" t="s">
        <v>1787</v>
      </c>
      <c r="H1563" s="3">
        <v>282</v>
      </c>
      <c r="I1563" s="3">
        <v>240</v>
      </c>
      <c r="J1563" s="3">
        <v>234</v>
      </c>
      <c r="K1563" s="3">
        <v>354</v>
      </c>
      <c r="L1563" s="3">
        <v>198</v>
      </c>
      <c r="M1563" s="3">
        <v>282</v>
      </c>
      <c r="N1563" s="3">
        <v>0</v>
      </c>
      <c r="O1563" s="3">
        <v>90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</row>
    <row r="1564" spans="1:49">
      <c r="A1564" s="4" t="s">
        <v>35</v>
      </c>
      <c r="B1564" s="4" t="str">
        <f t="shared" si="24"/>
        <v>Hair Color</v>
      </c>
      <c r="C1564" s="4" t="s">
        <v>1786</v>
      </c>
      <c r="D1564" s="4" t="s">
        <v>579</v>
      </c>
      <c r="E1564" s="24" t="s">
        <v>47</v>
      </c>
      <c r="F1564" s="12" t="s">
        <v>565</v>
      </c>
      <c r="G1564" s="4" t="s">
        <v>1787</v>
      </c>
      <c r="H1564" s="3">
        <v>372</v>
      </c>
      <c r="I1564" s="3">
        <v>588</v>
      </c>
      <c r="J1564" s="3">
        <v>516</v>
      </c>
      <c r="K1564" s="3">
        <v>1194</v>
      </c>
      <c r="L1564" s="3">
        <v>570</v>
      </c>
      <c r="M1564" s="3">
        <v>1290</v>
      </c>
      <c r="N1564" s="3">
        <v>486</v>
      </c>
      <c r="O1564" s="3">
        <v>174</v>
      </c>
      <c r="P1564" s="3">
        <v>912</v>
      </c>
      <c r="Q1564" s="3">
        <v>438</v>
      </c>
      <c r="R1564" s="3">
        <v>1572</v>
      </c>
      <c r="S1564" s="3">
        <v>612</v>
      </c>
      <c r="T1564" s="3">
        <v>756</v>
      </c>
      <c r="U1564" s="3">
        <v>150</v>
      </c>
      <c r="V1564" s="3">
        <v>864</v>
      </c>
      <c r="W1564" s="3">
        <v>702</v>
      </c>
      <c r="X1564" s="3">
        <v>810</v>
      </c>
      <c r="Y1564" s="3">
        <v>906</v>
      </c>
      <c r="Z1564" s="3">
        <v>606</v>
      </c>
      <c r="AA1564" s="3">
        <v>294</v>
      </c>
      <c r="AB1564" s="3">
        <v>1290</v>
      </c>
      <c r="AC1564" s="3">
        <v>276</v>
      </c>
      <c r="AD1564" s="3">
        <v>378</v>
      </c>
      <c r="AE1564" s="3">
        <v>522</v>
      </c>
      <c r="AF1564" s="3">
        <v>576</v>
      </c>
      <c r="AG1564" s="3">
        <v>0</v>
      </c>
      <c r="AH1564" s="3">
        <v>0</v>
      </c>
      <c r="AI1564" s="3">
        <v>348</v>
      </c>
      <c r="AJ1564" s="3">
        <v>192</v>
      </c>
      <c r="AK1564" s="3">
        <v>642</v>
      </c>
      <c r="AL1564" s="3">
        <v>96</v>
      </c>
      <c r="AM1564" s="3">
        <v>96</v>
      </c>
      <c r="AN1564" s="3">
        <v>900</v>
      </c>
      <c r="AO1564" s="3">
        <v>528</v>
      </c>
      <c r="AP1564" s="3">
        <v>1770</v>
      </c>
      <c r="AQ1564" s="3">
        <v>0</v>
      </c>
      <c r="AR1564" s="3">
        <v>1140</v>
      </c>
      <c r="AS1564" s="3">
        <v>330</v>
      </c>
      <c r="AT1564" s="3">
        <v>0</v>
      </c>
      <c r="AU1564" s="3">
        <v>360</v>
      </c>
      <c r="AV1564" s="3">
        <v>510</v>
      </c>
      <c r="AW1564" s="3">
        <v>786</v>
      </c>
    </row>
    <row r="1565" spans="1:49">
      <c r="A1565" s="4" t="s">
        <v>35</v>
      </c>
      <c r="B1565" s="4" t="str">
        <f t="shared" si="24"/>
        <v>Hair Color</v>
      </c>
      <c r="C1565" s="4" t="s">
        <v>1786</v>
      </c>
      <c r="D1565" s="4" t="s">
        <v>579</v>
      </c>
      <c r="E1565" s="24" t="s">
        <v>47</v>
      </c>
      <c r="F1565" s="12" t="s">
        <v>566</v>
      </c>
      <c r="G1565" s="4" t="s">
        <v>1787</v>
      </c>
      <c r="H1565" s="3">
        <v>426</v>
      </c>
      <c r="I1565" s="3">
        <v>444</v>
      </c>
      <c r="J1565" s="3">
        <v>546</v>
      </c>
      <c r="K1565" s="3">
        <v>552</v>
      </c>
      <c r="L1565" s="3">
        <v>624</v>
      </c>
      <c r="M1565" s="3">
        <v>1518</v>
      </c>
      <c r="N1565" s="3">
        <v>456</v>
      </c>
      <c r="O1565" s="3">
        <v>204</v>
      </c>
      <c r="P1565" s="3">
        <v>576</v>
      </c>
      <c r="Q1565" s="3">
        <v>390</v>
      </c>
      <c r="R1565" s="3">
        <v>1254</v>
      </c>
      <c r="S1565" s="3">
        <v>372</v>
      </c>
      <c r="T1565" s="3">
        <v>414</v>
      </c>
      <c r="U1565" s="3">
        <v>384</v>
      </c>
      <c r="V1565" s="3">
        <v>1511</v>
      </c>
      <c r="W1565" s="3">
        <v>-282</v>
      </c>
      <c r="X1565" s="3">
        <v>714</v>
      </c>
      <c r="Y1565" s="3">
        <v>252</v>
      </c>
      <c r="Z1565" s="3">
        <v>990</v>
      </c>
      <c r="AA1565" s="3">
        <v>258</v>
      </c>
      <c r="AB1565" s="3">
        <v>894</v>
      </c>
      <c r="AC1565" s="3">
        <v>252</v>
      </c>
      <c r="AD1565" s="3">
        <v>324</v>
      </c>
      <c r="AE1565" s="3">
        <v>564</v>
      </c>
      <c r="AF1565" s="3">
        <v>6</v>
      </c>
      <c r="AG1565" s="3">
        <v>0</v>
      </c>
      <c r="AH1565" s="3">
        <v>828</v>
      </c>
      <c r="AI1565" s="3">
        <v>174</v>
      </c>
      <c r="AJ1565" s="3">
        <v>0</v>
      </c>
      <c r="AK1565" s="3">
        <v>0</v>
      </c>
      <c r="AL1565" s="3">
        <v>528</v>
      </c>
      <c r="AM1565" s="3">
        <v>48</v>
      </c>
      <c r="AN1565" s="3">
        <v>0</v>
      </c>
      <c r="AO1565" s="3">
        <v>276</v>
      </c>
      <c r="AP1565" s="3">
        <v>2016</v>
      </c>
      <c r="AQ1565" s="3">
        <v>372</v>
      </c>
      <c r="AR1565" s="3">
        <v>240</v>
      </c>
      <c r="AS1565" s="3">
        <v>0</v>
      </c>
      <c r="AT1565" s="3">
        <v>462</v>
      </c>
      <c r="AU1565" s="3">
        <v>456</v>
      </c>
      <c r="AV1565" s="3">
        <v>1794</v>
      </c>
      <c r="AW1565" s="3">
        <v>12</v>
      </c>
    </row>
    <row r="1566" spans="1:49">
      <c r="A1566" s="4" t="s">
        <v>35</v>
      </c>
      <c r="B1566" s="4" t="str">
        <f t="shared" si="24"/>
        <v>Hair Color</v>
      </c>
      <c r="C1566" s="4" t="s">
        <v>1786</v>
      </c>
      <c r="D1566" s="4" t="s">
        <v>579</v>
      </c>
      <c r="E1566" s="24" t="s">
        <v>47</v>
      </c>
      <c r="F1566" s="12" t="s">
        <v>567</v>
      </c>
      <c r="G1566" s="4" t="s">
        <v>1787</v>
      </c>
      <c r="H1566" s="3">
        <v>408</v>
      </c>
      <c r="I1566" s="3">
        <v>420</v>
      </c>
      <c r="J1566" s="3">
        <v>570</v>
      </c>
      <c r="K1566" s="3">
        <v>1230</v>
      </c>
      <c r="L1566" s="3">
        <v>714</v>
      </c>
      <c r="M1566" s="3">
        <v>1338</v>
      </c>
      <c r="N1566" s="3">
        <v>282</v>
      </c>
      <c r="O1566" s="3">
        <v>150</v>
      </c>
      <c r="P1566" s="3">
        <v>852</v>
      </c>
      <c r="Q1566" s="3">
        <v>618</v>
      </c>
      <c r="R1566" s="3">
        <v>1338</v>
      </c>
      <c r="S1566" s="3">
        <v>612</v>
      </c>
      <c r="T1566" s="3">
        <v>654</v>
      </c>
      <c r="U1566" s="3">
        <v>246</v>
      </c>
      <c r="V1566" s="3">
        <v>1068</v>
      </c>
      <c r="W1566" s="3">
        <v>222</v>
      </c>
      <c r="X1566" s="3">
        <v>696</v>
      </c>
      <c r="Y1566" s="3">
        <v>450</v>
      </c>
      <c r="Z1566" s="3">
        <v>444</v>
      </c>
      <c r="AA1566" s="3">
        <v>282</v>
      </c>
      <c r="AB1566" s="3">
        <v>1356</v>
      </c>
      <c r="AC1566" s="3">
        <v>330</v>
      </c>
      <c r="AD1566" s="3">
        <v>318</v>
      </c>
      <c r="AE1566" s="3">
        <v>198</v>
      </c>
      <c r="AF1566" s="3">
        <v>516</v>
      </c>
      <c r="AG1566" s="3">
        <v>744</v>
      </c>
      <c r="AH1566" s="3">
        <v>102</v>
      </c>
      <c r="AI1566" s="3">
        <v>396</v>
      </c>
      <c r="AJ1566" s="3">
        <v>264</v>
      </c>
      <c r="AK1566" s="3">
        <v>0</v>
      </c>
      <c r="AL1566" s="3">
        <v>1176</v>
      </c>
      <c r="AM1566" s="3">
        <v>726</v>
      </c>
      <c r="AN1566" s="3">
        <v>1176</v>
      </c>
      <c r="AO1566" s="3">
        <v>36</v>
      </c>
      <c r="AP1566" s="3">
        <v>1404</v>
      </c>
      <c r="AQ1566" s="3">
        <v>0</v>
      </c>
      <c r="AR1566" s="3">
        <v>1098</v>
      </c>
      <c r="AS1566" s="3">
        <v>360</v>
      </c>
      <c r="AT1566" s="3">
        <v>0</v>
      </c>
      <c r="AU1566" s="3">
        <v>528</v>
      </c>
      <c r="AV1566" s="3">
        <v>1266</v>
      </c>
      <c r="AW1566" s="3">
        <v>78</v>
      </c>
    </row>
    <row r="1567" spans="1:49">
      <c r="A1567" s="4" t="s">
        <v>35</v>
      </c>
      <c r="B1567" s="4" t="str">
        <f t="shared" si="24"/>
        <v>Hair Color</v>
      </c>
      <c r="C1567" s="4" t="s">
        <v>1786</v>
      </c>
      <c r="D1567" s="4" t="s">
        <v>579</v>
      </c>
      <c r="E1567" s="24" t="s">
        <v>47</v>
      </c>
      <c r="F1567" s="12" t="s">
        <v>568</v>
      </c>
      <c r="G1567" s="4" t="s">
        <v>1787</v>
      </c>
      <c r="H1567" s="3">
        <v>462</v>
      </c>
      <c r="I1567" s="3">
        <v>420</v>
      </c>
      <c r="J1567" s="3">
        <v>150</v>
      </c>
      <c r="K1567" s="3">
        <v>228</v>
      </c>
      <c r="L1567" s="3">
        <v>720</v>
      </c>
      <c r="M1567" s="3">
        <v>156</v>
      </c>
      <c r="N1567" s="3">
        <v>762</v>
      </c>
      <c r="O1567" s="3">
        <v>600</v>
      </c>
      <c r="P1567" s="3">
        <v>660</v>
      </c>
      <c r="Q1567" s="3">
        <v>690</v>
      </c>
      <c r="R1567" s="3">
        <v>1434</v>
      </c>
      <c r="S1567" s="3">
        <v>576</v>
      </c>
      <c r="T1567" s="3">
        <v>636</v>
      </c>
      <c r="U1567" s="3">
        <v>312</v>
      </c>
      <c r="V1567" s="3">
        <v>966</v>
      </c>
      <c r="W1567" s="3">
        <v>216</v>
      </c>
      <c r="X1567" s="3">
        <v>510</v>
      </c>
      <c r="Y1567" s="3">
        <v>246</v>
      </c>
      <c r="Z1567" s="3">
        <v>540</v>
      </c>
      <c r="AA1567" s="3">
        <v>324</v>
      </c>
      <c r="AB1567" s="3">
        <v>1242</v>
      </c>
      <c r="AC1567" s="3">
        <v>252</v>
      </c>
      <c r="AD1567" s="3">
        <v>282</v>
      </c>
      <c r="AE1567" s="3">
        <v>504</v>
      </c>
      <c r="AF1567" s="3">
        <v>336</v>
      </c>
      <c r="AG1567" s="3">
        <v>168</v>
      </c>
      <c r="AH1567" s="3">
        <v>0</v>
      </c>
      <c r="AI1567" s="3">
        <v>414</v>
      </c>
      <c r="AJ1567" s="3">
        <v>6</v>
      </c>
      <c r="AK1567" s="3">
        <v>0</v>
      </c>
      <c r="AL1567" s="3">
        <v>1914</v>
      </c>
      <c r="AM1567" s="3">
        <v>1026</v>
      </c>
      <c r="AN1567" s="3">
        <v>0</v>
      </c>
      <c r="AO1567" s="3">
        <v>6</v>
      </c>
      <c r="AP1567" s="3">
        <v>1062</v>
      </c>
      <c r="AQ1567" s="3">
        <v>0</v>
      </c>
      <c r="AR1567" s="3">
        <v>156</v>
      </c>
      <c r="AS1567" s="3">
        <v>0</v>
      </c>
      <c r="AT1567" s="3">
        <v>0</v>
      </c>
      <c r="AU1567" s="3">
        <v>378</v>
      </c>
      <c r="AV1567" s="3">
        <v>1752</v>
      </c>
      <c r="AW1567" s="3">
        <v>510</v>
      </c>
    </row>
    <row r="1568" spans="1:49">
      <c r="A1568" s="4" t="s">
        <v>35</v>
      </c>
      <c r="B1568" s="4" t="str">
        <f t="shared" si="24"/>
        <v>Hair Color</v>
      </c>
      <c r="C1568" s="4" t="s">
        <v>1786</v>
      </c>
      <c r="D1568" s="4" t="s">
        <v>579</v>
      </c>
      <c r="E1568" s="24" t="s">
        <v>47</v>
      </c>
      <c r="F1568" s="12" t="s">
        <v>569</v>
      </c>
      <c r="G1568" s="4" t="s">
        <v>1787</v>
      </c>
      <c r="H1568" s="3">
        <v>408</v>
      </c>
      <c r="I1568" s="3">
        <v>564</v>
      </c>
      <c r="J1568" s="3">
        <v>42</v>
      </c>
      <c r="K1568" s="3">
        <v>0</v>
      </c>
      <c r="L1568" s="3">
        <v>0</v>
      </c>
      <c r="M1568" s="3">
        <v>1950</v>
      </c>
      <c r="N1568" s="3">
        <v>396</v>
      </c>
      <c r="O1568" s="3">
        <v>210</v>
      </c>
      <c r="P1568" s="3">
        <v>582</v>
      </c>
      <c r="Q1568" s="3">
        <v>984</v>
      </c>
      <c r="R1568" s="3">
        <v>1002</v>
      </c>
      <c r="S1568" s="3">
        <v>522</v>
      </c>
      <c r="T1568" s="3">
        <v>426</v>
      </c>
      <c r="U1568" s="3">
        <v>282</v>
      </c>
      <c r="V1568" s="3">
        <v>984</v>
      </c>
      <c r="W1568" s="3">
        <v>156</v>
      </c>
      <c r="X1568" s="3">
        <v>618</v>
      </c>
      <c r="Y1568" s="3">
        <v>402</v>
      </c>
      <c r="Z1568" s="3">
        <v>324</v>
      </c>
      <c r="AA1568" s="3">
        <v>192</v>
      </c>
      <c r="AB1568" s="3">
        <v>1038</v>
      </c>
      <c r="AC1568" s="3">
        <v>216</v>
      </c>
      <c r="AD1568" s="3">
        <v>312</v>
      </c>
      <c r="AE1568" s="3">
        <v>408</v>
      </c>
      <c r="AF1568" s="3">
        <v>378</v>
      </c>
      <c r="AG1568" s="3">
        <v>666</v>
      </c>
      <c r="AH1568" s="3">
        <v>0</v>
      </c>
      <c r="AI1568" s="3">
        <v>0</v>
      </c>
      <c r="AJ1568" s="3">
        <v>0</v>
      </c>
      <c r="AK1568" s="3">
        <v>0</v>
      </c>
      <c r="AL1568" s="3">
        <v>1860</v>
      </c>
      <c r="AM1568" s="3">
        <v>666</v>
      </c>
      <c r="AN1568" s="3">
        <v>0</v>
      </c>
      <c r="AO1568" s="3">
        <v>60</v>
      </c>
      <c r="AP1568" s="3">
        <v>1494</v>
      </c>
      <c r="AQ1568" s="3">
        <v>0</v>
      </c>
      <c r="AR1568" s="3">
        <v>1008</v>
      </c>
      <c r="AS1568" s="3">
        <v>294</v>
      </c>
      <c r="AT1568" s="3">
        <v>0</v>
      </c>
      <c r="AU1568" s="3">
        <v>330</v>
      </c>
      <c r="AV1568" s="3">
        <v>414</v>
      </c>
      <c r="AW1568" s="3">
        <v>774</v>
      </c>
    </row>
    <row r="1569" spans="1:49">
      <c r="A1569" s="4" t="s">
        <v>35</v>
      </c>
      <c r="B1569" s="4" t="str">
        <f t="shared" si="24"/>
        <v>Hair Color</v>
      </c>
      <c r="C1569" s="4" t="s">
        <v>1786</v>
      </c>
      <c r="D1569" s="4" t="s">
        <v>579</v>
      </c>
      <c r="E1569" s="24" t="s">
        <v>47</v>
      </c>
      <c r="F1569" s="12" t="s">
        <v>570</v>
      </c>
      <c r="G1569" s="4" t="s">
        <v>1787</v>
      </c>
      <c r="H1569" s="3">
        <v>360</v>
      </c>
      <c r="I1569" s="3">
        <v>246</v>
      </c>
      <c r="J1569" s="3">
        <v>204</v>
      </c>
      <c r="K1569" s="3">
        <v>504</v>
      </c>
      <c r="L1569" s="3">
        <v>636</v>
      </c>
      <c r="M1569" s="3">
        <v>1128</v>
      </c>
      <c r="N1569" s="3">
        <v>150</v>
      </c>
      <c r="O1569" s="3">
        <v>144</v>
      </c>
      <c r="P1569" s="3">
        <v>726</v>
      </c>
      <c r="Q1569" s="3">
        <v>234</v>
      </c>
      <c r="R1569" s="3">
        <v>948</v>
      </c>
      <c r="S1569" s="3">
        <v>378</v>
      </c>
      <c r="T1569" s="3">
        <v>246</v>
      </c>
      <c r="U1569" s="3">
        <v>114</v>
      </c>
      <c r="V1569" s="3">
        <v>852</v>
      </c>
      <c r="W1569" s="3">
        <v>186</v>
      </c>
      <c r="X1569" s="3">
        <v>348</v>
      </c>
      <c r="Y1569" s="3">
        <v>156</v>
      </c>
      <c r="Z1569" s="3">
        <v>300</v>
      </c>
      <c r="AA1569" s="3">
        <v>60</v>
      </c>
      <c r="AB1569" s="3">
        <v>552</v>
      </c>
      <c r="AC1569" s="3">
        <v>126</v>
      </c>
      <c r="AD1569" s="3">
        <v>258</v>
      </c>
      <c r="AE1569" s="3">
        <v>84</v>
      </c>
      <c r="AF1569" s="3">
        <v>192</v>
      </c>
      <c r="AG1569" s="3">
        <v>222</v>
      </c>
      <c r="AH1569" s="3">
        <v>312</v>
      </c>
      <c r="AI1569" s="3">
        <v>414</v>
      </c>
      <c r="AJ1569" s="3">
        <v>252</v>
      </c>
      <c r="AK1569" s="3">
        <v>678</v>
      </c>
      <c r="AL1569" s="3">
        <v>1626</v>
      </c>
      <c r="AM1569" s="3">
        <v>774</v>
      </c>
      <c r="AN1569" s="3">
        <v>342</v>
      </c>
      <c r="AO1569" s="3">
        <v>60</v>
      </c>
      <c r="AP1569" s="3">
        <v>834</v>
      </c>
      <c r="AQ1569" s="3">
        <v>0</v>
      </c>
      <c r="AR1569" s="3">
        <v>534</v>
      </c>
      <c r="AS1569" s="3">
        <v>306</v>
      </c>
      <c r="AT1569" s="3">
        <v>426</v>
      </c>
      <c r="AU1569" s="3">
        <v>144</v>
      </c>
      <c r="AV1569" s="3">
        <v>1608</v>
      </c>
      <c r="AW1569" s="3">
        <v>246</v>
      </c>
    </row>
    <row r="1570" spans="1:49">
      <c r="A1570" s="4" t="s">
        <v>35</v>
      </c>
      <c r="B1570" s="4" t="str">
        <f t="shared" si="24"/>
        <v>Hair Color</v>
      </c>
      <c r="C1570" s="4" t="s">
        <v>1786</v>
      </c>
      <c r="D1570" s="4" t="s">
        <v>579</v>
      </c>
      <c r="E1570" s="24" t="s">
        <v>47</v>
      </c>
      <c r="F1570" s="12" t="s">
        <v>571</v>
      </c>
      <c r="G1570" s="4" t="s">
        <v>1787</v>
      </c>
      <c r="H1570" s="3">
        <v>462</v>
      </c>
      <c r="I1570" s="3">
        <v>366</v>
      </c>
      <c r="J1570" s="3">
        <v>594</v>
      </c>
      <c r="K1570" s="3">
        <v>1026</v>
      </c>
      <c r="L1570" s="3">
        <v>642</v>
      </c>
      <c r="M1570" s="3">
        <v>564</v>
      </c>
      <c r="N1570" s="3">
        <v>786</v>
      </c>
      <c r="O1570" s="3">
        <v>234</v>
      </c>
      <c r="P1570" s="3">
        <v>750</v>
      </c>
      <c r="Q1570" s="3">
        <v>600</v>
      </c>
      <c r="R1570" s="3">
        <v>1044</v>
      </c>
      <c r="S1570" s="3">
        <v>534</v>
      </c>
      <c r="T1570" s="3">
        <v>510</v>
      </c>
      <c r="U1570" s="3">
        <v>270</v>
      </c>
      <c r="V1570" s="3">
        <v>1068</v>
      </c>
      <c r="W1570" s="3">
        <v>186</v>
      </c>
      <c r="X1570" s="3">
        <v>654</v>
      </c>
      <c r="Y1570" s="3">
        <v>636</v>
      </c>
      <c r="Z1570" s="3">
        <v>396</v>
      </c>
      <c r="AA1570" s="3">
        <v>294</v>
      </c>
      <c r="AB1570" s="3">
        <v>1260</v>
      </c>
      <c r="AC1570" s="3">
        <v>144</v>
      </c>
      <c r="AD1570" s="3">
        <v>228</v>
      </c>
      <c r="AE1570" s="3">
        <v>150</v>
      </c>
      <c r="AF1570" s="3">
        <v>60</v>
      </c>
      <c r="AG1570" s="3">
        <v>0</v>
      </c>
      <c r="AH1570" s="3">
        <v>0</v>
      </c>
      <c r="AI1570" s="3">
        <v>372</v>
      </c>
      <c r="AJ1570" s="3">
        <v>6</v>
      </c>
      <c r="AK1570" s="3">
        <v>0</v>
      </c>
      <c r="AL1570" s="3">
        <v>1932</v>
      </c>
      <c r="AM1570" s="3">
        <v>618</v>
      </c>
      <c r="AN1570" s="3">
        <v>0</v>
      </c>
      <c r="AO1570" s="3">
        <v>0</v>
      </c>
      <c r="AP1570" s="3">
        <v>1380</v>
      </c>
      <c r="AQ1570" s="3">
        <v>1134</v>
      </c>
      <c r="AR1570" s="3">
        <v>882</v>
      </c>
      <c r="AS1570" s="3">
        <v>372</v>
      </c>
      <c r="AT1570" s="3">
        <v>96</v>
      </c>
      <c r="AU1570" s="3">
        <v>450</v>
      </c>
      <c r="AV1570" s="3">
        <v>1632</v>
      </c>
      <c r="AW1570" s="3">
        <v>486</v>
      </c>
    </row>
    <row r="1571" spans="1:49">
      <c r="A1571" s="4" t="s">
        <v>35</v>
      </c>
      <c r="B1571" s="4" t="str">
        <f t="shared" si="24"/>
        <v>Hair Color</v>
      </c>
      <c r="C1571" s="4" t="s">
        <v>1786</v>
      </c>
      <c r="D1571" s="4" t="s">
        <v>579</v>
      </c>
      <c r="E1571" s="24" t="s">
        <v>47</v>
      </c>
      <c r="F1571" s="12" t="s">
        <v>572</v>
      </c>
      <c r="G1571" s="4" t="s">
        <v>1787</v>
      </c>
      <c r="H1571" s="3">
        <v>528</v>
      </c>
      <c r="I1571" s="3">
        <v>186</v>
      </c>
      <c r="J1571" s="3">
        <v>762</v>
      </c>
      <c r="K1571" s="3">
        <v>246</v>
      </c>
      <c r="L1571" s="3">
        <v>0</v>
      </c>
      <c r="M1571" s="3">
        <v>2004</v>
      </c>
      <c r="N1571" s="3">
        <v>456</v>
      </c>
      <c r="O1571" s="3">
        <v>132</v>
      </c>
      <c r="P1571" s="3">
        <v>990</v>
      </c>
      <c r="Q1571" s="3">
        <v>600</v>
      </c>
      <c r="R1571" s="3">
        <v>1434</v>
      </c>
      <c r="S1571" s="3">
        <v>552</v>
      </c>
      <c r="T1571" s="3">
        <v>528</v>
      </c>
      <c r="U1571" s="3">
        <v>258</v>
      </c>
      <c r="V1571" s="3">
        <v>1224</v>
      </c>
      <c r="W1571" s="3">
        <v>258</v>
      </c>
      <c r="X1571" s="3">
        <v>348</v>
      </c>
      <c r="Y1571" s="3">
        <v>516</v>
      </c>
      <c r="Z1571" s="3">
        <v>426</v>
      </c>
      <c r="AA1571" s="3">
        <v>270</v>
      </c>
      <c r="AB1571" s="3">
        <v>924</v>
      </c>
      <c r="AC1571" s="3">
        <v>204</v>
      </c>
      <c r="AD1571" s="3">
        <v>330</v>
      </c>
      <c r="AE1571" s="3">
        <v>390</v>
      </c>
      <c r="AF1571" s="3">
        <v>324</v>
      </c>
      <c r="AG1571" s="3">
        <v>12</v>
      </c>
      <c r="AH1571" s="3">
        <v>126</v>
      </c>
      <c r="AI1571" s="3">
        <v>546</v>
      </c>
      <c r="AJ1571" s="3">
        <v>246</v>
      </c>
      <c r="AK1571" s="3">
        <v>732</v>
      </c>
      <c r="AL1571" s="3">
        <v>1746</v>
      </c>
      <c r="AM1571" s="3">
        <v>660</v>
      </c>
      <c r="AN1571" s="3">
        <v>342</v>
      </c>
      <c r="AO1571" s="3">
        <v>228</v>
      </c>
      <c r="AP1571" s="3">
        <v>1026</v>
      </c>
      <c r="AQ1571" s="3">
        <v>126</v>
      </c>
      <c r="AR1571" s="3">
        <v>696</v>
      </c>
      <c r="AS1571" s="3">
        <v>282</v>
      </c>
      <c r="AT1571" s="3">
        <v>720</v>
      </c>
      <c r="AU1571" s="3">
        <v>66</v>
      </c>
      <c r="AV1571" s="3">
        <v>1368</v>
      </c>
      <c r="AW1571" s="3">
        <v>114</v>
      </c>
    </row>
    <row r="1572" spans="1:49">
      <c r="A1572" s="4" t="s">
        <v>35</v>
      </c>
      <c r="B1572" s="4" t="str">
        <f t="shared" si="24"/>
        <v>Hair Color</v>
      </c>
      <c r="C1572" s="4" t="s">
        <v>1786</v>
      </c>
      <c r="D1572" s="4" t="s">
        <v>579</v>
      </c>
      <c r="E1572" s="24" t="s">
        <v>47</v>
      </c>
      <c r="F1572" s="12" t="s">
        <v>573</v>
      </c>
      <c r="G1572" s="4" t="s">
        <v>1787</v>
      </c>
      <c r="H1572" s="3">
        <v>306</v>
      </c>
      <c r="I1572" s="3">
        <v>420</v>
      </c>
      <c r="J1572" s="3">
        <v>510</v>
      </c>
      <c r="K1572" s="3">
        <v>876</v>
      </c>
      <c r="L1572" s="3">
        <v>654</v>
      </c>
      <c r="M1572" s="3">
        <v>24</v>
      </c>
      <c r="N1572" s="3">
        <v>0</v>
      </c>
      <c r="O1572" s="3">
        <v>0</v>
      </c>
      <c r="P1572" s="3">
        <v>894</v>
      </c>
      <c r="Q1572" s="3">
        <v>198</v>
      </c>
      <c r="R1572" s="3">
        <v>1584</v>
      </c>
      <c r="S1572" s="3">
        <v>438</v>
      </c>
      <c r="T1572" s="3">
        <v>408</v>
      </c>
      <c r="U1572" s="3">
        <v>126</v>
      </c>
      <c r="V1572" s="3">
        <v>678</v>
      </c>
      <c r="W1572" s="3">
        <v>120</v>
      </c>
      <c r="X1572" s="3">
        <v>378</v>
      </c>
      <c r="Y1572" s="3">
        <v>234</v>
      </c>
      <c r="Z1572" s="3">
        <v>264</v>
      </c>
      <c r="AA1572" s="3">
        <v>186</v>
      </c>
      <c r="AB1572" s="3">
        <v>918</v>
      </c>
      <c r="AC1572" s="3">
        <v>150</v>
      </c>
      <c r="AD1572" s="3">
        <v>138</v>
      </c>
      <c r="AE1572" s="3">
        <v>210</v>
      </c>
      <c r="AF1572" s="3">
        <v>150</v>
      </c>
      <c r="AG1572" s="3">
        <v>222</v>
      </c>
      <c r="AH1572" s="3">
        <v>114</v>
      </c>
      <c r="AI1572" s="3">
        <v>6</v>
      </c>
      <c r="AJ1572" s="3">
        <v>0</v>
      </c>
      <c r="AK1572" s="3">
        <v>0</v>
      </c>
      <c r="AL1572" s="3">
        <v>1644</v>
      </c>
      <c r="AM1572" s="3">
        <v>738</v>
      </c>
      <c r="AN1572" s="3">
        <v>486</v>
      </c>
      <c r="AO1572" s="3">
        <v>132</v>
      </c>
      <c r="AP1572" s="3">
        <v>768</v>
      </c>
      <c r="AQ1572" s="3">
        <v>96</v>
      </c>
      <c r="AR1572" s="3">
        <v>390</v>
      </c>
      <c r="AS1572" s="3">
        <v>162</v>
      </c>
      <c r="AT1572" s="3">
        <v>54</v>
      </c>
      <c r="AU1572" s="3">
        <v>228</v>
      </c>
      <c r="AV1572" s="3">
        <v>0</v>
      </c>
      <c r="AW1572" s="3">
        <v>6</v>
      </c>
    </row>
    <row r="1573" spans="1:49">
      <c r="A1573" s="4" t="s">
        <v>35</v>
      </c>
      <c r="B1573" s="4" t="str">
        <f t="shared" si="24"/>
        <v>Hair Color</v>
      </c>
      <c r="C1573" s="4" t="s">
        <v>1786</v>
      </c>
      <c r="D1573" s="4" t="s">
        <v>579</v>
      </c>
      <c r="E1573" s="24" t="s">
        <v>47</v>
      </c>
      <c r="F1573" s="12" t="s">
        <v>574</v>
      </c>
      <c r="G1573" s="4" t="s">
        <v>1787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744</v>
      </c>
      <c r="Z1573" s="3">
        <v>96</v>
      </c>
      <c r="AA1573" s="3">
        <v>126</v>
      </c>
      <c r="AB1573" s="3">
        <v>678</v>
      </c>
      <c r="AC1573" s="3">
        <v>144</v>
      </c>
      <c r="AD1573" s="3">
        <v>168</v>
      </c>
      <c r="AE1573" s="3">
        <v>372</v>
      </c>
      <c r="AF1573" s="3">
        <v>36</v>
      </c>
      <c r="AG1573" s="3">
        <v>204</v>
      </c>
      <c r="AH1573" s="3">
        <v>390</v>
      </c>
      <c r="AI1573" s="3">
        <v>312</v>
      </c>
      <c r="AJ1573" s="3">
        <v>114</v>
      </c>
      <c r="AK1573" s="3">
        <v>480</v>
      </c>
      <c r="AL1573" s="3">
        <v>1050</v>
      </c>
      <c r="AM1573" s="3">
        <v>666</v>
      </c>
      <c r="AN1573" s="3">
        <v>348</v>
      </c>
      <c r="AO1573" s="3">
        <v>192</v>
      </c>
      <c r="AP1573" s="3">
        <v>624</v>
      </c>
      <c r="AQ1573" s="3">
        <v>258</v>
      </c>
      <c r="AR1573" s="3">
        <v>330</v>
      </c>
      <c r="AS1573" s="3">
        <v>240</v>
      </c>
      <c r="AT1573" s="3">
        <v>528</v>
      </c>
      <c r="AU1573" s="3">
        <v>42</v>
      </c>
      <c r="AV1573" s="3">
        <v>282</v>
      </c>
      <c r="AW1573" s="3">
        <v>480</v>
      </c>
    </row>
    <row r="1574" spans="1:49">
      <c r="A1574" s="4" t="s">
        <v>40</v>
      </c>
      <c r="B1574" s="4" t="str">
        <f t="shared" si="24"/>
        <v>Hair Care</v>
      </c>
      <c r="C1574" s="4" t="s">
        <v>1786</v>
      </c>
      <c r="D1574" s="4" t="s">
        <v>580</v>
      </c>
      <c r="E1574" s="24" t="s">
        <v>151</v>
      </c>
      <c r="F1574" s="12" t="s">
        <v>152</v>
      </c>
      <c r="G1574" s="4" t="s">
        <v>1787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12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6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</row>
    <row r="1575" spans="1:49">
      <c r="A1575" s="4" t="s">
        <v>40</v>
      </c>
      <c r="B1575" s="4" t="str">
        <f t="shared" si="24"/>
        <v>Hair Care</v>
      </c>
      <c r="C1575" s="4" t="s">
        <v>1786</v>
      </c>
      <c r="D1575" s="4" t="s">
        <v>580</v>
      </c>
      <c r="E1575" s="24" t="s">
        <v>125</v>
      </c>
      <c r="F1575" s="12" t="s">
        <v>153</v>
      </c>
      <c r="G1575" s="4" t="s">
        <v>1787</v>
      </c>
      <c r="H1575" s="3">
        <v>12</v>
      </c>
      <c r="I1575" s="3">
        <v>0</v>
      </c>
      <c r="J1575" s="3">
        <v>0</v>
      </c>
      <c r="K1575" s="3">
        <v>12</v>
      </c>
      <c r="L1575" s="3">
        <v>6</v>
      </c>
      <c r="M1575" s="3">
        <v>24</v>
      </c>
      <c r="N1575" s="3">
        <v>34</v>
      </c>
      <c r="O1575" s="3">
        <v>56</v>
      </c>
      <c r="P1575" s="3">
        <v>8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3">
        <v>0</v>
      </c>
    </row>
    <row r="1576" spans="1:49">
      <c r="A1576" s="4" t="s">
        <v>40</v>
      </c>
      <c r="B1576" s="4" t="str">
        <f t="shared" si="24"/>
        <v>Hair Care</v>
      </c>
      <c r="C1576" s="4" t="s">
        <v>1786</v>
      </c>
      <c r="D1576" s="4" t="s">
        <v>580</v>
      </c>
      <c r="E1576" s="24" t="s">
        <v>125</v>
      </c>
      <c r="F1576" s="12" t="s">
        <v>154</v>
      </c>
      <c r="G1576" s="4" t="s">
        <v>1787</v>
      </c>
      <c r="H1576" s="3">
        <v>12</v>
      </c>
      <c r="I1576" s="3">
        <v>0</v>
      </c>
      <c r="J1576" s="3">
        <v>0</v>
      </c>
      <c r="K1576" s="3">
        <v>12</v>
      </c>
      <c r="L1576" s="3">
        <v>6</v>
      </c>
      <c r="M1576" s="3">
        <v>24</v>
      </c>
      <c r="N1576" s="3">
        <v>28</v>
      </c>
      <c r="O1576" s="3">
        <v>48</v>
      </c>
      <c r="P1576" s="3">
        <v>8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</row>
    <row r="1577" spans="1:49">
      <c r="A1577" s="4" t="s">
        <v>40</v>
      </c>
      <c r="B1577" s="4" t="str">
        <f t="shared" si="24"/>
        <v>Hair Care</v>
      </c>
      <c r="C1577" s="4" t="s">
        <v>1786</v>
      </c>
      <c r="D1577" s="4" t="s">
        <v>580</v>
      </c>
      <c r="E1577" s="24" t="s">
        <v>125</v>
      </c>
      <c r="F1577" s="12" t="s">
        <v>160</v>
      </c>
      <c r="G1577" s="4" t="s">
        <v>1787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3</v>
      </c>
      <c r="T1577" s="3">
        <v>0</v>
      </c>
      <c r="U1577" s="3">
        <v>0</v>
      </c>
      <c r="V1577" s="3">
        <v>0</v>
      </c>
      <c r="W1577" s="3">
        <v>0</v>
      </c>
      <c r="X1577" s="3">
        <v>6</v>
      </c>
      <c r="Y1577" s="3">
        <v>0</v>
      </c>
      <c r="Z1577" s="3">
        <v>3</v>
      </c>
      <c r="AA1577" s="3">
        <v>0</v>
      </c>
      <c r="AB1577" s="3">
        <v>0</v>
      </c>
      <c r="AC1577" s="3">
        <v>0</v>
      </c>
      <c r="AD1577" s="3">
        <v>6</v>
      </c>
      <c r="AE1577" s="3">
        <v>0</v>
      </c>
      <c r="AF1577" s="3">
        <v>12</v>
      </c>
      <c r="AG1577" s="3">
        <v>12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6</v>
      </c>
      <c r="AP1577" s="3">
        <v>0</v>
      </c>
      <c r="AQ1577" s="3">
        <v>0</v>
      </c>
      <c r="AR1577" s="3">
        <v>0</v>
      </c>
      <c r="AS1577" s="3">
        <v>6</v>
      </c>
      <c r="AT1577" s="3">
        <v>0</v>
      </c>
      <c r="AU1577" s="3">
        <v>0</v>
      </c>
      <c r="AV1577" s="3">
        <v>0</v>
      </c>
      <c r="AW1577" s="3">
        <v>0</v>
      </c>
    </row>
    <row r="1578" spans="1:49">
      <c r="A1578" s="4" t="s">
        <v>40</v>
      </c>
      <c r="B1578" s="4" t="str">
        <f t="shared" si="24"/>
        <v>Hair Care</v>
      </c>
      <c r="C1578" s="4" t="s">
        <v>1786</v>
      </c>
      <c r="D1578" s="4" t="s">
        <v>580</v>
      </c>
      <c r="E1578" s="24" t="s">
        <v>125</v>
      </c>
      <c r="F1578" s="12" t="s">
        <v>169</v>
      </c>
      <c r="G1578" s="4" t="s">
        <v>1787</v>
      </c>
      <c r="H1578" s="3">
        <v>0</v>
      </c>
      <c r="I1578" s="3">
        <v>0</v>
      </c>
      <c r="J1578" s="3">
        <v>6</v>
      </c>
      <c r="K1578" s="3">
        <v>0</v>
      </c>
      <c r="L1578" s="3">
        <v>0</v>
      </c>
      <c r="M1578" s="3">
        <v>0</v>
      </c>
      <c r="N1578" s="3">
        <v>0</v>
      </c>
      <c r="O1578" s="3">
        <v>6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</row>
    <row r="1579" spans="1:49">
      <c r="A1579" s="4" t="s">
        <v>40</v>
      </c>
      <c r="B1579" s="4" t="str">
        <f t="shared" si="24"/>
        <v>Hair Care</v>
      </c>
      <c r="C1579" s="4" t="s">
        <v>1786</v>
      </c>
      <c r="D1579" s="4" t="s">
        <v>580</v>
      </c>
      <c r="E1579" s="24" t="s">
        <v>125</v>
      </c>
      <c r="F1579" s="12" t="s">
        <v>171</v>
      </c>
      <c r="G1579" s="4" t="s">
        <v>1787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60</v>
      </c>
      <c r="AN1579" s="3">
        <v>0</v>
      </c>
      <c r="AO1579" s="3">
        <v>0</v>
      </c>
      <c r="AP1579" s="3">
        <v>0</v>
      </c>
      <c r="AQ1579" s="3">
        <v>0</v>
      </c>
      <c r="AR1579" s="3">
        <v>54</v>
      </c>
      <c r="AS1579" s="3">
        <v>0</v>
      </c>
      <c r="AT1579" s="3">
        <v>222</v>
      </c>
      <c r="AU1579" s="3">
        <v>6</v>
      </c>
      <c r="AV1579" s="3">
        <v>0</v>
      </c>
      <c r="AW1579" s="3">
        <v>0</v>
      </c>
    </row>
    <row r="1580" spans="1:49">
      <c r="A1580" s="4" t="s">
        <v>40</v>
      </c>
      <c r="B1580" s="4" t="str">
        <f t="shared" si="24"/>
        <v>Hair Care</v>
      </c>
      <c r="C1580" s="4" t="s">
        <v>1786</v>
      </c>
      <c r="D1580" s="4" t="s">
        <v>580</v>
      </c>
      <c r="E1580" s="24" t="s">
        <v>125</v>
      </c>
      <c r="F1580" s="12" t="s">
        <v>172</v>
      </c>
      <c r="G1580" s="4" t="s">
        <v>1787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36</v>
      </c>
      <c r="AM1580" s="3">
        <v>60</v>
      </c>
      <c r="AN1580" s="3">
        <v>0</v>
      </c>
      <c r="AO1580" s="3">
        <v>0</v>
      </c>
      <c r="AP1580" s="3">
        <v>0</v>
      </c>
      <c r="AQ1580" s="3">
        <v>0</v>
      </c>
      <c r="AR1580" s="3">
        <v>54</v>
      </c>
      <c r="AS1580" s="3">
        <v>0</v>
      </c>
      <c r="AT1580" s="3">
        <v>0</v>
      </c>
      <c r="AU1580" s="3">
        <v>6</v>
      </c>
      <c r="AV1580" s="3">
        <v>0</v>
      </c>
      <c r="AW1580" s="3">
        <v>54</v>
      </c>
    </row>
    <row r="1581" spans="1:49">
      <c r="A1581" s="4" t="s">
        <v>40</v>
      </c>
      <c r="B1581" s="4" t="str">
        <f t="shared" si="24"/>
        <v>Hair Care</v>
      </c>
      <c r="C1581" s="4" t="s">
        <v>1786</v>
      </c>
      <c r="D1581" s="4" t="s">
        <v>580</v>
      </c>
      <c r="E1581" s="24" t="s">
        <v>125</v>
      </c>
      <c r="F1581" s="12" t="s">
        <v>175</v>
      </c>
      <c r="G1581" s="4" t="s">
        <v>1787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12</v>
      </c>
      <c r="S1581" s="3">
        <v>48</v>
      </c>
      <c r="T1581" s="3">
        <v>24</v>
      </c>
      <c r="U1581" s="3">
        <v>36</v>
      </c>
      <c r="V1581" s="3">
        <v>0</v>
      </c>
      <c r="W1581" s="3">
        <v>0</v>
      </c>
      <c r="X1581" s="3">
        <v>24</v>
      </c>
      <c r="Y1581" s="3">
        <v>0</v>
      </c>
      <c r="Z1581" s="3">
        <v>24</v>
      </c>
      <c r="AA1581" s="3">
        <v>0</v>
      </c>
      <c r="AB1581" s="3">
        <v>36</v>
      </c>
      <c r="AC1581" s="3">
        <v>0</v>
      </c>
      <c r="AD1581" s="3">
        <v>12</v>
      </c>
      <c r="AE1581" s="3">
        <v>0</v>
      </c>
      <c r="AF1581" s="3">
        <v>36</v>
      </c>
      <c r="AG1581" s="3">
        <v>60</v>
      </c>
      <c r="AH1581" s="3">
        <v>0</v>
      </c>
      <c r="AI1581" s="3">
        <v>24</v>
      </c>
      <c r="AJ1581" s="3">
        <v>0</v>
      </c>
      <c r="AK1581" s="3">
        <v>0</v>
      </c>
      <c r="AL1581" s="3">
        <v>24</v>
      </c>
      <c r="AM1581" s="3">
        <v>0</v>
      </c>
      <c r="AN1581" s="3">
        <v>0</v>
      </c>
      <c r="AO1581" s="3">
        <v>0</v>
      </c>
      <c r="AP1581" s="3">
        <v>48</v>
      </c>
      <c r="AQ1581" s="3">
        <v>0</v>
      </c>
      <c r="AR1581" s="3">
        <v>0</v>
      </c>
      <c r="AS1581" s="3">
        <v>12</v>
      </c>
      <c r="AT1581" s="3">
        <v>0</v>
      </c>
      <c r="AU1581" s="3">
        <v>0</v>
      </c>
      <c r="AV1581" s="3">
        <v>12</v>
      </c>
      <c r="AW1581" s="3">
        <v>0</v>
      </c>
    </row>
    <row r="1582" spans="1:49">
      <c r="A1582" s="4" t="s">
        <v>40</v>
      </c>
      <c r="B1582" s="4" t="str">
        <f t="shared" si="24"/>
        <v>Hair Care</v>
      </c>
      <c r="C1582" s="4" t="s">
        <v>1786</v>
      </c>
      <c r="D1582" s="4" t="s">
        <v>580</v>
      </c>
      <c r="E1582" s="24" t="s">
        <v>125</v>
      </c>
      <c r="F1582" s="12" t="s">
        <v>176</v>
      </c>
      <c r="G1582" s="4" t="s">
        <v>1787</v>
      </c>
      <c r="H1582" s="3">
        <v>0</v>
      </c>
      <c r="I1582" s="3">
        <v>12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</row>
    <row r="1583" spans="1:49">
      <c r="A1583" s="4" t="s">
        <v>40</v>
      </c>
      <c r="B1583" s="4" t="str">
        <f t="shared" si="24"/>
        <v>Hair Care</v>
      </c>
      <c r="C1583" s="4" t="s">
        <v>1786</v>
      </c>
      <c r="D1583" s="4" t="s">
        <v>580</v>
      </c>
      <c r="E1583" s="24" t="s">
        <v>125</v>
      </c>
      <c r="F1583" s="12" t="s">
        <v>177</v>
      </c>
      <c r="G1583" s="4" t="s">
        <v>1787</v>
      </c>
      <c r="H1583" s="3">
        <v>0</v>
      </c>
      <c r="I1583" s="3">
        <v>12</v>
      </c>
      <c r="J1583" s="3">
        <v>12</v>
      </c>
      <c r="K1583" s="3">
        <v>0</v>
      </c>
      <c r="L1583" s="3">
        <v>12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12</v>
      </c>
      <c r="U1583" s="3">
        <v>0</v>
      </c>
      <c r="V1583" s="3">
        <v>0</v>
      </c>
      <c r="W1583" s="3">
        <v>0</v>
      </c>
      <c r="X1583" s="3">
        <v>0</v>
      </c>
      <c r="Y1583" s="3">
        <v>18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3">
        <v>0</v>
      </c>
    </row>
    <row r="1584" spans="1:49">
      <c r="A1584" s="4" t="s">
        <v>40</v>
      </c>
      <c r="B1584" s="4" t="str">
        <f t="shared" si="24"/>
        <v>Hair Care</v>
      </c>
      <c r="C1584" s="4" t="s">
        <v>1786</v>
      </c>
      <c r="D1584" s="4" t="s">
        <v>580</v>
      </c>
      <c r="E1584" s="24" t="s">
        <v>125</v>
      </c>
      <c r="F1584" s="12" t="s">
        <v>181</v>
      </c>
      <c r="G1584" s="4" t="s">
        <v>1787</v>
      </c>
      <c r="H1584" s="3">
        <v>0</v>
      </c>
      <c r="I1584" s="3">
        <v>0</v>
      </c>
      <c r="J1584" s="3">
        <v>6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6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12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</row>
    <row r="1585" spans="1:49">
      <c r="A1585" s="4" t="s">
        <v>40</v>
      </c>
      <c r="B1585" s="4" t="str">
        <f t="shared" si="24"/>
        <v>Hair Care</v>
      </c>
      <c r="C1585" s="4" t="s">
        <v>1786</v>
      </c>
      <c r="D1585" s="4" t="s">
        <v>580</v>
      </c>
      <c r="E1585" s="24" t="s">
        <v>125</v>
      </c>
      <c r="F1585" s="12" t="s">
        <v>186</v>
      </c>
      <c r="G1585" s="4" t="s">
        <v>1787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12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12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3">
        <v>0</v>
      </c>
    </row>
    <row r="1586" spans="1:49">
      <c r="A1586" s="4" t="s">
        <v>40</v>
      </c>
      <c r="B1586" s="4" t="str">
        <f t="shared" si="24"/>
        <v>Hair Care</v>
      </c>
      <c r="C1586" s="4" t="s">
        <v>1786</v>
      </c>
      <c r="D1586" s="4" t="s">
        <v>580</v>
      </c>
      <c r="E1586" s="24" t="s">
        <v>125</v>
      </c>
      <c r="F1586" s="12" t="s">
        <v>187</v>
      </c>
      <c r="G1586" s="4" t="s">
        <v>1787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12</v>
      </c>
      <c r="V1586" s="3">
        <v>0</v>
      </c>
      <c r="W1586" s="3">
        <v>0</v>
      </c>
      <c r="X1586" s="3">
        <v>0</v>
      </c>
      <c r="Y1586" s="3">
        <v>12</v>
      </c>
      <c r="Z1586" s="3">
        <v>0</v>
      </c>
      <c r="AA1586" s="3">
        <v>12</v>
      </c>
      <c r="AB1586" s="3">
        <v>0</v>
      </c>
      <c r="AC1586" s="3">
        <v>-12</v>
      </c>
      <c r="AD1586" s="3">
        <v>0</v>
      </c>
      <c r="AE1586" s="3">
        <v>0</v>
      </c>
      <c r="AF1586" s="3">
        <v>24</v>
      </c>
      <c r="AG1586" s="3">
        <v>0</v>
      </c>
      <c r="AH1586" s="3">
        <v>0</v>
      </c>
      <c r="AI1586" s="3">
        <v>0</v>
      </c>
      <c r="AJ1586" s="3">
        <v>0</v>
      </c>
      <c r="AK1586" s="3">
        <v>12</v>
      </c>
      <c r="AL1586" s="3">
        <v>36</v>
      </c>
      <c r="AM1586" s="3">
        <v>0</v>
      </c>
      <c r="AN1586" s="3">
        <v>0</v>
      </c>
      <c r="AO1586" s="3">
        <v>12</v>
      </c>
      <c r="AP1586" s="3">
        <v>12</v>
      </c>
      <c r="AQ1586" s="3">
        <v>0</v>
      </c>
      <c r="AR1586" s="3">
        <v>60</v>
      </c>
      <c r="AS1586" s="3">
        <v>60</v>
      </c>
      <c r="AT1586" s="3">
        <v>0</v>
      </c>
      <c r="AU1586" s="3">
        <v>0</v>
      </c>
      <c r="AV1586" s="3">
        <v>0</v>
      </c>
      <c r="AW1586" s="3">
        <v>0</v>
      </c>
    </row>
    <row r="1587" spans="1:49">
      <c r="A1587" s="4" t="s">
        <v>40</v>
      </c>
      <c r="B1587" s="4" t="str">
        <f t="shared" si="24"/>
        <v>Hair Care</v>
      </c>
      <c r="C1587" s="4" t="s">
        <v>1786</v>
      </c>
      <c r="D1587" s="4" t="s">
        <v>580</v>
      </c>
      <c r="E1587" s="24" t="s">
        <v>125</v>
      </c>
      <c r="F1587" s="12" t="s">
        <v>188</v>
      </c>
      <c r="G1587" s="4" t="s">
        <v>1787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6</v>
      </c>
      <c r="T1587" s="3">
        <v>0</v>
      </c>
      <c r="U1587" s="3">
        <v>9</v>
      </c>
      <c r="V1587" s="3">
        <v>0</v>
      </c>
      <c r="W1587" s="3">
        <v>12</v>
      </c>
      <c r="X1587" s="3">
        <v>0</v>
      </c>
      <c r="Y1587" s="3">
        <v>0</v>
      </c>
      <c r="Z1587" s="3">
        <v>0</v>
      </c>
      <c r="AA1587" s="3">
        <v>0</v>
      </c>
      <c r="AB1587" s="3">
        <v>3</v>
      </c>
      <c r="AC1587" s="3">
        <v>0</v>
      </c>
      <c r="AD1587" s="3">
        <v>0</v>
      </c>
      <c r="AE1587" s="3">
        <v>1</v>
      </c>
      <c r="AF1587" s="3">
        <v>18</v>
      </c>
      <c r="AG1587" s="3">
        <v>0</v>
      </c>
      <c r="AH1587" s="3">
        <v>0</v>
      </c>
      <c r="AI1587" s="3">
        <v>0</v>
      </c>
      <c r="AJ1587" s="3">
        <v>2</v>
      </c>
      <c r="AK1587" s="3">
        <v>0</v>
      </c>
      <c r="AL1587" s="3">
        <v>36</v>
      </c>
      <c r="AM1587" s="3">
        <v>3</v>
      </c>
      <c r="AN1587" s="3">
        <v>0</v>
      </c>
      <c r="AO1587" s="3">
        <v>3</v>
      </c>
      <c r="AP1587" s="3">
        <v>0</v>
      </c>
      <c r="AQ1587" s="3">
        <v>6</v>
      </c>
      <c r="AR1587" s="3">
        <v>3</v>
      </c>
      <c r="AS1587" s="3">
        <v>12</v>
      </c>
      <c r="AT1587" s="3">
        <v>0</v>
      </c>
      <c r="AU1587" s="3">
        <v>0</v>
      </c>
      <c r="AV1587" s="3">
        <v>0</v>
      </c>
      <c r="AW1587" s="3">
        <v>0</v>
      </c>
    </row>
    <row r="1588" spans="1:49">
      <c r="A1588" s="4" t="s">
        <v>40</v>
      </c>
      <c r="B1588" s="4" t="str">
        <f t="shared" si="24"/>
        <v>Hair Care</v>
      </c>
      <c r="C1588" s="4" t="s">
        <v>1786</v>
      </c>
      <c r="D1588" s="4" t="s">
        <v>580</v>
      </c>
      <c r="E1588" s="24" t="s">
        <v>125</v>
      </c>
      <c r="F1588" s="12" t="s">
        <v>190</v>
      </c>
      <c r="G1588" s="4" t="s">
        <v>1787</v>
      </c>
      <c r="H1588" s="3">
        <v>0</v>
      </c>
      <c r="I1588" s="3">
        <v>0</v>
      </c>
      <c r="J1588" s="3">
        <v>36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</row>
    <row r="1589" spans="1:49">
      <c r="A1589" s="4" t="s">
        <v>40</v>
      </c>
      <c r="B1589" s="4" t="str">
        <f t="shared" si="24"/>
        <v>Hair Care</v>
      </c>
      <c r="C1589" s="4" t="s">
        <v>1786</v>
      </c>
      <c r="D1589" s="4" t="s">
        <v>580</v>
      </c>
      <c r="E1589" s="24" t="s">
        <v>125</v>
      </c>
      <c r="F1589" s="12" t="s">
        <v>191</v>
      </c>
      <c r="G1589" s="4" t="s">
        <v>1787</v>
      </c>
      <c r="H1589" s="3">
        <v>0</v>
      </c>
      <c r="I1589" s="3">
        <v>0</v>
      </c>
      <c r="J1589" s="3">
        <v>36</v>
      </c>
      <c r="K1589" s="3">
        <v>0</v>
      </c>
      <c r="L1589" s="3">
        <v>0</v>
      </c>
      <c r="M1589" s="3">
        <v>0</v>
      </c>
      <c r="N1589" s="3">
        <v>12</v>
      </c>
      <c r="O1589" s="3">
        <v>12</v>
      </c>
      <c r="P1589" s="3">
        <v>0</v>
      </c>
      <c r="Q1589" s="3">
        <v>0</v>
      </c>
      <c r="R1589" s="3">
        <v>6</v>
      </c>
      <c r="S1589" s="3">
        <v>12</v>
      </c>
      <c r="T1589" s="3">
        <v>6</v>
      </c>
      <c r="U1589" s="3">
        <v>82</v>
      </c>
      <c r="V1589" s="3">
        <v>0</v>
      </c>
      <c r="W1589" s="3">
        <v>0</v>
      </c>
      <c r="X1589" s="3">
        <v>0</v>
      </c>
      <c r="Y1589" s="3">
        <v>18</v>
      </c>
      <c r="Z1589" s="3">
        <v>12</v>
      </c>
      <c r="AA1589" s="3">
        <v>24</v>
      </c>
      <c r="AB1589" s="3">
        <v>0</v>
      </c>
      <c r="AC1589" s="3">
        <v>-18</v>
      </c>
      <c r="AD1589" s="3">
        <v>0</v>
      </c>
      <c r="AE1589" s="3">
        <v>0</v>
      </c>
      <c r="AF1589" s="3">
        <v>24</v>
      </c>
      <c r="AG1589" s="3">
        <v>24</v>
      </c>
      <c r="AH1589" s="3">
        <v>0</v>
      </c>
      <c r="AI1589" s="3">
        <v>12</v>
      </c>
      <c r="AJ1589" s="3">
        <v>0</v>
      </c>
      <c r="AK1589" s="3">
        <v>12</v>
      </c>
      <c r="AL1589" s="3">
        <v>12</v>
      </c>
      <c r="AM1589" s="3">
        <v>0</v>
      </c>
      <c r="AN1589" s="3">
        <v>36</v>
      </c>
      <c r="AO1589" s="3">
        <v>156</v>
      </c>
      <c r="AP1589" s="3">
        <v>24</v>
      </c>
      <c r="AQ1589" s="3">
        <v>0</v>
      </c>
      <c r="AR1589" s="3">
        <v>108</v>
      </c>
      <c r="AS1589" s="3">
        <v>48</v>
      </c>
      <c r="AT1589" s="3">
        <v>0</v>
      </c>
      <c r="AU1589" s="3">
        <v>0</v>
      </c>
      <c r="AV1589" s="3">
        <v>120</v>
      </c>
      <c r="AW1589" s="3">
        <v>0</v>
      </c>
    </row>
    <row r="1590" spans="1:49">
      <c r="A1590" s="4" t="s">
        <v>40</v>
      </c>
      <c r="B1590" s="4" t="str">
        <f t="shared" si="24"/>
        <v>Hair Care</v>
      </c>
      <c r="C1590" s="4" t="s">
        <v>1786</v>
      </c>
      <c r="D1590" s="4" t="s">
        <v>580</v>
      </c>
      <c r="E1590" s="24" t="s">
        <v>125</v>
      </c>
      <c r="F1590" s="12" t="s">
        <v>192</v>
      </c>
      <c r="G1590" s="4" t="s">
        <v>1787</v>
      </c>
      <c r="H1590" s="3">
        <v>12</v>
      </c>
      <c r="I1590" s="3">
        <v>0</v>
      </c>
      <c r="J1590" s="3">
        <v>396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24</v>
      </c>
      <c r="V1590" s="3">
        <v>0</v>
      </c>
      <c r="W1590" s="3">
        <v>0</v>
      </c>
      <c r="X1590" s="3">
        <v>0</v>
      </c>
      <c r="Y1590" s="3">
        <v>24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12</v>
      </c>
      <c r="AH1590" s="3">
        <v>0</v>
      </c>
      <c r="AI1590" s="3">
        <v>0</v>
      </c>
      <c r="AJ1590" s="3">
        <v>0</v>
      </c>
      <c r="AK1590" s="3">
        <v>0</v>
      </c>
      <c r="AL1590" s="3">
        <v>36</v>
      </c>
      <c r="AM1590" s="3">
        <v>0</v>
      </c>
      <c r="AN1590" s="3">
        <v>12</v>
      </c>
      <c r="AO1590" s="3">
        <v>60</v>
      </c>
      <c r="AP1590" s="3">
        <v>0</v>
      </c>
      <c r="AQ1590" s="3">
        <v>0</v>
      </c>
      <c r="AR1590" s="3">
        <v>0</v>
      </c>
      <c r="AS1590" s="3">
        <v>12</v>
      </c>
      <c r="AT1590" s="3">
        <v>48</v>
      </c>
      <c r="AU1590" s="3">
        <v>0</v>
      </c>
      <c r="AV1590" s="3">
        <v>0</v>
      </c>
      <c r="AW1590" s="3">
        <v>0</v>
      </c>
    </row>
    <row r="1591" spans="1:49">
      <c r="A1591" s="4" t="s">
        <v>40</v>
      </c>
      <c r="B1591" s="4" t="str">
        <f t="shared" si="24"/>
        <v>Hair Care</v>
      </c>
      <c r="C1591" s="4" t="s">
        <v>1786</v>
      </c>
      <c r="D1591" s="4" t="s">
        <v>580</v>
      </c>
      <c r="E1591" s="24" t="s">
        <v>125</v>
      </c>
      <c r="F1591" s="12" t="s">
        <v>193</v>
      </c>
      <c r="G1591" s="4" t="s">
        <v>1787</v>
      </c>
      <c r="H1591" s="3">
        <v>0</v>
      </c>
      <c r="I1591" s="3">
        <v>0</v>
      </c>
      <c r="J1591" s="3">
        <v>36</v>
      </c>
      <c r="K1591" s="3">
        <v>0</v>
      </c>
      <c r="L1591" s="3">
        <v>0</v>
      </c>
      <c r="M1591" s="3">
        <v>0</v>
      </c>
      <c r="N1591" s="3">
        <v>12</v>
      </c>
      <c r="O1591" s="3">
        <v>12</v>
      </c>
      <c r="P1591" s="3">
        <v>0</v>
      </c>
      <c r="Q1591" s="3">
        <v>0</v>
      </c>
      <c r="R1591" s="3">
        <v>6</v>
      </c>
      <c r="S1591" s="3">
        <v>12</v>
      </c>
      <c r="T1591" s="3">
        <v>6</v>
      </c>
      <c r="U1591" s="3">
        <v>12</v>
      </c>
      <c r="V1591" s="3">
        <v>0</v>
      </c>
      <c r="W1591" s="3">
        <v>0</v>
      </c>
      <c r="X1591" s="3">
        <v>0</v>
      </c>
      <c r="Y1591" s="3">
        <v>6</v>
      </c>
      <c r="Z1591" s="3">
        <v>0</v>
      </c>
      <c r="AA1591" s="3">
        <v>24</v>
      </c>
      <c r="AB1591" s="3">
        <v>0</v>
      </c>
      <c r="AC1591" s="3">
        <v>-18</v>
      </c>
      <c r="AD1591" s="3">
        <v>0</v>
      </c>
      <c r="AE1591" s="3">
        <v>0</v>
      </c>
      <c r="AF1591" s="3">
        <v>12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</row>
    <row r="1592" spans="1:49">
      <c r="A1592" s="4" t="s">
        <v>40</v>
      </c>
      <c r="B1592" s="4" t="str">
        <f t="shared" si="24"/>
        <v>Hair Care</v>
      </c>
      <c r="C1592" s="4" t="s">
        <v>1786</v>
      </c>
      <c r="D1592" s="4" t="s">
        <v>580</v>
      </c>
      <c r="E1592" s="24" t="s">
        <v>125</v>
      </c>
      <c r="F1592" s="12" t="s">
        <v>194</v>
      </c>
      <c r="G1592" s="4" t="s">
        <v>1787</v>
      </c>
      <c r="H1592" s="3">
        <v>36</v>
      </c>
      <c r="I1592" s="3">
        <v>0</v>
      </c>
      <c r="J1592" s="3">
        <v>396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12</v>
      </c>
      <c r="U1592" s="3">
        <v>82</v>
      </c>
      <c r="V1592" s="3">
        <v>0</v>
      </c>
      <c r="W1592" s="3">
        <v>0</v>
      </c>
      <c r="X1592" s="3">
        <v>0</v>
      </c>
      <c r="Y1592" s="3">
        <v>24</v>
      </c>
      <c r="Z1592" s="3">
        <v>12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24</v>
      </c>
      <c r="AG1592" s="3">
        <v>0</v>
      </c>
      <c r="AH1592" s="3">
        <v>12</v>
      </c>
      <c r="AI1592" s="3">
        <v>24</v>
      </c>
      <c r="AJ1592" s="3">
        <v>0</v>
      </c>
      <c r="AK1592" s="3">
        <v>12</v>
      </c>
      <c r="AL1592" s="3">
        <v>60</v>
      </c>
      <c r="AM1592" s="3">
        <v>0</v>
      </c>
      <c r="AN1592" s="3">
        <v>24</v>
      </c>
      <c r="AO1592" s="3">
        <v>132</v>
      </c>
      <c r="AP1592" s="3">
        <v>24</v>
      </c>
      <c r="AQ1592" s="3">
        <v>0</v>
      </c>
      <c r="AR1592" s="3">
        <v>120</v>
      </c>
      <c r="AS1592" s="3">
        <v>36</v>
      </c>
      <c r="AT1592" s="3">
        <v>48</v>
      </c>
      <c r="AU1592" s="3">
        <v>0</v>
      </c>
      <c r="AV1592" s="3">
        <v>108</v>
      </c>
      <c r="AW1592" s="3">
        <v>0</v>
      </c>
    </row>
    <row r="1593" spans="1:49">
      <c r="A1593" s="4" t="s">
        <v>40</v>
      </c>
      <c r="B1593" s="4" t="str">
        <f t="shared" si="24"/>
        <v>Hair Care</v>
      </c>
      <c r="C1593" s="4" t="s">
        <v>1786</v>
      </c>
      <c r="D1593" s="4" t="s">
        <v>580</v>
      </c>
      <c r="E1593" s="24" t="s">
        <v>125</v>
      </c>
      <c r="F1593" s="12" t="s">
        <v>195</v>
      </c>
      <c r="G1593" s="4" t="s">
        <v>1787</v>
      </c>
      <c r="H1593" s="3">
        <v>36</v>
      </c>
      <c r="I1593" s="3">
        <v>0</v>
      </c>
      <c r="J1593" s="3">
        <v>36</v>
      </c>
      <c r="K1593" s="3">
        <v>0</v>
      </c>
      <c r="L1593" s="3">
        <v>0</v>
      </c>
      <c r="M1593" s="3">
        <v>12</v>
      </c>
      <c r="N1593" s="3">
        <v>18</v>
      </c>
      <c r="O1593" s="3">
        <v>24</v>
      </c>
      <c r="P1593" s="3">
        <v>18</v>
      </c>
      <c r="Q1593" s="3">
        <v>0</v>
      </c>
      <c r="R1593" s="3">
        <v>0</v>
      </c>
      <c r="S1593" s="3">
        <v>0</v>
      </c>
      <c r="T1593" s="3">
        <v>0</v>
      </c>
      <c r="U1593" s="3">
        <v>18</v>
      </c>
      <c r="V1593" s="3">
        <v>0</v>
      </c>
      <c r="W1593" s="3">
        <v>12</v>
      </c>
      <c r="X1593" s="3">
        <v>6</v>
      </c>
      <c r="Y1593" s="3">
        <v>18</v>
      </c>
      <c r="Z1593" s="3">
        <v>0</v>
      </c>
      <c r="AA1593" s="3">
        <v>12</v>
      </c>
      <c r="AB1593" s="3">
        <v>6</v>
      </c>
      <c r="AC1593" s="3">
        <v>-12</v>
      </c>
      <c r="AD1593" s="3">
        <v>18</v>
      </c>
      <c r="AE1593" s="3">
        <v>0</v>
      </c>
      <c r="AF1593" s="3">
        <v>12</v>
      </c>
      <c r="AG1593" s="3">
        <v>0</v>
      </c>
      <c r="AH1593" s="3">
        <v>0</v>
      </c>
      <c r="AI1593" s="3">
        <v>6</v>
      </c>
      <c r="AJ1593" s="3">
        <v>0</v>
      </c>
      <c r="AK1593" s="3">
        <v>0</v>
      </c>
      <c r="AL1593" s="3">
        <v>30</v>
      </c>
      <c r="AM1593" s="3">
        <v>0</v>
      </c>
      <c r="AN1593" s="3">
        <v>6</v>
      </c>
      <c r="AO1593" s="3">
        <v>0</v>
      </c>
      <c r="AP1593" s="3">
        <v>42</v>
      </c>
      <c r="AQ1593" s="3">
        <v>6</v>
      </c>
      <c r="AR1593" s="3">
        <v>12</v>
      </c>
      <c r="AS1593" s="3">
        <v>12</v>
      </c>
      <c r="AT1593" s="3">
        <v>0</v>
      </c>
      <c r="AU1593" s="3">
        <v>0</v>
      </c>
      <c r="AV1593" s="3">
        <v>0</v>
      </c>
      <c r="AW1593" s="3">
        <v>0</v>
      </c>
    </row>
    <row r="1594" spans="1:49">
      <c r="A1594" s="4" t="s">
        <v>40</v>
      </c>
      <c r="B1594" s="4" t="str">
        <f t="shared" si="24"/>
        <v>Hair Care</v>
      </c>
      <c r="C1594" s="4" t="s">
        <v>1786</v>
      </c>
      <c r="D1594" s="4" t="s">
        <v>580</v>
      </c>
      <c r="E1594" s="24" t="s">
        <v>125</v>
      </c>
      <c r="F1594" s="12" t="s">
        <v>196</v>
      </c>
      <c r="G1594" s="4" t="s">
        <v>1787</v>
      </c>
      <c r="H1594" s="3">
        <v>0</v>
      </c>
      <c r="I1594" s="3">
        <v>0</v>
      </c>
      <c r="J1594" s="3">
        <v>6</v>
      </c>
      <c r="K1594" s="3">
        <v>0</v>
      </c>
      <c r="L1594" s="3">
        <v>12</v>
      </c>
      <c r="M1594" s="3">
        <v>0</v>
      </c>
      <c r="N1594" s="3">
        <v>0</v>
      </c>
      <c r="O1594" s="3">
        <v>12</v>
      </c>
      <c r="P1594" s="3">
        <v>12</v>
      </c>
      <c r="Q1594" s="3">
        <v>0</v>
      </c>
      <c r="R1594" s="3">
        <v>0</v>
      </c>
      <c r="S1594" s="3">
        <v>12</v>
      </c>
      <c r="T1594" s="3">
        <v>0</v>
      </c>
      <c r="U1594" s="3">
        <v>48</v>
      </c>
      <c r="V1594" s="3">
        <v>0</v>
      </c>
      <c r="W1594" s="3">
        <v>6</v>
      </c>
      <c r="X1594" s="3">
        <v>0</v>
      </c>
      <c r="Y1594" s="3">
        <v>6</v>
      </c>
      <c r="Z1594" s="3">
        <v>0</v>
      </c>
      <c r="AA1594" s="3">
        <v>12</v>
      </c>
      <c r="AB1594" s="3">
        <v>0</v>
      </c>
      <c r="AC1594" s="3">
        <v>0</v>
      </c>
      <c r="AD1594" s="3">
        <v>0</v>
      </c>
      <c r="AE1594" s="3">
        <v>0</v>
      </c>
      <c r="AF1594" s="3">
        <v>12</v>
      </c>
      <c r="AG1594" s="3">
        <v>12</v>
      </c>
      <c r="AH1594" s="3">
        <v>0</v>
      </c>
      <c r="AI1594" s="3">
        <v>0</v>
      </c>
      <c r="AJ1594" s="3">
        <v>0</v>
      </c>
      <c r="AK1594" s="3">
        <v>6</v>
      </c>
      <c r="AL1594" s="3">
        <v>30</v>
      </c>
      <c r="AM1594" s="3">
        <v>12</v>
      </c>
      <c r="AN1594" s="3">
        <v>0</v>
      </c>
      <c r="AO1594" s="3">
        <v>60</v>
      </c>
      <c r="AP1594" s="3">
        <v>0</v>
      </c>
      <c r="AQ1594" s="3">
        <v>0</v>
      </c>
      <c r="AR1594" s="3">
        <v>54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</row>
    <row r="1595" spans="1:49">
      <c r="A1595" s="4" t="s">
        <v>40</v>
      </c>
      <c r="B1595" s="4" t="str">
        <f t="shared" si="24"/>
        <v>Hair Care</v>
      </c>
      <c r="C1595" s="4" t="s">
        <v>1786</v>
      </c>
      <c r="D1595" s="4" t="s">
        <v>580</v>
      </c>
      <c r="E1595" s="24" t="s">
        <v>125</v>
      </c>
      <c r="F1595" s="12" t="s">
        <v>199</v>
      </c>
      <c r="G1595" s="4" t="s">
        <v>1787</v>
      </c>
      <c r="H1595" s="3">
        <v>0</v>
      </c>
      <c r="I1595" s="3">
        <v>0</v>
      </c>
      <c r="J1595" s="3">
        <v>6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6</v>
      </c>
      <c r="T1595" s="3">
        <v>0</v>
      </c>
      <c r="U1595" s="3">
        <v>36</v>
      </c>
      <c r="V1595" s="3">
        <v>0</v>
      </c>
      <c r="W1595" s="3">
        <v>0</v>
      </c>
      <c r="X1595" s="3">
        <v>0</v>
      </c>
      <c r="Y1595" s="3">
        <v>0</v>
      </c>
      <c r="Z1595" s="3">
        <v>12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</v>
      </c>
      <c r="AV1595" s="3">
        <v>0</v>
      </c>
      <c r="AW1595" s="3">
        <v>0</v>
      </c>
    </row>
    <row r="1596" spans="1:49">
      <c r="A1596" s="4" t="s">
        <v>40</v>
      </c>
      <c r="B1596" s="4" t="str">
        <f t="shared" si="24"/>
        <v>Hair Care</v>
      </c>
      <c r="C1596" s="4" t="s">
        <v>1786</v>
      </c>
      <c r="D1596" s="4" t="s">
        <v>580</v>
      </c>
      <c r="E1596" s="24" t="s">
        <v>125</v>
      </c>
      <c r="F1596" s="12" t="s">
        <v>200</v>
      </c>
      <c r="G1596" s="4" t="s">
        <v>1787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36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</row>
    <row r="1597" spans="1:49">
      <c r="A1597" s="4" t="s">
        <v>40</v>
      </c>
      <c r="B1597" s="4" t="str">
        <f t="shared" si="24"/>
        <v>Hair Care</v>
      </c>
      <c r="C1597" s="4" t="s">
        <v>1786</v>
      </c>
      <c r="D1597" s="4" t="s">
        <v>580</v>
      </c>
      <c r="E1597" s="24" t="s">
        <v>125</v>
      </c>
      <c r="F1597" s="12" t="s">
        <v>202</v>
      </c>
      <c r="G1597" s="4" t="s">
        <v>1787</v>
      </c>
      <c r="H1597" s="3">
        <v>0</v>
      </c>
      <c r="I1597" s="3">
        <v>0</v>
      </c>
      <c r="J1597" s="3">
        <v>6</v>
      </c>
      <c r="K1597" s="3">
        <v>0</v>
      </c>
      <c r="L1597" s="3">
        <v>0</v>
      </c>
      <c r="M1597" s="3">
        <v>0</v>
      </c>
      <c r="N1597" s="3">
        <v>12</v>
      </c>
      <c r="O1597" s="3">
        <v>6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s="3">
        <v>0</v>
      </c>
      <c r="AV1597" s="3">
        <v>0</v>
      </c>
      <c r="AW1597" s="3">
        <v>0</v>
      </c>
    </row>
    <row r="1598" spans="1:49">
      <c r="A1598" s="4" t="s">
        <v>40</v>
      </c>
      <c r="B1598" s="4" t="str">
        <f t="shared" si="24"/>
        <v>Hair Care</v>
      </c>
      <c r="C1598" s="4" t="s">
        <v>1786</v>
      </c>
      <c r="D1598" s="4" t="s">
        <v>580</v>
      </c>
      <c r="E1598" s="24" t="s">
        <v>125</v>
      </c>
      <c r="F1598" s="12" t="s">
        <v>203</v>
      </c>
      <c r="G1598" s="4" t="s">
        <v>1787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12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</row>
    <row r="1599" spans="1:49">
      <c r="A1599" s="4" t="s">
        <v>40</v>
      </c>
      <c r="B1599" s="4" t="str">
        <f t="shared" si="24"/>
        <v>Hair Care</v>
      </c>
      <c r="C1599" s="4" t="s">
        <v>1786</v>
      </c>
      <c r="D1599" s="4" t="s">
        <v>580</v>
      </c>
      <c r="E1599" s="24" t="s">
        <v>125</v>
      </c>
      <c r="F1599" s="12" t="s">
        <v>204</v>
      </c>
      <c r="G1599" s="4" t="s">
        <v>1787</v>
      </c>
      <c r="H1599" s="3">
        <v>0</v>
      </c>
      <c r="I1599" s="3">
        <v>0</v>
      </c>
      <c r="J1599" s="3">
        <v>12</v>
      </c>
      <c r="K1599" s="3">
        <v>0</v>
      </c>
      <c r="L1599" s="3">
        <v>12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12</v>
      </c>
      <c r="U1599" s="3">
        <v>0</v>
      </c>
      <c r="V1599" s="3">
        <v>0</v>
      </c>
      <c r="W1599" s="3">
        <v>0</v>
      </c>
      <c r="X1599" s="3">
        <v>0</v>
      </c>
      <c r="Y1599" s="3">
        <v>18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0</v>
      </c>
      <c r="AW1599" s="3">
        <v>0</v>
      </c>
    </row>
    <row r="1600" spans="1:49">
      <c r="A1600" s="4" t="s">
        <v>40</v>
      </c>
      <c r="B1600" s="4" t="str">
        <f t="shared" si="24"/>
        <v>Hair Care</v>
      </c>
      <c r="C1600" s="4" t="s">
        <v>1786</v>
      </c>
      <c r="D1600" s="4" t="s">
        <v>580</v>
      </c>
      <c r="E1600" s="24" t="s">
        <v>125</v>
      </c>
      <c r="F1600" s="12" t="s">
        <v>205</v>
      </c>
      <c r="G1600" s="4" t="s">
        <v>1787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12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12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</row>
    <row r="1601" spans="1:49">
      <c r="A1601" s="4" t="s">
        <v>40</v>
      </c>
      <c r="B1601" s="4" t="str">
        <f t="shared" si="24"/>
        <v>Hair Care</v>
      </c>
      <c r="C1601" s="4" t="s">
        <v>1786</v>
      </c>
      <c r="D1601" s="4" t="s">
        <v>580</v>
      </c>
      <c r="E1601" s="24" t="s">
        <v>125</v>
      </c>
      <c r="F1601" s="12" t="s">
        <v>206</v>
      </c>
      <c r="G1601" s="4" t="s">
        <v>1787</v>
      </c>
      <c r="H1601" s="3">
        <v>0</v>
      </c>
      <c r="I1601" s="3">
        <v>0</v>
      </c>
      <c r="J1601" s="3">
        <v>36</v>
      </c>
      <c r="K1601" s="3">
        <v>0</v>
      </c>
      <c r="L1601" s="3">
        <v>6</v>
      </c>
      <c r="M1601" s="3">
        <v>12</v>
      </c>
      <c r="N1601" s="3">
        <v>24</v>
      </c>
      <c r="O1601" s="3">
        <v>30</v>
      </c>
      <c r="P1601" s="3">
        <v>18</v>
      </c>
      <c r="Q1601" s="3">
        <v>0</v>
      </c>
      <c r="R1601" s="3">
        <v>0</v>
      </c>
      <c r="S1601" s="3">
        <v>18</v>
      </c>
      <c r="T1601" s="3">
        <v>12</v>
      </c>
      <c r="U1601" s="3">
        <v>30</v>
      </c>
      <c r="V1601" s="3">
        <v>0</v>
      </c>
      <c r="W1601" s="3">
        <v>12</v>
      </c>
      <c r="X1601" s="3">
        <v>12</v>
      </c>
      <c r="Y1601" s="3">
        <v>30</v>
      </c>
      <c r="Z1601" s="3">
        <v>30</v>
      </c>
      <c r="AA1601" s="3">
        <v>6</v>
      </c>
      <c r="AB1601" s="3">
        <v>24</v>
      </c>
      <c r="AC1601" s="3">
        <v>-6</v>
      </c>
      <c r="AD1601" s="3">
        <v>6</v>
      </c>
      <c r="AE1601" s="3">
        <v>0</v>
      </c>
      <c r="AF1601" s="3">
        <v>30</v>
      </c>
      <c r="AG1601" s="3">
        <v>12</v>
      </c>
      <c r="AH1601" s="3">
        <v>0</v>
      </c>
      <c r="AI1601" s="3">
        <v>48</v>
      </c>
      <c r="AJ1601" s="3">
        <v>0</v>
      </c>
      <c r="AK1601" s="3">
        <v>30</v>
      </c>
      <c r="AL1601" s="3">
        <v>60</v>
      </c>
      <c r="AM1601" s="3">
        <v>0</v>
      </c>
      <c r="AN1601" s="3">
        <v>24</v>
      </c>
      <c r="AO1601" s="3">
        <v>90</v>
      </c>
      <c r="AP1601" s="3">
        <v>36</v>
      </c>
      <c r="AQ1601" s="3">
        <v>36</v>
      </c>
      <c r="AR1601" s="3">
        <v>0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</row>
    <row r="1602" spans="1:49">
      <c r="A1602" s="4" t="s">
        <v>40</v>
      </c>
      <c r="B1602" s="4" t="str">
        <f t="shared" si="24"/>
        <v>Hair Care</v>
      </c>
      <c r="C1602" s="4" t="s">
        <v>1786</v>
      </c>
      <c r="D1602" s="4" t="s">
        <v>580</v>
      </c>
      <c r="E1602" s="24" t="s">
        <v>125</v>
      </c>
      <c r="F1602" s="12" t="s">
        <v>207</v>
      </c>
      <c r="G1602" s="4" t="s">
        <v>1787</v>
      </c>
      <c r="H1602" s="3">
        <v>0</v>
      </c>
      <c r="I1602" s="3">
        <v>0</v>
      </c>
      <c r="J1602" s="3">
        <v>6</v>
      </c>
      <c r="K1602" s="3">
        <v>6</v>
      </c>
      <c r="L1602" s="3">
        <v>24</v>
      </c>
      <c r="M1602" s="3">
        <v>12</v>
      </c>
      <c r="N1602" s="3">
        <v>6</v>
      </c>
      <c r="O1602" s="3">
        <v>30</v>
      </c>
      <c r="P1602" s="3">
        <v>12</v>
      </c>
      <c r="Q1602" s="3">
        <v>0</v>
      </c>
      <c r="R1602" s="3">
        <v>6</v>
      </c>
      <c r="S1602" s="3">
        <v>0</v>
      </c>
      <c r="T1602" s="3">
        <v>0</v>
      </c>
      <c r="U1602" s="3">
        <v>48</v>
      </c>
      <c r="V1602" s="3">
        <v>0</v>
      </c>
      <c r="W1602" s="3">
        <v>6</v>
      </c>
      <c r="X1602" s="3">
        <v>0</v>
      </c>
      <c r="Y1602" s="3">
        <v>18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12</v>
      </c>
      <c r="AG1602" s="3">
        <v>0</v>
      </c>
      <c r="AH1602" s="3">
        <v>0</v>
      </c>
      <c r="AI1602" s="3">
        <v>6</v>
      </c>
      <c r="AJ1602" s="3">
        <v>0</v>
      </c>
      <c r="AK1602" s="3">
        <v>0</v>
      </c>
      <c r="AL1602" s="3">
        <v>36</v>
      </c>
      <c r="AM1602" s="3">
        <v>0</v>
      </c>
      <c r="AN1602" s="3">
        <v>0</v>
      </c>
      <c r="AO1602" s="3">
        <v>0</v>
      </c>
      <c r="AP1602" s="3">
        <v>6</v>
      </c>
      <c r="AQ1602" s="3">
        <v>0</v>
      </c>
      <c r="AR1602" s="3">
        <v>66</v>
      </c>
      <c r="AS1602" s="3">
        <v>18</v>
      </c>
      <c r="AT1602" s="3">
        <v>6</v>
      </c>
      <c r="AU1602" s="3">
        <v>0</v>
      </c>
      <c r="AV1602" s="3">
        <v>0</v>
      </c>
      <c r="AW1602" s="3">
        <v>6</v>
      </c>
    </row>
    <row r="1603" spans="1:49">
      <c r="A1603" s="4" t="s">
        <v>40</v>
      </c>
      <c r="B1603" s="4" t="str">
        <f t="shared" ref="B1603:B1666" si="25">A1603</f>
        <v>Hair Care</v>
      </c>
      <c r="C1603" s="4" t="s">
        <v>1786</v>
      </c>
      <c r="D1603" s="4" t="s">
        <v>580</v>
      </c>
      <c r="E1603" s="24" t="s">
        <v>125</v>
      </c>
      <c r="F1603" s="12" t="s">
        <v>208</v>
      </c>
      <c r="G1603" s="4" t="s">
        <v>1787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36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12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60</v>
      </c>
      <c r="AN1603" s="3">
        <v>0</v>
      </c>
      <c r="AO1603" s="3">
        <v>0</v>
      </c>
      <c r="AP1603" s="3">
        <v>0</v>
      </c>
      <c r="AQ1603" s="3">
        <v>0</v>
      </c>
      <c r="AR1603" s="3">
        <v>66</v>
      </c>
      <c r="AS1603" s="3">
        <v>0</v>
      </c>
      <c r="AT1603" s="3">
        <v>222</v>
      </c>
      <c r="AU1603" s="3">
        <v>6</v>
      </c>
      <c r="AV1603" s="3">
        <v>0</v>
      </c>
      <c r="AW1603" s="3">
        <v>0</v>
      </c>
    </row>
    <row r="1604" spans="1:49">
      <c r="A1604" s="4" t="s">
        <v>40</v>
      </c>
      <c r="B1604" s="4" t="str">
        <f t="shared" si="25"/>
        <v>Hair Care</v>
      </c>
      <c r="C1604" s="4" t="s">
        <v>1786</v>
      </c>
      <c r="D1604" s="4" t="s">
        <v>580</v>
      </c>
      <c r="E1604" s="24" t="s">
        <v>125</v>
      </c>
      <c r="F1604" s="12" t="s">
        <v>216</v>
      </c>
      <c r="G1604" s="4" t="s">
        <v>1787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36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12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72</v>
      </c>
      <c r="AN1604" s="3">
        <v>0</v>
      </c>
      <c r="AO1604" s="3">
        <v>0</v>
      </c>
      <c r="AP1604" s="3">
        <v>0</v>
      </c>
      <c r="AQ1604" s="3">
        <v>0</v>
      </c>
      <c r="AR1604" s="3">
        <v>54</v>
      </c>
      <c r="AS1604" s="3">
        <v>0</v>
      </c>
      <c r="AT1604" s="3">
        <v>0</v>
      </c>
      <c r="AU1604" s="3">
        <v>6</v>
      </c>
      <c r="AV1604" s="3">
        <v>0</v>
      </c>
      <c r="AW1604" s="3">
        <v>54</v>
      </c>
    </row>
    <row r="1605" spans="1:49">
      <c r="A1605" s="4" t="s">
        <v>40</v>
      </c>
      <c r="B1605" s="4" t="str">
        <f t="shared" si="25"/>
        <v>Hair Care</v>
      </c>
      <c r="C1605" s="4" t="s">
        <v>1786</v>
      </c>
      <c r="D1605" s="4" t="s">
        <v>580</v>
      </c>
      <c r="E1605" s="24" t="s">
        <v>125</v>
      </c>
      <c r="F1605" s="12" t="s">
        <v>217</v>
      </c>
      <c r="G1605" s="4" t="s">
        <v>1787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12</v>
      </c>
      <c r="Y1605" s="3">
        <v>0</v>
      </c>
      <c r="Z1605" s="3">
        <v>16</v>
      </c>
      <c r="AA1605" s="3">
        <v>0</v>
      </c>
      <c r="AB1605" s="3">
        <v>0</v>
      </c>
      <c r="AC1605" s="3">
        <v>0</v>
      </c>
      <c r="AD1605" s="3">
        <v>6</v>
      </c>
      <c r="AE1605" s="3">
        <v>0</v>
      </c>
      <c r="AF1605" s="3">
        <v>0</v>
      </c>
      <c r="AG1605" s="3">
        <v>0</v>
      </c>
      <c r="AH1605" s="3">
        <v>6</v>
      </c>
      <c r="AI1605" s="3">
        <v>12</v>
      </c>
      <c r="AJ1605" s="3">
        <v>6</v>
      </c>
      <c r="AK1605" s="3">
        <v>6</v>
      </c>
      <c r="AL1605" s="3">
        <v>12</v>
      </c>
      <c r="AM1605" s="3">
        <v>0</v>
      </c>
      <c r="AN1605" s="3">
        <v>0</v>
      </c>
      <c r="AO1605" s="3">
        <v>6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</row>
    <row r="1606" spans="1:49">
      <c r="A1606" s="4" t="s">
        <v>40</v>
      </c>
      <c r="B1606" s="4" t="str">
        <f t="shared" si="25"/>
        <v>Hair Care</v>
      </c>
      <c r="C1606" s="4" t="s">
        <v>1786</v>
      </c>
      <c r="D1606" s="4" t="s">
        <v>580</v>
      </c>
      <c r="E1606" s="24" t="s">
        <v>125</v>
      </c>
      <c r="F1606" s="12" t="s">
        <v>218</v>
      </c>
      <c r="G1606" s="4" t="s">
        <v>1787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24</v>
      </c>
      <c r="X1606" s="3">
        <v>0</v>
      </c>
      <c r="Y1606" s="3">
        <v>52</v>
      </c>
      <c r="Z1606" s="3">
        <v>0</v>
      </c>
      <c r="AA1606" s="3">
        <v>0</v>
      </c>
      <c r="AB1606" s="3">
        <v>3</v>
      </c>
      <c r="AC1606" s="3">
        <v>0</v>
      </c>
      <c r="AD1606" s="3">
        <v>0</v>
      </c>
      <c r="AE1606" s="3">
        <v>0</v>
      </c>
      <c r="AF1606" s="3">
        <v>12</v>
      </c>
      <c r="AG1606" s="3">
        <v>48</v>
      </c>
      <c r="AH1606" s="3">
        <v>0</v>
      </c>
      <c r="AI1606" s="3">
        <v>0</v>
      </c>
      <c r="AJ1606" s="3">
        <v>36</v>
      </c>
      <c r="AK1606" s="3">
        <v>12</v>
      </c>
      <c r="AL1606" s="3">
        <v>24</v>
      </c>
      <c r="AM1606" s="3">
        <v>30</v>
      </c>
      <c r="AN1606" s="3">
        <v>36</v>
      </c>
      <c r="AO1606" s="3">
        <v>0</v>
      </c>
      <c r="AP1606" s="3">
        <v>12</v>
      </c>
      <c r="AQ1606" s="3">
        <v>0</v>
      </c>
      <c r="AR1606" s="3">
        <v>132</v>
      </c>
      <c r="AS1606" s="3">
        <v>12</v>
      </c>
      <c r="AT1606" s="3">
        <v>0</v>
      </c>
      <c r="AU1606" s="3">
        <v>12</v>
      </c>
      <c r="AV1606" s="3">
        <v>210</v>
      </c>
      <c r="AW1606" s="3">
        <v>12</v>
      </c>
    </row>
    <row r="1607" spans="1:49">
      <c r="A1607" s="4" t="s">
        <v>40</v>
      </c>
      <c r="B1607" s="4" t="str">
        <f t="shared" si="25"/>
        <v>Hair Care</v>
      </c>
      <c r="C1607" s="4" t="s">
        <v>1786</v>
      </c>
      <c r="D1607" s="4" t="s">
        <v>580</v>
      </c>
      <c r="E1607" s="24" t="s">
        <v>125</v>
      </c>
      <c r="F1607" s="12" t="s">
        <v>219</v>
      </c>
      <c r="G1607" s="4" t="s">
        <v>1787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36</v>
      </c>
      <c r="AM1607" s="3">
        <v>0</v>
      </c>
      <c r="AN1607" s="3">
        <v>0</v>
      </c>
      <c r="AO1607" s="3">
        <v>0</v>
      </c>
      <c r="AP1607" s="3">
        <v>0</v>
      </c>
      <c r="AQ1607" s="3">
        <v>12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</row>
    <row r="1608" spans="1:49">
      <c r="A1608" s="4" t="s">
        <v>40</v>
      </c>
      <c r="B1608" s="4" t="str">
        <f t="shared" si="25"/>
        <v>Hair Care</v>
      </c>
      <c r="C1608" s="4" t="s">
        <v>1786</v>
      </c>
      <c r="D1608" s="4" t="s">
        <v>580</v>
      </c>
      <c r="E1608" s="24" t="s">
        <v>125</v>
      </c>
      <c r="F1608" s="12" t="s">
        <v>220</v>
      </c>
      <c r="G1608" s="4" t="s">
        <v>1787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24</v>
      </c>
      <c r="X1608" s="3">
        <v>0</v>
      </c>
      <c r="Y1608" s="3">
        <v>40</v>
      </c>
      <c r="Z1608" s="3">
        <v>0</v>
      </c>
      <c r="AA1608" s="3">
        <v>0</v>
      </c>
      <c r="AB1608" s="3">
        <v>3</v>
      </c>
      <c r="AC1608" s="3">
        <v>0</v>
      </c>
      <c r="AD1608" s="3">
        <v>0</v>
      </c>
      <c r="AE1608" s="3">
        <v>0</v>
      </c>
      <c r="AF1608" s="3">
        <v>12</v>
      </c>
      <c r="AG1608" s="3">
        <v>12</v>
      </c>
      <c r="AH1608" s="3">
        <v>12</v>
      </c>
      <c r="AI1608" s="3">
        <v>12</v>
      </c>
      <c r="AJ1608" s="3">
        <v>24</v>
      </c>
      <c r="AK1608" s="3">
        <v>24</v>
      </c>
      <c r="AL1608" s="3">
        <v>36</v>
      </c>
      <c r="AM1608" s="3">
        <v>12</v>
      </c>
      <c r="AN1608" s="3">
        <v>24</v>
      </c>
      <c r="AO1608" s="3">
        <v>0</v>
      </c>
      <c r="AP1608" s="3">
        <v>24</v>
      </c>
      <c r="AQ1608" s="3">
        <v>12</v>
      </c>
      <c r="AR1608" s="3">
        <v>120</v>
      </c>
      <c r="AS1608" s="3">
        <v>24</v>
      </c>
      <c r="AT1608" s="3">
        <v>0</v>
      </c>
      <c r="AU1608" s="3">
        <v>0</v>
      </c>
      <c r="AV1608" s="3">
        <v>96</v>
      </c>
      <c r="AW1608" s="3">
        <v>12</v>
      </c>
    </row>
    <row r="1609" spans="1:49">
      <c r="A1609" s="4" t="s">
        <v>40</v>
      </c>
      <c r="B1609" s="4" t="str">
        <f t="shared" si="25"/>
        <v>Hair Care</v>
      </c>
      <c r="C1609" s="4" t="s">
        <v>1786</v>
      </c>
      <c r="D1609" s="4" t="s">
        <v>580</v>
      </c>
      <c r="E1609" s="24" t="s">
        <v>125</v>
      </c>
      <c r="F1609" s="12" t="s">
        <v>221</v>
      </c>
      <c r="G1609" s="4" t="s">
        <v>1787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24</v>
      </c>
      <c r="X1609" s="3">
        <v>12</v>
      </c>
      <c r="Y1609" s="3">
        <v>6</v>
      </c>
      <c r="Z1609" s="3">
        <v>12</v>
      </c>
      <c r="AA1609" s="3">
        <v>6</v>
      </c>
      <c r="AB1609" s="3">
        <v>6</v>
      </c>
      <c r="AC1609" s="3">
        <v>-6</v>
      </c>
      <c r="AD1609" s="3">
        <v>6</v>
      </c>
      <c r="AE1609" s="3">
        <v>0</v>
      </c>
      <c r="AF1609" s="3">
        <v>18</v>
      </c>
      <c r="AG1609" s="3">
        <v>24</v>
      </c>
      <c r="AH1609" s="3">
        <v>0</v>
      </c>
      <c r="AI1609" s="3">
        <v>18</v>
      </c>
      <c r="AJ1609" s="3">
        <v>24</v>
      </c>
      <c r="AK1609" s="3">
        <v>24</v>
      </c>
      <c r="AL1609" s="3">
        <v>24</v>
      </c>
      <c r="AM1609" s="3">
        <v>0</v>
      </c>
      <c r="AN1609" s="3">
        <v>42</v>
      </c>
      <c r="AO1609" s="3">
        <v>0</v>
      </c>
      <c r="AP1609" s="3">
        <v>12</v>
      </c>
      <c r="AQ1609" s="3">
        <v>12</v>
      </c>
      <c r="AR1609" s="3">
        <v>66</v>
      </c>
      <c r="AS1609" s="3">
        <v>18</v>
      </c>
      <c r="AT1609" s="3">
        <v>138</v>
      </c>
      <c r="AU1609" s="3">
        <v>0</v>
      </c>
      <c r="AV1609" s="3">
        <v>102</v>
      </c>
      <c r="AW1609" s="3">
        <v>24</v>
      </c>
    </row>
    <row r="1610" spans="1:49">
      <c r="A1610" s="4" t="s">
        <v>40</v>
      </c>
      <c r="B1610" s="4" t="str">
        <f t="shared" si="25"/>
        <v>Hair Care</v>
      </c>
      <c r="C1610" s="4" t="s">
        <v>1786</v>
      </c>
      <c r="D1610" s="4" t="s">
        <v>580</v>
      </c>
      <c r="E1610" s="24" t="s">
        <v>125</v>
      </c>
      <c r="F1610" s="12" t="s">
        <v>222</v>
      </c>
      <c r="G1610" s="4" t="s">
        <v>1787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36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</row>
    <row r="1611" spans="1:49">
      <c r="A1611" s="4" t="s">
        <v>40</v>
      </c>
      <c r="B1611" s="4" t="str">
        <f t="shared" si="25"/>
        <v>Hair Care</v>
      </c>
      <c r="C1611" s="4" t="s">
        <v>1786</v>
      </c>
      <c r="D1611" s="4" t="s">
        <v>580</v>
      </c>
      <c r="E1611" s="24" t="s">
        <v>125</v>
      </c>
      <c r="F1611" s="12" t="s">
        <v>223</v>
      </c>
      <c r="G1611" s="4" t="s">
        <v>1787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36</v>
      </c>
      <c r="AM1611" s="3">
        <v>30</v>
      </c>
      <c r="AN1611" s="3">
        <v>0</v>
      </c>
      <c r="AO1611" s="3">
        <v>0</v>
      </c>
      <c r="AP1611" s="3">
        <v>0</v>
      </c>
      <c r="AQ1611" s="3">
        <v>0</v>
      </c>
      <c r="AR1611" s="3">
        <v>108</v>
      </c>
      <c r="AS1611" s="3">
        <v>12</v>
      </c>
      <c r="AT1611" s="3">
        <v>36</v>
      </c>
      <c r="AU1611" s="3">
        <v>12</v>
      </c>
      <c r="AV1611" s="3">
        <v>222</v>
      </c>
      <c r="AW1611" s="3">
        <v>0</v>
      </c>
    </row>
    <row r="1612" spans="1:49">
      <c r="A1612" s="4" t="s">
        <v>40</v>
      </c>
      <c r="B1612" s="4" t="str">
        <f t="shared" si="25"/>
        <v>Hair Care</v>
      </c>
      <c r="C1612" s="4" t="s">
        <v>1786</v>
      </c>
      <c r="D1612" s="4" t="s">
        <v>580</v>
      </c>
      <c r="E1612" s="24" t="s">
        <v>125</v>
      </c>
      <c r="F1612" s="12" t="s">
        <v>224</v>
      </c>
      <c r="G1612" s="4" t="s">
        <v>1787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12</v>
      </c>
      <c r="AG1612" s="3">
        <v>6</v>
      </c>
      <c r="AH1612" s="3">
        <v>6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6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</row>
    <row r="1613" spans="1:49">
      <c r="A1613" s="4" t="s">
        <v>40</v>
      </c>
      <c r="B1613" s="4" t="str">
        <f t="shared" si="25"/>
        <v>Hair Care</v>
      </c>
      <c r="C1613" s="4" t="s">
        <v>1786</v>
      </c>
      <c r="D1613" s="4" t="s">
        <v>580</v>
      </c>
      <c r="E1613" s="24" t="s">
        <v>125</v>
      </c>
      <c r="F1613" s="12" t="s">
        <v>225</v>
      </c>
      <c r="G1613" s="4" t="s">
        <v>1787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12</v>
      </c>
      <c r="AE1613" s="3">
        <v>0</v>
      </c>
      <c r="AF1613" s="3">
        <v>24</v>
      </c>
      <c r="AG1613" s="3">
        <v>48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12</v>
      </c>
      <c r="AR1613" s="3">
        <v>0</v>
      </c>
      <c r="AS1613" s="3">
        <v>12</v>
      </c>
      <c r="AT1613" s="3">
        <v>0</v>
      </c>
      <c r="AU1613" s="3">
        <v>0</v>
      </c>
      <c r="AV1613" s="3">
        <v>12</v>
      </c>
      <c r="AW1613" s="3">
        <v>0</v>
      </c>
    </row>
    <row r="1614" spans="1:49">
      <c r="A1614" s="4" t="s">
        <v>40</v>
      </c>
      <c r="B1614" s="4" t="str">
        <f t="shared" si="25"/>
        <v>Hair Care</v>
      </c>
      <c r="C1614" s="4" t="s">
        <v>1786</v>
      </c>
      <c r="D1614" s="4" t="s">
        <v>580</v>
      </c>
      <c r="E1614" s="24" t="s">
        <v>125</v>
      </c>
      <c r="F1614" s="12" t="s">
        <v>226</v>
      </c>
      <c r="G1614" s="4" t="s">
        <v>1787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12</v>
      </c>
      <c r="AE1614" s="3">
        <v>0</v>
      </c>
      <c r="AF1614" s="3">
        <v>12</v>
      </c>
      <c r="AG1614" s="3">
        <v>48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12</v>
      </c>
      <c r="AT1614" s="3">
        <v>0</v>
      </c>
      <c r="AU1614" s="3">
        <v>12</v>
      </c>
      <c r="AV1614" s="3">
        <v>12</v>
      </c>
      <c r="AW1614" s="3">
        <v>0</v>
      </c>
    </row>
    <row r="1615" spans="1:49">
      <c r="A1615" s="4" t="s">
        <v>40</v>
      </c>
      <c r="B1615" s="4" t="str">
        <f t="shared" si="25"/>
        <v>Hair Care</v>
      </c>
      <c r="C1615" s="4" t="s">
        <v>1786</v>
      </c>
      <c r="D1615" s="4" t="s">
        <v>580</v>
      </c>
      <c r="E1615" s="24" t="s">
        <v>125</v>
      </c>
      <c r="F1615" s="12" t="s">
        <v>227</v>
      </c>
      <c r="G1615" s="4" t="s">
        <v>1787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6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6</v>
      </c>
      <c r="AL1615" s="3">
        <v>6</v>
      </c>
      <c r="AM1615" s="3">
        <v>0</v>
      </c>
      <c r="AN1615" s="3">
        <v>12</v>
      </c>
      <c r="AO1615" s="3">
        <v>0</v>
      </c>
      <c r="AP1615" s="3">
        <v>0</v>
      </c>
      <c r="AQ1615" s="3">
        <v>6</v>
      </c>
      <c r="AR1615" s="3">
        <v>6</v>
      </c>
      <c r="AS1615" s="3">
        <v>12</v>
      </c>
      <c r="AT1615" s="3">
        <v>0</v>
      </c>
      <c r="AU1615" s="3">
        <v>0</v>
      </c>
      <c r="AV1615" s="3">
        <v>12</v>
      </c>
      <c r="AW1615" s="3">
        <v>24</v>
      </c>
    </row>
    <row r="1616" spans="1:49">
      <c r="A1616" s="4" t="s">
        <v>40</v>
      </c>
      <c r="B1616" s="4" t="str">
        <f t="shared" si="25"/>
        <v>Hair Care</v>
      </c>
      <c r="C1616" s="4" t="s">
        <v>1786</v>
      </c>
      <c r="D1616" s="4" t="s">
        <v>580</v>
      </c>
      <c r="E1616" s="24" t="s">
        <v>125</v>
      </c>
      <c r="F1616" s="12" t="s">
        <v>228</v>
      </c>
      <c r="G1616" s="4" t="s">
        <v>1787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6</v>
      </c>
      <c r="AE1616" s="3">
        <v>0</v>
      </c>
      <c r="AF1616" s="3">
        <v>12</v>
      </c>
      <c r="AG1616" s="3">
        <v>6</v>
      </c>
      <c r="AH1616" s="3">
        <v>0</v>
      </c>
      <c r="AI1616" s="3">
        <v>0</v>
      </c>
      <c r="AJ1616" s="3">
        <v>0</v>
      </c>
      <c r="AK1616" s="3">
        <v>0</v>
      </c>
      <c r="AL1616" s="3">
        <v>24</v>
      </c>
      <c r="AM1616" s="3">
        <v>6</v>
      </c>
      <c r="AN1616" s="3">
        <v>0</v>
      </c>
      <c r="AO1616" s="3">
        <v>0</v>
      </c>
      <c r="AP1616" s="3">
        <v>42</v>
      </c>
      <c r="AQ1616" s="3">
        <v>0</v>
      </c>
      <c r="AR1616" s="3">
        <v>6</v>
      </c>
      <c r="AS1616" s="3">
        <v>6</v>
      </c>
      <c r="AT1616" s="3">
        <v>0</v>
      </c>
      <c r="AU1616" s="3">
        <v>0</v>
      </c>
      <c r="AV1616" s="3">
        <v>0</v>
      </c>
      <c r="AW1616" s="3">
        <v>6</v>
      </c>
    </row>
    <row r="1617" spans="1:49">
      <c r="A1617" s="4" t="s">
        <v>40</v>
      </c>
      <c r="B1617" s="4" t="str">
        <f t="shared" si="25"/>
        <v>Hair Care</v>
      </c>
      <c r="C1617" s="4" t="s">
        <v>1786</v>
      </c>
      <c r="D1617" s="4" t="s">
        <v>580</v>
      </c>
      <c r="E1617" s="24" t="s">
        <v>125</v>
      </c>
      <c r="F1617" s="12" t="s">
        <v>229</v>
      </c>
      <c r="G1617" s="4" t="s">
        <v>1787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36</v>
      </c>
      <c r="AM1617" s="3">
        <v>12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12</v>
      </c>
    </row>
    <row r="1618" spans="1:49">
      <c r="A1618" s="4" t="s">
        <v>40</v>
      </c>
      <c r="B1618" s="4" t="str">
        <f t="shared" si="25"/>
        <v>Hair Care</v>
      </c>
      <c r="C1618" s="4" t="s">
        <v>1786</v>
      </c>
      <c r="D1618" s="4" t="s">
        <v>580</v>
      </c>
      <c r="E1618" s="24" t="s">
        <v>125</v>
      </c>
      <c r="F1618" s="12" t="s">
        <v>230</v>
      </c>
      <c r="G1618" s="4" t="s">
        <v>1787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36</v>
      </c>
      <c r="AM1618" s="3">
        <v>0</v>
      </c>
      <c r="AN1618" s="3">
        <v>0</v>
      </c>
      <c r="AO1618" s="3">
        <v>72</v>
      </c>
      <c r="AP1618" s="3">
        <v>0</v>
      </c>
      <c r="AQ1618" s="3">
        <v>0</v>
      </c>
      <c r="AR1618" s="3">
        <v>0</v>
      </c>
      <c r="AS1618" s="3">
        <v>24</v>
      </c>
      <c r="AT1618" s="3">
        <v>0</v>
      </c>
      <c r="AU1618" s="3">
        <v>0</v>
      </c>
      <c r="AV1618" s="3">
        <v>0</v>
      </c>
      <c r="AW1618" s="3">
        <v>0</v>
      </c>
    </row>
    <row r="1619" spans="1:49">
      <c r="A1619" s="4" t="s">
        <v>40</v>
      </c>
      <c r="B1619" s="4" t="str">
        <f t="shared" si="25"/>
        <v>Hair Care</v>
      </c>
      <c r="C1619" s="4" t="s">
        <v>1786</v>
      </c>
      <c r="D1619" s="4" t="s">
        <v>580</v>
      </c>
      <c r="E1619" s="24" t="s">
        <v>125</v>
      </c>
      <c r="F1619" s="12" t="s">
        <v>231</v>
      </c>
      <c r="G1619" s="4" t="s">
        <v>1787</v>
      </c>
      <c r="H1619" s="3">
        <v>0</v>
      </c>
      <c r="I1619" s="3">
        <v>0</v>
      </c>
      <c r="J1619" s="3">
        <v>6</v>
      </c>
      <c r="K1619" s="3">
        <v>0</v>
      </c>
      <c r="L1619" s="3">
        <v>12</v>
      </c>
      <c r="M1619" s="3">
        <v>0</v>
      </c>
      <c r="N1619" s="3">
        <v>0</v>
      </c>
      <c r="O1619" s="3">
        <v>12</v>
      </c>
      <c r="P1619" s="3">
        <v>12</v>
      </c>
      <c r="Q1619" s="3">
        <v>0</v>
      </c>
      <c r="R1619" s="3">
        <v>0</v>
      </c>
      <c r="S1619" s="3">
        <v>12</v>
      </c>
      <c r="T1619" s="3">
        <v>0</v>
      </c>
      <c r="U1619" s="3">
        <v>12</v>
      </c>
      <c r="V1619" s="3">
        <v>0</v>
      </c>
      <c r="W1619" s="3">
        <v>6</v>
      </c>
      <c r="X1619" s="3">
        <v>0</v>
      </c>
      <c r="Y1619" s="3">
        <v>6</v>
      </c>
      <c r="Z1619" s="3">
        <v>0</v>
      </c>
      <c r="AA1619" s="3">
        <v>12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6</v>
      </c>
      <c r="AL1619" s="3">
        <v>66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</row>
    <row r="1620" spans="1:49">
      <c r="A1620" s="4" t="s">
        <v>40</v>
      </c>
      <c r="B1620" s="4" t="str">
        <f t="shared" si="25"/>
        <v>Hair Care</v>
      </c>
      <c r="C1620" s="4" t="s">
        <v>1786</v>
      </c>
      <c r="D1620" s="4" t="s">
        <v>580</v>
      </c>
      <c r="E1620" s="24" t="s">
        <v>125</v>
      </c>
      <c r="F1620" s="12" t="s">
        <v>233</v>
      </c>
      <c r="G1620" s="4" t="s">
        <v>1787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36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</row>
    <row r="1621" spans="1:49">
      <c r="A1621" s="4" t="s">
        <v>40</v>
      </c>
      <c r="B1621" s="4" t="str">
        <f t="shared" si="25"/>
        <v>Hair Care</v>
      </c>
      <c r="C1621" s="4" t="s">
        <v>1786</v>
      </c>
      <c r="D1621" s="4" t="s">
        <v>580</v>
      </c>
      <c r="E1621" s="24" t="s">
        <v>125</v>
      </c>
      <c r="F1621" s="12" t="s">
        <v>234</v>
      </c>
      <c r="G1621" s="4" t="s">
        <v>1787</v>
      </c>
      <c r="H1621" s="3">
        <v>0</v>
      </c>
      <c r="I1621" s="3">
        <v>0</v>
      </c>
      <c r="J1621" s="3">
        <v>6</v>
      </c>
      <c r="K1621" s="3">
        <v>6</v>
      </c>
      <c r="L1621" s="3">
        <v>24</v>
      </c>
      <c r="M1621" s="3">
        <v>12</v>
      </c>
      <c r="N1621" s="3">
        <v>6</v>
      </c>
      <c r="O1621" s="3">
        <v>30</v>
      </c>
      <c r="P1621" s="3">
        <v>12</v>
      </c>
      <c r="Q1621" s="3">
        <v>0</v>
      </c>
      <c r="R1621" s="3">
        <v>6</v>
      </c>
      <c r="S1621" s="3">
        <v>0</v>
      </c>
      <c r="T1621" s="3">
        <v>0</v>
      </c>
      <c r="U1621" s="3">
        <v>12</v>
      </c>
      <c r="V1621" s="3">
        <v>0</v>
      </c>
      <c r="W1621" s="3">
        <v>6</v>
      </c>
      <c r="X1621" s="3">
        <v>0</v>
      </c>
      <c r="Y1621" s="3">
        <v>18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6</v>
      </c>
      <c r="AJ1621" s="3">
        <v>0</v>
      </c>
      <c r="AK1621" s="3">
        <v>0</v>
      </c>
      <c r="AL1621" s="3">
        <v>36</v>
      </c>
      <c r="AM1621" s="3">
        <v>0</v>
      </c>
      <c r="AN1621" s="3">
        <v>0</v>
      </c>
      <c r="AO1621" s="3">
        <v>0</v>
      </c>
      <c r="AP1621" s="3">
        <v>6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</row>
    <row r="1622" spans="1:49">
      <c r="A1622" s="4" t="s">
        <v>40</v>
      </c>
      <c r="B1622" s="4" t="str">
        <f t="shared" si="25"/>
        <v>Hair Care</v>
      </c>
      <c r="C1622" s="4" t="s">
        <v>1786</v>
      </c>
      <c r="D1622" s="4" t="s">
        <v>580</v>
      </c>
      <c r="E1622" s="24" t="s">
        <v>125</v>
      </c>
      <c r="F1622" s="12" t="s">
        <v>235</v>
      </c>
      <c r="G1622" s="4" t="s">
        <v>1787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3</v>
      </c>
      <c r="W1622" s="3">
        <v>0</v>
      </c>
      <c r="X1622" s="3">
        <v>12</v>
      </c>
      <c r="Y1622" s="3">
        <v>0</v>
      </c>
      <c r="Z1622" s="3">
        <v>6</v>
      </c>
      <c r="AA1622" s="3">
        <v>0</v>
      </c>
      <c r="AB1622" s="3">
        <v>6</v>
      </c>
      <c r="AC1622" s="3">
        <v>0</v>
      </c>
      <c r="AD1622" s="3">
        <v>0</v>
      </c>
      <c r="AE1622" s="3">
        <v>0</v>
      </c>
      <c r="AF1622" s="3">
        <v>12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6</v>
      </c>
      <c r="AS1622" s="3">
        <v>0</v>
      </c>
      <c r="AT1622" s="3">
        <v>0</v>
      </c>
      <c r="AU1622" s="3">
        <v>0</v>
      </c>
      <c r="AV1622" s="3">
        <v>0</v>
      </c>
      <c r="AW1622" s="3">
        <v>6</v>
      </c>
    </row>
    <row r="1623" spans="1:49">
      <c r="A1623" s="4" t="s">
        <v>40</v>
      </c>
      <c r="B1623" s="4" t="str">
        <f t="shared" si="25"/>
        <v>Hair Care</v>
      </c>
      <c r="C1623" s="4" t="s">
        <v>1786</v>
      </c>
      <c r="D1623" s="4" t="s">
        <v>580</v>
      </c>
      <c r="E1623" s="24" t="s">
        <v>125</v>
      </c>
      <c r="F1623" s="12" t="s">
        <v>236</v>
      </c>
      <c r="G1623" s="4" t="s">
        <v>1787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12</v>
      </c>
      <c r="Y1623" s="3">
        <v>0</v>
      </c>
      <c r="Z1623" s="3">
        <v>3</v>
      </c>
      <c r="AA1623" s="3">
        <v>6</v>
      </c>
      <c r="AB1623" s="3">
        <v>9</v>
      </c>
      <c r="AC1623" s="3">
        <v>-6</v>
      </c>
      <c r="AD1623" s="3">
        <v>6</v>
      </c>
      <c r="AE1623" s="3">
        <v>0</v>
      </c>
      <c r="AF1623" s="3">
        <v>12</v>
      </c>
      <c r="AG1623" s="3">
        <v>6</v>
      </c>
      <c r="AH1623" s="3">
        <v>0</v>
      </c>
      <c r="AI1623" s="3">
        <v>6</v>
      </c>
      <c r="AJ1623" s="3">
        <v>6</v>
      </c>
      <c r="AK1623" s="3">
        <v>0</v>
      </c>
      <c r="AL1623" s="3">
        <v>0</v>
      </c>
      <c r="AM1623" s="3">
        <v>0</v>
      </c>
      <c r="AN1623" s="3">
        <v>0</v>
      </c>
      <c r="AO1623" s="3">
        <v>12</v>
      </c>
      <c r="AP1623" s="3">
        <v>0</v>
      </c>
      <c r="AQ1623" s="3">
        <v>0</v>
      </c>
      <c r="AR1623" s="3">
        <v>10</v>
      </c>
      <c r="AS1623" s="3">
        <v>12</v>
      </c>
      <c r="AT1623" s="3">
        <v>0</v>
      </c>
      <c r="AU1623" s="3">
        <v>7</v>
      </c>
      <c r="AV1623" s="3">
        <v>0</v>
      </c>
      <c r="AW1623" s="3">
        <v>12</v>
      </c>
    </row>
    <row r="1624" spans="1:49">
      <c r="A1624" s="4" t="s">
        <v>40</v>
      </c>
      <c r="B1624" s="4" t="str">
        <f t="shared" si="25"/>
        <v>Hair Care</v>
      </c>
      <c r="C1624" s="4" t="s">
        <v>1786</v>
      </c>
      <c r="D1624" s="4" t="s">
        <v>580</v>
      </c>
      <c r="E1624" s="24" t="s">
        <v>125</v>
      </c>
      <c r="F1624" s="12" t="s">
        <v>237</v>
      </c>
      <c r="G1624" s="4" t="s">
        <v>1787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54</v>
      </c>
      <c r="AS1624" s="3">
        <v>18</v>
      </c>
      <c r="AT1624" s="3">
        <v>6</v>
      </c>
      <c r="AU1624" s="3">
        <v>0</v>
      </c>
      <c r="AV1624" s="3">
        <v>0</v>
      </c>
      <c r="AW1624" s="3">
        <v>6</v>
      </c>
    </row>
    <row r="1625" spans="1:49">
      <c r="A1625" s="4" t="s">
        <v>40</v>
      </c>
      <c r="B1625" s="4" t="str">
        <f t="shared" si="25"/>
        <v>Hair Care</v>
      </c>
      <c r="C1625" s="4" t="s">
        <v>1786</v>
      </c>
      <c r="D1625" s="4" t="s">
        <v>580</v>
      </c>
      <c r="E1625" s="24" t="s">
        <v>125</v>
      </c>
      <c r="F1625" s="12" t="s">
        <v>238</v>
      </c>
      <c r="G1625" s="4" t="s">
        <v>1787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60</v>
      </c>
      <c r="AP1625" s="3">
        <v>0</v>
      </c>
      <c r="AQ1625" s="3">
        <v>0</v>
      </c>
      <c r="AR1625" s="3">
        <v>54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</row>
    <row r="1626" spans="1:49">
      <c r="A1626" s="4" t="s">
        <v>40</v>
      </c>
      <c r="B1626" s="4" t="str">
        <f t="shared" si="25"/>
        <v>Hair Care</v>
      </c>
      <c r="C1626" s="4" t="s">
        <v>1786</v>
      </c>
      <c r="D1626" s="4" t="s">
        <v>580</v>
      </c>
      <c r="E1626" s="24" t="s">
        <v>125</v>
      </c>
      <c r="F1626" s="12" t="s">
        <v>239</v>
      </c>
      <c r="G1626" s="4" t="s">
        <v>1787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3</v>
      </c>
      <c r="T1626" s="3">
        <v>0</v>
      </c>
      <c r="U1626" s="3">
        <v>0</v>
      </c>
      <c r="V1626" s="3">
        <v>0</v>
      </c>
      <c r="W1626" s="3">
        <v>0</v>
      </c>
      <c r="X1626" s="3">
        <v>21</v>
      </c>
      <c r="Y1626" s="3">
        <v>12</v>
      </c>
      <c r="Z1626" s="3">
        <v>0</v>
      </c>
      <c r="AA1626" s="3">
        <v>0</v>
      </c>
      <c r="AB1626" s="3">
        <v>0</v>
      </c>
      <c r="AC1626" s="3">
        <v>0</v>
      </c>
      <c r="AD1626" s="3">
        <v>42</v>
      </c>
      <c r="AE1626" s="3">
        <v>0</v>
      </c>
      <c r="AF1626" s="3">
        <v>12</v>
      </c>
      <c r="AG1626" s="3">
        <v>0</v>
      </c>
      <c r="AH1626" s="3">
        <v>0</v>
      </c>
      <c r="AI1626" s="3">
        <v>102</v>
      </c>
      <c r="AJ1626" s="3">
        <v>0</v>
      </c>
      <c r="AK1626" s="3">
        <v>30</v>
      </c>
      <c r="AL1626" s="3">
        <v>123</v>
      </c>
      <c r="AM1626" s="3">
        <v>24</v>
      </c>
      <c r="AN1626" s="3">
        <v>51</v>
      </c>
      <c r="AO1626" s="3">
        <v>0</v>
      </c>
      <c r="AP1626" s="3">
        <v>0</v>
      </c>
      <c r="AQ1626" s="3">
        <v>102</v>
      </c>
      <c r="AR1626" s="3">
        <v>0</v>
      </c>
      <c r="AS1626" s="3">
        <v>36</v>
      </c>
      <c r="AT1626" s="3">
        <v>0</v>
      </c>
      <c r="AU1626" s="3">
        <v>51</v>
      </c>
      <c r="AV1626" s="3">
        <v>51</v>
      </c>
      <c r="AW1626" s="3">
        <v>60</v>
      </c>
    </row>
    <row r="1627" spans="1:49">
      <c r="A1627" s="4" t="s">
        <v>40</v>
      </c>
      <c r="B1627" s="4" t="str">
        <f t="shared" si="25"/>
        <v>Hair Care</v>
      </c>
      <c r="C1627" s="4" t="s">
        <v>1786</v>
      </c>
      <c r="D1627" s="4" t="s">
        <v>580</v>
      </c>
      <c r="E1627" s="24" t="s">
        <v>125</v>
      </c>
      <c r="F1627" s="12" t="s">
        <v>256</v>
      </c>
      <c r="G1627" s="4" t="s">
        <v>1787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24</v>
      </c>
      <c r="AI1627" s="3">
        <v>48</v>
      </c>
      <c r="AJ1627" s="3">
        <v>20</v>
      </c>
      <c r="AK1627" s="3">
        <v>20</v>
      </c>
      <c r="AL1627" s="3">
        <v>84</v>
      </c>
      <c r="AM1627" s="3">
        <v>40</v>
      </c>
      <c r="AN1627" s="3">
        <v>78</v>
      </c>
      <c r="AO1627" s="3">
        <v>50</v>
      </c>
      <c r="AP1627" s="3">
        <v>78</v>
      </c>
      <c r="AQ1627" s="3">
        <v>40</v>
      </c>
      <c r="AR1627" s="3">
        <v>12</v>
      </c>
      <c r="AS1627" s="3">
        <v>166</v>
      </c>
      <c r="AT1627" s="3">
        <v>-6</v>
      </c>
      <c r="AU1627" s="3">
        <v>6</v>
      </c>
      <c r="AV1627" s="3">
        <v>108</v>
      </c>
      <c r="AW1627" s="3">
        <v>12</v>
      </c>
    </row>
    <row r="1628" spans="1:49">
      <c r="A1628" s="4" t="s">
        <v>40</v>
      </c>
      <c r="B1628" s="4" t="str">
        <f t="shared" si="25"/>
        <v>Hair Care</v>
      </c>
      <c r="C1628" s="4" t="s">
        <v>1786</v>
      </c>
      <c r="D1628" s="4" t="s">
        <v>580</v>
      </c>
      <c r="E1628" s="24" t="s">
        <v>125</v>
      </c>
      <c r="F1628" s="12" t="s">
        <v>257</v>
      </c>
      <c r="G1628" s="4" t="s">
        <v>1787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24</v>
      </c>
      <c r="AL1628" s="3">
        <v>35</v>
      </c>
      <c r="AM1628" s="3">
        <v>18</v>
      </c>
      <c r="AN1628" s="3">
        <v>12</v>
      </c>
      <c r="AO1628" s="3">
        <v>0</v>
      </c>
      <c r="AP1628" s="3">
        <v>45</v>
      </c>
      <c r="AQ1628" s="3">
        <v>10</v>
      </c>
      <c r="AR1628" s="3">
        <v>0</v>
      </c>
      <c r="AS1628" s="3">
        <v>6</v>
      </c>
      <c r="AT1628" s="3">
        <v>0</v>
      </c>
      <c r="AU1628" s="3">
        <v>0</v>
      </c>
      <c r="AV1628" s="3">
        <v>10</v>
      </c>
      <c r="AW1628" s="3">
        <v>0</v>
      </c>
    </row>
    <row r="1629" spans="1:49">
      <c r="A1629" s="4" t="s">
        <v>40</v>
      </c>
      <c r="B1629" s="4" t="str">
        <f t="shared" si="25"/>
        <v>Hair Care</v>
      </c>
      <c r="C1629" s="4" t="s">
        <v>1786</v>
      </c>
      <c r="D1629" s="4" t="s">
        <v>580</v>
      </c>
      <c r="E1629" s="24" t="s">
        <v>125</v>
      </c>
      <c r="F1629" s="12" t="s">
        <v>258</v>
      </c>
      <c r="G1629" s="4" t="s">
        <v>1787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36</v>
      </c>
      <c r="AI1629" s="3">
        <v>0</v>
      </c>
      <c r="AJ1629" s="3">
        <v>0</v>
      </c>
      <c r="AK1629" s="3">
        <v>0</v>
      </c>
      <c r="AL1629" s="3">
        <v>48</v>
      </c>
      <c r="AM1629" s="3">
        <v>0</v>
      </c>
      <c r="AN1629" s="3">
        <v>24</v>
      </c>
      <c r="AO1629" s="3">
        <v>0</v>
      </c>
      <c r="AP1629" s="3">
        <v>0</v>
      </c>
      <c r="AQ1629" s="3">
        <v>12</v>
      </c>
      <c r="AR1629" s="3">
        <v>0</v>
      </c>
      <c r="AS1629" s="3">
        <v>12</v>
      </c>
      <c r="AT1629" s="3">
        <v>0</v>
      </c>
      <c r="AU1629" s="3">
        <v>0</v>
      </c>
      <c r="AV1629" s="3">
        <v>0</v>
      </c>
      <c r="AW1629" s="3">
        <v>0</v>
      </c>
    </row>
    <row r="1630" spans="1:49">
      <c r="A1630" s="4" t="s">
        <v>40</v>
      </c>
      <c r="B1630" s="4" t="str">
        <f t="shared" si="25"/>
        <v>Hair Care</v>
      </c>
      <c r="C1630" s="4" t="s">
        <v>1786</v>
      </c>
      <c r="D1630" s="4" t="s">
        <v>580</v>
      </c>
      <c r="E1630" s="24" t="s">
        <v>125</v>
      </c>
      <c r="F1630" s="12" t="s">
        <v>259</v>
      </c>
      <c r="G1630" s="4" t="s">
        <v>1787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36</v>
      </c>
      <c r="AI1630" s="3">
        <v>0</v>
      </c>
      <c r="AJ1630" s="3">
        <v>48</v>
      </c>
      <c r="AK1630" s="3">
        <v>0</v>
      </c>
      <c r="AL1630" s="3">
        <v>96</v>
      </c>
      <c r="AM1630" s="3">
        <v>48</v>
      </c>
      <c r="AN1630" s="3">
        <v>60</v>
      </c>
      <c r="AO1630" s="3">
        <v>132</v>
      </c>
      <c r="AP1630" s="3">
        <v>12</v>
      </c>
      <c r="AQ1630" s="3">
        <v>48</v>
      </c>
      <c r="AR1630" s="3">
        <v>108</v>
      </c>
      <c r="AS1630" s="3">
        <v>96</v>
      </c>
      <c r="AT1630" s="3">
        <v>0</v>
      </c>
      <c r="AU1630" s="3">
        <v>0</v>
      </c>
      <c r="AV1630" s="3">
        <v>120</v>
      </c>
      <c r="AW1630" s="3">
        <v>0</v>
      </c>
    </row>
    <row r="1631" spans="1:49">
      <c r="A1631" s="4" t="s">
        <v>40</v>
      </c>
      <c r="B1631" s="4" t="str">
        <f t="shared" si="25"/>
        <v>Hair Care</v>
      </c>
      <c r="C1631" s="4" t="s">
        <v>1786</v>
      </c>
      <c r="D1631" s="4" t="s">
        <v>580</v>
      </c>
      <c r="E1631" s="24" t="s">
        <v>125</v>
      </c>
      <c r="F1631" s="12" t="s">
        <v>260</v>
      </c>
      <c r="G1631" s="4" t="s">
        <v>1787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24</v>
      </c>
      <c r="AI1631" s="3">
        <v>0</v>
      </c>
      <c r="AJ1631" s="3">
        <v>0</v>
      </c>
      <c r="AK1631" s="3">
        <v>0</v>
      </c>
      <c r="AL1631" s="3">
        <v>42</v>
      </c>
      <c r="AM1631" s="3">
        <v>18</v>
      </c>
      <c r="AN1631" s="3">
        <v>0</v>
      </c>
      <c r="AO1631" s="3">
        <v>0</v>
      </c>
      <c r="AP1631" s="3">
        <v>42</v>
      </c>
      <c r="AQ1631" s="3">
        <v>10</v>
      </c>
      <c r="AR1631" s="3">
        <v>12</v>
      </c>
      <c r="AS1631" s="3">
        <v>6</v>
      </c>
      <c r="AT1631" s="3">
        <v>36</v>
      </c>
      <c r="AU1631" s="3">
        <v>12</v>
      </c>
      <c r="AV1631" s="3">
        <v>0</v>
      </c>
      <c r="AW1631" s="3">
        <v>0</v>
      </c>
    </row>
    <row r="1632" spans="1:49">
      <c r="A1632" s="4" t="s">
        <v>40</v>
      </c>
      <c r="B1632" s="4" t="str">
        <f t="shared" si="25"/>
        <v>Hair Care</v>
      </c>
      <c r="C1632" s="4" t="s">
        <v>1786</v>
      </c>
      <c r="D1632" s="4" t="s">
        <v>580</v>
      </c>
      <c r="E1632" s="24" t="s">
        <v>125</v>
      </c>
      <c r="F1632" s="12" t="s">
        <v>261</v>
      </c>
      <c r="G1632" s="4" t="s">
        <v>1787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24</v>
      </c>
      <c r="AM1632" s="3">
        <v>24</v>
      </c>
      <c r="AN1632" s="3">
        <v>60</v>
      </c>
      <c r="AO1632" s="3">
        <v>0</v>
      </c>
      <c r="AP1632" s="3">
        <v>0</v>
      </c>
      <c r="AQ1632" s="3">
        <v>0</v>
      </c>
      <c r="AR1632" s="3">
        <v>0</v>
      </c>
      <c r="AS1632" s="3">
        <v>6</v>
      </c>
      <c r="AT1632" s="3">
        <v>0</v>
      </c>
      <c r="AU1632" s="3">
        <v>0</v>
      </c>
      <c r="AV1632" s="3">
        <v>0</v>
      </c>
      <c r="AW1632" s="3">
        <v>0</v>
      </c>
    </row>
    <row r="1633" spans="1:49">
      <c r="A1633" s="4" t="s">
        <v>40</v>
      </c>
      <c r="B1633" s="4" t="str">
        <f t="shared" si="25"/>
        <v>Hair Care</v>
      </c>
      <c r="C1633" s="4" t="s">
        <v>1786</v>
      </c>
      <c r="D1633" s="4" t="s">
        <v>580</v>
      </c>
      <c r="E1633" s="24" t="s">
        <v>125</v>
      </c>
      <c r="F1633" s="12" t="s">
        <v>262</v>
      </c>
      <c r="G1633" s="4" t="s">
        <v>1787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60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</row>
    <row r="1634" spans="1:49">
      <c r="A1634" s="4" t="s">
        <v>40</v>
      </c>
      <c r="B1634" s="4" t="str">
        <f t="shared" si="25"/>
        <v>Hair Care</v>
      </c>
      <c r="C1634" s="4" t="s">
        <v>1786</v>
      </c>
      <c r="D1634" s="4" t="s">
        <v>580</v>
      </c>
      <c r="E1634" s="24" t="s">
        <v>125</v>
      </c>
      <c r="F1634" s="12" t="s">
        <v>263</v>
      </c>
      <c r="G1634" s="4" t="s">
        <v>1787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36</v>
      </c>
      <c r="AI1634" s="3">
        <v>0</v>
      </c>
      <c r="AJ1634" s="3">
        <v>24</v>
      </c>
      <c r="AK1634" s="3">
        <v>0</v>
      </c>
      <c r="AL1634" s="3">
        <v>48</v>
      </c>
      <c r="AM1634" s="3">
        <v>48</v>
      </c>
      <c r="AN1634" s="3">
        <v>36</v>
      </c>
      <c r="AO1634" s="3">
        <v>204</v>
      </c>
      <c r="AP1634" s="3">
        <v>48</v>
      </c>
      <c r="AQ1634" s="3">
        <v>48</v>
      </c>
      <c r="AR1634" s="3">
        <v>108</v>
      </c>
      <c r="AS1634" s="3">
        <v>36</v>
      </c>
      <c r="AT1634" s="3">
        <v>0</v>
      </c>
      <c r="AU1634" s="3">
        <v>0</v>
      </c>
      <c r="AV1634" s="3">
        <v>132</v>
      </c>
      <c r="AW1634" s="3">
        <v>0</v>
      </c>
    </row>
    <row r="1635" spans="1:49">
      <c r="A1635" s="4" t="s">
        <v>40</v>
      </c>
      <c r="B1635" s="4" t="str">
        <f t="shared" si="25"/>
        <v>Hair Care</v>
      </c>
      <c r="C1635" s="4" t="s">
        <v>1786</v>
      </c>
      <c r="D1635" s="4" t="s">
        <v>580</v>
      </c>
      <c r="E1635" s="24" t="s">
        <v>125</v>
      </c>
      <c r="F1635" s="12" t="s">
        <v>265</v>
      </c>
      <c r="G1635" s="4" t="s">
        <v>1787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12</v>
      </c>
    </row>
    <row r="1636" spans="1:49">
      <c r="A1636" s="4" t="s">
        <v>40</v>
      </c>
      <c r="B1636" s="4" t="str">
        <f t="shared" si="25"/>
        <v>Hair Care</v>
      </c>
      <c r="C1636" s="4" t="s">
        <v>1786</v>
      </c>
      <c r="D1636" s="4" t="s">
        <v>580</v>
      </c>
      <c r="E1636" s="24" t="s">
        <v>125</v>
      </c>
      <c r="F1636" s="12" t="s">
        <v>266</v>
      </c>
      <c r="G1636" s="4" t="s">
        <v>1787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12</v>
      </c>
    </row>
    <row r="1637" spans="1:49">
      <c r="A1637" s="4" t="s">
        <v>40</v>
      </c>
      <c r="B1637" s="4" t="str">
        <f t="shared" si="25"/>
        <v>Hair Care</v>
      </c>
      <c r="C1637" s="4" t="s">
        <v>1786</v>
      </c>
      <c r="D1637" s="4" t="s">
        <v>580</v>
      </c>
      <c r="E1637" s="24" t="s">
        <v>125</v>
      </c>
      <c r="F1637" s="12" t="s">
        <v>267</v>
      </c>
      <c r="G1637" s="4" t="s">
        <v>1787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12</v>
      </c>
    </row>
    <row r="1638" spans="1:49">
      <c r="A1638" s="4" t="s">
        <v>40</v>
      </c>
      <c r="B1638" s="4" t="str">
        <f t="shared" si="25"/>
        <v>Hair Care</v>
      </c>
      <c r="C1638" s="4" t="s">
        <v>1786</v>
      </c>
      <c r="D1638" s="4" t="s">
        <v>580</v>
      </c>
      <c r="E1638" s="24" t="s">
        <v>125</v>
      </c>
      <c r="F1638" s="12" t="s">
        <v>268</v>
      </c>
      <c r="G1638" s="4" t="s">
        <v>1787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12</v>
      </c>
    </row>
    <row r="1639" spans="1:49">
      <c r="A1639" s="4" t="s">
        <v>40</v>
      </c>
      <c r="B1639" s="4" t="str">
        <f t="shared" si="25"/>
        <v>Hair Care</v>
      </c>
      <c r="C1639" s="4" t="s">
        <v>1786</v>
      </c>
      <c r="D1639" s="4" t="s">
        <v>580</v>
      </c>
      <c r="E1639" s="24" t="s">
        <v>125</v>
      </c>
      <c r="F1639" s="12" t="s">
        <v>281</v>
      </c>
      <c r="G1639" s="4" t="s">
        <v>1787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6</v>
      </c>
      <c r="S1639" s="3">
        <v>0</v>
      </c>
      <c r="T1639" s="3">
        <v>0</v>
      </c>
      <c r="U1639" s="3">
        <v>0</v>
      </c>
      <c r="V1639" s="3">
        <v>0</v>
      </c>
      <c r="W1639" s="3">
        <v>6</v>
      </c>
      <c r="X1639" s="3">
        <v>0</v>
      </c>
      <c r="Y1639" s="3">
        <v>6</v>
      </c>
      <c r="Z1639" s="3">
        <v>0</v>
      </c>
      <c r="AA1639" s="3">
        <v>0</v>
      </c>
      <c r="AB1639" s="3">
        <v>0</v>
      </c>
      <c r="AC1639" s="3">
        <v>12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</row>
    <row r="1640" spans="1:49">
      <c r="A1640" s="4" t="s">
        <v>40</v>
      </c>
      <c r="B1640" s="4" t="str">
        <f t="shared" si="25"/>
        <v>Hair Care</v>
      </c>
      <c r="C1640" s="4" t="s">
        <v>1786</v>
      </c>
      <c r="D1640" s="4" t="s">
        <v>580</v>
      </c>
      <c r="E1640" s="24" t="s">
        <v>282</v>
      </c>
      <c r="F1640" s="12" t="s">
        <v>287</v>
      </c>
      <c r="G1640" s="4" t="s">
        <v>1787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6</v>
      </c>
      <c r="AH1640" s="3">
        <v>0</v>
      </c>
      <c r="AI1640" s="3">
        <v>24</v>
      </c>
      <c r="AJ1640" s="3">
        <v>0</v>
      </c>
      <c r="AK1640" s="3">
        <v>0</v>
      </c>
      <c r="AL1640" s="3">
        <v>0</v>
      </c>
      <c r="AM1640" s="3">
        <v>0</v>
      </c>
      <c r="AN1640" s="3">
        <v>30</v>
      </c>
      <c r="AO1640" s="3">
        <v>12</v>
      </c>
      <c r="AP1640" s="3">
        <v>0</v>
      </c>
      <c r="AQ1640" s="3">
        <v>0</v>
      </c>
      <c r="AR1640" s="3">
        <v>0</v>
      </c>
      <c r="AS1640" s="3">
        <v>0</v>
      </c>
      <c r="AT1640" s="3">
        <v>12</v>
      </c>
      <c r="AU1640" s="3">
        <v>0</v>
      </c>
      <c r="AV1640" s="3">
        <v>0</v>
      </c>
      <c r="AW1640" s="3">
        <v>0</v>
      </c>
    </row>
    <row r="1641" spans="1:49">
      <c r="A1641" s="4" t="s">
        <v>40</v>
      </c>
      <c r="B1641" s="4" t="str">
        <f t="shared" si="25"/>
        <v>Hair Care</v>
      </c>
      <c r="C1641" s="4" t="s">
        <v>1786</v>
      </c>
      <c r="D1641" s="4" t="s">
        <v>580</v>
      </c>
      <c r="E1641" s="24" t="s">
        <v>282</v>
      </c>
      <c r="F1641" s="12" t="s">
        <v>288</v>
      </c>
      <c r="G1641" s="4" t="s">
        <v>1787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6</v>
      </c>
      <c r="AH1641" s="3">
        <v>0</v>
      </c>
      <c r="AI1641" s="3">
        <v>24</v>
      </c>
      <c r="AJ1641" s="3">
        <v>0</v>
      </c>
      <c r="AK1641" s="3">
        <v>0</v>
      </c>
      <c r="AL1641" s="3">
        <v>0</v>
      </c>
      <c r="AM1641" s="3">
        <v>0</v>
      </c>
      <c r="AN1641" s="3">
        <v>30</v>
      </c>
      <c r="AO1641" s="3">
        <v>12</v>
      </c>
      <c r="AP1641" s="3">
        <v>0</v>
      </c>
      <c r="AQ1641" s="3">
        <v>0</v>
      </c>
      <c r="AR1641" s="3">
        <v>0</v>
      </c>
      <c r="AS1641" s="3">
        <v>24</v>
      </c>
      <c r="AT1641" s="3">
        <v>0</v>
      </c>
      <c r="AU1641" s="3">
        <v>0</v>
      </c>
      <c r="AV1641" s="3">
        <v>0</v>
      </c>
      <c r="AW1641" s="3">
        <v>0</v>
      </c>
    </row>
    <row r="1642" spans="1:49">
      <c r="A1642" s="4" t="s">
        <v>40</v>
      </c>
      <c r="B1642" s="4" t="str">
        <f t="shared" si="25"/>
        <v>Hair Care</v>
      </c>
      <c r="C1642" s="4" t="s">
        <v>1786</v>
      </c>
      <c r="D1642" s="4" t="s">
        <v>580</v>
      </c>
      <c r="E1642" s="24" t="s">
        <v>282</v>
      </c>
      <c r="F1642" s="12" t="s">
        <v>289</v>
      </c>
      <c r="G1642" s="4" t="s">
        <v>1787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12</v>
      </c>
      <c r="AH1642" s="3">
        <v>0</v>
      </c>
      <c r="AI1642" s="3">
        <v>0</v>
      </c>
      <c r="AJ1642" s="3">
        <v>6</v>
      </c>
      <c r="AK1642" s="3">
        <v>6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24</v>
      </c>
      <c r="AT1642" s="3">
        <v>0</v>
      </c>
      <c r="AU1642" s="3">
        <v>0</v>
      </c>
      <c r="AV1642" s="3">
        <v>0</v>
      </c>
      <c r="AW1642" s="3">
        <v>0</v>
      </c>
    </row>
    <row r="1643" spans="1:49">
      <c r="A1643" s="4" t="s">
        <v>40</v>
      </c>
      <c r="B1643" s="4" t="str">
        <f t="shared" si="25"/>
        <v>Hair Care</v>
      </c>
      <c r="C1643" s="4" t="s">
        <v>1786</v>
      </c>
      <c r="D1643" s="4" t="s">
        <v>580</v>
      </c>
      <c r="E1643" s="24" t="s">
        <v>282</v>
      </c>
      <c r="F1643" s="12" t="s">
        <v>290</v>
      </c>
      <c r="G1643" s="4" t="s">
        <v>1787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12</v>
      </c>
      <c r="AH1643" s="3">
        <v>0</v>
      </c>
      <c r="AI1643" s="3">
        <v>0</v>
      </c>
      <c r="AJ1643" s="3">
        <v>6</v>
      </c>
      <c r="AK1643" s="3">
        <v>6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12</v>
      </c>
      <c r="AU1643" s="3">
        <v>0</v>
      </c>
      <c r="AV1643" s="3">
        <v>0</v>
      </c>
      <c r="AW1643" s="3">
        <v>0</v>
      </c>
    </row>
    <row r="1644" spans="1:49">
      <c r="A1644" s="4" t="s">
        <v>40</v>
      </c>
      <c r="B1644" s="4" t="str">
        <f t="shared" si="25"/>
        <v>Hair Care</v>
      </c>
      <c r="C1644" s="4" t="s">
        <v>1786</v>
      </c>
      <c r="D1644" s="4" t="s">
        <v>580</v>
      </c>
      <c r="E1644" s="24" t="s">
        <v>282</v>
      </c>
      <c r="F1644" s="12" t="s">
        <v>291</v>
      </c>
      <c r="G1644" s="4" t="s">
        <v>1787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12</v>
      </c>
      <c r="AH1644" s="3">
        <v>0</v>
      </c>
      <c r="AI1644" s="3">
        <v>24</v>
      </c>
      <c r="AJ1644" s="3">
        <v>0</v>
      </c>
      <c r="AK1644" s="3">
        <v>6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12</v>
      </c>
      <c r="AU1644" s="3">
        <v>0</v>
      </c>
      <c r="AV1644" s="3">
        <v>0</v>
      </c>
      <c r="AW1644" s="3">
        <v>0</v>
      </c>
    </row>
    <row r="1645" spans="1:49">
      <c r="A1645" s="4" t="s">
        <v>40</v>
      </c>
      <c r="B1645" s="4" t="str">
        <f t="shared" si="25"/>
        <v>Hair Care</v>
      </c>
      <c r="C1645" s="4" t="s">
        <v>1786</v>
      </c>
      <c r="D1645" s="4" t="s">
        <v>580</v>
      </c>
      <c r="E1645" s="24" t="s">
        <v>282</v>
      </c>
      <c r="F1645" s="12" t="s">
        <v>292</v>
      </c>
      <c r="G1645" s="4" t="s">
        <v>1787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12</v>
      </c>
      <c r="AH1645" s="3">
        <v>0</v>
      </c>
      <c r="AI1645" s="3">
        <v>24</v>
      </c>
      <c r="AJ1645" s="3">
        <v>0</v>
      </c>
      <c r="AK1645" s="3">
        <v>6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12</v>
      </c>
      <c r="AU1645" s="3">
        <v>0</v>
      </c>
      <c r="AV1645" s="3">
        <v>0</v>
      </c>
      <c r="AW1645" s="3">
        <v>0</v>
      </c>
    </row>
    <row r="1646" spans="1:49">
      <c r="A1646" s="4" t="s">
        <v>40</v>
      </c>
      <c r="B1646" s="4" t="str">
        <f t="shared" si="25"/>
        <v>Hair Care</v>
      </c>
      <c r="C1646" s="4" t="s">
        <v>1786</v>
      </c>
      <c r="D1646" s="4" t="s">
        <v>580</v>
      </c>
      <c r="E1646" s="24" t="s">
        <v>282</v>
      </c>
      <c r="F1646" s="12" t="s">
        <v>293</v>
      </c>
      <c r="G1646" s="4" t="s">
        <v>1787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6</v>
      </c>
      <c r="AO1646" s="3">
        <v>3</v>
      </c>
      <c r="AP1646" s="3">
        <v>6</v>
      </c>
      <c r="AQ1646" s="3">
        <v>15</v>
      </c>
      <c r="AR1646" s="3">
        <v>10</v>
      </c>
      <c r="AS1646" s="3">
        <v>36</v>
      </c>
      <c r="AT1646" s="3">
        <v>0</v>
      </c>
      <c r="AU1646" s="3">
        <v>0</v>
      </c>
      <c r="AV1646" s="3">
        <v>10</v>
      </c>
      <c r="AW1646" s="3">
        <v>15</v>
      </c>
    </row>
    <row r="1647" spans="1:49">
      <c r="A1647" s="4" t="s">
        <v>40</v>
      </c>
      <c r="B1647" s="4" t="str">
        <f t="shared" si="25"/>
        <v>Hair Care</v>
      </c>
      <c r="C1647" s="4" t="s">
        <v>1786</v>
      </c>
      <c r="D1647" s="4" t="s">
        <v>580</v>
      </c>
      <c r="E1647" s="24" t="s">
        <v>282</v>
      </c>
      <c r="F1647" s="12" t="s">
        <v>294</v>
      </c>
      <c r="G1647" s="4" t="s">
        <v>1787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6</v>
      </c>
      <c r="AO1647" s="3">
        <v>3</v>
      </c>
      <c r="AP1647" s="3">
        <v>6</v>
      </c>
      <c r="AQ1647" s="3">
        <v>15</v>
      </c>
      <c r="AR1647" s="3">
        <v>10</v>
      </c>
      <c r="AS1647" s="3">
        <v>60</v>
      </c>
      <c r="AT1647" s="3">
        <v>0</v>
      </c>
      <c r="AU1647" s="3">
        <v>0</v>
      </c>
      <c r="AV1647" s="3">
        <v>0</v>
      </c>
      <c r="AW1647" s="3">
        <v>18</v>
      </c>
    </row>
    <row r="1648" spans="1:49">
      <c r="A1648" s="4" t="s">
        <v>40</v>
      </c>
      <c r="B1648" s="4" t="str">
        <f t="shared" si="25"/>
        <v>Hair Care</v>
      </c>
      <c r="C1648" s="4" t="s">
        <v>1786</v>
      </c>
      <c r="D1648" s="4" t="s">
        <v>580</v>
      </c>
      <c r="E1648" s="24" t="s">
        <v>282</v>
      </c>
      <c r="F1648" s="12" t="s">
        <v>295</v>
      </c>
      <c r="G1648" s="4" t="s">
        <v>1787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6</v>
      </c>
      <c r="AO1648" s="3">
        <v>0</v>
      </c>
      <c r="AP1648" s="3">
        <v>12</v>
      </c>
      <c r="AQ1648" s="3">
        <v>12</v>
      </c>
      <c r="AR1648" s="3">
        <v>0</v>
      </c>
      <c r="AS1648" s="3">
        <v>24</v>
      </c>
      <c r="AT1648" s="3">
        <v>0</v>
      </c>
      <c r="AU1648" s="3">
        <v>0</v>
      </c>
      <c r="AV1648" s="3">
        <v>0</v>
      </c>
      <c r="AW1648" s="3">
        <v>0</v>
      </c>
    </row>
    <row r="1649" spans="1:49">
      <c r="A1649" s="4" t="s">
        <v>40</v>
      </c>
      <c r="B1649" s="4" t="str">
        <f t="shared" si="25"/>
        <v>Hair Care</v>
      </c>
      <c r="C1649" s="4" t="s">
        <v>1786</v>
      </c>
      <c r="D1649" s="4" t="s">
        <v>580</v>
      </c>
      <c r="E1649" s="24" t="s">
        <v>282</v>
      </c>
      <c r="F1649" s="12" t="s">
        <v>296</v>
      </c>
      <c r="G1649" s="4" t="s">
        <v>1787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0</v>
      </c>
      <c r="AS1649" s="3">
        <v>24</v>
      </c>
      <c r="AT1649" s="3">
        <v>0</v>
      </c>
      <c r="AU1649" s="3">
        <v>0</v>
      </c>
      <c r="AV1649" s="3">
        <v>0</v>
      </c>
      <c r="AW1649" s="3">
        <v>0</v>
      </c>
    </row>
    <row r="1650" spans="1:49">
      <c r="A1650" s="4" t="s">
        <v>40</v>
      </c>
      <c r="B1650" s="4" t="str">
        <f t="shared" si="25"/>
        <v>Hair Care</v>
      </c>
      <c r="C1650" s="4" t="s">
        <v>1786</v>
      </c>
      <c r="D1650" s="4" t="s">
        <v>580</v>
      </c>
      <c r="E1650" s="24" t="s">
        <v>282</v>
      </c>
      <c r="F1650" s="12" t="s">
        <v>297</v>
      </c>
      <c r="G1650" s="4" t="s">
        <v>1787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51</v>
      </c>
      <c r="AQ1650" s="3">
        <v>0</v>
      </c>
      <c r="AR1650" s="3">
        <v>0</v>
      </c>
      <c r="AS1650" s="3">
        <v>12</v>
      </c>
      <c r="AT1650" s="3">
        <v>0</v>
      </c>
      <c r="AU1650" s="3">
        <v>0</v>
      </c>
      <c r="AV1650" s="3">
        <v>0</v>
      </c>
      <c r="AW1650" s="3">
        <v>0</v>
      </c>
    </row>
    <row r="1651" spans="1:49">
      <c r="A1651" s="4" t="s">
        <v>40</v>
      </c>
      <c r="B1651" s="4" t="str">
        <f t="shared" si="25"/>
        <v>Hair Care</v>
      </c>
      <c r="C1651" s="4" t="s">
        <v>1786</v>
      </c>
      <c r="D1651" s="4" t="s">
        <v>580</v>
      </c>
      <c r="E1651" s="24" t="s">
        <v>42</v>
      </c>
      <c r="F1651" s="12" t="s">
        <v>298</v>
      </c>
      <c r="G1651" s="4" t="s">
        <v>1787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22</v>
      </c>
      <c r="Z1651" s="3">
        <v>0</v>
      </c>
      <c r="AA1651" s="3">
        <v>10</v>
      </c>
      <c r="AB1651" s="3">
        <v>27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3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3</v>
      </c>
      <c r="AQ1651" s="3">
        <v>6</v>
      </c>
      <c r="AR1651" s="3">
        <v>0</v>
      </c>
      <c r="AS1651" s="3">
        <v>0</v>
      </c>
      <c r="AT1651" s="3">
        <v>0</v>
      </c>
      <c r="AU1651" s="3">
        <v>0</v>
      </c>
      <c r="AV1651" s="3">
        <v>0</v>
      </c>
      <c r="AW1651" s="3">
        <v>6</v>
      </c>
    </row>
    <row r="1652" spans="1:49">
      <c r="A1652" s="4" t="s">
        <v>40</v>
      </c>
      <c r="B1652" s="4" t="str">
        <f t="shared" si="25"/>
        <v>Hair Care</v>
      </c>
      <c r="C1652" s="4" t="s">
        <v>1786</v>
      </c>
      <c r="D1652" s="4" t="s">
        <v>580</v>
      </c>
      <c r="E1652" s="24" t="s">
        <v>42</v>
      </c>
      <c r="F1652" s="12" t="s">
        <v>299</v>
      </c>
      <c r="G1652" s="4" t="s">
        <v>1787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12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12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</row>
    <row r="1653" spans="1:49">
      <c r="A1653" s="4" t="s">
        <v>40</v>
      </c>
      <c r="B1653" s="4" t="str">
        <f t="shared" si="25"/>
        <v>Hair Care</v>
      </c>
      <c r="C1653" s="4" t="s">
        <v>1786</v>
      </c>
      <c r="D1653" s="4" t="s">
        <v>580</v>
      </c>
      <c r="E1653" s="24" t="s">
        <v>42</v>
      </c>
      <c r="F1653" s="12" t="s">
        <v>300</v>
      </c>
      <c r="G1653" s="4" t="s">
        <v>1787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12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</row>
    <row r="1654" spans="1:49">
      <c r="A1654" s="4" t="s">
        <v>40</v>
      </c>
      <c r="B1654" s="4" t="str">
        <f t="shared" si="25"/>
        <v>Hair Care</v>
      </c>
      <c r="C1654" s="4" t="s">
        <v>1786</v>
      </c>
      <c r="D1654" s="4" t="s">
        <v>580</v>
      </c>
      <c r="E1654" s="24" t="s">
        <v>42</v>
      </c>
      <c r="F1654" s="12" t="s">
        <v>301</v>
      </c>
      <c r="G1654" s="4" t="s">
        <v>1787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12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12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</row>
    <row r="1655" spans="1:49">
      <c r="A1655" s="4" t="s">
        <v>40</v>
      </c>
      <c r="B1655" s="4" t="str">
        <f t="shared" si="25"/>
        <v>Hair Care</v>
      </c>
      <c r="C1655" s="4" t="s">
        <v>1786</v>
      </c>
      <c r="D1655" s="4" t="s">
        <v>580</v>
      </c>
      <c r="E1655" s="24" t="s">
        <v>42</v>
      </c>
      <c r="F1655" s="12" t="s">
        <v>302</v>
      </c>
      <c r="G1655" s="4" t="s">
        <v>1787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12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</row>
    <row r="1656" spans="1:49">
      <c r="A1656" s="4" t="s">
        <v>40</v>
      </c>
      <c r="B1656" s="4" t="str">
        <f t="shared" si="25"/>
        <v>Hair Care</v>
      </c>
      <c r="C1656" s="4" t="s">
        <v>1786</v>
      </c>
      <c r="D1656" s="4" t="s">
        <v>580</v>
      </c>
      <c r="E1656" s="24" t="s">
        <v>42</v>
      </c>
      <c r="F1656" s="12" t="s">
        <v>303</v>
      </c>
      <c r="G1656" s="4" t="s">
        <v>1787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12</v>
      </c>
      <c r="V1656" s="3">
        <v>0</v>
      </c>
      <c r="W1656" s="3">
        <v>0</v>
      </c>
      <c r="X1656" s="3">
        <v>0</v>
      </c>
      <c r="Y1656" s="3">
        <v>0</v>
      </c>
      <c r="Z1656" s="3">
        <v>12</v>
      </c>
      <c r="AA1656" s="3">
        <v>0</v>
      </c>
      <c r="AB1656" s="3">
        <v>12</v>
      </c>
      <c r="AC1656" s="3">
        <v>0</v>
      </c>
      <c r="AD1656" s="3">
        <v>0</v>
      </c>
      <c r="AE1656" s="3">
        <v>0</v>
      </c>
      <c r="AF1656" s="3">
        <v>0</v>
      </c>
      <c r="AG1656" s="3">
        <v>12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12</v>
      </c>
      <c r="AP1656" s="3">
        <v>0</v>
      </c>
      <c r="AQ1656" s="3">
        <v>0</v>
      </c>
      <c r="AR1656" s="3">
        <v>0</v>
      </c>
      <c r="AS1656" s="3">
        <v>0</v>
      </c>
      <c r="AT1656" s="3">
        <v>12</v>
      </c>
      <c r="AU1656" s="3">
        <v>0</v>
      </c>
      <c r="AV1656" s="3">
        <v>0</v>
      </c>
      <c r="AW1656" s="3">
        <v>0</v>
      </c>
    </row>
    <row r="1657" spans="1:49">
      <c r="A1657" s="4" t="s">
        <v>40</v>
      </c>
      <c r="B1657" s="4" t="str">
        <f t="shared" si="25"/>
        <v>Hair Care</v>
      </c>
      <c r="C1657" s="4" t="s">
        <v>1786</v>
      </c>
      <c r="D1657" s="4" t="s">
        <v>580</v>
      </c>
      <c r="E1657" s="24" t="s">
        <v>42</v>
      </c>
      <c r="F1657" s="12" t="s">
        <v>304</v>
      </c>
      <c r="G1657" s="4" t="s">
        <v>1787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12</v>
      </c>
      <c r="V1657" s="3">
        <v>0</v>
      </c>
      <c r="W1657" s="3">
        <v>0</v>
      </c>
      <c r="X1657" s="3">
        <v>0</v>
      </c>
      <c r="Y1657" s="3">
        <v>0</v>
      </c>
      <c r="Z1657" s="3">
        <v>12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12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12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</row>
    <row r="1658" spans="1:49">
      <c r="A1658" s="4" t="s">
        <v>40</v>
      </c>
      <c r="B1658" s="4" t="str">
        <f t="shared" si="25"/>
        <v>Hair Care</v>
      </c>
      <c r="C1658" s="4" t="s">
        <v>1786</v>
      </c>
      <c r="D1658" s="4" t="s">
        <v>580</v>
      </c>
      <c r="E1658" s="24" t="s">
        <v>42</v>
      </c>
      <c r="F1658" s="12" t="s">
        <v>305</v>
      </c>
      <c r="G1658" s="4" t="s">
        <v>1787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12</v>
      </c>
      <c r="V1658" s="3">
        <v>0</v>
      </c>
      <c r="W1658" s="3">
        <v>0</v>
      </c>
      <c r="X1658" s="3">
        <v>0</v>
      </c>
      <c r="Y1658" s="3">
        <v>0</v>
      </c>
      <c r="Z1658" s="3">
        <v>12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24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12</v>
      </c>
      <c r="AQ1658" s="3">
        <v>0</v>
      </c>
      <c r="AR1658" s="3">
        <v>12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</row>
    <row r="1659" spans="1:49">
      <c r="A1659" s="4" t="s">
        <v>40</v>
      </c>
      <c r="B1659" s="4" t="str">
        <f t="shared" si="25"/>
        <v>Hair Care</v>
      </c>
      <c r="C1659" s="4" t="s">
        <v>1786</v>
      </c>
      <c r="D1659" s="4" t="s">
        <v>580</v>
      </c>
      <c r="E1659" s="24" t="s">
        <v>42</v>
      </c>
      <c r="F1659" s="12" t="s">
        <v>306</v>
      </c>
      <c r="G1659" s="4" t="s">
        <v>1787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6</v>
      </c>
      <c r="O1659" s="3">
        <v>6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6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5</v>
      </c>
      <c r="AB1659" s="3">
        <v>0</v>
      </c>
      <c r="AC1659" s="3">
        <v>4</v>
      </c>
      <c r="AD1659" s="3">
        <v>0</v>
      </c>
      <c r="AE1659" s="3">
        <v>0</v>
      </c>
      <c r="AF1659" s="3">
        <v>9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3</v>
      </c>
      <c r="AN1659" s="3">
        <v>0</v>
      </c>
      <c r="AO1659" s="3">
        <v>0</v>
      </c>
      <c r="AP1659" s="3">
        <v>0</v>
      </c>
      <c r="AQ1659" s="3">
        <v>0</v>
      </c>
      <c r="AR1659" s="3">
        <v>3</v>
      </c>
      <c r="AS1659" s="3">
        <v>6</v>
      </c>
      <c r="AT1659" s="3">
        <v>0</v>
      </c>
      <c r="AU1659" s="3">
        <v>0</v>
      </c>
      <c r="AV1659" s="3">
        <v>0</v>
      </c>
      <c r="AW1659" s="3">
        <v>0</v>
      </c>
    </row>
    <row r="1660" spans="1:49">
      <c r="A1660" s="4" t="s">
        <v>40</v>
      </c>
      <c r="B1660" s="4" t="str">
        <f t="shared" si="25"/>
        <v>Hair Care</v>
      </c>
      <c r="C1660" s="4" t="s">
        <v>1786</v>
      </c>
      <c r="D1660" s="4" t="s">
        <v>580</v>
      </c>
      <c r="E1660" s="24" t="s">
        <v>42</v>
      </c>
      <c r="F1660" s="12" t="s">
        <v>307</v>
      </c>
      <c r="G1660" s="4" t="s">
        <v>1787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12</v>
      </c>
      <c r="O1660" s="3">
        <v>0</v>
      </c>
      <c r="P1660" s="3">
        <v>0</v>
      </c>
      <c r="Q1660" s="3">
        <v>0</v>
      </c>
      <c r="R1660" s="3">
        <v>1</v>
      </c>
      <c r="S1660" s="3">
        <v>6</v>
      </c>
      <c r="T1660" s="3">
        <v>6</v>
      </c>
      <c r="U1660" s="3">
        <v>9</v>
      </c>
      <c r="V1660" s="3">
        <v>0</v>
      </c>
      <c r="W1660" s="3">
        <v>6</v>
      </c>
      <c r="X1660" s="3">
        <v>0</v>
      </c>
      <c r="Y1660" s="3">
        <v>0</v>
      </c>
      <c r="Z1660" s="3">
        <v>12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</row>
    <row r="1661" spans="1:49">
      <c r="A1661" s="4" t="s">
        <v>40</v>
      </c>
      <c r="B1661" s="4" t="str">
        <f t="shared" si="25"/>
        <v>Hair Care</v>
      </c>
      <c r="C1661" s="4" t="s">
        <v>1786</v>
      </c>
      <c r="D1661" s="4" t="s">
        <v>580</v>
      </c>
      <c r="E1661" s="24" t="s">
        <v>42</v>
      </c>
      <c r="F1661" s="12" t="s">
        <v>308</v>
      </c>
      <c r="G1661" s="4" t="s">
        <v>1787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12</v>
      </c>
      <c r="V1661" s="3">
        <v>0</v>
      </c>
      <c r="W1661" s="3">
        <v>0</v>
      </c>
      <c r="X1661" s="3">
        <v>6</v>
      </c>
      <c r="Y1661" s="3">
        <v>12</v>
      </c>
      <c r="Z1661" s="3">
        <v>12</v>
      </c>
      <c r="AA1661" s="3">
        <v>0</v>
      </c>
      <c r="AB1661" s="3">
        <v>12</v>
      </c>
      <c r="AC1661" s="3">
        <v>0</v>
      </c>
      <c r="AD1661" s="3">
        <v>6</v>
      </c>
      <c r="AE1661" s="3">
        <v>0</v>
      </c>
      <c r="AF1661" s="3">
        <v>18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6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</row>
    <row r="1662" spans="1:49">
      <c r="A1662" s="4" t="s">
        <v>40</v>
      </c>
      <c r="B1662" s="4" t="str">
        <f t="shared" si="25"/>
        <v>Hair Care</v>
      </c>
      <c r="C1662" s="4" t="s">
        <v>1786</v>
      </c>
      <c r="D1662" s="4" t="s">
        <v>580</v>
      </c>
      <c r="E1662" s="24" t="s">
        <v>42</v>
      </c>
      <c r="F1662" s="12" t="s">
        <v>309</v>
      </c>
      <c r="G1662" s="4" t="s">
        <v>1787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12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12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12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12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</row>
    <row r="1663" spans="1:49">
      <c r="A1663" s="4" t="s">
        <v>40</v>
      </c>
      <c r="B1663" s="4" t="str">
        <f t="shared" si="25"/>
        <v>Hair Care</v>
      </c>
      <c r="C1663" s="4" t="s">
        <v>1786</v>
      </c>
      <c r="D1663" s="4" t="s">
        <v>580</v>
      </c>
      <c r="E1663" s="24" t="s">
        <v>42</v>
      </c>
      <c r="F1663" s="12" t="s">
        <v>311</v>
      </c>
      <c r="G1663" s="4" t="s">
        <v>1787</v>
      </c>
      <c r="H1663" s="3">
        <v>0</v>
      </c>
      <c r="I1663" s="3">
        <v>6</v>
      </c>
      <c r="J1663" s="3">
        <v>0</v>
      </c>
      <c r="K1663" s="3">
        <v>0</v>
      </c>
      <c r="L1663" s="3">
        <v>0</v>
      </c>
      <c r="M1663" s="3">
        <v>0</v>
      </c>
      <c r="N1663" s="3">
        <v>12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12</v>
      </c>
      <c r="Z1663" s="3">
        <v>0</v>
      </c>
      <c r="AA1663" s="3">
        <v>0</v>
      </c>
      <c r="AB1663" s="3">
        <v>6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>
        <v>0</v>
      </c>
      <c r="AU1663" s="3">
        <v>0</v>
      </c>
      <c r="AV1663" s="3">
        <v>0</v>
      </c>
      <c r="AW1663" s="3">
        <v>0</v>
      </c>
    </row>
    <row r="1664" spans="1:49">
      <c r="A1664" s="4" t="s">
        <v>40</v>
      </c>
      <c r="B1664" s="4" t="str">
        <f t="shared" si="25"/>
        <v>Hair Care</v>
      </c>
      <c r="C1664" s="4" t="s">
        <v>1786</v>
      </c>
      <c r="D1664" s="4" t="s">
        <v>580</v>
      </c>
      <c r="E1664" s="24" t="s">
        <v>42</v>
      </c>
      <c r="F1664" s="12" t="s">
        <v>313</v>
      </c>
      <c r="G1664" s="4" t="s">
        <v>1787</v>
      </c>
      <c r="H1664" s="3">
        <v>0</v>
      </c>
      <c r="I1664" s="3">
        <v>6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6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12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</row>
    <row r="1665" spans="1:49">
      <c r="A1665" s="4" t="s">
        <v>40</v>
      </c>
      <c r="B1665" s="4" t="str">
        <f t="shared" si="25"/>
        <v>Hair Care</v>
      </c>
      <c r="C1665" s="4" t="s">
        <v>1786</v>
      </c>
      <c r="D1665" s="4" t="s">
        <v>580</v>
      </c>
      <c r="E1665" s="24" t="s">
        <v>42</v>
      </c>
      <c r="F1665" s="12" t="s">
        <v>314</v>
      </c>
      <c r="G1665" s="4" t="s">
        <v>1787</v>
      </c>
      <c r="H1665" s="3">
        <v>0</v>
      </c>
      <c r="I1665" s="3">
        <v>6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6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12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</row>
    <row r="1666" spans="1:49">
      <c r="A1666" s="4" t="s">
        <v>40</v>
      </c>
      <c r="B1666" s="4" t="str">
        <f t="shared" si="25"/>
        <v>Hair Care</v>
      </c>
      <c r="C1666" s="4" t="s">
        <v>1786</v>
      </c>
      <c r="D1666" s="4" t="s">
        <v>580</v>
      </c>
      <c r="E1666" s="24" t="s">
        <v>42</v>
      </c>
      <c r="F1666" s="12" t="s">
        <v>318</v>
      </c>
      <c r="G1666" s="4" t="s">
        <v>1787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12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</row>
    <row r="1667" spans="1:49">
      <c r="A1667" s="4" t="s">
        <v>40</v>
      </c>
      <c r="B1667" s="4" t="str">
        <f t="shared" ref="B1667:B1728" si="26">A1667</f>
        <v>Hair Care</v>
      </c>
      <c r="C1667" s="4" t="s">
        <v>1786</v>
      </c>
      <c r="D1667" s="4" t="s">
        <v>580</v>
      </c>
      <c r="E1667" s="24" t="s">
        <v>42</v>
      </c>
      <c r="F1667" s="12" t="s">
        <v>325</v>
      </c>
      <c r="G1667" s="4" t="s">
        <v>1787</v>
      </c>
      <c r="H1667" s="3">
        <v>0</v>
      </c>
      <c r="I1667" s="3">
        <v>6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6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  <c r="AT1667" s="3">
        <v>0</v>
      </c>
      <c r="AU1667" s="3">
        <v>0</v>
      </c>
      <c r="AV1667" s="3">
        <v>0</v>
      </c>
      <c r="AW1667" s="3">
        <v>0</v>
      </c>
    </row>
    <row r="1668" spans="1:49">
      <c r="A1668" s="4" t="s">
        <v>40</v>
      </c>
      <c r="B1668" s="4" t="str">
        <f t="shared" si="26"/>
        <v>Hair Care</v>
      </c>
      <c r="C1668" s="4" t="s">
        <v>1786</v>
      </c>
      <c r="D1668" s="4" t="s">
        <v>580</v>
      </c>
      <c r="E1668" s="24" t="s">
        <v>42</v>
      </c>
      <c r="F1668" s="12" t="s">
        <v>326</v>
      </c>
      <c r="G1668" s="4" t="s">
        <v>1787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18</v>
      </c>
      <c r="N1668" s="3">
        <v>0</v>
      </c>
      <c r="O1668" s="3">
        <v>0</v>
      </c>
      <c r="P1668" s="3">
        <v>12</v>
      </c>
      <c r="Q1668" s="3">
        <v>12</v>
      </c>
      <c r="R1668" s="3">
        <v>0</v>
      </c>
      <c r="S1668" s="3">
        <v>0</v>
      </c>
      <c r="T1668" s="3">
        <v>6</v>
      </c>
      <c r="U1668" s="3">
        <v>24</v>
      </c>
      <c r="V1668" s="3">
        <v>0</v>
      </c>
      <c r="W1668" s="3">
        <v>30</v>
      </c>
      <c r="X1668" s="3">
        <v>6</v>
      </c>
      <c r="Y1668" s="3">
        <v>0</v>
      </c>
      <c r="Z1668" s="3">
        <v>18</v>
      </c>
      <c r="AA1668" s="3">
        <v>0</v>
      </c>
      <c r="AB1668" s="3">
        <v>12</v>
      </c>
      <c r="AC1668" s="3">
        <v>6</v>
      </c>
      <c r="AD1668" s="3">
        <v>12</v>
      </c>
      <c r="AE1668" s="3">
        <v>0</v>
      </c>
      <c r="AF1668" s="3">
        <v>18</v>
      </c>
      <c r="AG1668" s="3">
        <v>0</v>
      </c>
      <c r="AH1668" s="3">
        <v>0</v>
      </c>
      <c r="AI1668" s="3">
        <v>0</v>
      </c>
      <c r="AJ1668" s="3">
        <v>12</v>
      </c>
      <c r="AK1668" s="3">
        <v>6</v>
      </c>
      <c r="AL1668" s="3">
        <v>54</v>
      </c>
      <c r="AM1668" s="3">
        <v>6</v>
      </c>
      <c r="AN1668" s="3">
        <v>6</v>
      </c>
      <c r="AO1668" s="3">
        <v>6</v>
      </c>
      <c r="AP1668" s="3">
        <v>0</v>
      </c>
      <c r="AQ1668" s="3">
        <v>6</v>
      </c>
      <c r="AR1668" s="3">
        <v>6</v>
      </c>
      <c r="AS1668" s="3">
        <v>12</v>
      </c>
      <c r="AT1668" s="3">
        <v>0</v>
      </c>
      <c r="AU1668" s="3">
        <v>0</v>
      </c>
      <c r="AV1668" s="3">
        <v>18</v>
      </c>
      <c r="AW1668" s="3">
        <v>6</v>
      </c>
    </row>
    <row r="1669" spans="1:49">
      <c r="A1669" s="4" t="s">
        <v>40</v>
      </c>
      <c r="B1669" s="4" t="str">
        <f t="shared" si="26"/>
        <v>Hair Care</v>
      </c>
      <c r="C1669" s="4" t="s">
        <v>1786</v>
      </c>
      <c r="D1669" s="4" t="s">
        <v>580</v>
      </c>
      <c r="E1669" s="24" t="s">
        <v>42</v>
      </c>
      <c r="F1669" s="12" t="s">
        <v>328</v>
      </c>
      <c r="G1669" s="4" t="s">
        <v>1787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12</v>
      </c>
      <c r="N1669" s="3">
        <v>0</v>
      </c>
      <c r="O1669" s="3">
        <v>0</v>
      </c>
      <c r="P1669" s="3">
        <v>6</v>
      </c>
      <c r="Q1669" s="3">
        <v>12</v>
      </c>
      <c r="R1669" s="3">
        <v>0</v>
      </c>
      <c r="S1669" s="3">
        <v>0</v>
      </c>
      <c r="T1669" s="3">
        <v>6</v>
      </c>
      <c r="U1669" s="3">
        <v>30</v>
      </c>
      <c r="V1669" s="3">
        <v>0</v>
      </c>
      <c r="W1669" s="3">
        <v>12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6</v>
      </c>
      <c r="AG1669" s="3">
        <v>0</v>
      </c>
      <c r="AH1669" s="3">
        <v>0</v>
      </c>
      <c r="AI1669" s="3">
        <v>0</v>
      </c>
      <c r="AJ1669" s="3">
        <v>6</v>
      </c>
      <c r="AK1669" s="3">
        <v>6</v>
      </c>
      <c r="AL1669" s="3">
        <v>0</v>
      </c>
      <c r="AM1669" s="3">
        <v>36</v>
      </c>
      <c r="AN1669" s="3">
        <v>6</v>
      </c>
      <c r="AO1669" s="3">
        <v>0</v>
      </c>
      <c r="AP1669" s="3">
        <v>48</v>
      </c>
      <c r="AQ1669" s="3">
        <v>18</v>
      </c>
      <c r="AR1669" s="3">
        <v>0</v>
      </c>
      <c r="AS1669" s="3">
        <v>12</v>
      </c>
      <c r="AT1669" s="3">
        <v>0</v>
      </c>
      <c r="AU1669" s="3">
        <v>6</v>
      </c>
      <c r="AV1669" s="3">
        <v>12</v>
      </c>
      <c r="AW1669" s="3">
        <v>0</v>
      </c>
    </row>
    <row r="1670" spans="1:49">
      <c r="A1670" s="4" t="s">
        <v>40</v>
      </c>
      <c r="B1670" s="4" t="str">
        <f t="shared" si="26"/>
        <v>Hair Care</v>
      </c>
      <c r="C1670" s="4" t="s">
        <v>1786</v>
      </c>
      <c r="D1670" s="4" t="s">
        <v>580</v>
      </c>
      <c r="E1670" s="24" t="s">
        <v>42</v>
      </c>
      <c r="F1670" s="12" t="s">
        <v>329</v>
      </c>
      <c r="G1670" s="4" t="s">
        <v>1787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6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</row>
    <row r="1671" spans="1:49">
      <c r="A1671" s="4" t="s">
        <v>40</v>
      </c>
      <c r="B1671" s="4" t="str">
        <f t="shared" si="26"/>
        <v>Hair Care</v>
      </c>
      <c r="C1671" s="4" t="s">
        <v>1786</v>
      </c>
      <c r="D1671" s="4" t="s">
        <v>580</v>
      </c>
      <c r="E1671" s="24" t="s">
        <v>42</v>
      </c>
      <c r="F1671" s="12" t="s">
        <v>333</v>
      </c>
      <c r="G1671" s="4" t="s">
        <v>1787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6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3">
        <v>0</v>
      </c>
    </row>
    <row r="1672" spans="1:49">
      <c r="A1672" s="4" t="s">
        <v>40</v>
      </c>
      <c r="B1672" s="4" t="str">
        <f t="shared" si="26"/>
        <v>Hair Care</v>
      </c>
      <c r="C1672" s="4" t="s">
        <v>1786</v>
      </c>
      <c r="D1672" s="4" t="s">
        <v>580</v>
      </c>
      <c r="E1672" s="24" t="s">
        <v>42</v>
      </c>
      <c r="F1672" s="12" t="s">
        <v>334</v>
      </c>
      <c r="G1672" s="4" t="s">
        <v>1787</v>
      </c>
      <c r="H1672" s="3">
        <v>36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12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6</v>
      </c>
      <c r="U1672" s="3">
        <v>18</v>
      </c>
      <c r="V1672" s="3">
        <v>0</v>
      </c>
      <c r="W1672" s="3">
        <v>6</v>
      </c>
      <c r="X1672" s="3">
        <v>12</v>
      </c>
      <c r="Y1672" s="3">
        <v>6</v>
      </c>
      <c r="Z1672" s="3">
        <v>12</v>
      </c>
      <c r="AA1672" s="3">
        <v>0</v>
      </c>
      <c r="AB1672" s="3">
        <v>6</v>
      </c>
      <c r="AC1672" s="3">
        <v>0</v>
      </c>
      <c r="AD1672" s="3">
        <v>0</v>
      </c>
      <c r="AE1672" s="3">
        <v>0</v>
      </c>
      <c r="AF1672" s="3">
        <v>18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48</v>
      </c>
      <c r="AM1672" s="3">
        <v>6</v>
      </c>
      <c r="AN1672" s="3">
        <v>0</v>
      </c>
      <c r="AO1672" s="3">
        <v>6</v>
      </c>
      <c r="AP1672" s="3">
        <v>48</v>
      </c>
      <c r="AQ1672" s="3">
        <v>6</v>
      </c>
      <c r="AR1672" s="3">
        <v>6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</row>
    <row r="1673" spans="1:49">
      <c r="A1673" s="4" t="s">
        <v>40</v>
      </c>
      <c r="B1673" s="4" t="str">
        <f t="shared" si="26"/>
        <v>Hair Care</v>
      </c>
      <c r="C1673" s="4" t="s">
        <v>1786</v>
      </c>
      <c r="D1673" s="4" t="s">
        <v>580</v>
      </c>
      <c r="E1673" s="24" t="s">
        <v>42</v>
      </c>
      <c r="F1673" s="12" t="s">
        <v>337</v>
      </c>
      <c r="G1673" s="4" t="s">
        <v>1787</v>
      </c>
      <c r="H1673" s="3">
        <v>12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</row>
    <row r="1674" spans="1:49">
      <c r="A1674" s="4" t="s">
        <v>40</v>
      </c>
      <c r="B1674" s="4" t="str">
        <f t="shared" si="26"/>
        <v>Hair Care</v>
      </c>
      <c r="C1674" s="4" t="s">
        <v>1786</v>
      </c>
      <c r="D1674" s="4" t="s">
        <v>580</v>
      </c>
      <c r="E1674" s="24" t="s">
        <v>42</v>
      </c>
      <c r="F1674" s="12" t="s">
        <v>338</v>
      </c>
      <c r="G1674" s="4" t="s">
        <v>1787</v>
      </c>
      <c r="H1674" s="3">
        <v>12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</row>
    <row r="1675" spans="1:49">
      <c r="A1675" s="4" t="s">
        <v>40</v>
      </c>
      <c r="B1675" s="4" t="str">
        <f t="shared" si="26"/>
        <v>Hair Care</v>
      </c>
      <c r="C1675" s="4" t="s">
        <v>1786</v>
      </c>
      <c r="D1675" s="4" t="s">
        <v>580</v>
      </c>
      <c r="E1675" s="24" t="s">
        <v>42</v>
      </c>
      <c r="F1675" s="12" t="s">
        <v>339</v>
      </c>
      <c r="G1675" s="4" t="s">
        <v>1787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12</v>
      </c>
      <c r="T1675" s="3">
        <v>0</v>
      </c>
      <c r="U1675" s="3">
        <v>12</v>
      </c>
      <c r="V1675" s="3">
        <v>0</v>
      </c>
      <c r="W1675" s="3">
        <v>0</v>
      </c>
      <c r="X1675" s="3">
        <v>0</v>
      </c>
      <c r="Y1675" s="3">
        <v>12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12</v>
      </c>
      <c r="AG1675" s="3">
        <v>0</v>
      </c>
      <c r="AH1675" s="3">
        <v>0</v>
      </c>
      <c r="AI1675" s="3">
        <v>0</v>
      </c>
      <c r="AJ1675" s="3">
        <v>0</v>
      </c>
      <c r="AK1675" s="3">
        <v>12</v>
      </c>
      <c r="AL1675" s="3">
        <v>0</v>
      </c>
      <c r="AM1675" s="3">
        <v>12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12</v>
      </c>
      <c r="AT1675" s="3">
        <v>0</v>
      </c>
      <c r="AU1675" s="3">
        <v>0</v>
      </c>
      <c r="AV1675" s="3">
        <v>0</v>
      </c>
      <c r="AW1675" s="3">
        <v>0</v>
      </c>
    </row>
    <row r="1676" spans="1:49">
      <c r="A1676" s="4" t="s">
        <v>40</v>
      </c>
      <c r="B1676" s="4" t="str">
        <f t="shared" si="26"/>
        <v>Hair Care</v>
      </c>
      <c r="C1676" s="4" t="s">
        <v>1786</v>
      </c>
      <c r="D1676" s="4" t="s">
        <v>580</v>
      </c>
      <c r="E1676" s="24" t="s">
        <v>42</v>
      </c>
      <c r="F1676" s="12" t="s">
        <v>340</v>
      </c>
      <c r="G1676" s="4" t="s">
        <v>1787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12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12</v>
      </c>
      <c r="V1676" s="3">
        <v>0</v>
      </c>
      <c r="W1676" s="3">
        <v>0</v>
      </c>
      <c r="X1676" s="3">
        <v>0</v>
      </c>
      <c r="Y1676" s="3">
        <v>12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12</v>
      </c>
      <c r="AH1676" s="3">
        <v>0</v>
      </c>
      <c r="AI1676" s="3">
        <v>0</v>
      </c>
      <c r="AJ1676" s="3">
        <v>0</v>
      </c>
      <c r="AK1676" s="3">
        <v>0</v>
      </c>
      <c r="AL1676" s="3">
        <v>12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12</v>
      </c>
      <c r="AU1676" s="3">
        <v>0</v>
      </c>
      <c r="AV1676" s="3">
        <v>0</v>
      </c>
      <c r="AW1676" s="3">
        <v>0</v>
      </c>
    </row>
    <row r="1677" spans="1:49">
      <c r="A1677" s="4" t="s">
        <v>40</v>
      </c>
      <c r="B1677" s="4" t="str">
        <f t="shared" si="26"/>
        <v>Hair Care</v>
      </c>
      <c r="C1677" s="4" t="s">
        <v>1786</v>
      </c>
      <c r="D1677" s="4" t="s">
        <v>580</v>
      </c>
      <c r="E1677" s="24" t="s">
        <v>42</v>
      </c>
      <c r="F1677" s="12" t="s">
        <v>341</v>
      </c>
      <c r="G1677" s="4" t="s">
        <v>1787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12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  <c r="AR1677" s="3">
        <v>12</v>
      </c>
      <c r="AS1677" s="3">
        <v>0</v>
      </c>
      <c r="AT1677" s="3">
        <v>0</v>
      </c>
      <c r="AU1677" s="3">
        <v>0</v>
      </c>
      <c r="AV1677" s="3">
        <v>0</v>
      </c>
      <c r="AW1677" s="3">
        <v>0</v>
      </c>
    </row>
    <row r="1678" spans="1:49">
      <c r="A1678" s="4" t="s">
        <v>40</v>
      </c>
      <c r="B1678" s="4" t="str">
        <f t="shared" si="26"/>
        <v>Hair Care</v>
      </c>
      <c r="C1678" s="4" t="s">
        <v>1786</v>
      </c>
      <c r="D1678" s="4" t="s">
        <v>580</v>
      </c>
      <c r="E1678" s="24" t="s">
        <v>42</v>
      </c>
      <c r="F1678" s="12" t="s">
        <v>342</v>
      </c>
      <c r="G1678" s="4" t="s">
        <v>1787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12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12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12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</row>
    <row r="1679" spans="1:49">
      <c r="A1679" s="4" t="s">
        <v>40</v>
      </c>
      <c r="B1679" s="4" t="str">
        <f t="shared" si="26"/>
        <v>Hair Care</v>
      </c>
      <c r="C1679" s="4" t="s">
        <v>1786</v>
      </c>
      <c r="D1679" s="4" t="s">
        <v>580</v>
      </c>
      <c r="E1679" s="24" t="s">
        <v>42</v>
      </c>
      <c r="F1679" s="12" t="s">
        <v>343</v>
      </c>
      <c r="G1679" s="4" t="s">
        <v>1787</v>
      </c>
      <c r="H1679" s="3">
        <v>12</v>
      </c>
      <c r="I1679" s="3">
        <v>0</v>
      </c>
      <c r="J1679" s="3">
        <v>0</v>
      </c>
      <c r="K1679" s="3">
        <v>0</v>
      </c>
      <c r="L1679" s="3">
        <v>24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12</v>
      </c>
      <c r="V1679" s="3">
        <v>0</v>
      </c>
      <c r="W1679" s="3">
        <v>0</v>
      </c>
      <c r="X1679" s="3">
        <v>0</v>
      </c>
      <c r="Y1679" s="3">
        <v>12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12</v>
      </c>
      <c r="AG1679" s="3">
        <v>0</v>
      </c>
      <c r="AH1679" s="3">
        <v>0</v>
      </c>
      <c r="AI1679" s="3">
        <v>0</v>
      </c>
      <c r="AJ1679" s="3">
        <v>0</v>
      </c>
      <c r="AK1679" s="3">
        <v>12</v>
      </c>
      <c r="AL1679" s="3">
        <v>0</v>
      </c>
      <c r="AM1679" s="3">
        <v>0</v>
      </c>
      <c r="AN1679" s="3">
        <v>0</v>
      </c>
      <c r="AO1679" s="3">
        <v>12</v>
      </c>
      <c r="AP1679" s="3">
        <v>0</v>
      </c>
      <c r="AQ1679" s="3">
        <v>0</v>
      </c>
      <c r="AR1679" s="3">
        <v>0</v>
      </c>
      <c r="AS1679" s="3">
        <v>0</v>
      </c>
      <c r="AT1679" s="3">
        <v>0</v>
      </c>
      <c r="AU1679" s="3">
        <v>0</v>
      </c>
      <c r="AV1679" s="3">
        <v>0</v>
      </c>
      <c r="AW1679" s="3">
        <v>0</v>
      </c>
    </row>
    <row r="1680" spans="1:49">
      <c r="A1680" s="4" t="s">
        <v>40</v>
      </c>
      <c r="B1680" s="4" t="str">
        <f t="shared" si="26"/>
        <v>Hair Care</v>
      </c>
      <c r="C1680" s="4" t="s">
        <v>1786</v>
      </c>
      <c r="D1680" s="4" t="s">
        <v>580</v>
      </c>
      <c r="E1680" s="24" t="s">
        <v>42</v>
      </c>
      <c r="F1680" s="12" t="s">
        <v>344</v>
      </c>
      <c r="G1680" s="4" t="s">
        <v>1787</v>
      </c>
      <c r="H1680" s="3">
        <v>36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12</v>
      </c>
      <c r="O1680" s="3">
        <v>0</v>
      </c>
      <c r="P1680" s="3">
        <v>12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12</v>
      </c>
      <c r="AB1680" s="3">
        <v>0</v>
      </c>
      <c r="AC1680" s="3">
        <v>0</v>
      </c>
      <c r="AD1680" s="3">
        <v>0</v>
      </c>
      <c r="AE1680" s="3">
        <v>0</v>
      </c>
      <c r="AF1680" s="3">
        <v>12</v>
      </c>
      <c r="AG1680" s="3">
        <v>0</v>
      </c>
      <c r="AH1680" s="3">
        <v>0</v>
      </c>
      <c r="AI1680" s="3">
        <v>0</v>
      </c>
      <c r="AJ1680" s="3">
        <v>0</v>
      </c>
      <c r="AK1680" s="3">
        <v>12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12</v>
      </c>
      <c r="AS1680" s="3">
        <v>12</v>
      </c>
      <c r="AT1680" s="3">
        <v>0</v>
      </c>
      <c r="AU1680" s="3">
        <v>0</v>
      </c>
      <c r="AV1680" s="3">
        <v>0</v>
      </c>
      <c r="AW1680" s="3">
        <v>0</v>
      </c>
    </row>
    <row r="1681" spans="1:49">
      <c r="A1681" s="4" t="s">
        <v>40</v>
      </c>
      <c r="B1681" s="4" t="str">
        <f t="shared" si="26"/>
        <v>Hair Care</v>
      </c>
      <c r="C1681" s="4" t="s">
        <v>1786</v>
      </c>
      <c r="D1681" s="4" t="s">
        <v>580</v>
      </c>
      <c r="E1681" s="24" t="s">
        <v>42</v>
      </c>
      <c r="F1681" s="12" t="s">
        <v>345</v>
      </c>
      <c r="G1681" s="4" t="s">
        <v>1787</v>
      </c>
      <c r="H1681" s="3">
        <v>36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6</v>
      </c>
      <c r="O1681" s="3">
        <v>12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18</v>
      </c>
      <c r="V1681" s="3">
        <v>0</v>
      </c>
      <c r="W1681" s="3">
        <v>6</v>
      </c>
      <c r="X1681" s="3">
        <v>6</v>
      </c>
      <c r="Y1681" s="3">
        <v>18</v>
      </c>
      <c r="Z1681" s="3">
        <v>6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6</v>
      </c>
      <c r="AG1681" s="3">
        <v>0</v>
      </c>
      <c r="AH1681" s="3">
        <v>0</v>
      </c>
      <c r="AI1681" s="3">
        <v>6</v>
      </c>
      <c r="AJ1681" s="3">
        <v>0</v>
      </c>
      <c r="AK1681" s="3">
        <v>6</v>
      </c>
      <c r="AL1681" s="3">
        <v>18</v>
      </c>
      <c r="AM1681" s="3">
        <v>0</v>
      </c>
      <c r="AN1681" s="3">
        <v>6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 s="3">
        <v>0</v>
      </c>
    </row>
    <row r="1682" spans="1:49">
      <c r="A1682" s="4" t="s">
        <v>40</v>
      </c>
      <c r="B1682" s="4" t="str">
        <f t="shared" si="26"/>
        <v>Hair Care</v>
      </c>
      <c r="C1682" s="4" t="s">
        <v>1786</v>
      </c>
      <c r="D1682" s="4" t="s">
        <v>580</v>
      </c>
      <c r="E1682" s="24" t="s">
        <v>42</v>
      </c>
      <c r="F1682" s="12" t="s">
        <v>349</v>
      </c>
      <c r="G1682" s="4" t="s">
        <v>1787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6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36</v>
      </c>
      <c r="AM1682" s="3">
        <v>0</v>
      </c>
      <c r="AN1682" s="3">
        <v>0</v>
      </c>
      <c r="AO1682" s="3">
        <v>0</v>
      </c>
      <c r="AP1682" s="3">
        <v>0</v>
      </c>
      <c r="AQ1682" s="3">
        <v>0</v>
      </c>
      <c r="AR1682" s="3">
        <v>0</v>
      </c>
      <c r="AS1682" s="3">
        <v>12</v>
      </c>
      <c r="AT1682" s="3">
        <v>0</v>
      </c>
      <c r="AU1682" s="3">
        <v>0</v>
      </c>
      <c r="AV1682" s="3">
        <v>0</v>
      </c>
      <c r="AW1682" s="3">
        <v>0</v>
      </c>
    </row>
    <row r="1683" spans="1:49">
      <c r="A1683" s="4" t="s">
        <v>40</v>
      </c>
      <c r="B1683" s="4" t="str">
        <f t="shared" si="26"/>
        <v>Hair Care</v>
      </c>
      <c r="C1683" s="4" t="s">
        <v>1786</v>
      </c>
      <c r="D1683" s="4" t="s">
        <v>580</v>
      </c>
      <c r="E1683" s="24" t="s">
        <v>42</v>
      </c>
      <c r="F1683" s="12" t="s">
        <v>351</v>
      </c>
      <c r="G1683" s="4" t="s">
        <v>1787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6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0</v>
      </c>
    </row>
    <row r="1684" spans="1:49">
      <c r="A1684" s="4" t="s">
        <v>40</v>
      </c>
      <c r="B1684" s="4" t="str">
        <f t="shared" si="26"/>
        <v>Hair Care</v>
      </c>
      <c r="C1684" s="4" t="s">
        <v>1786</v>
      </c>
      <c r="D1684" s="4" t="s">
        <v>580</v>
      </c>
      <c r="E1684" s="24" t="s">
        <v>42</v>
      </c>
      <c r="F1684" s="12" t="s">
        <v>353</v>
      </c>
      <c r="G1684" s="4" t="s">
        <v>1787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36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</row>
    <row r="1685" spans="1:49">
      <c r="A1685" s="4" t="s">
        <v>40</v>
      </c>
      <c r="B1685" s="4" t="str">
        <f t="shared" si="26"/>
        <v>Hair Care</v>
      </c>
      <c r="C1685" s="4" t="s">
        <v>1786</v>
      </c>
      <c r="D1685" s="4" t="s">
        <v>580</v>
      </c>
      <c r="E1685" s="24" t="s">
        <v>42</v>
      </c>
      <c r="F1685" s="12" t="s">
        <v>354</v>
      </c>
      <c r="G1685" s="4" t="s">
        <v>1787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22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12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  <c r="AR1685" s="3">
        <v>108</v>
      </c>
      <c r="AS1685" s="3">
        <v>0</v>
      </c>
      <c r="AT1685" s="3">
        <v>12</v>
      </c>
      <c r="AU1685" s="3">
        <v>12</v>
      </c>
      <c r="AV1685" s="3">
        <v>228</v>
      </c>
      <c r="AW1685" s="3">
        <v>0</v>
      </c>
    </row>
    <row r="1686" spans="1:49">
      <c r="A1686" s="4" t="s">
        <v>40</v>
      </c>
      <c r="B1686" s="4" t="str">
        <f t="shared" si="26"/>
        <v>Hair Care</v>
      </c>
      <c r="C1686" s="4" t="s">
        <v>1786</v>
      </c>
      <c r="D1686" s="4" t="s">
        <v>580</v>
      </c>
      <c r="E1686" s="24" t="s">
        <v>42</v>
      </c>
      <c r="F1686" s="12" t="s">
        <v>355</v>
      </c>
      <c r="G1686" s="4" t="s">
        <v>1787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10</v>
      </c>
      <c r="Z1686" s="3">
        <v>0</v>
      </c>
      <c r="AA1686" s="3">
        <v>0</v>
      </c>
      <c r="AB1686" s="3">
        <v>12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24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</row>
    <row r="1687" spans="1:49">
      <c r="A1687" s="4" t="s">
        <v>40</v>
      </c>
      <c r="B1687" s="4" t="str">
        <f t="shared" si="26"/>
        <v>Hair Care</v>
      </c>
      <c r="C1687" s="4" t="s">
        <v>1786</v>
      </c>
      <c r="D1687" s="4" t="s">
        <v>580</v>
      </c>
      <c r="E1687" s="24" t="s">
        <v>42</v>
      </c>
      <c r="F1687" s="12" t="s">
        <v>360</v>
      </c>
      <c r="G1687" s="4" t="s">
        <v>1787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22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12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36</v>
      </c>
      <c r="AM1687" s="3">
        <v>12</v>
      </c>
      <c r="AN1687" s="3">
        <v>0</v>
      </c>
      <c r="AO1687" s="3">
        <v>0</v>
      </c>
      <c r="AP1687" s="3">
        <v>0</v>
      </c>
      <c r="AQ1687" s="3">
        <v>0</v>
      </c>
      <c r="AR1687" s="3">
        <v>108</v>
      </c>
      <c r="AS1687" s="3">
        <v>0</v>
      </c>
      <c r="AT1687" s="3">
        <v>0</v>
      </c>
      <c r="AU1687" s="3">
        <v>12</v>
      </c>
      <c r="AV1687" s="3">
        <v>132</v>
      </c>
      <c r="AW1687" s="3">
        <v>0</v>
      </c>
    </row>
    <row r="1688" spans="1:49">
      <c r="A1688" s="4" t="s">
        <v>40</v>
      </c>
      <c r="B1688" s="4" t="str">
        <f t="shared" si="26"/>
        <v>Hair Care</v>
      </c>
      <c r="C1688" s="4" t="s">
        <v>1786</v>
      </c>
      <c r="D1688" s="4" t="s">
        <v>580</v>
      </c>
      <c r="E1688" s="24" t="s">
        <v>42</v>
      </c>
      <c r="F1688" s="12" t="s">
        <v>363</v>
      </c>
      <c r="G1688" s="4" t="s">
        <v>1787</v>
      </c>
      <c r="H1688" s="3">
        <v>0</v>
      </c>
      <c r="I1688" s="3">
        <v>6</v>
      </c>
      <c r="J1688" s="3">
        <v>0</v>
      </c>
      <c r="K1688" s="3">
        <v>0</v>
      </c>
      <c r="L1688" s="3">
        <v>0</v>
      </c>
      <c r="M1688" s="3">
        <v>0</v>
      </c>
      <c r="N1688" s="3">
        <v>12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12</v>
      </c>
      <c r="Z1688" s="3">
        <v>0</v>
      </c>
      <c r="AA1688" s="3">
        <v>0</v>
      </c>
      <c r="AB1688" s="3">
        <v>6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108</v>
      </c>
      <c r="AS1688" s="3">
        <v>0</v>
      </c>
      <c r="AT1688" s="3">
        <v>0</v>
      </c>
      <c r="AU1688" s="3">
        <v>12</v>
      </c>
      <c r="AV1688" s="3">
        <v>144</v>
      </c>
      <c r="AW1688" s="3">
        <v>0</v>
      </c>
    </row>
    <row r="1689" spans="1:49">
      <c r="A1689" s="4" t="s">
        <v>40</v>
      </c>
      <c r="B1689" s="4" t="str">
        <f t="shared" si="26"/>
        <v>Hair Care</v>
      </c>
      <c r="C1689" s="4" t="s">
        <v>1786</v>
      </c>
      <c r="D1689" s="4" t="s">
        <v>580</v>
      </c>
      <c r="E1689" s="24" t="s">
        <v>42</v>
      </c>
      <c r="F1689" s="12" t="s">
        <v>366</v>
      </c>
      <c r="G1689" s="4" t="s">
        <v>1787</v>
      </c>
      <c r="H1689" s="3">
        <v>0</v>
      </c>
      <c r="I1689" s="3">
        <v>6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6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12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</row>
    <row r="1690" spans="1:49">
      <c r="A1690" s="4" t="s">
        <v>40</v>
      </c>
      <c r="B1690" s="4" t="str">
        <f t="shared" si="26"/>
        <v>Hair Care</v>
      </c>
      <c r="C1690" s="4" t="s">
        <v>1786</v>
      </c>
      <c r="D1690" s="4" t="s">
        <v>580</v>
      </c>
      <c r="E1690" s="24" t="s">
        <v>42</v>
      </c>
      <c r="F1690" s="12" t="s">
        <v>367</v>
      </c>
      <c r="G1690" s="4" t="s">
        <v>1787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12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12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12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</row>
    <row r="1691" spans="1:49">
      <c r="A1691" s="4" t="s">
        <v>40</v>
      </c>
      <c r="B1691" s="4" t="str">
        <f t="shared" si="26"/>
        <v>Hair Care</v>
      </c>
      <c r="C1691" s="4" t="s">
        <v>1786</v>
      </c>
      <c r="D1691" s="4" t="s">
        <v>580</v>
      </c>
      <c r="E1691" s="24" t="s">
        <v>42</v>
      </c>
      <c r="F1691" s="12" t="s">
        <v>370</v>
      </c>
      <c r="G1691" s="4" t="s">
        <v>1787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108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</row>
    <row r="1692" spans="1:49">
      <c r="A1692" s="4" t="s">
        <v>40</v>
      </c>
      <c r="B1692" s="4" t="str">
        <f t="shared" si="26"/>
        <v>Hair Care</v>
      </c>
      <c r="C1692" s="4" t="s">
        <v>1786</v>
      </c>
      <c r="D1692" s="4" t="s">
        <v>580</v>
      </c>
      <c r="E1692" s="24" t="s">
        <v>392</v>
      </c>
      <c r="F1692" s="12" t="s">
        <v>396</v>
      </c>
      <c r="G1692" s="4" t="s">
        <v>1787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30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</row>
    <row r="1693" spans="1:49">
      <c r="A1693" s="4" t="s">
        <v>35</v>
      </c>
      <c r="B1693" s="4" t="str">
        <f t="shared" si="26"/>
        <v>Hair Color</v>
      </c>
      <c r="C1693" s="4" t="s">
        <v>1786</v>
      </c>
      <c r="D1693" s="4" t="s">
        <v>580</v>
      </c>
      <c r="E1693" s="24" t="s">
        <v>414</v>
      </c>
      <c r="F1693" s="12" t="s">
        <v>415</v>
      </c>
      <c r="G1693" s="4" t="s">
        <v>1787</v>
      </c>
      <c r="H1693" s="3">
        <v>6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</row>
    <row r="1694" spans="1:49">
      <c r="A1694" s="4" t="s">
        <v>35</v>
      </c>
      <c r="B1694" s="4" t="str">
        <f t="shared" si="26"/>
        <v>Hair Color</v>
      </c>
      <c r="C1694" s="4" t="s">
        <v>1786</v>
      </c>
      <c r="D1694" s="4" t="s">
        <v>580</v>
      </c>
      <c r="E1694" s="24" t="s">
        <v>414</v>
      </c>
      <c r="F1694" s="12" t="s">
        <v>417</v>
      </c>
      <c r="G1694" s="4" t="s">
        <v>1787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12</v>
      </c>
      <c r="AS1694" s="3">
        <v>48</v>
      </c>
      <c r="AT1694" s="3">
        <v>12</v>
      </c>
      <c r="AU1694" s="3">
        <v>6</v>
      </c>
      <c r="AV1694" s="3">
        <v>0</v>
      </c>
      <c r="AW1694" s="3">
        <v>0</v>
      </c>
    </row>
    <row r="1695" spans="1:49">
      <c r="A1695" s="4" t="s">
        <v>35</v>
      </c>
      <c r="B1695" s="4" t="str">
        <f t="shared" si="26"/>
        <v>Hair Color</v>
      </c>
      <c r="C1695" s="4" t="s">
        <v>1786</v>
      </c>
      <c r="D1695" s="4" t="s">
        <v>580</v>
      </c>
      <c r="E1695" s="24" t="s">
        <v>414</v>
      </c>
      <c r="F1695" s="12" t="s">
        <v>420</v>
      </c>
      <c r="G1695" s="4" t="s">
        <v>1787</v>
      </c>
      <c r="H1695" s="3">
        <v>6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</row>
    <row r="1696" spans="1:49">
      <c r="A1696" s="4" t="s">
        <v>35</v>
      </c>
      <c r="B1696" s="4" t="str">
        <f t="shared" si="26"/>
        <v>Hair Color</v>
      </c>
      <c r="C1696" s="4" t="s">
        <v>1786</v>
      </c>
      <c r="D1696" s="4" t="s">
        <v>580</v>
      </c>
      <c r="E1696" s="24" t="s">
        <v>414</v>
      </c>
      <c r="F1696" s="12" t="s">
        <v>424</v>
      </c>
      <c r="G1696" s="4" t="s">
        <v>1787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12</v>
      </c>
      <c r="AS1696" s="3">
        <v>66</v>
      </c>
      <c r="AT1696" s="3">
        <v>420</v>
      </c>
      <c r="AU1696" s="3">
        <v>0</v>
      </c>
      <c r="AV1696" s="3">
        <v>0</v>
      </c>
      <c r="AW1696" s="3">
        <v>0</v>
      </c>
    </row>
    <row r="1697" spans="1:49">
      <c r="A1697" s="4" t="s">
        <v>35</v>
      </c>
      <c r="B1697" s="4" t="str">
        <f t="shared" si="26"/>
        <v>Hair Color</v>
      </c>
      <c r="C1697" s="4" t="s">
        <v>1786</v>
      </c>
      <c r="D1697" s="4" t="s">
        <v>580</v>
      </c>
      <c r="E1697" s="24" t="s">
        <v>414</v>
      </c>
      <c r="F1697" s="12" t="s">
        <v>426</v>
      </c>
      <c r="G1697" s="4" t="s">
        <v>1787</v>
      </c>
      <c r="H1697" s="3">
        <v>6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12</v>
      </c>
      <c r="AS1697" s="3">
        <v>48</v>
      </c>
      <c r="AT1697" s="3">
        <v>6</v>
      </c>
      <c r="AU1697" s="3">
        <v>6</v>
      </c>
      <c r="AV1697" s="3">
        <v>24</v>
      </c>
      <c r="AW1697" s="3">
        <v>0</v>
      </c>
    </row>
    <row r="1698" spans="1:49">
      <c r="A1698" s="4" t="s">
        <v>35</v>
      </c>
      <c r="B1698" s="4" t="str">
        <f t="shared" si="26"/>
        <v>Hair Color</v>
      </c>
      <c r="C1698" s="4" t="s">
        <v>1786</v>
      </c>
      <c r="D1698" s="4" t="s">
        <v>580</v>
      </c>
      <c r="E1698" s="24" t="s">
        <v>414</v>
      </c>
      <c r="F1698" s="12" t="s">
        <v>428</v>
      </c>
      <c r="G1698" s="4" t="s">
        <v>1787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12</v>
      </c>
      <c r="AS1698" s="3">
        <v>48</v>
      </c>
      <c r="AT1698" s="3">
        <v>12</v>
      </c>
      <c r="AU1698" s="3">
        <v>6</v>
      </c>
      <c r="AV1698" s="3">
        <v>24</v>
      </c>
      <c r="AW1698" s="3">
        <v>0</v>
      </c>
    </row>
    <row r="1699" spans="1:49">
      <c r="A1699" s="4" t="s">
        <v>35</v>
      </c>
      <c r="B1699" s="4" t="str">
        <f t="shared" si="26"/>
        <v>Hair Color</v>
      </c>
      <c r="C1699" s="4" t="s">
        <v>1786</v>
      </c>
      <c r="D1699" s="4" t="s">
        <v>580</v>
      </c>
      <c r="E1699" s="24" t="s">
        <v>414</v>
      </c>
      <c r="F1699" s="12" t="s">
        <v>430</v>
      </c>
      <c r="G1699" s="4" t="s">
        <v>1787</v>
      </c>
      <c r="H1699" s="3">
        <v>6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12</v>
      </c>
      <c r="AS1699" s="3">
        <v>54</v>
      </c>
      <c r="AT1699" s="3">
        <v>0</v>
      </c>
      <c r="AU1699" s="3">
        <v>6</v>
      </c>
      <c r="AV1699" s="3">
        <v>30</v>
      </c>
      <c r="AW1699" s="3">
        <v>0</v>
      </c>
    </row>
    <row r="1700" spans="1:49">
      <c r="A1700" s="4" t="s">
        <v>35</v>
      </c>
      <c r="B1700" s="4" t="str">
        <f t="shared" si="26"/>
        <v>Hair Color</v>
      </c>
      <c r="C1700" s="4" t="s">
        <v>1786</v>
      </c>
      <c r="D1700" s="4" t="s">
        <v>580</v>
      </c>
      <c r="E1700" s="24" t="s">
        <v>414</v>
      </c>
      <c r="F1700" s="12" t="s">
        <v>432</v>
      </c>
      <c r="G1700" s="4" t="s">
        <v>1787</v>
      </c>
      <c r="H1700" s="3">
        <v>6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12</v>
      </c>
      <c r="AS1700" s="3">
        <v>48</v>
      </c>
      <c r="AT1700" s="3">
        <v>6</v>
      </c>
      <c r="AU1700" s="3">
        <v>0</v>
      </c>
      <c r="AV1700" s="3">
        <v>0</v>
      </c>
      <c r="AW1700" s="3">
        <v>6</v>
      </c>
    </row>
    <row r="1701" spans="1:49">
      <c r="A1701" s="4" t="s">
        <v>35</v>
      </c>
      <c r="B1701" s="4" t="str">
        <f t="shared" si="26"/>
        <v>Hair Color</v>
      </c>
      <c r="C1701" s="4" t="s">
        <v>1786</v>
      </c>
      <c r="D1701" s="4" t="s">
        <v>580</v>
      </c>
      <c r="E1701" s="24" t="s">
        <v>414</v>
      </c>
      <c r="F1701" s="12" t="s">
        <v>435</v>
      </c>
      <c r="G1701" s="4" t="s">
        <v>1787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12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6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s="3">
        <v>0</v>
      </c>
      <c r="AV1701" s="3">
        <v>0</v>
      </c>
      <c r="AW1701" s="3">
        <v>0</v>
      </c>
    </row>
    <row r="1702" spans="1:49">
      <c r="A1702" s="4" t="s">
        <v>35</v>
      </c>
      <c r="B1702" s="4" t="str">
        <f t="shared" si="26"/>
        <v>Hair Color</v>
      </c>
      <c r="C1702" s="4" t="s">
        <v>1786</v>
      </c>
      <c r="D1702" s="4" t="s">
        <v>580</v>
      </c>
      <c r="E1702" s="24" t="s">
        <v>414</v>
      </c>
      <c r="F1702" s="12" t="s">
        <v>436</v>
      </c>
      <c r="G1702" s="4" t="s">
        <v>1787</v>
      </c>
      <c r="H1702" s="3">
        <v>6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12</v>
      </c>
      <c r="AS1702" s="3">
        <v>18</v>
      </c>
      <c r="AT1702" s="3">
        <v>0</v>
      </c>
      <c r="AU1702" s="3">
        <v>6</v>
      </c>
      <c r="AV1702" s="3">
        <v>24</v>
      </c>
      <c r="AW1702" s="3">
        <v>18</v>
      </c>
    </row>
    <row r="1703" spans="1:49">
      <c r="A1703" s="4" t="s">
        <v>35</v>
      </c>
      <c r="B1703" s="4" t="str">
        <f t="shared" si="26"/>
        <v>Hair Color</v>
      </c>
      <c r="C1703" s="4" t="s">
        <v>1786</v>
      </c>
      <c r="D1703" s="4" t="s">
        <v>580</v>
      </c>
      <c r="E1703" s="24" t="s">
        <v>414</v>
      </c>
      <c r="F1703" s="12" t="s">
        <v>437</v>
      </c>
      <c r="G1703" s="4" t="s">
        <v>1787</v>
      </c>
      <c r="H1703" s="3">
        <v>6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12</v>
      </c>
      <c r="AS1703" s="3">
        <v>66</v>
      </c>
      <c r="AT1703" s="3">
        <v>12</v>
      </c>
      <c r="AU1703" s="3">
        <v>6</v>
      </c>
      <c r="AV1703" s="3">
        <v>36</v>
      </c>
      <c r="AW1703" s="3">
        <v>0</v>
      </c>
    </row>
    <row r="1704" spans="1:49">
      <c r="A1704" s="4" t="s">
        <v>35</v>
      </c>
      <c r="B1704" s="4" t="str">
        <f t="shared" si="26"/>
        <v>Hair Color</v>
      </c>
      <c r="C1704" s="4" t="s">
        <v>1786</v>
      </c>
      <c r="D1704" s="4" t="s">
        <v>580</v>
      </c>
      <c r="E1704" s="24" t="s">
        <v>414</v>
      </c>
      <c r="F1704" s="12" t="s">
        <v>438</v>
      </c>
      <c r="G1704" s="4" t="s">
        <v>1787</v>
      </c>
      <c r="H1704" s="3">
        <v>6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</row>
    <row r="1705" spans="1:49">
      <c r="A1705" s="4" t="s">
        <v>35</v>
      </c>
      <c r="B1705" s="4" t="str">
        <f t="shared" si="26"/>
        <v>Hair Color</v>
      </c>
      <c r="C1705" s="4" t="s">
        <v>1786</v>
      </c>
      <c r="D1705" s="4" t="s">
        <v>580</v>
      </c>
      <c r="E1705" s="24" t="s">
        <v>414</v>
      </c>
      <c r="F1705" s="12" t="s">
        <v>440</v>
      </c>
      <c r="G1705" s="4" t="s">
        <v>1787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12</v>
      </c>
      <c r="AS1705" s="3">
        <v>48</v>
      </c>
      <c r="AT1705" s="3">
        <v>0</v>
      </c>
      <c r="AU1705" s="3">
        <v>0</v>
      </c>
      <c r="AV1705" s="3">
        <v>0</v>
      </c>
      <c r="AW1705" s="3">
        <v>6</v>
      </c>
    </row>
    <row r="1706" spans="1:49">
      <c r="A1706" s="4" t="s">
        <v>35</v>
      </c>
      <c r="B1706" s="4" t="str">
        <f t="shared" si="26"/>
        <v>Hair Color</v>
      </c>
      <c r="C1706" s="4" t="s">
        <v>1786</v>
      </c>
      <c r="D1706" s="4" t="s">
        <v>580</v>
      </c>
      <c r="E1706" s="24" t="s">
        <v>441</v>
      </c>
      <c r="F1706" s="12" t="s">
        <v>444</v>
      </c>
      <c r="G1706" s="4" t="s">
        <v>1787</v>
      </c>
      <c r="H1706" s="3">
        <v>6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</row>
    <row r="1707" spans="1:49">
      <c r="A1707" s="4" t="s">
        <v>35</v>
      </c>
      <c r="B1707" s="4" t="str">
        <f t="shared" si="26"/>
        <v>Hair Color</v>
      </c>
      <c r="C1707" s="4" t="s">
        <v>1786</v>
      </c>
      <c r="D1707" s="4" t="s">
        <v>580</v>
      </c>
      <c r="E1707" s="24" t="s">
        <v>441</v>
      </c>
      <c r="F1707" s="12" t="s">
        <v>445</v>
      </c>
      <c r="G1707" s="4" t="s">
        <v>1787</v>
      </c>
      <c r="H1707" s="3">
        <v>6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12</v>
      </c>
      <c r="AS1707" s="3">
        <v>0</v>
      </c>
      <c r="AT1707" s="3">
        <v>12</v>
      </c>
      <c r="AU1707" s="3">
        <v>12</v>
      </c>
      <c r="AV1707" s="3">
        <v>0</v>
      </c>
      <c r="AW1707" s="3">
        <v>0</v>
      </c>
    </row>
    <row r="1708" spans="1:49">
      <c r="A1708" s="4" t="s">
        <v>35</v>
      </c>
      <c r="B1708" s="4" t="str">
        <f t="shared" si="26"/>
        <v>Hair Color</v>
      </c>
      <c r="C1708" s="4" t="s">
        <v>1786</v>
      </c>
      <c r="D1708" s="4" t="s">
        <v>580</v>
      </c>
      <c r="E1708" s="24" t="s">
        <v>441</v>
      </c>
      <c r="F1708" s="12" t="s">
        <v>447</v>
      </c>
      <c r="G1708" s="4" t="s">
        <v>1787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12</v>
      </c>
      <c r="AM1708" s="3">
        <v>0</v>
      </c>
      <c r="AN1708" s="3">
        <v>0</v>
      </c>
      <c r="AO1708" s="3">
        <v>0</v>
      </c>
      <c r="AP1708" s="3">
        <v>0</v>
      </c>
      <c r="AQ1708" s="3">
        <v>12</v>
      </c>
      <c r="AR1708" s="3">
        <v>12</v>
      </c>
      <c r="AS1708" s="3">
        <v>0</v>
      </c>
      <c r="AT1708" s="3">
        <v>0</v>
      </c>
      <c r="AU1708" s="3">
        <v>12</v>
      </c>
      <c r="AV1708" s="3">
        <v>0</v>
      </c>
      <c r="AW1708" s="3">
        <v>0</v>
      </c>
    </row>
    <row r="1709" spans="1:49">
      <c r="A1709" s="4" t="s">
        <v>35</v>
      </c>
      <c r="B1709" s="4" t="str">
        <f t="shared" si="26"/>
        <v>Hair Color</v>
      </c>
      <c r="C1709" s="4" t="s">
        <v>1786</v>
      </c>
      <c r="D1709" s="4" t="s">
        <v>580</v>
      </c>
      <c r="E1709" s="24" t="s">
        <v>441</v>
      </c>
      <c r="F1709" s="12" t="s">
        <v>452</v>
      </c>
      <c r="G1709" s="4" t="s">
        <v>1787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6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0</v>
      </c>
      <c r="AT1709" s="3">
        <v>0</v>
      </c>
      <c r="AU1709" s="3">
        <v>0</v>
      </c>
      <c r="AV1709" s="3">
        <v>0</v>
      </c>
      <c r="AW1709" s="3">
        <v>0</v>
      </c>
    </row>
    <row r="1710" spans="1:49">
      <c r="A1710" s="4" t="s">
        <v>35</v>
      </c>
      <c r="B1710" s="4" t="str">
        <f t="shared" si="26"/>
        <v>Hair Color</v>
      </c>
      <c r="C1710" s="4" t="s">
        <v>1786</v>
      </c>
      <c r="D1710" s="4" t="s">
        <v>580</v>
      </c>
      <c r="E1710" s="24" t="s">
        <v>441</v>
      </c>
      <c r="F1710" s="12" t="s">
        <v>466</v>
      </c>
      <c r="G1710" s="4" t="s">
        <v>1787</v>
      </c>
      <c r="H1710" s="3">
        <v>6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s="3">
        <v>0</v>
      </c>
      <c r="AV1710" s="3">
        <v>0</v>
      </c>
      <c r="AW1710" s="3">
        <v>0</v>
      </c>
    </row>
    <row r="1711" spans="1:49">
      <c r="A1711" s="4" t="s">
        <v>35</v>
      </c>
      <c r="B1711" s="4" t="str">
        <f t="shared" si="26"/>
        <v>Hair Color</v>
      </c>
      <c r="C1711" s="4" t="s">
        <v>1786</v>
      </c>
      <c r="D1711" s="4" t="s">
        <v>580</v>
      </c>
      <c r="E1711" s="24" t="s">
        <v>441</v>
      </c>
      <c r="F1711" s="12" t="s">
        <v>468</v>
      </c>
      <c r="G1711" s="4" t="s">
        <v>1787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12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  <c r="AT1711" s="3">
        <v>0</v>
      </c>
      <c r="AU1711" s="3">
        <v>0</v>
      </c>
      <c r="AV1711" s="3">
        <v>0</v>
      </c>
      <c r="AW1711" s="3">
        <v>0</v>
      </c>
    </row>
    <row r="1712" spans="1:49">
      <c r="A1712" s="4" t="s">
        <v>35</v>
      </c>
      <c r="B1712" s="4" t="str">
        <f t="shared" si="26"/>
        <v>Hair Color</v>
      </c>
      <c r="C1712" s="4" t="s">
        <v>1786</v>
      </c>
      <c r="D1712" s="4" t="s">
        <v>580</v>
      </c>
      <c r="E1712" s="24" t="s">
        <v>441</v>
      </c>
      <c r="F1712" s="12" t="s">
        <v>469</v>
      </c>
      <c r="G1712" s="4" t="s">
        <v>1787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12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12</v>
      </c>
      <c r="AS1712" s="3">
        <v>60</v>
      </c>
      <c r="AT1712" s="3">
        <v>-48</v>
      </c>
      <c r="AU1712" s="3">
        <v>0</v>
      </c>
      <c r="AV1712" s="3">
        <v>0</v>
      </c>
      <c r="AW1712" s="3">
        <v>0</v>
      </c>
    </row>
    <row r="1713" spans="1:49">
      <c r="A1713" s="4" t="s">
        <v>35</v>
      </c>
      <c r="B1713" s="4" t="str">
        <f t="shared" si="26"/>
        <v>Hair Color</v>
      </c>
      <c r="C1713" s="4" t="s">
        <v>1786</v>
      </c>
      <c r="D1713" s="4" t="s">
        <v>580</v>
      </c>
      <c r="E1713" s="24" t="s">
        <v>441</v>
      </c>
      <c r="F1713" s="12" t="s">
        <v>472</v>
      </c>
      <c r="G1713" s="4" t="s">
        <v>1787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  <c r="AR1713" s="3">
        <v>12</v>
      </c>
      <c r="AS1713" s="3">
        <v>12</v>
      </c>
      <c r="AT1713" s="3">
        <v>0</v>
      </c>
      <c r="AU1713" s="3">
        <v>12</v>
      </c>
      <c r="AV1713" s="3">
        <v>0</v>
      </c>
      <c r="AW1713" s="3">
        <v>0</v>
      </c>
    </row>
    <row r="1714" spans="1:49">
      <c r="A1714" s="4" t="s">
        <v>35</v>
      </c>
      <c r="B1714" s="4" t="str">
        <f t="shared" si="26"/>
        <v>Hair Color</v>
      </c>
      <c r="C1714" s="4" t="s">
        <v>1786</v>
      </c>
      <c r="D1714" s="4" t="s">
        <v>580</v>
      </c>
      <c r="E1714" s="24" t="s">
        <v>441</v>
      </c>
      <c r="F1714" s="12" t="s">
        <v>486</v>
      </c>
      <c r="G1714" s="4" t="s">
        <v>1787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12</v>
      </c>
      <c r="AM1714" s="3">
        <v>0</v>
      </c>
      <c r="AN1714" s="3">
        <v>0</v>
      </c>
      <c r="AO1714" s="3">
        <v>0</v>
      </c>
      <c r="AP1714" s="3">
        <v>0</v>
      </c>
      <c r="AQ1714" s="3">
        <v>0</v>
      </c>
      <c r="AR1714" s="3">
        <v>12</v>
      </c>
      <c r="AS1714" s="3">
        <v>0</v>
      </c>
      <c r="AT1714" s="3">
        <v>12</v>
      </c>
      <c r="AU1714" s="3">
        <v>12</v>
      </c>
      <c r="AV1714" s="3">
        <v>0</v>
      </c>
      <c r="AW1714" s="3">
        <v>0</v>
      </c>
    </row>
    <row r="1715" spans="1:49">
      <c r="A1715" s="4" t="s">
        <v>35</v>
      </c>
      <c r="B1715" s="4" t="str">
        <f t="shared" si="26"/>
        <v>Hair Color</v>
      </c>
      <c r="C1715" s="4" t="s">
        <v>1786</v>
      </c>
      <c r="D1715" s="4" t="s">
        <v>580</v>
      </c>
      <c r="E1715" s="24" t="s">
        <v>441</v>
      </c>
      <c r="F1715" s="12" t="s">
        <v>487</v>
      </c>
      <c r="G1715" s="4" t="s">
        <v>1787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12</v>
      </c>
      <c r="AS1715" s="3">
        <v>0</v>
      </c>
      <c r="AT1715" s="3">
        <v>0</v>
      </c>
      <c r="AU1715" s="3">
        <v>0</v>
      </c>
      <c r="AV1715" s="3">
        <v>12</v>
      </c>
      <c r="AW1715" s="3">
        <v>0</v>
      </c>
    </row>
    <row r="1716" spans="1:49">
      <c r="A1716" s="4" t="s">
        <v>35</v>
      </c>
      <c r="B1716" s="4" t="str">
        <f t="shared" si="26"/>
        <v>Hair Color</v>
      </c>
      <c r="C1716" s="4" t="s">
        <v>1786</v>
      </c>
      <c r="D1716" s="4" t="s">
        <v>580</v>
      </c>
      <c r="E1716" s="24" t="s">
        <v>47</v>
      </c>
      <c r="F1716" s="12" t="s">
        <v>509</v>
      </c>
      <c r="G1716" s="4" t="s">
        <v>1787</v>
      </c>
      <c r="H1716" s="3">
        <v>0</v>
      </c>
      <c r="I1716" s="3">
        <v>0</v>
      </c>
      <c r="J1716" s="3">
        <v>12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</row>
    <row r="1717" spans="1:49">
      <c r="A1717" s="4" t="s">
        <v>35</v>
      </c>
      <c r="B1717" s="4" t="str">
        <f t="shared" si="26"/>
        <v>Hair Color</v>
      </c>
      <c r="C1717" s="4" t="s">
        <v>1786</v>
      </c>
      <c r="D1717" s="4" t="s">
        <v>580</v>
      </c>
      <c r="E1717" s="24" t="s">
        <v>47</v>
      </c>
      <c r="F1717" s="12" t="s">
        <v>510</v>
      </c>
      <c r="G1717" s="4" t="s">
        <v>1787</v>
      </c>
      <c r="H1717" s="3">
        <v>0</v>
      </c>
      <c r="I1717" s="3">
        <v>0</v>
      </c>
      <c r="J1717" s="3">
        <v>6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</row>
    <row r="1718" spans="1:49">
      <c r="A1718" s="4" t="s">
        <v>35</v>
      </c>
      <c r="B1718" s="4" t="str">
        <f t="shared" si="26"/>
        <v>Hair Color</v>
      </c>
      <c r="C1718" s="4" t="s">
        <v>1786</v>
      </c>
      <c r="D1718" s="4" t="s">
        <v>580</v>
      </c>
      <c r="E1718" s="24" t="s">
        <v>47</v>
      </c>
      <c r="F1718" s="12" t="s">
        <v>511</v>
      </c>
      <c r="G1718" s="4" t="s">
        <v>1787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6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</row>
    <row r="1719" spans="1:49">
      <c r="A1719" s="4" t="s">
        <v>35</v>
      </c>
      <c r="B1719" s="4" t="str">
        <f t="shared" si="26"/>
        <v>Hair Color</v>
      </c>
      <c r="C1719" s="4" t="s">
        <v>1786</v>
      </c>
      <c r="D1719" s="4" t="s">
        <v>580</v>
      </c>
      <c r="E1719" s="24" t="s">
        <v>47</v>
      </c>
      <c r="F1719" s="12" t="s">
        <v>518</v>
      </c>
      <c r="G1719" s="4" t="s">
        <v>1787</v>
      </c>
      <c r="H1719" s="3">
        <v>6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6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3">
        <v>0</v>
      </c>
      <c r="AT1719" s="3">
        <v>0</v>
      </c>
      <c r="AU1719" s="3">
        <v>0</v>
      </c>
      <c r="AV1719" s="3">
        <v>0</v>
      </c>
      <c r="AW1719" s="3">
        <v>0</v>
      </c>
    </row>
    <row r="1720" spans="1:49">
      <c r="A1720" s="4" t="s">
        <v>35</v>
      </c>
      <c r="B1720" s="4" t="str">
        <f t="shared" si="26"/>
        <v>Hair Color</v>
      </c>
      <c r="C1720" s="4" t="s">
        <v>1786</v>
      </c>
      <c r="D1720" s="4" t="s">
        <v>580</v>
      </c>
      <c r="E1720" s="24" t="s">
        <v>47</v>
      </c>
      <c r="F1720" s="12" t="s">
        <v>530</v>
      </c>
      <c r="G1720" s="4" t="s">
        <v>1787</v>
      </c>
      <c r="H1720" s="3">
        <v>6</v>
      </c>
      <c r="I1720" s="3">
        <v>0</v>
      </c>
      <c r="J1720" s="3">
        <v>6</v>
      </c>
      <c r="K1720" s="3">
        <v>0</v>
      </c>
      <c r="L1720" s="3">
        <v>0</v>
      </c>
      <c r="M1720" s="3">
        <v>0</v>
      </c>
      <c r="N1720" s="3">
        <v>0</v>
      </c>
      <c r="O1720" s="3">
        <v>6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</row>
    <row r="1721" spans="1:49">
      <c r="A1721" s="4" t="s">
        <v>35</v>
      </c>
      <c r="B1721" s="4" t="str">
        <f t="shared" si="26"/>
        <v>Hair Color</v>
      </c>
      <c r="C1721" s="4" t="s">
        <v>1786</v>
      </c>
      <c r="D1721" s="4" t="s">
        <v>580</v>
      </c>
      <c r="E1721" s="24" t="s">
        <v>47</v>
      </c>
      <c r="F1721" s="12" t="s">
        <v>550</v>
      </c>
      <c r="G1721" s="4" t="s">
        <v>1787</v>
      </c>
      <c r="H1721" s="3">
        <v>6</v>
      </c>
      <c r="I1721" s="3">
        <v>0</v>
      </c>
      <c r="J1721" s="3">
        <v>6</v>
      </c>
      <c r="K1721" s="3">
        <v>0</v>
      </c>
      <c r="L1721" s="3">
        <v>0</v>
      </c>
      <c r="M1721" s="3">
        <v>0</v>
      </c>
      <c r="N1721" s="3">
        <v>3</v>
      </c>
      <c r="O1721" s="3">
        <v>6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  <c r="AT1721" s="3">
        <v>0</v>
      </c>
      <c r="AU1721" s="3">
        <v>0</v>
      </c>
      <c r="AV1721" s="3">
        <v>0</v>
      </c>
      <c r="AW1721" s="3">
        <v>0</v>
      </c>
    </row>
    <row r="1722" spans="1:49">
      <c r="A1722" s="4" t="s">
        <v>35</v>
      </c>
      <c r="B1722" s="4" t="str">
        <f t="shared" si="26"/>
        <v>Hair Color</v>
      </c>
      <c r="C1722" s="4" t="s">
        <v>1786</v>
      </c>
      <c r="D1722" s="4" t="s">
        <v>580</v>
      </c>
      <c r="E1722" s="24" t="s">
        <v>47</v>
      </c>
      <c r="F1722" s="12" t="s">
        <v>558</v>
      </c>
      <c r="G1722" s="4" t="s">
        <v>1787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6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s="3">
        <v>0</v>
      </c>
      <c r="AV1722" s="3">
        <v>0</v>
      </c>
      <c r="AW1722" s="3">
        <v>0</v>
      </c>
    </row>
    <row r="1723" spans="1:49">
      <c r="A1723" s="4" t="s">
        <v>35</v>
      </c>
      <c r="B1723" s="4" t="str">
        <f t="shared" si="26"/>
        <v>Hair Color</v>
      </c>
      <c r="C1723" s="4" t="s">
        <v>1786</v>
      </c>
      <c r="D1723" s="4" t="s">
        <v>580</v>
      </c>
      <c r="E1723" s="24" t="s">
        <v>47</v>
      </c>
      <c r="F1723" s="12" t="s">
        <v>567</v>
      </c>
      <c r="G1723" s="4" t="s">
        <v>1787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96</v>
      </c>
      <c r="AS1723" s="3">
        <v>0</v>
      </c>
      <c r="AT1723" s="3">
        <v>0</v>
      </c>
      <c r="AU1723" s="3">
        <v>96</v>
      </c>
      <c r="AV1723" s="3">
        <v>0</v>
      </c>
      <c r="AW1723" s="3">
        <v>0</v>
      </c>
    </row>
    <row r="1724" spans="1:49">
      <c r="A1724" s="4" t="s">
        <v>35</v>
      </c>
      <c r="B1724" s="4" t="str">
        <f t="shared" si="26"/>
        <v>Hair Color</v>
      </c>
      <c r="C1724" s="4" t="s">
        <v>1786</v>
      </c>
      <c r="D1724" s="4" t="s">
        <v>580</v>
      </c>
      <c r="E1724" s="24" t="s">
        <v>47</v>
      </c>
      <c r="F1724" s="12" t="s">
        <v>569</v>
      </c>
      <c r="G1724" s="4" t="s">
        <v>1787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96</v>
      </c>
      <c r="AS1724" s="3">
        <v>0</v>
      </c>
      <c r="AT1724" s="3">
        <v>0</v>
      </c>
      <c r="AU1724" s="3">
        <v>0</v>
      </c>
      <c r="AV1724" s="3">
        <v>0</v>
      </c>
      <c r="AW1724" s="3">
        <v>0</v>
      </c>
    </row>
    <row r="1725" spans="1:49">
      <c r="A1725" s="4" t="s">
        <v>35</v>
      </c>
      <c r="B1725" s="4" t="str">
        <f t="shared" si="26"/>
        <v>Hair Color</v>
      </c>
      <c r="C1725" s="4" t="s">
        <v>1786</v>
      </c>
      <c r="D1725" s="4" t="s">
        <v>580</v>
      </c>
      <c r="E1725" s="24" t="s">
        <v>47</v>
      </c>
      <c r="F1725" s="12" t="s">
        <v>570</v>
      </c>
      <c r="G1725" s="4" t="s">
        <v>1787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0</v>
      </c>
      <c r="AR1725" s="3">
        <v>96</v>
      </c>
      <c r="AS1725" s="3">
        <v>0</v>
      </c>
      <c r="AT1725" s="3">
        <v>0</v>
      </c>
      <c r="AU1725" s="3">
        <v>0</v>
      </c>
      <c r="AV1725" s="3">
        <v>0</v>
      </c>
      <c r="AW1725" s="3">
        <v>0</v>
      </c>
    </row>
    <row r="1726" spans="1:49">
      <c r="A1726" s="4" t="s">
        <v>35</v>
      </c>
      <c r="B1726" s="4" t="str">
        <f t="shared" si="26"/>
        <v>Hair Color</v>
      </c>
      <c r="C1726" s="4" t="s">
        <v>1786</v>
      </c>
      <c r="D1726" s="4" t="s">
        <v>580</v>
      </c>
      <c r="E1726" s="24" t="s">
        <v>47</v>
      </c>
      <c r="F1726" s="12" t="s">
        <v>572</v>
      </c>
      <c r="G1726" s="4" t="s">
        <v>1787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96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</row>
    <row r="1727" spans="1:49">
      <c r="A1727" s="4" t="s">
        <v>35</v>
      </c>
      <c r="B1727" s="4" t="str">
        <f t="shared" si="26"/>
        <v>Hair Color</v>
      </c>
      <c r="C1727" s="4" t="s">
        <v>1786</v>
      </c>
      <c r="D1727" s="4" t="s">
        <v>580</v>
      </c>
      <c r="E1727" s="24" t="s">
        <v>47</v>
      </c>
      <c r="F1727" s="12" t="s">
        <v>573</v>
      </c>
      <c r="G1727" s="4" t="s">
        <v>1787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96</v>
      </c>
      <c r="AS1727" s="3">
        <v>0</v>
      </c>
      <c r="AT1727" s="3">
        <v>0</v>
      </c>
      <c r="AU1727" s="3">
        <v>0</v>
      </c>
      <c r="AV1727" s="3">
        <v>0</v>
      </c>
      <c r="AW1727" s="3">
        <v>0</v>
      </c>
    </row>
    <row r="1728" spans="1:49">
      <c r="A1728" s="4" t="s">
        <v>35</v>
      </c>
      <c r="B1728" s="4" t="str">
        <f t="shared" si="26"/>
        <v>Hair Color</v>
      </c>
      <c r="C1728" s="4" t="s">
        <v>1786</v>
      </c>
      <c r="D1728" s="4" t="s">
        <v>580</v>
      </c>
      <c r="E1728" s="24" t="s">
        <v>47</v>
      </c>
      <c r="F1728" s="12" t="s">
        <v>574</v>
      </c>
      <c r="G1728" s="4" t="s">
        <v>1787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96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</row>
    <row r="1729" spans="7:7">
      <c r="G1729" s="4"/>
    </row>
  </sheetData>
  <autoFilter ref="D1:AW1728" xr:uid="{18830F64-BD46-457B-8D5C-27A4ACCE3D4D}"/>
  <pageMargins left="0.7" right="0.7" top="0.75" bottom="0.75" header="0.3" footer="0.3"/>
  <headerFooter>
    <oddFooter>&amp;C_x000D_&amp;1#&amp;"arial"&amp;9&amp;K008000 C1 -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D47F-8B91-4047-88C7-DACE4C304CA9}">
  <dimension ref="A1:C19"/>
  <sheetViews>
    <sheetView workbookViewId="0"/>
  </sheetViews>
  <sheetFormatPr defaultColWidth="11.42578125" defaultRowHeight="15"/>
  <cols>
    <col min="1" max="1" width="13.85546875" bestFit="1" customWidth="1"/>
    <col min="2" max="2" width="26.85546875" hidden="1" customWidth="1"/>
    <col min="3" max="3" width="51" bestFit="1" customWidth="1"/>
  </cols>
  <sheetData>
    <row r="1" spans="1:3">
      <c r="A1" t="s">
        <v>148</v>
      </c>
      <c r="B1" t="s">
        <v>581</v>
      </c>
      <c r="C1" t="s">
        <v>149</v>
      </c>
    </row>
    <row r="2" spans="1:3" hidden="1">
      <c r="A2" s="5">
        <v>5601036100037</v>
      </c>
      <c r="B2" t="s">
        <v>152</v>
      </c>
      <c r="C2" t="s">
        <v>152</v>
      </c>
    </row>
    <row r="3" spans="1:3" hidden="1">
      <c r="A3" s="5">
        <v>5601036100044</v>
      </c>
      <c r="B3" t="s">
        <v>152</v>
      </c>
      <c r="C3" t="s">
        <v>152</v>
      </c>
    </row>
    <row r="4" spans="1:3">
      <c r="A4" s="13">
        <v>7509552800258</v>
      </c>
      <c r="B4" s="12" t="s">
        <v>84</v>
      </c>
      <c r="C4" s="12" t="s">
        <v>168</v>
      </c>
    </row>
    <row r="5" spans="1:3">
      <c r="A5" s="13">
        <v>7509552970524</v>
      </c>
      <c r="B5" s="12" t="s">
        <v>89</v>
      </c>
      <c r="C5" s="12" t="s">
        <v>271</v>
      </c>
    </row>
    <row r="6" spans="1:3">
      <c r="A6" s="13">
        <v>71249672952</v>
      </c>
      <c r="B6" s="12" t="s">
        <v>283</v>
      </c>
      <c r="C6" s="12" t="s">
        <v>297</v>
      </c>
    </row>
    <row r="7" spans="1:3">
      <c r="A7" s="13">
        <v>3600542440622</v>
      </c>
      <c r="B7" s="12" t="s">
        <v>138</v>
      </c>
      <c r="C7" s="12" t="s">
        <v>582</v>
      </c>
    </row>
    <row r="8" spans="1:3">
      <c r="A8" s="13">
        <v>3600542441162</v>
      </c>
      <c r="B8" s="12" t="s">
        <v>138</v>
      </c>
      <c r="C8" s="12" t="s">
        <v>583</v>
      </c>
    </row>
    <row r="9" spans="1:3">
      <c r="A9" s="13">
        <v>3600542442497</v>
      </c>
      <c r="B9" s="12" t="s">
        <v>138</v>
      </c>
      <c r="C9" s="12" t="s">
        <v>584</v>
      </c>
    </row>
    <row r="10" spans="1:3">
      <c r="A10" s="13">
        <v>3600542449298</v>
      </c>
      <c r="B10" s="12" t="s">
        <v>138</v>
      </c>
      <c r="C10" s="12" t="s">
        <v>585</v>
      </c>
    </row>
    <row r="11" spans="1:3" hidden="1">
      <c r="A11" s="5">
        <v>71249119297</v>
      </c>
      <c r="B11" s="24" t="s">
        <v>393</v>
      </c>
      <c r="C11" s="24" t="s">
        <v>393</v>
      </c>
    </row>
    <row r="12" spans="1:3" hidden="1">
      <c r="A12" s="5">
        <v>71249119334</v>
      </c>
      <c r="B12" s="24" t="s">
        <v>394</v>
      </c>
      <c r="C12" s="24" t="s">
        <v>394</v>
      </c>
    </row>
    <row r="13" spans="1:3" hidden="1">
      <c r="A13" s="5">
        <v>7501027252838</v>
      </c>
      <c r="B13" s="24" t="s">
        <v>395</v>
      </c>
      <c r="C13" s="24" t="s">
        <v>395</v>
      </c>
    </row>
    <row r="14" spans="1:3" hidden="1">
      <c r="A14" s="5">
        <v>7501027284945</v>
      </c>
      <c r="B14" s="24" t="s">
        <v>396</v>
      </c>
      <c r="C14" s="24" t="s">
        <v>396</v>
      </c>
    </row>
    <row r="15" spans="1:3">
      <c r="A15" s="14">
        <v>7509552909920</v>
      </c>
      <c r="B15" s="12" t="s">
        <v>67</v>
      </c>
      <c r="C15" s="12" t="s">
        <v>478</v>
      </c>
    </row>
    <row r="16" spans="1:3">
      <c r="A16" s="13">
        <v>7509552910858</v>
      </c>
      <c r="B16" s="12" t="s">
        <v>68</v>
      </c>
      <c r="C16" s="12" t="s">
        <v>480</v>
      </c>
    </row>
    <row r="17" spans="1:3">
      <c r="A17" s="14">
        <v>7509552948035</v>
      </c>
      <c r="B17" s="12" t="s">
        <v>67</v>
      </c>
      <c r="C17" s="12" t="s">
        <v>478</v>
      </c>
    </row>
    <row r="18" spans="1:3">
      <c r="A18" s="13">
        <v>7509552828856</v>
      </c>
      <c r="B18" s="12" t="s">
        <v>71</v>
      </c>
      <c r="C18" s="12" t="s">
        <v>532</v>
      </c>
    </row>
    <row r="19" spans="1:3">
      <c r="A19" s="13">
        <v>7509552838848</v>
      </c>
      <c r="B19" s="12" t="s">
        <v>71</v>
      </c>
      <c r="C19" s="12" t="s">
        <v>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B249-E0B6-4753-A145-80B8905160D2}">
  <dimension ref="A1:AQ43"/>
  <sheetViews>
    <sheetView topLeftCell="A4" zoomScale="60" zoomScaleNormal="60" workbookViewId="0">
      <selection activeCell="B43" sqref="B43"/>
    </sheetView>
  </sheetViews>
  <sheetFormatPr defaultColWidth="10.85546875" defaultRowHeight="14.25"/>
  <cols>
    <col min="1" max="1" width="37.140625" style="29" bestFit="1" customWidth="1"/>
    <col min="2" max="2" width="35.140625" style="29" bestFit="1" customWidth="1"/>
    <col min="3" max="3" width="34.42578125" style="29" bestFit="1" customWidth="1"/>
    <col min="4" max="4" width="38.42578125" style="29" bestFit="1" customWidth="1"/>
    <col min="5" max="5" width="34.85546875" style="29" bestFit="1" customWidth="1"/>
    <col min="6" max="6" width="35" style="29" bestFit="1" customWidth="1"/>
    <col min="7" max="7" width="35.5703125" style="29" bestFit="1" customWidth="1"/>
    <col min="8" max="8" width="34.7109375" style="29" bestFit="1" customWidth="1"/>
    <col min="9" max="9" width="37.28515625" style="29" bestFit="1" customWidth="1"/>
    <col min="10" max="10" width="35.140625" style="29" bestFit="1" customWidth="1"/>
    <col min="11" max="11" width="37.28515625" style="29" bestFit="1" customWidth="1"/>
    <col min="12" max="12" width="35" style="29" bestFit="1" customWidth="1"/>
    <col min="13" max="13" width="36.5703125" style="29" bestFit="1" customWidth="1"/>
    <col min="14" max="14" width="35.140625" style="29" bestFit="1" customWidth="1"/>
    <col min="15" max="15" width="34.42578125" style="29" bestFit="1" customWidth="1"/>
    <col min="16" max="16" width="38.42578125" style="29" bestFit="1" customWidth="1"/>
    <col min="17" max="17" width="34.85546875" style="29" bestFit="1" customWidth="1"/>
    <col min="18" max="18" width="35" style="29" bestFit="1" customWidth="1"/>
    <col min="19" max="19" width="35.5703125" style="29" bestFit="1" customWidth="1"/>
    <col min="20" max="20" width="34.7109375" style="29" bestFit="1" customWidth="1"/>
    <col min="21" max="21" width="37.28515625" style="29" bestFit="1" customWidth="1"/>
    <col min="22" max="22" width="35.140625" style="29" bestFit="1" customWidth="1"/>
    <col min="23" max="23" width="37.28515625" style="29" bestFit="1" customWidth="1"/>
    <col min="24" max="24" width="35" style="29" bestFit="1" customWidth="1"/>
    <col min="25" max="25" width="36.5703125" style="29" bestFit="1" customWidth="1"/>
    <col min="26" max="26" width="35.140625" style="29" bestFit="1" customWidth="1"/>
    <col min="27" max="27" width="34.42578125" style="29" bestFit="1" customWidth="1"/>
    <col min="28" max="28" width="38.42578125" style="29" bestFit="1" customWidth="1"/>
    <col min="29" max="29" width="34.85546875" style="29" bestFit="1" customWidth="1"/>
    <col min="30" max="30" width="35" style="29" bestFit="1" customWidth="1"/>
    <col min="31" max="31" width="35.5703125" style="29" bestFit="1" customWidth="1"/>
    <col min="32" max="32" width="34.7109375" style="29" bestFit="1" customWidth="1"/>
    <col min="33" max="33" width="37.28515625" style="29" bestFit="1" customWidth="1"/>
    <col min="34" max="34" width="35.140625" style="29" bestFit="1" customWidth="1"/>
    <col min="35" max="35" width="37.28515625" style="29" bestFit="1" customWidth="1"/>
    <col min="36" max="36" width="35" style="29" bestFit="1" customWidth="1"/>
    <col min="37" max="37" width="36.5703125" style="29" bestFit="1" customWidth="1"/>
    <col min="38" max="16384" width="10.85546875" style="29"/>
  </cols>
  <sheetData>
    <row r="1" spans="1:37">
      <c r="A1" s="29" t="s">
        <v>586</v>
      </c>
      <c r="B1" s="29" t="s">
        <v>587</v>
      </c>
    </row>
    <row r="3" spans="1:37">
      <c r="A3" s="29" t="s">
        <v>588</v>
      </c>
      <c r="B3" s="29" t="s">
        <v>589</v>
      </c>
      <c r="C3" s="29" t="s">
        <v>590</v>
      </c>
      <c r="D3" s="29" t="s">
        <v>591</v>
      </c>
      <c r="E3" s="29" t="s">
        <v>592</v>
      </c>
      <c r="F3" s="29" t="s">
        <v>593</v>
      </c>
      <c r="G3" s="29" t="s">
        <v>594</v>
      </c>
      <c r="H3" s="29" t="s">
        <v>595</v>
      </c>
      <c r="I3" s="29" t="s">
        <v>596</v>
      </c>
      <c r="J3" s="29" t="s">
        <v>597</v>
      </c>
      <c r="K3" s="29" t="s">
        <v>598</v>
      </c>
      <c r="L3" s="29" t="s">
        <v>599</v>
      </c>
      <c r="M3" s="29" t="s">
        <v>600</v>
      </c>
      <c r="N3" s="29" t="s">
        <v>601</v>
      </c>
      <c r="O3" s="29" t="s">
        <v>602</v>
      </c>
      <c r="P3" s="29" t="s">
        <v>603</v>
      </c>
      <c r="Q3" s="29" t="s">
        <v>604</v>
      </c>
      <c r="R3" s="29" t="s">
        <v>605</v>
      </c>
      <c r="S3" s="29" t="s">
        <v>606</v>
      </c>
      <c r="T3" s="29" t="s">
        <v>607</v>
      </c>
      <c r="U3" s="29" t="s">
        <v>608</v>
      </c>
      <c r="V3" s="29" t="s">
        <v>609</v>
      </c>
      <c r="W3" s="29" t="s">
        <v>610</v>
      </c>
      <c r="X3" s="29" t="s">
        <v>611</v>
      </c>
      <c r="Y3" s="29" t="s">
        <v>612</v>
      </c>
      <c r="Z3" s="29" t="s">
        <v>613</v>
      </c>
      <c r="AA3" s="29" t="s">
        <v>614</v>
      </c>
      <c r="AB3" s="29" t="s">
        <v>615</v>
      </c>
      <c r="AC3" s="29" t="s">
        <v>616</v>
      </c>
      <c r="AD3" s="29" t="s">
        <v>617</v>
      </c>
      <c r="AE3" s="29" t="s">
        <v>618</v>
      </c>
      <c r="AF3" s="29" t="s">
        <v>619</v>
      </c>
      <c r="AG3" s="29" t="s">
        <v>620</v>
      </c>
      <c r="AH3" s="29" t="s">
        <v>621</v>
      </c>
      <c r="AI3" s="29" t="s">
        <v>622</v>
      </c>
      <c r="AJ3" s="29" t="s">
        <v>623</v>
      </c>
      <c r="AK3" s="29" t="s">
        <v>624</v>
      </c>
    </row>
    <row r="4" spans="1:37">
      <c r="A4" s="33" t="s">
        <v>83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70</v>
      </c>
      <c r="M4" s="34">
        <v>63</v>
      </c>
      <c r="N4" s="34">
        <v>91</v>
      </c>
      <c r="O4" s="34">
        <v>90.3947</v>
      </c>
      <c r="P4" s="34">
        <v>92</v>
      </c>
      <c r="Q4" s="34">
        <v>123</v>
      </c>
      <c r="R4" s="34">
        <v>96</v>
      </c>
      <c r="S4" s="34">
        <v>104</v>
      </c>
      <c r="T4" s="34">
        <v>207</v>
      </c>
      <c r="U4" s="34">
        <v>199</v>
      </c>
      <c r="V4" s="34">
        <v>177</v>
      </c>
      <c r="W4" s="34">
        <v>175</v>
      </c>
      <c r="X4" s="34">
        <v>131</v>
      </c>
      <c r="Y4" s="34">
        <v>104</v>
      </c>
      <c r="Z4" s="34">
        <v>137</v>
      </c>
      <c r="AA4" s="34">
        <v>71</v>
      </c>
      <c r="AB4" s="34">
        <v>82</v>
      </c>
      <c r="AC4" s="34">
        <v>111</v>
      </c>
      <c r="AD4" s="34">
        <v>116</v>
      </c>
      <c r="AE4" s="34">
        <v>100</v>
      </c>
      <c r="AF4" s="34">
        <v>100</v>
      </c>
      <c r="AG4" s="34">
        <v>96</v>
      </c>
      <c r="AH4" s="34">
        <v>21</v>
      </c>
      <c r="AI4" s="34">
        <v>11</v>
      </c>
      <c r="AJ4" s="34">
        <v>13</v>
      </c>
      <c r="AK4" s="34">
        <v>5</v>
      </c>
    </row>
    <row r="5" spans="1:37">
      <c r="A5" s="33" t="s">
        <v>84</v>
      </c>
      <c r="B5" s="34">
        <v>2335</v>
      </c>
      <c r="C5" s="34">
        <v>1808.3094000000001</v>
      </c>
      <c r="D5" s="34">
        <v>1653</v>
      </c>
      <c r="E5" s="34">
        <v>1882</v>
      </c>
      <c r="F5" s="34">
        <v>1656</v>
      </c>
      <c r="G5" s="34">
        <v>1485</v>
      </c>
      <c r="H5" s="34">
        <v>1900</v>
      </c>
      <c r="I5" s="34">
        <v>1371</v>
      </c>
      <c r="J5" s="34">
        <v>1179.4742999999999</v>
      </c>
      <c r="K5" s="34">
        <v>1484</v>
      </c>
      <c r="L5" s="34">
        <v>751</v>
      </c>
      <c r="M5" s="34">
        <v>657</v>
      </c>
      <c r="N5" s="34">
        <v>735</v>
      </c>
      <c r="O5" s="34">
        <v>607.19740000000002</v>
      </c>
      <c r="P5" s="34">
        <v>572</v>
      </c>
      <c r="Q5" s="34">
        <v>604</v>
      </c>
      <c r="R5" s="34">
        <v>896</v>
      </c>
      <c r="S5" s="34">
        <v>539</v>
      </c>
      <c r="T5" s="34">
        <v>1295</v>
      </c>
      <c r="U5" s="34">
        <v>565</v>
      </c>
      <c r="V5" s="34">
        <v>414</v>
      </c>
      <c r="W5" s="34">
        <v>617</v>
      </c>
      <c r="X5" s="34">
        <v>335</v>
      </c>
      <c r="Y5" s="34">
        <v>242</v>
      </c>
      <c r="Z5" s="34">
        <v>478</v>
      </c>
      <c r="AA5" s="34">
        <v>197</v>
      </c>
      <c r="AB5" s="34">
        <v>167</v>
      </c>
      <c r="AC5" s="34">
        <v>211</v>
      </c>
      <c r="AD5" s="34">
        <v>163</v>
      </c>
      <c r="AE5" s="34">
        <v>84</v>
      </c>
      <c r="AF5" s="34">
        <v>59</v>
      </c>
      <c r="AG5" s="34">
        <v>44</v>
      </c>
      <c r="AH5" s="34">
        <v>12</v>
      </c>
      <c r="AI5" s="34">
        <v>10</v>
      </c>
      <c r="AJ5" s="34">
        <v>8</v>
      </c>
      <c r="AK5" s="34">
        <v>2</v>
      </c>
    </row>
    <row r="6" spans="1:37">
      <c r="A6" s="33" t="s">
        <v>85</v>
      </c>
      <c r="B6" s="34">
        <v>284</v>
      </c>
      <c r="C6" s="34">
        <v>180</v>
      </c>
      <c r="D6" s="34">
        <v>278</v>
      </c>
      <c r="E6" s="34">
        <v>379</v>
      </c>
      <c r="F6" s="34">
        <v>329</v>
      </c>
      <c r="G6" s="34">
        <v>320</v>
      </c>
      <c r="H6" s="34">
        <v>389</v>
      </c>
      <c r="I6" s="34">
        <v>250</v>
      </c>
      <c r="J6" s="34">
        <v>323</v>
      </c>
      <c r="K6" s="34">
        <v>431</v>
      </c>
      <c r="L6" s="34">
        <v>217</v>
      </c>
      <c r="M6" s="34">
        <v>203</v>
      </c>
      <c r="N6" s="34">
        <v>290</v>
      </c>
      <c r="O6" s="34">
        <v>184.1842</v>
      </c>
      <c r="P6" s="34">
        <v>237</v>
      </c>
      <c r="Q6" s="34">
        <v>229</v>
      </c>
      <c r="R6" s="34">
        <v>226</v>
      </c>
      <c r="S6" s="34">
        <v>166</v>
      </c>
      <c r="T6" s="34">
        <v>1982.7928999999999</v>
      </c>
      <c r="U6" s="34">
        <v>1521</v>
      </c>
      <c r="V6" s="34">
        <v>1519</v>
      </c>
      <c r="W6" s="34">
        <v>2770</v>
      </c>
      <c r="X6" s="34">
        <v>1088</v>
      </c>
      <c r="Y6" s="34">
        <v>937</v>
      </c>
      <c r="Z6" s="34">
        <v>1344</v>
      </c>
      <c r="AA6" s="34">
        <v>920</v>
      </c>
      <c r="AB6" s="34">
        <v>842</v>
      </c>
      <c r="AC6" s="34">
        <v>1866</v>
      </c>
      <c r="AD6" s="34">
        <v>1441</v>
      </c>
      <c r="AE6" s="34">
        <v>930</v>
      </c>
      <c r="AF6" s="34">
        <v>1374</v>
      </c>
      <c r="AG6" s="34">
        <v>1396</v>
      </c>
      <c r="AH6" s="34">
        <v>1329</v>
      </c>
      <c r="AI6" s="34">
        <v>1521</v>
      </c>
      <c r="AJ6" s="34">
        <v>841</v>
      </c>
      <c r="AK6" s="34">
        <v>956</v>
      </c>
    </row>
    <row r="7" spans="1:37">
      <c r="A7" s="33" t="s">
        <v>625</v>
      </c>
      <c r="B7" s="34">
        <v>0</v>
      </c>
      <c r="C7" s="34">
        <v>0</v>
      </c>
      <c r="D7" s="34">
        <v>1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</row>
    <row r="8" spans="1:37">
      <c r="A8" s="33" t="s">
        <v>86</v>
      </c>
      <c r="B8" s="34">
        <v>386</v>
      </c>
      <c r="C8" s="34">
        <v>246</v>
      </c>
      <c r="D8" s="34">
        <v>220</v>
      </c>
      <c r="E8" s="34">
        <v>186</v>
      </c>
      <c r="F8" s="34">
        <v>111</v>
      </c>
      <c r="G8" s="34">
        <v>87</v>
      </c>
      <c r="H8" s="34">
        <v>80</v>
      </c>
      <c r="I8" s="34">
        <v>66</v>
      </c>
      <c r="J8" s="34">
        <v>32</v>
      </c>
      <c r="K8" s="34">
        <v>25</v>
      </c>
      <c r="L8" s="34">
        <v>16</v>
      </c>
      <c r="M8" s="34">
        <v>9</v>
      </c>
      <c r="N8" s="34">
        <v>6</v>
      </c>
      <c r="O8" s="34">
        <v>10</v>
      </c>
      <c r="P8" s="34">
        <v>5</v>
      </c>
      <c r="Q8" s="34">
        <v>12</v>
      </c>
      <c r="R8" s="34">
        <v>9</v>
      </c>
      <c r="S8" s="34">
        <v>12</v>
      </c>
      <c r="T8" s="34">
        <v>16</v>
      </c>
      <c r="U8" s="34">
        <v>4</v>
      </c>
      <c r="V8" s="34">
        <v>2</v>
      </c>
      <c r="W8" s="34">
        <v>1</v>
      </c>
      <c r="X8" s="34">
        <v>2</v>
      </c>
      <c r="Y8" s="34">
        <v>0</v>
      </c>
      <c r="Z8" s="34">
        <v>1</v>
      </c>
      <c r="AA8" s="34">
        <v>2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</row>
    <row r="9" spans="1:37">
      <c r="A9" s="33" t="s">
        <v>87</v>
      </c>
      <c r="B9" s="34">
        <v>1900</v>
      </c>
      <c r="C9" s="34">
        <v>1150</v>
      </c>
      <c r="D9" s="34">
        <v>1197</v>
      </c>
      <c r="E9" s="34">
        <v>1569</v>
      </c>
      <c r="F9" s="34">
        <v>1615</v>
      </c>
      <c r="G9" s="34">
        <v>1847</v>
      </c>
      <c r="H9" s="34">
        <v>2654</v>
      </c>
      <c r="I9" s="34">
        <v>1832.1421</v>
      </c>
      <c r="J9" s="34">
        <v>1802</v>
      </c>
      <c r="K9" s="34">
        <v>2124</v>
      </c>
      <c r="L9" s="34">
        <v>1243</v>
      </c>
      <c r="M9" s="34">
        <v>1451</v>
      </c>
      <c r="N9" s="34">
        <v>2828</v>
      </c>
      <c r="O9" s="34">
        <v>1313.579</v>
      </c>
      <c r="P9" s="34">
        <v>1150</v>
      </c>
      <c r="Q9" s="34">
        <v>1302</v>
      </c>
      <c r="R9" s="34">
        <v>1453</v>
      </c>
      <c r="S9" s="34">
        <v>1129.3748000000001</v>
      </c>
      <c r="T9" s="34">
        <v>2753.2018000000003</v>
      </c>
      <c r="U9" s="34">
        <v>1384</v>
      </c>
      <c r="V9" s="34">
        <v>1515</v>
      </c>
      <c r="W9" s="34">
        <v>2766</v>
      </c>
      <c r="X9" s="34">
        <v>1280</v>
      </c>
      <c r="Y9" s="34">
        <v>2951</v>
      </c>
      <c r="Z9" s="34">
        <v>2818</v>
      </c>
      <c r="AA9" s="34">
        <v>1132</v>
      </c>
      <c r="AB9" s="34">
        <v>851</v>
      </c>
      <c r="AC9" s="34">
        <v>1070</v>
      </c>
      <c r="AD9" s="34">
        <v>912</v>
      </c>
      <c r="AE9" s="34">
        <v>514</v>
      </c>
      <c r="AF9" s="34">
        <v>685</v>
      </c>
      <c r="AG9" s="34">
        <v>534</v>
      </c>
      <c r="AH9" s="34">
        <v>377</v>
      </c>
      <c r="AI9" s="34">
        <v>1249</v>
      </c>
      <c r="AJ9" s="34">
        <v>322</v>
      </c>
      <c r="AK9" s="34">
        <v>261</v>
      </c>
    </row>
    <row r="10" spans="1:37">
      <c r="A10" s="33" t="s">
        <v>88</v>
      </c>
      <c r="B10" s="34">
        <v>6512</v>
      </c>
      <c r="C10" s="34">
        <v>4039.6188000000002</v>
      </c>
      <c r="D10" s="34">
        <v>4145</v>
      </c>
      <c r="E10" s="34">
        <v>5626</v>
      </c>
      <c r="F10" s="34">
        <v>5232</v>
      </c>
      <c r="G10" s="34">
        <v>5682</v>
      </c>
      <c r="H10" s="34">
        <v>8203</v>
      </c>
      <c r="I10" s="34">
        <v>6097</v>
      </c>
      <c r="J10" s="34">
        <v>5822</v>
      </c>
      <c r="K10" s="34">
        <v>6812</v>
      </c>
      <c r="L10" s="34">
        <v>4250</v>
      </c>
      <c r="M10" s="34">
        <v>3790</v>
      </c>
      <c r="N10" s="34">
        <v>4672</v>
      </c>
      <c r="O10" s="34">
        <v>3303.9341000000004</v>
      </c>
      <c r="P10" s="34">
        <v>3745</v>
      </c>
      <c r="Q10" s="34">
        <v>4535</v>
      </c>
      <c r="R10" s="34">
        <v>4280</v>
      </c>
      <c r="S10" s="34">
        <v>3991.4403999999995</v>
      </c>
      <c r="T10" s="34">
        <v>7336.5758000000005</v>
      </c>
      <c r="U10" s="34">
        <v>4531</v>
      </c>
      <c r="V10" s="34">
        <v>4316</v>
      </c>
      <c r="W10" s="34">
        <v>5717</v>
      </c>
      <c r="X10" s="34">
        <v>3365</v>
      </c>
      <c r="Y10" s="34">
        <v>3507</v>
      </c>
      <c r="Z10" s="34">
        <v>5731</v>
      </c>
      <c r="AA10" s="34">
        <v>4078</v>
      </c>
      <c r="AB10" s="34">
        <v>4923</v>
      </c>
      <c r="AC10" s="34">
        <v>6437</v>
      </c>
      <c r="AD10" s="34">
        <v>4390</v>
      </c>
      <c r="AE10" s="34">
        <v>4074</v>
      </c>
      <c r="AF10" s="34">
        <v>6600</v>
      </c>
      <c r="AG10" s="34">
        <v>5699</v>
      </c>
      <c r="AH10" s="34">
        <v>6139</v>
      </c>
      <c r="AI10" s="34">
        <v>7875</v>
      </c>
      <c r="AJ10" s="34">
        <v>5106</v>
      </c>
      <c r="AK10" s="34">
        <v>5230</v>
      </c>
    </row>
    <row r="11" spans="1:37">
      <c r="A11" s="33" t="s">
        <v>89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</row>
    <row r="12" spans="1:37">
      <c r="A12" s="33" t="s">
        <v>90</v>
      </c>
      <c r="B12" s="34">
        <v>2103</v>
      </c>
      <c r="C12" s="34">
        <v>1021.3094000000001</v>
      </c>
      <c r="D12" s="34">
        <v>1000</v>
      </c>
      <c r="E12" s="34">
        <v>1388</v>
      </c>
      <c r="F12" s="34">
        <v>1233</v>
      </c>
      <c r="G12" s="34">
        <v>1309</v>
      </c>
      <c r="H12" s="34">
        <v>2072</v>
      </c>
      <c r="I12" s="34">
        <v>1516</v>
      </c>
      <c r="J12" s="34">
        <v>1535</v>
      </c>
      <c r="K12" s="34">
        <v>1888</v>
      </c>
      <c r="L12" s="34">
        <v>914</v>
      </c>
      <c r="M12" s="34">
        <v>1003</v>
      </c>
      <c r="N12" s="34">
        <v>1181</v>
      </c>
      <c r="O12" s="34">
        <v>834.38159999999993</v>
      </c>
      <c r="P12" s="34">
        <v>1029</v>
      </c>
      <c r="Q12" s="34">
        <v>1383</v>
      </c>
      <c r="R12" s="34">
        <v>1361</v>
      </c>
      <c r="S12" s="34">
        <v>1292.6147000000001</v>
      </c>
      <c r="T12" s="34">
        <v>2617.0225999999998</v>
      </c>
      <c r="U12" s="34">
        <v>1262</v>
      </c>
      <c r="V12" s="34">
        <v>1563</v>
      </c>
      <c r="W12" s="34">
        <v>3145</v>
      </c>
      <c r="X12" s="34">
        <v>1716</v>
      </c>
      <c r="Y12" s="34">
        <v>1389</v>
      </c>
      <c r="Z12" s="34">
        <v>1915</v>
      </c>
      <c r="AA12" s="34">
        <v>839</v>
      </c>
      <c r="AB12" s="34">
        <v>732</v>
      </c>
      <c r="AC12" s="34">
        <v>936</v>
      </c>
      <c r="AD12" s="34">
        <v>928</v>
      </c>
      <c r="AE12" s="34">
        <v>578</v>
      </c>
      <c r="AF12" s="34">
        <v>656</v>
      </c>
      <c r="AG12" s="34">
        <v>460</v>
      </c>
      <c r="AH12" s="34">
        <v>181</v>
      </c>
      <c r="AI12" s="34">
        <v>135</v>
      </c>
      <c r="AJ12" s="34">
        <v>83</v>
      </c>
      <c r="AK12" s="34">
        <v>49</v>
      </c>
    </row>
    <row r="13" spans="1:37">
      <c r="A13" s="33" t="s">
        <v>91</v>
      </c>
      <c r="B13" s="34">
        <v>3609</v>
      </c>
      <c r="C13" s="34">
        <v>2058.9282000000003</v>
      </c>
      <c r="D13" s="34">
        <v>1809</v>
      </c>
      <c r="E13" s="34">
        <v>2213</v>
      </c>
      <c r="F13" s="34">
        <v>1919</v>
      </c>
      <c r="G13" s="34">
        <v>1885</v>
      </c>
      <c r="H13" s="34">
        <v>2741</v>
      </c>
      <c r="I13" s="34">
        <v>2081</v>
      </c>
      <c r="J13" s="34">
        <v>1932.2371000000001</v>
      </c>
      <c r="K13" s="34">
        <v>2150</v>
      </c>
      <c r="L13" s="34">
        <v>1337</v>
      </c>
      <c r="M13" s="34">
        <v>1050</v>
      </c>
      <c r="N13" s="34">
        <v>1367</v>
      </c>
      <c r="O13" s="34">
        <v>1141.3815</v>
      </c>
      <c r="P13" s="34">
        <v>1299</v>
      </c>
      <c r="Q13" s="34">
        <v>1846</v>
      </c>
      <c r="R13" s="34">
        <v>1466</v>
      </c>
      <c r="S13" s="34">
        <v>1000.2874</v>
      </c>
      <c r="T13" s="34">
        <v>1686.0014000000001</v>
      </c>
      <c r="U13" s="34">
        <v>991</v>
      </c>
      <c r="V13" s="34">
        <v>983</v>
      </c>
      <c r="W13" s="34">
        <v>1280</v>
      </c>
      <c r="X13" s="34">
        <v>498</v>
      </c>
      <c r="Y13" s="34">
        <v>497</v>
      </c>
      <c r="Z13" s="34">
        <v>850</v>
      </c>
      <c r="AA13" s="34">
        <v>434</v>
      </c>
      <c r="AB13" s="34">
        <v>425</v>
      </c>
      <c r="AC13" s="34">
        <v>512</v>
      </c>
      <c r="AD13" s="34">
        <v>545</v>
      </c>
      <c r="AE13" s="34">
        <v>402</v>
      </c>
      <c r="AF13" s="34">
        <v>440</v>
      </c>
      <c r="AG13" s="34">
        <v>434</v>
      </c>
      <c r="AH13" s="34">
        <v>234</v>
      </c>
      <c r="AI13" s="34">
        <v>125</v>
      </c>
      <c r="AJ13" s="34">
        <v>65</v>
      </c>
      <c r="AK13" s="34">
        <v>43</v>
      </c>
    </row>
    <row r="14" spans="1:37">
      <c r="A14" s="33" t="s">
        <v>626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2</v>
      </c>
      <c r="AB14" s="34">
        <v>5</v>
      </c>
      <c r="AC14" s="34">
        <v>16</v>
      </c>
      <c r="AD14" s="34">
        <v>10</v>
      </c>
      <c r="AE14" s="34">
        <v>14</v>
      </c>
      <c r="AF14" s="34">
        <v>20</v>
      </c>
      <c r="AG14" s="34">
        <v>15</v>
      </c>
      <c r="AH14" s="34">
        <v>9</v>
      </c>
      <c r="AI14" s="34">
        <v>12</v>
      </c>
      <c r="AJ14" s="34">
        <v>10</v>
      </c>
      <c r="AK14" s="34">
        <v>3</v>
      </c>
    </row>
    <row r="15" spans="1:37">
      <c r="A15" s="33" t="s">
        <v>92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48</v>
      </c>
      <c r="X15" s="34">
        <v>2675</v>
      </c>
      <c r="Y15" s="34">
        <v>4828</v>
      </c>
      <c r="Z15" s="34">
        <v>8448</v>
      </c>
      <c r="AA15" s="34">
        <v>5621</v>
      </c>
      <c r="AB15" s="34">
        <v>6407</v>
      </c>
      <c r="AC15" s="34">
        <v>10835</v>
      </c>
      <c r="AD15" s="34">
        <v>9857</v>
      </c>
      <c r="AE15" s="34">
        <v>8047</v>
      </c>
      <c r="AF15" s="34">
        <v>10478</v>
      </c>
      <c r="AG15" s="34">
        <v>8619</v>
      </c>
      <c r="AH15" s="34">
        <v>9028</v>
      </c>
      <c r="AI15" s="34">
        <v>14693</v>
      </c>
      <c r="AJ15" s="34">
        <v>8844</v>
      </c>
      <c r="AK15" s="34">
        <v>8680</v>
      </c>
    </row>
    <row r="16" spans="1:37">
      <c r="A16" s="33" t="s">
        <v>93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1481</v>
      </c>
      <c r="M16" s="34">
        <v>2765</v>
      </c>
      <c r="N16" s="34">
        <v>5159</v>
      </c>
      <c r="O16" s="34">
        <v>3316.3553000000002</v>
      </c>
      <c r="P16" s="34">
        <v>5149</v>
      </c>
      <c r="Q16" s="34">
        <v>3600</v>
      </c>
      <c r="R16" s="34">
        <v>3632</v>
      </c>
      <c r="S16" s="34">
        <v>3030.7873</v>
      </c>
      <c r="T16" s="34">
        <v>5139.4434999999994</v>
      </c>
      <c r="U16" s="34">
        <v>3334</v>
      </c>
      <c r="V16" s="34">
        <v>3404</v>
      </c>
      <c r="W16" s="34">
        <v>6485</v>
      </c>
      <c r="X16" s="34">
        <v>4061</v>
      </c>
      <c r="Y16" s="34">
        <v>3434</v>
      </c>
      <c r="Z16" s="34">
        <v>8591</v>
      </c>
      <c r="AA16" s="34">
        <v>5435</v>
      </c>
      <c r="AB16" s="34">
        <v>5120</v>
      </c>
      <c r="AC16" s="34">
        <v>7734</v>
      </c>
      <c r="AD16" s="34">
        <v>5694</v>
      </c>
      <c r="AE16" s="34">
        <v>4293</v>
      </c>
      <c r="AF16" s="34">
        <v>6787</v>
      </c>
      <c r="AG16" s="34">
        <v>5656</v>
      </c>
      <c r="AH16" s="34">
        <v>6190</v>
      </c>
      <c r="AI16" s="34">
        <v>9772</v>
      </c>
      <c r="AJ16" s="34">
        <v>5973</v>
      </c>
      <c r="AK16" s="34">
        <v>5647</v>
      </c>
    </row>
    <row r="17" spans="1:37">
      <c r="A17" s="33" t="s">
        <v>94</v>
      </c>
      <c r="B17" s="34">
        <v>6392</v>
      </c>
      <c r="C17" s="34">
        <v>4458</v>
      </c>
      <c r="D17" s="34">
        <v>6878</v>
      </c>
      <c r="E17" s="34">
        <v>9518</v>
      </c>
      <c r="F17" s="34">
        <v>7709</v>
      </c>
      <c r="G17" s="34">
        <v>9234</v>
      </c>
      <c r="H17" s="34">
        <v>15459</v>
      </c>
      <c r="I17" s="34">
        <v>11141</v>
      </c>
      <c r="J17" s="34">
        <v>10855.711299999999</v>
      </c>
      <c r="K17" s="34">
        <v>12549</v>
      </c>
      <c r="L17" s="34">
        <v>6271</v>
      </c>
      <c r="M17" s="34">
        <v>5134</v>
      </c>
      <c r="N17" s="34">
        <v>7691.4354000000003</v>
      </c>
      <c r="O17" s="34">
        <v>5093.1183000000001</v>
      </c>
      <c r="P17" s="34">
        <v>6112</v>
      </c>
      <c r="Q17" s="34">
        <v>6602</v>
      </c>
      <c r="R17" s="34">
        <v>6816</v>
      </c>
      <c r="S17" s="34">
        <v>5809.6858000000002</v>
      </c>
      <c r="T17" s="34">
        <v>12086.615700000002</v>
      </c>
      <c r="U17" s="34">
        <v>5941</v>
      </c>
      <c r="V17" s="34">
        <v>5681</v>
      </c>
      <c r="W17" s="34">
        <v>8545</v>
      </c>
      <c r="X17" s="34">
        <v>4778</v>
      </c>
      <c r="Y17" s="34">
        <v>4673</v>
      </c>
      <c r="Z17" s="34">
        <v>7119</v>
      </c>
      <c r="AA17" s="34">
        <v>6115</v>
      </c>
      <c r="AB17" s="34">
        <v>6000</v>
      </c>
      <c r="AC17" s="34">
        <v>8517</v>
      </c>
      <c r="AD17" s="34">
        <v>7157</v>
      </c>
      <c r="AE17" s="34">
        <v>5883</v>
      </c>
      <c r="AF17" s="34">
        <v>8987</v>
      </c>
      <c r="AG17" s="34">
        <v>8782</v>
      </c>
      <c r="AH17" s="34">
        <v>8128</v>
      </c>
      <c r="AI17" s="34">
        <v>11780</v>
      </c>
      <c r="AJ17" s="34">
        <v>6895</v>
      </c>
      <c r="AK17" s="34">
        <v>7447</v>
      </c>
    </row>
    <row r="18" spans="1:37">
      <c r="A18" s="33" t="s">
        <v>95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46</v>
      </c>
      <c r="H18" s="34">
        <v>489</v>
      </c>
      <c r="I18" s="34">
        <v>869</v>
      </c>
      <c r="J18" s="34">
        <v>609</v>
      </c>
      <c r="K18" s="34">
        <v>616</v>
      </c>
      <c r="L18" s="34">
        <v>314</v>
      </c>
      <c r="M18" s="34">
        <v>261</v>
      </c>
      <c r="N18" s="34">
        <v>374</v>
      </c>
      <c r="O18" s="34">
        <v>216.19739999999999</v>
      </c>
      <c r="P18" s="34">
        <v>282</v>
      </c>
      <c r="Q18" s="34">
        <v>210</v>
      </c>
      <c r="R18" s="34">
        <v>268</v>
      </c>
      <c r="S18" s="34">
        <v>170.90950000000001</v>
      </c>
      <c r="T18" s="34">
        <v>331.11869999999999</v>
      </c>
      <c r="U18" s="34">
        <v>273</v>
      </c>
      <c r="V18" s="34">
        <v>316</v>
      </c>
      <c r="W18" s="34">
        <v>431</v>
      </c>
      <c r="X18" s="34">
        <v>269</v>
      </c>
      <c r="Y18" s="34">
        <v>214</v>
      </c>
      <c r="Z18" s="34">
        <v>410</v>
      </c>
      <c r="AA18" s="34">
        <v>202</v>
      </c>
      <c r="AB18" s="34">
        <v>206</v>
      </c>
      <c r="AC18" s="34">
        <v>291</v>
      </c>
      <c r="AD18" s="34">
        <v>261</v>
      </c>
      <c r="AE18" s="34">
        <v>157</v>
      </c>
      <c r="AF18" s="34">
        <v>301</v>
      </c>
      <c r="AG18" s="34">
        <v>293</v>
      </c>
      <c r="AH18" s="34">
        <v>215</v>
      </c>
      <c r="AI18" s="34">
        <v>293</v>
      </c>
      <c r="AJ18" s="34">
        <v>208</v>
      </c>
      <c r="AK18" s="34">
        <v>225</v>
      </c>
    </row>
    <row r="19" spans="1:37">
      <c r="A19" s="33" t="s">
        <v>627</v>
      </c>
      <c r="B19" s="34">
        <v>0</v>
      </c>
      <c r="C19" s="34">
        <v>0</v>
      </c>
      <c r="D19" s="34">
        <v>0</v>
      </c>
      <c r="E19" s="34">
        <v>2</v>
      </c>
      <c r="F19" s="34">
        <v>0</v>
      </c>
      <c r="G19" s="34">
        <v>0</v>
      </c>
      <c r="H19" s="34">
        <v>2</v>
      </c>
      <c r="I19" s="34">
        <v>4</v>
      </c>
      <c r="J19" s="34">
        <v>1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1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</row>
    <row r="20" spans="1:37">
      <c r="A20" s="33" t="s">
        <v>628</v>
      </c>
      <c r="B20" s="34">
        <v>2</v>
      </c>
      <c r="C20" s="34">
        <v>1</v>
      </c>
      <c r="D20" s="34">
        <v>1</v>
      </c>
      <c r="E20" s="34">
        <v>3</v>
      </c>
      <c r="F20" s="34">
        <v>2</v>
      </c>
      <c r="G20" s="34">
        <v>0</v>
      </c>
      <c r="H20" s="34">
        <v>1</v>
      </c>
      <c r="I20" s="34">
        <v>0</v>
      </c>
      <c r="J20" s="34">
        <v>0</v>
      </c>
      <c r="K20" s="34">
        <v>1</v>
      </c>
      <c r="L20" s="34">
        <v>1</v>
      </c>
      <c r="M20" s="34">
        <v>0</v>
      </c>
      <c r="N20" s="34">
        <v>1</v>
      </c>
      <c r="O20" s="34">
        <v>0</v>
      </c>
      <c r="P20" s="34">
        <v>0</v>
      </c>
      <c r="Q20" s="34">
        <v>19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</row>
    <row r="21" spans="1:37">
      <c r="A21" s="33" t="s">
        <v>629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2</v>
      </c>
      <c r="AH21" s="34">
        <v>0</v>
      </c>
      <c r="AI21" s="34">
        <v>0</v>
      </c>
      <c r="AJ21" s="34">
        <v>0</v>
      </c>
      <c r="AK21" s="34">
        <v>0</v>
      </c>
    </row>
    <row r="22" spans="1:37">
      <c r="A22" s="33" t="s">
        <v>96</v>
      </c>
      <c r="B22" s="34">
        <v>96</v>
      </c>
      <c r="C22" s="34">
        <v>84</v>
      </c>
      <c r="D22" s="34">
        <v>109</v>
      </c>
      <c r="E22" s="34">
        <v>174</v>
      </c>
      <c r="F22" s="34">
        <v>139</v>
      </c>
      <c r="G22" s="34">
        <v>181</v>
      </c>
      <c r="H22" s="34">
        <v>300</v>
      </c>
      <c r="I22" s="34">
        <v>230</v>
      </c>
      <c r="J22" s="34">
        <v>234</v>
      </c>
      <c r="K22" s="34">
        <v>243</v>
      </c>
      <c r="L22" s="34">
        <v>153</v>
      </c>
      <c r="M22" s="34">
        <v>150</v>
      </c>
      <c r="N22" s="34">
        <v>248</v>
      </c>
      <c r="O22" s="34">
        <v>128</v>
      </c>
      <c r="P22" s="34">
        <v>249</v>
      </c>
      <c r="Q22" s="34">
        <v>270</v>
      </c>
      <c r="R22" s="34">
        <v>279</v>
      </c>
      <c r="S22" s="34">
        <v>207.81569999999999</v>
      </c>
      <c r="T22" s="34">
        <v>394.98379999999997</v>
      </c>
      <c r="U22" s="34">
        <v>309</v>
      </c>
      <c r="V22" s="34">
        <v>302</v>
      </c>
      <c r="W22" s="34">
        <v>449</v>
      </c>
      <c r="X22" s="34">
        <v>260</v>
      </c>
      <c r="Y22" s="34">
        <v>274</v>
      </c>
      <c r="Z22" s="34">
        <v>579</v>
      </c>
      <c r="AA22" s="34">
        <v>366</v>
      </c>
      <c r="AB22" s="34">
        <v>339</v>
      </c>
      <c r="AC22" s="34">
        <v>888</v>
      </c>
      <c r="AD22" s="34">
        <v>693</v>
      </c>
      <c r="AE22" s="34">
        <v>476</v>
      </c>
      <c r="AF22" s="34">
        <v>667</v>
      </c>
      <c r="AG22" s="34">
        <v>655</v>
      </c>
      <c r="AH22" s="34">
        <v>504</v>
      </c>
      <c r="AI22" s="34">
        <v>506</v>
      </c>
      <c r="AJ22" s="34">
        <v>229</v>
      </c>
      <c r="AK22" s="34">
        <v>226</v>
      </c>
    </row>
    <row r="23" spans="1:37">
      <c r="A23" s="33" t="s">
        <v>630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1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</row>
    <row r="24" spans="1:37">
      <c r="A24" s="33" t="s">
        <v>97</v>
      </c>
      <c r="B24" s="34">
        <v>306</v>
      </c>
      <c r="C24" s="34">
        <v>241</v>
      </c>
      <c r="D24" s="34">
        <v>287</v>
      </c>
      <c r="E24" s="34">
        <v>446</v>
      </c>
      <c r="F24" s="34">
        <v>362</v>
      </c>
      <c r="G24" s="34">
        <v>368</v>
      </c>
      <c r="H24" s="34">
        <v>555</v>
      </c>
      <c r="I24" s="34">
        <v>520</v>
      </c>
      <c r="J24" s="34">
        <v>355</v>
      </c>
      <c r="K24" s="34">
        <v>434</v>
      </c>
      <c r="L24" s="34">
        <v>279</v>
      </c>
      <c r="M24" s="34">
        <v>260</v>
      </c>
      <c r="N24" s="34">
        <v>413.21770000000004</v>
      </c>
      <c r="O24" s="34">
        <v>204</v>
      </c>
      <c r="P24" s="34">
        <v>320</v>
      </c>
      <c r="Q24" s="34">
        <v>325</v>
      </c>
      <c r="R24" s="34">
        <v>378</v>
      </c>
      <c r="S24" s="34">
        <v>227.79090000000002</v>
      </c>
      <c r="T24" s="34">
        <v>530.47500000000002</v>
      </c>
      <c r="U24" s="34">
        <v>392</v>
      </c>
      <c r="V24" s="34">
        <v>444</v>
      </c>
      <c r="W24" s="34">
        <v>508</v>
      </c>
      <c r="X24" s="34">
        <v>271</v>
      </c>
      <c r="Y24" s="34">
        <v>318</v>
      </c>
      <c r="Z24" s="34">
        <v>488</v>
      </c>
      <c r="AA24" s="34">
        <v>353</v>
      </c>
      <c r="AB24" s="34">
        <v>305</v>
      </c>
      <c r="AC24" s="34">
        <v>539</v>
      </c>
      <c r="AD24" s="34">
        <v>523</v>
      </c>
      <c r="AE24" s="34">
        <v>462</v>
      </c>
      <c r="AF24" s="34">
        <v>583</v>
      </c>
      <c r="AG24" s="34">
        <v>505</v>
      </c>
      <c r="AH24" s="34">
        <v>346</v>
      </c>
      <c r="AI24" s="34">
        <v>377</v>
      </c>
      <c r="AJ24" s="34">
        <v>239</v>
      </c>
      <c r="AK24" s="34">
        <v>239</v>
      </c>
    </row>
    <row r="25" spans="1:37">
      <c r="A25" s="33" t="s">
        <v>98</v>
      </c>
      <c r="B25" s="34">
        <v>1394</v>
      </c>
      <c r="C25" s="34">
        <v>655</v>
      </c>
      <c r="D25" s="34">
        <v>728</v>
      </c>
      <c r="E25" s="34">
        <v>930</v>
      </c>
      <c r="F25" s="34">
        <v>602</v>
      </c>
      <c r="G25" s="34">
        <v>642</v>
      </c>
      <c r="H25" s="34">
        <v>960</v>
      </c>
      <c r="I25" s="34">
        <v>798.14210000000003</v>
      </c>
      <c r="J25" s="34">
        <v>571</v>
      </c>
      <c r="K25" s="34">
        <v>637</v>
      </c>
      <c r="L25" s="34">
        <v>381</v>
      </c>
      <c r="M25" s="34">
        <v>330</v>
      </c>
      <c r="N25" s="34">
        <v>518.43539999999996</v>
      </c>
      <c r="O25" s="34">
        <v>275.59210000000002</v>
      </c>
      <c r="P25" s="34">
        <v>388</v>
      </c>
      <c r="Q25" s="34">
        <v>342</v>
      </c>
      <c r="R25" s="34">
        <v>332</v>
      </c>
      <c r="S25" s="34">
        <v>240.8537</v>
      </c>
      <c r="T25" s="34">
        <v>548.94569999999999</v>
      </c>
      <c r="U25" s="34">
        <v>373</v>
      </c>
      <c r="V25" s="34">
        <v>390</v>
      </c>
      <c r="W25" s="34">
        <v>439</v>
      </c>
      <c r="X25" s="34">
        <v>224</v>
      </c>
      <c r="Y25" s="34">
        <v>191</v>
      </c>
      <c r="Z25" s="34">
        <v>372</v>
      </c>
      <c r="AA25" s="34">
        <v>234</v>
      </c>
      <c r="AB25" s="34">
        <v>239</v>
      </c>
      <c r="AC25" s="34">
        <v>306</v>
      </c>
      <c r="AD25" s="34">
        <v>399</v>
      </c>
      <c r="AE25" s="34">
        <v>306</v>
      </c>
      <c r="AF25" s="34">
        <v>570</v>
      </c>
      <c r="AG25" s="34">
        <v>578</v>
      </c>
      <c r="AH25" s="34">
        <v>491</v>
      </c>
      <c r="AI25" s="34">
        <v>444</v>
      </c>
      <c r="AJ25" s="34">
        <v>290</v>
      </c>
      <c r="AK25" s="34">
        <v>280</v>
      </c>
    </row>
    <row r="26" spans="1:37">
      <c r="A26" s="33" t="s">
        <v>99</v>
      </c>
      <c r="B26" s="34">
        <v>562</v>
      </c>
      <c r="C26" s="34">
        <v>396</v>
      </c>
      <c r="D26" s="34">
        <v>579</v>
      </c>
      <c r="E26" s="34">
        <v>704</v>
      </c>
      <c r="F26" s="34">
        <v>463</v>
      </c>
      <c r="G26" s="34">
        <v>581</v>
      </c>
      <c r="H26" s="34">
        <v>852</v>
      </c>
      <c r="I26" s="34">
        <v>572</v>
      </c>
      <c r="J26" s="34">
        <v>544</v>
      </c>
      <c r="K26" s="34">
        <v>670</v>
      </c>
      <c r="L26" s="34">
        <v>432</v>
      </c>
      <c r="M26" s="34">
        <v>365</v>
      </c>
      <c r="N26" s="34">
        <v>549</v>
      </c>
      <c r="O26" s="34">
        <v>305.59209999999996</v>
      </c>
      <c r="P26" s="34">
        <v>430</v>
      </c>
      <c r="Q26" s="34">
        <v>442</v>
      </c>
      <c r="R26" s="34">
        <v>488</v>
      </c>
      <c r="S26" s="34">
        <v>463.83969999999999</v>
      </c>
      <c r="T26" s="34">
        <v>935.97720000000004</v>
      </c>
      <c r="U26" s="34">
        <v>571</v>
      </c>
      <c r="V26" s="34">
        <v>576</v>
      </c>
      <c r="W26" s="34">
        <v>808</v>
      </c>
      <c r="X26" s="34">
        <v>504</v>
      </c>
      <c r="Y26" s="34">
        <v>479</v>
      </c>
      <c r="Z26" s="34">
        <v>829</v>
      </c>
      <c r="AA26" s="34">
        <v>575</v>
      </c>
      <c r="AB26" s="34">
        <v>532</v>
      </c>
      <c r="AC26" s="34">
        <v>886</v>
      </c>
      <c r="AD26" s="34">
        <v>730</v>
      </c>
      <c r="AE26" s="34">
        <v>782</v>
      </c>
      <c r="AF26" s="34">
        <v>1048</v>
      </c>
      <c r="AG26" s="34">
        <v>770</v>
      </c>
      <c r="AH26" s="34">
        <v>734</v>
      </c>
      <c r="AI26" s="34">
        <v>809</v>
      </c>
      <c r="AJ26" s="34">
        <v>564</v>
      </c>
      <c r="AK26" s="34">
        <v>642</v>
      </c>
    </row>
    <row r="27" spans="1:37">
      <c r="A27" s="33" t="s">
        <v>100</v>
      </c>
      <c r="B27" s="34">
        <v>166</v>
      </c>
      <c r="C27" s="34">
        <v>188.15469999999999</v>
      </c>
      <c r="D27" s="34">
        <v>142</v>
      </c>
      <c r="E27" s="34">
        <v>229</v>
      </c>
      <c r="F27" s="34">
        <v>205</v>
      </c>
      <c r="G27" s="34">
        <v>193</v>
      </c>
      <c r="H27" s="34">
        <v>259</v>
      </c>
      <c r="I27" s="34">
        <v>315</v>
      </c>
      <c r="J27" s="34">
        <v>185</v>
      </c>
      <c r="K27" s="34">
        <v>149</v>
      </c>
      <c r="L27" s="34">
        <v>135</v>
      </c>
      <c r="M27" s="34">
        <v>142</v>
      </c>
      <c r="N27" s="34">
        <v>163</v>
      </c>
      <c r="O27" s="34">
        <v>107.5921</v>
      </c>
      <c r="P27" s="34">
        <v>152</v>
      </c>
      <c r="Q27" s="34">
        <v>78</v>
      </c>
      <c r="R27" s="34">
        <v>69</v>
      </c>
      <c r="S27" s="34">
        <v>52</v>
      </c>
      <c r="T27" s="34">
        <v>231</v>
      </c>
      <c r="U27" s="34">
        <v>59</v>
      </c>
      <c r="V27" s="34">
        <v>125</v>
      </c>
      <c r="W27" s="34">
        <v>78</v>
      </c>
      <c r="X27" s="34">
        <v>131</v>
      </c>
      <c r="Y27" s="34">
        <v>141</v>
      </c>
      <c r="Z27" s="34">
        <v>262</v>
      </c>
      <c r="AA27" s="34">
        <v>151</v>
      </c>
      <c r="AB27" s="34">
        <v>145</v>
      </c>
      <c r="AC27" s="34">
        <v>170</v>
      </c>
      <c r="AD27" s="34">
        <v>162</v>
      </c>
      <c r="AE27" s="34">
        <v>102</v>
      </c>
      <c r="AF27" s="34">
        <v>150</v>
      </c>
      <c r="AG27" s="34">
        <v>175</v>
      </c>
      <c r="AH27" s="34">
        <v>152</v>
      </c>
      <c r="AI27" s="34">
        <v>112</v>
      </c>
      <c r="AJ27" s="34">
        <v>340</v>
      </c>
      <c r="AK27" s="34">
        <v>369</v>
      </c>
    </row>
    <row r="28" spans="1:37">
      <c r="A28" s="33" t="s">
        <v>101</v>
      </c>
      <c r="B28" s="34">
        <v>2915</v>
      </c>
      <c r="C28" s="34">
        <v>1406</v>
      </c>
      <c r="D28" s="34">
        <v>981</v>
      </c>
      <c r="E28" s="34">
        <v>1429</v>
      </c>
      <c r="F28" s="34">
        <v>1531</v>
      </c>
      <c r="G28" s="34">
        <v>1352</v>
      </c>
      <c r="H28" s="34">
        <v>1603</v>
      </c>
      <c r="I28" s="34">
        <v>1181</v>
      </c>
      <c r="J28" s="34">
        <v>766</v>
      </c>
      <c r="K28" s="34">
        <v>1241</v>
      </c>
      <c r="L28" s="34">
        <v>1247</v>
      </c>
      <c r="M28" s="34">
        <v>883</v>
      </c>
      <c r="N28" s="34">
        <v>926</v>
      </c>
      <c r="O28" s="34">
        <v>554.19740000000002</v>
      </c>
      <c r="P28" s="34">
        <v>486</v>
      </c>
      <c r="Q28" s="34">
        <v>549</v>
      </c>
      <c r="R28" s="34">
        <v>417</v>
      </c>
      <c r="S28" s="34">
        <v>397</v>
      </c>
      <c r="T28" s="34">
        <v>579.39340000000004</v>
      </c>
      <c r="U28" s="34">
        <v>447</v>
      </c>
      <c r="V28" s="34">
        <v>500</v>
      </c>
      <c r="W28" s="34">
        <v>731</v>
      </c>
      <c r="X28" s="34">
        <v>825</v>
      </c>
      <c r="Y28" s="34">
        <v>881</v>
      </c>
      <c r="Z28" s="34">
        <v>713</v>
      </c>
      <c r="AA28" s="34">
        <v>770</v>
      </c>
      <c r="AB28" s="34">
        <v>854</v>
      </c>
      <c r="AC28" s="34">
        <v>760</v>
      </c>
      <c r="AD28" s="34">
        <v>436</v>
      </c>
      <c r="AE28" s="34">
        <v>323</v>
      </c>
      <c r="AF28" s="34">
        <v>444</v>
      </c>
      <c r="AG28" s="34">
        <v>365</v>
      </c>
      <c r="AH28" s="34">
        <v>258</v>
      </c>
      <c r="AI28" s="34">
        <v>280</v>
      </c>
      <c r="AJ28" s="34">
        <v>193</v>
      </c>
      <c r="AK28" s="34">
        <v>211</v>
      </c>
    </row>
    <row r="29" spans="1:37">
      <c r="A29" s="33" t="s">
        <v>102</v>
      </c>
      <c r="B29" s="34">
        <v>1294</v>
      </c>
      <c r="C29" s="34">
        <v>938</v>
      </c>
      <c r="D29" s="34">
        <v>795</v>
      </c>
      <c r="E29" s="34">
        <v>1060</v>
      </c>
      <c r="F29" s="34">
        <v>816</v>
      </c>
      <c r="G29" s="34">
        <v>782</v>
      </c>
      <c r="H29" s="34">
        <v>744</v>
      </c>
      <c r="I29" s="34">
        <v>285</v>
      </c>
      <c r="J29" s="34">
        <v>214</v>
      </c>
      <c r="K29" s="34">
        <v>144</v>
      </c>
      <c r="L29" s="34">
        <v>56</v>
      </c>
      <c r="M29" s="34">
        <v>68</v>
      </c>
      <c r="N29" s="34">
        <v>31</v>
      </c>
      <c r="O29" s="34">
        <v>64</v>
      </c>
      <c r="P29" s="34">
        <v>51</v>
      </c>
      <c r="Q29" s="34">
        <v>28</v>
      </c>
      <c r="R29" s="34">
        <v>22</v>
      </c>
      <c r="S29" s="34">
        <v>11</v>
      </c>
      <c r="T29" s="34">
        <v>10</v>
      </c>
      <c r="U29" s="34">
        <v>2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1</v>
      </c>
      <c r="AD29" s="34">
        <v>0</v>
      </c>
      <c r="AE29" s="34">
        <v>0</v>
      </c>
      <c r="AF29" s="34">
        <v>0</v>
      </c>
      <c r="AG29" s="34">
        <v>0</v>
      </c>
      <c r="AH29" s="34">
        <v>1</v>
      </c>
      <c r="AI29" s="34">
        <v>0</v>
      </c>
      <c r="AJ29" s="34">
        <v>0</v>
      </c>
      <c r="AK29" s="34">
        <v>0</v>
      </c>
    </row>
    <row r="30" spans="1:37">
      <c r="A30" s="33" t="s">
        <v>103</v>
      </c>
      <c r="B30" s="34">
        <v>474</v>
      </c>
      <c r="C30" s="34">
        <v>475</v>
      </c>
      <c r="D30" s="34">
        <v>568</v>
      </c>
      <c r="E30" s="34">
        <v>852</v>
      </c>
      <c r="F30" s="34">
        <v>637</v>
      </c>
      <c r="G30" s="34">
        <v>759</v>
      </c>
      <c r="H30" s="34">
        <v>942</v>
      </c>
      <c r="I30" s="34">
        <v>927</v>
      </c>
      <c r="J30" s="34">
        <v>656</v>
      </c>
      <c r="K30" s="34">
        <v>723</v>
      </c>
      <c r="L30" s="34">
        <v>461</v>
      </c>
      <c r="M30" s="34">
        <v>369</v>
      </c>
      <c r="N30" s="34">
        <v>660</v>
      </c>
      <c r="O30" s="34">
        <v>390.19740000000002</v>
      </c>
      <c r="P30" s="34">
        <v>693</v>
      </c>
      <c r="Q30" s="34">
        <v>549</v>
      </c>
      <c r="R30" s="34">
        <v>627</v>
      </c>
      <c r="S30" s="34">
        <v>534.54359999999997</v>
      </c>
      <c r="T30" s="34">
        <v>786.45609999999999</v>
      </c>
      <c r="U30" s="34">
        <v>620</v>
      </c>
      <c r="V30" s="34">
        <v>682</v>
      </c>
      <c r="W30" s="34">
        <v>902</v>
      </c>
      <c r="X30" s="34">
        <v>524</v>
      </c>
      <c r="Y30" s="34">
        <v>514</v>
      </c>
      <c r="Z30" s="34">
        <v>944</v>
      </c>
      <c r="AA30" s="34">
        <v>632</v>
      </c>
      <c r="AB30" s="34">
        <v>599</v>
      </c>
      <c r="AC30" s="34">
        <v>1175</v>
      </c>
      <c r="AD30" s="34">
        <v>937</v>
      </c>
      <c r="AE30" s="34">
        <v>620</v>
      </c>
      <c r="AF30" s="34">
        <v>997</v>
      </c>
      <c r="AG30" s="34">
        <v>1030</v>
      </c>
      <c r="AH30" s="34">
        <v>979</v>
      </c>
      <c r="AI30" s="34">
        <v>883</v>
      </c>
      <c r="AJ30" s="34">
        <v>618</v>
      </c>
      <c r="AK30" s="34">
        <v>504</v>
      </c>
    </row>
    <row r="31" spans="1:37">
      <c r="A31" s="33" t="s">
        <v>104</v>
      </c>
      <c r="B31" s="34">
        <v>12886</v>
      </c>
      <c r="C31" s="34">
        <v>6822.1547</v>
      </c>
      <c r="D31" s="34">
        <v>6101.9998999999998</v>
      </c>
      <c r="E31" s="34">
        <v>7826</v>
      </c>
      <c r="F31" s="34">
        <v>7447.3333000000002</v>
      </c>
      <c r="G31" s="34">
        <v>8157.3333000000002</v>
      </c>
      <c r="H31" s="34">
        <v>12035</v>
      </c>
      <c r="I31" s="34">
        <v>7957</v>
      </c>
      <c r="J31" s="34">
        <v>7493.2371000000003</v>
      </c>
      <c r="K31" s="34">
        <v>10294</v>
      </c>
      <c r="L31" s="34">
        <v>6304</v>
      </c>
      <c r="M31" s="34">
        <v>5834</v>
      </c>
      <c r="N31" s="34">
        <v>6168.7685000000001</v>
      </c>
      <c r="O31" s="34">
        <v>4066.7630999999997</v>
      </c>
      <c r="P31" s="34">
        <v>4848.9997999999996</v>
      </c>
      <c r="Q31" s="34">
        <v>4992</v>
      </c>
      <c r="R31" s="34">
        <v>4421</v>
      </c>
      <c r="S31" s="34">
        <v>4026.2584999999999</v>
      </c>
      <c r="T31" s="34">
        <v>8047.6571999999996</v>
      </c>
      <c r="U31" s="34">
        <v>5222</v>
      </c>
      <c r="V31" s="34">
        <v>5626</v>
      </c>
      <c r="W31" s="34">
        <v>10738</v>
      </c>
      <c r="X31" s="34">
        <v>6740</v>
      </c>
      <c r="Y31" s="34">
        <v>5688</v>
      </c>
      <c r="Z31" s="34">
        <v>7846</v>
      </c>
      <c r="AA31" s="34">
        <v>4635</v>
      </c>
      <c r="AB31" s="34">
        <v>5890</v>
      </c>
      <c r="AC31" s="34">
        <v>8178</v>
      </c>
      <c r="AD31" s="34">
        <v>7109</v>
      </c>
      <c r="AE31" s="34">
        <v>5398</v>
      </c>
      <c r="AF31" s="34">
        <v>7582</v>
      </c>
      <c r="AG31" s="34">
        <v>5298</v>
      </c>
      <c r="AH31" s="34">
        <v>5825</v>
      </c>
      <c r="AI31" s="34">
        <v>7485</v>
      </c>
      <c r="AJ31" s="34">
        <v>4192</v>
      </c>
      <c r="AK31" s="34">
        <v>4197</v>
      </c>
    </row>
    <row r="32" spans="1:37">
      <c r="A32" s="33" t="s">
        <v>105</v>
      </c>
      <c r="B32" s="34">
        <v>73</v>
      </c>
      <c r="C32" s="34">
        <v>49</v>
      </c>
      <c r="D32" s="34">
        <v>68</v>
      </c>
      <c r="E32" s="34">
        <v>89</v>
      </c>
      <c r="F32" s="34">
        <v>61</v>
      </c>
      <c r="G32" s="34">
        <v>69</v>
      </c>
      <c r="H32" s="34">
        <v>101</v>
      </c>
      <c r="I32" s="34">
        <v>99</v>
      </c>
      <c r="J32" s="34">
        <v>52</v>
      </c>
      <c r="K32" s="34">
        <v>24</v>
      </c>
      <c r="L32" s="34">
        <v>10</v>
      </c>
      <c r="M32" s="34">
        <v>10</v>
      </c>
      <c r="N32" s="34">
        <v>16</v>
      </c>
      <c r="O32" s="34">
        <v>5</v>
      </c>
      <c r="P32" s="34">
        <v>7</v>
      </c>
      <c r="Q32" s="34">
        <v>5</v>
      </c>
      <c r="R32" s="34">
        <v>4</v>
      </c>
      <c r="S32" s="34">
        <v>1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</row>
    <row r="33" spans="1:43">
      <c r="A33" s="33" t="s">
        <v>631</v>
      </c>
      <c r="B33" s="34">
        <v>0</v>
      </c>
      <c r="C33" s="34">
        <v>0</v>
      </c>
      <c r="D33" s="34">
        <v>1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1</v>
      </c>
      <c r="M33" s="34">
        <v>0</v>
      </c>
      <c r="N33" s="34">
        <v>0</v>
      </c>
      <c r="O33" s="34">
        <v>0</v>
      </c>
      <c r="P33" s="34">
        <v>0</v>
      </c>
      <c r="Q33" s="34">
        <v>2</v>
      </c>
      <c r="R33" s="34">
        <v>0</v>
      </c>
      <c r="S33" s="34">
        <v>1</v>
      </c>
      <c r="T33" s="34">
        <v>7</v>
      </c>
      <c r="U33" s="34">
        <v>3</v>
      </c>
      <c r="V33" s="34">
        <v>3</v>
      </c>
      <c r="W33" s="34">
        <v>2</v>
      </c>
      <c r="X33" s="34">
        <v>0</v>
      </c>
      <c r="Y33" s="34">
        <v>0</v>
      </c>
      <c r="Z33" s="34">
        <v>1</v>
      </c>
      <c r="AA33" s="34">
        <v>0</v>
      </c>
      <c r="AB33" s="34">
        <v>1</v>
      </c>
      <c r="AC33" s="34">
        <v>0</v>
      </c>
      <c r="AD33" s="34">
        <v>0</v>
      </c>
      <c r="AE33" s="34">
        <v>0</v>
      </c>
      <c r="AF33" s="34">
        <v>0</v>
      </c>
      <c r="AG33" s="34">
        <v>1</v>
      </c>
      <c r="AH33" s="34">
        <v>1</v>
      </c>
      <c r="AI33" s="34">
        <v>0</v>
      </c>
      <c r="AJ33" s="34">
        <v>0</v>
      </c>
      <c r="AK33" s="34">
        <v>0</v>
      </c>
    </row>
    <row r="34" spans="1:43">
      <c r="A34" s="33" t="s">
        <v>38</v>
      </c>
      <c r="B34" s="34">
        <v>43689</v>
      </c>
      <c r="C34" s="34">
        <v>26217.475200000001</v>
      </c>
      <c r="D34" s="34">
        <v>27541.999899999999</v>
      </c>
      <c r="E34" s="34">
        <v>36505</v>
      </c>
      <c r="F34" s="34">
        <v>32069.333299999998</v>
      </c>
      <c r="G34" s="34">
        <v>34979.333299999998</v>
      </c>
      <c r="H34" s="34">
        <v>52341</v>
      </c>
      <c r="I34" s="34">
        <v>38111.284200000002</v>
      </c>
      <c r="J34" s="34">
        <v>35161.659800000001</v>
      </c>
      <c r="K34" s="34">
        <v>42639</v>
      </c>
      <c r="L34" s="34">
        <v>26324</v>
      </c>
      <c r="M34" s="34">
        <v>24797</v>
      </c>
      <c r="N34" s="34">
        <v>34088.857000000004</v>
      </c>
      <c r="O34" s="34">
        <v>22211.657700000007</v>
      </c>
      <c r="P34" s="34">
        <v>27297.999799999998</v>
      </c>
      <c r="Q34" s="34">
        <v>28047</v>
      </c>
      <c r="R34" s="34">
        <v>27540</v>
      </c>
      <c r="S34" s="34">
        <v>23409.202000000001</v>
      </c>
      <c r="T34" s="34">
        <v>47522.660800000005</v>
      </c>
      <c r="U34" s="34">
        <v>28003</v>
      </c>
      <c r="V34" s="34">
        <v>28539</v>
      </c>
      <c r="W34" s="34">
        <v>46635</v>
      </c>
      <c r="X34" s="34">
        <v>29677</v>
      </c>
      <c r="Y34" s="34">
        <v>31262</v>
      </c>
      <c r="Z34" s="34">
        <v>49876</v>
      </c>
      <c r="AA34" s="34">
        <v>32764</v>
      </c>
      <c r="AB34" s="34">
        <v>34664</v>
      </c>
      <c r="AC34" s="34">
        <v>51439</v>
      </c>
      <c r="AD34" s="34">
        <v>42463</v>
      </c>
      <c r="AE34" s="34">
        <v>33545</v>
      </c>
      <c r="AF34" s="34">
        <v>48528</v>
      </c>
      <c r="AG34" s="34">
        <v>41407</v>
      </c>
      <c r="AH34" s="34">
        <v>41154</v>
      </c>
      <c r="AI34" s="34">
        <v>58372</v>
      </c>
      <c r="AJ34" s="34">
        <v>35033</v>
      </c>
      <c r="AK34" s="34">
        <v>35216</v>
      </c>
    </row>
    <row r="36" spans="1:43">
      <c r="A36" s="29" t="s">
        <v>79</v>
      </c>
      <c r="B36" s="35">
        <v>44713</v>
      </c>
      <c r="C36" s="35">
        <v>44743</v>
      </c>
      <c r="D36" s="35">
        <v>44774</v>
      </c>
      <c r="E36" s="35">
        <v>44805</v>
      </c>
      <c r="F36" s="35">
        <v>44835</v>
      </c>
      <c r="G36" s="35">
        <v>44866</v>
      </c>
      <c r="H36" s="35">
        <v>44896</v>
      </c>
      <c r="I36" s="35">
        <v>44927</v>
      </c>
      <c r="J36" s="35">
        <v>44958</v>
      </c>
      <c r="K36" s="35">
        <v>44986</v>
      </c>
      <c r="L36" s="35">
        <v>45017</v>
      </c>
      <c r="M36" s="35">
        <v>45047</v>
      </c>
      <c r="N36" s="35">
        <v>45078</v>
      </c>
      <c r="O36" s="35">
        <v>45108</v>
      </c>
      <c r="P36" s="35">
        <v>45139</v>
      </c>
      <c r="Q36" s="35">
        <v>45170</v>
      </c>
      <c r="R36" s="35">
        <v>45200</v>
      </c>
      <c r="S36" s="35">
        <v>45231</v>
      </c>
      <c r="T36" s="35">
        <v>45261</v>
      </c>
      <c r="U36" s="35">
        <v>45292</v>
      </c>
      <c r="V36" s="35">
        <v>45323</v>
      </c>
      <c r="W36" s="35">
        <v>45352</v>
      </c>
      <c r="X36" s="35">
        <v>45383</v>
      </c>
      <c r="Y36" s="35">
        <v>45413</v>
      </c>
      <c r="Z36" s="35">
        <v>45444</v>
      </c>
      <c r="AA36" s="35">
        <v>45474</v>
      </c>
      <c r="AB36" s="35">
        <v>45505</v>
      </c>
      <c r="AC36" s="35">
        <v>45536</v>
      </c>
      <c r="AD36" s="35">
        <v>45566</v>
      </c>
      <c r="AE36" s="35">
        <v>45597</v>
      </c>
      <c r="AF36" s="35">
        <v>45627</v>
      </c>
      <c r="AG36" s="35">
        <v>45658</v>
      </c>
      <c r="AH36" s="35">
        <v>45689</v>
      </c>
      <c r="AI36" s="35">
        <v>45717</v>
      </c>
      <c r="AJ36" s="35">
        <v>45748</v>
      </c>
      <c r="AK36" s="35">
        <v>45778</v>
      </c>
      <c r="AL36" s="29" t="s">
        <v>63</v>
      </c>
      <c r="AM36" s="29" t="s">
        <v>64</v>
      </c>
      <c r="AN36" s="29" t="s">
        <v>80</v>
      </c>
      <c r="AO36" s="29" t="s">
        <v>81</v>
      </c>
      <c r="AP36" s="29" t="s">
        <v>82</v>
      </c>
      <c r="AQ36" s="29" t="s">
        <v>78</v>
      </c>
    </row>
    <row r="37" spans="1:43" ht="15">
      <c r="A37" s="33" t="s">
        <v>88</v>
      </c>
      <c r="B37" s="34">
        <v>6512</v>
      </c>
      <c r="C37" s="34">
        <v>4039.6188000000002</v>
      </c>
      <c r="D37" s="34">
        <v>4145</v>
      </c>
      <c r="E37" s="34">
        <v>5626</v>
      </c>
      <c r="F37" s="34">
        <v>5232</v>
      </c>
      <c r="G37" s="34">
        <v>5682</v>
      </c>
      <c r="H37" s="34">
        <v>8203</v>
      </c>
      <c r="I37" s="34">
        <v>6097</v>
      </c>
      <c r="J37" s="34">
        <v>5822</v>
      </c>
      <c r="K37" s="34">
        <v>6812</v>
      </c>
      <c r="L37" s="34">
        <v>4250</v>
      </c>
      <c r="M37" s="34">
        <v>3790</v>
      </c>
      <c r="N37" s="34">
        <v>4672</v>
      </c>
      <c r="O37" s="34">
        <v>3303.9341000000004</v>
      </c>
      <c r="P37" s="34">
        <v>3745</v>
      </c>
      <c r="Q37" s="34">
        <v>4535</v>
      </c>
      <c r="R37" s="34">
        <v>4280</v>
      </c>
      <c r="S37" s="34">
        <v>3991.4403999999995</v>
      </c>
      <c r="T37" s="34">
        <v>7336.5758000000005</v>
      </c>
      <c r="U37" s="34">
        <v>4531</v>
      </c>
      <c r="V37" s="34">
        <v>4316</v>
      </c>
      <c r="W37" s="34">
        <v>5717</v>
      </c>
      <c r="X37" s="34">
        <v>3365</v>
      </c>
      <c r="Y37" s="34">
        <v>3507</v>
      </c>
      <c r="Z37" s="34">
        <v>5731</v>
      </c>
      <c r="AA37" s="34">
        <v>4078</v>
      </c>
      <c r="AB37" s="34">
        <v>4923</v>
      </c>
      <c r="AC37" s="34">
        <v>6437</v>
      </c>
      <c r="AD37" s="34">
        <v>4390</v>
      </c>
      <c r="AE37" s="34">
        <v>4074</v>
      </c>
      <c r="AF37" s="34">
        <v>6600</v>
      </c>
      <c r="AG37" s="34">
        <v>5699</v>
      </c>
      <c r="AH37" s="34">
        <v>6139</v>
      </c>
      <c r="AI37" s="34">
        <v>7875</v>
      </c>
      <c r="AJ37" s="34">
        <v>5106</v>
      </c>
      <c r="AK37" s="34">
        <v>5230</v>
      </c>
      <c r="AL37" s="34">
        <f>+SUM(N37:Y37)</f>
        <v>53299.950299999997</v>
      </c>
      <c r="AM37" s="34">
        <f>+SUM(Z37:AK37)</f>
        <v>66282</v>
      </c>
      <c r="AN37" s="36">
        <f>+AL37/$AL$43</f>
        <v>0.14242436279881227</v>
      </c>
      <c r="AO37" s="36">
        <f>+AM37/$AM$43</f>
        <v>0.13139172304697488</v>
      </c>
      <c r="AP37" s="36">
        <f>+AM37/AL37-1</f>
        <v>0.24356588752766628</v>
      </c>
      <c r="AQ37" s="36">
        <f>+(AM37-AL37)/$AL$43</f>
        <v>3.4689716330655047E-2</v>
      </c>
    </row>
    <row r="38" spans="1:43" ht="15">
      <c r="A38" s="33" t="s">
        <v>92</v>
      </c>
      <c r="B38" s="34">
        <v>0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48</v>
      </c>
      <c r="X38" s="34">
        <v>2675</v>
      </c>
      <c r="Y38" s="34">
        <v>4828</v>
      </c>
      <c r="Z38" s="34">
        <v>8448</v>
      </c>
      <c r="AA38" s="34">
        <v>5621</v>
      </c>
      <c r="AB38" s="34">
        <v>6407</v>
      </c>
      <c r="AC38" s="34">
        <v>10835</v>
      </c>
      <c r="AD38" s="34">
        <v>9857</v>
      </c>
      <c r="AE38" s="34">
        <v>8047</v>
      </c>
      <c r="AF38" s="34">
        <v>10478</v>
      </c>
      <c r="AG38" s="34">
        <v>8619</v>
      </c>
      <c r="AH38" s="34">
        <v>9028</v>
      </c>
      <c r="AI38" s="34">
        <v>14693</v>
      </c>
      <c r="AJ38" s="34">
        <v>8844</v>
      </c>
      <c r="AK38" s="34">
        <v>8680</v>
      </c>
      <c r="AL38" s="34">
        <f t="shared" ref="AL38:AL43" si="0">+SUM(N38:Y38)</f>
        <v>7551</v>
      </c>
      <c r="AM38" s="34">
        <f t="shared" ref="AM38:AM43" si="1">+SUM(Z38:AK38)</f>
        <v>109557</v>
      </c>
      <c r="AN38" s="36">
        <f t="shared" ref="AN38:AN43" si="2">+AL38/$AL$43</f>
        <v>2.0177248898744872E-2</v>
      </c>
      <c r="AO38" s="36">
        <f t="shared" ref="AO38:AO43" si="3">+AM38/$AM$43</f>
        <v>0.21717635258226106</v>
      </c>
      <c r="AP38" s="36">
        <f t="shared" ref="AP38:AP43" si="4">+AM38/AL38-1</f>
        <v>13.508939213349226</v>
      </c>
      <c r="AQ38" s="36">
        <f t="shared" ref="AQ38:AQ43" si="5">+(AM38-AL38)/$AL$43</f>
        <v>0.27257322886576207</v>
      </c>
    </row>
    <row r="39" spans="1:43" ht="15">
      <c r="A39" s="33" t="s">
        <v>93</v>
      </c>
      <c r="B39" s="34">
        <v>0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1481</v>
      </c>
      <c r="M39" s="34">
        <v>2765</v>
      </c>
      <c r="N39" s="34">
        <v>5159</v>
      </c>
      <c r="O39" s="34">
        <v>3316.3553000000002</v>
      </c>
      <c r="P39" s="34">
        <v>5149</v>
      </c>
      <c r="Q39" s="34">
        <v>3600</v>
      </c>
      <c r="R39" s="34">
        <v>3632</v>
      </c>
      <c r="S39" s="34">
        <v>3030.7873</v>
      </c>
      <c r="T39" s="34">
        <v>5139.4434999999994</v>
      </c>
      <c r="U39" s="34">
        <v>3334</v>
      </c>
      <c r="V39" s="34">
        <v>3404</v>
      </c>
      <c r="W39" s="34">
        <v>6485</v>
      </c>
      <c r="X39" s="34">
        <v>4061</v>
      </c>
      <c r="Y39" s="34">
        <v>3434</v>
      </c>
      <c r="Z39" s="34">
        <v>8591</v>
      </c>
      <c r="AA39" s="34">
        <v>5435</v>
      </c>
      <c r="AB39" s="34">
        <v>5120</v>
      </c>
      <c r="AC39" s="34">
        <v>7734</v>
      </c>
      <c r="AD39" s="34">
        <v>5694</v>
      </c>
      <c r="AE39" s="34">
        <v>4293</v>
      </c>
      <c r="AF39" s="34">
        <v>6787</v>
      </c>
      <c r="AG39" s="34">
        <v>5656</v>
      </c>
      <c r="AH39" s="34">
        <v>6190</v>
      </c>
      <c r="AI39" s="34">
        <v>9772</v>
      </c>
      <c r="AJ39" s="34">
        <v>5973</v>
      </c>
      <c r="AK39" s="34">
        <v>5647</v>
      </c>
      <c r="AL39" s="34">
        <f t="shared" si="0"/>
        <v>49744.5861</v>
      </c>
      <c r="AM39" s="34">
        <f t="shared" si="1"/>
        <v>76892</v>
      </c>
      <c r="AN39" s="36">
        <f t="shared" si="2"/>
        <v>0.13292396968676259</v>
      </c>
      <c r="AO39" s="36">
        <f t="shared" si="3"/>
        <v>0.15242407242581688</v>
      </c>
      <c r="AP39" s="36">
        <f t="shared" si="4"/>
        <v>0.54573604945523901</v>
      </c>
      <c r="AQ39" s="36">
        <f t="shared" si="5"/>
        <v>7.2541402094761787E-2</v>
      </c>
    </row>
    <row r="40" spans="1:43" ht="15">
      <c r="A40" s="33" t="s">
        <v>94</v>
      </c>
      <c r="B40" s="34">
        <v>6392</v>
      </c>
      <c r="C40" s="34">
        <v>4458</v>
      </c>
      <c r="D40" s="34">
        <v>6878</v>
      </c>
      <c r="E40" s="34">
        <v>9518</v>
      </c>
      <c r="F40" s="34">
        <v>7709</v>
      </c>
      <c r="G40" s="34">
        <v>9234</v>
      </c>
      <c r="H40" s="34">
        <v>15459</v>
      </c>
      <c r="I40" s="34">
        <v>11141</v>
      </c>
      <c r="J40" s="34">
        <v>10855.711299999999</v>
      </c>
      <c r="K40" s="34">
        <v>12549</v>
      </c>
      <c r="L40" s="34">
        <v>6271</v>
      </c>
      <c r="M40" s="34">
        <v>5134</v>
      </c>
      <c r="N40" s="34">
        <v>7691.4354000000003</v>
      </c>
      <c r="O40" s="34">
        <v>5093.1183000000001</v>
      </c>
      <c r="P40" s="34">
        <v>6112</v>
      </c>
      <c r="Q40" s="34">
        <v>6602</v>
      </c>
      <c r="R40" s="34">
        <v>6816</v>
      </c>
      <c r="S40" s="34">
        <v>5809.6858000000002</v>
      </c>
      <c r="T40" s="34">
        <v>12086.615700000002</v>
      </c>
      <c r="U40" s="34">
        <v>5941</v>
      </c>
      <c r="V40" s="34">
        <v>5681</v>
      </c>
      <c r="W40" s="34">
        <v>8545</v>
      </c>
      <c r="X40" s="34">
        <v>4778</v>
      </c>
      <c r="Y40" s="34">
        <v>4673</v>
      </c>
      <c r="Z40" s="34">
        <v>7119</v>
      </c>
      <c r="AA40" s="34">
        <v>6115</v>
      </c>
      <c r="AB40" s="34">
        <v>6000</v>
      </c>
      <c r="AC40" s="34">
        <v>8517</v>
      </c>
      <c r="AD40" s="34">
        <v>7157</v>
      </c>
      <c r="AE40" s="34">
        <v>5883</v>
      </c>
      <c r="AF40" s="34">
        <v>8987</v>
      </c>
      <c r="AG40" s="34">
        <v>8782</v>
      </c>
      <c r="AH40" s="34">
        <v>8128</v>
      </c>
      <c r="AI40" s="34">
        <v>11780</v>
      </c>
      <c r="AJ40" s="34">
        <v>6895</v>
      </c>
      <c r="AK40" s="34">
        <v>7447</v>
      </c>
      <c r="AL40" s="34">
        <f t="shared" si="0"/>
        <v>79828.855200000005</v>
      </c>
      <c r="AM40" s="34">
        <f t="shared" si="1"/>
        <v>92810</v>
      </c>
      <c r="AN40" s="36">
        <f t="shared" si="2"/>
        <v>0.21331302882694531</v>
      </c>
      <c r="AO40" s="36">
        <f t="shared" si="3"/>
        <v>0.18397854343546874</v>
      </c>
      <c r="AP40" s="36">
        <f t="shared" si="4"/>
        <v>0.1626121878796527</v>
      </c>
      <c r="AQ40" s="36">
        <f t="shared" si="5"/>
        <v>3.4687298320785008E-2</v>
      </c>
    </row>
    <row r="41" spans="1:43" ht="15">
      <c r="A41" s="33" t="s">
        <v>104</v>
      </c>
      <c r="B41" s="34">
        <v>12886</v>
      </c>
      <c r="C41" s="34">
        <v>6822.1547</v>
      </c>
      <c r="D41" s="34">
        <v>6101.9998999999998</v>
      </c>
      <c r="E41" s="34">
        <v>7826</v>
      </c>
      <c r="F41" s="34">
        <v>7447.3333000000002</v>
      </c>
      <c r="G41" s="34">
        <v>8157.3333000000002</v>
      </c>
      <c r="H41" s="34">
        <v>12035</v>
      </c>
      <c r="I41" s="34">
        <v>7957</v>
      </c>
      <c r="J41" s="34">
        <v>7493.2371000000003</v>
      </c>
      <c r="K41" s="34">
        <v>10294</v>
      </c>
      <c r="L41" s="34">
        <v>6304</v>
      </c>
      <c r="M41" s="34">
        <v>5834</v>
      </c>
      <c r="N41" s="34">
        <v>6168.7685000000001</v>
      </c>
      <c r="O41" s="34">
        <v>4066.7630999999997</v>
      </c>
      <c r="P41" s="34">
        <v>4848.9997999999996</v>
      </c>
      <c r="Q41" s="34">
        <v>4992</v>
      </c>
      <c r="R41" s="34">
        <v>4421</v>
      </c>
      <c r="S41" s="34">
        <v>4026.2584999999999</v>
      </c>
      <c r="T41" s="34">
        <v>8047.6571999999996</v>
      </c>
      <c r="U41" s="34">
        <v>5222</v>
      </c>
      <c r="V41" s="34">
        <v>5626</v>
      </c>
      <c r="W41" s="34">
        <v>10738</v>
      </c>
      <c r="X41" s="34">
        <v>6740</v>
      </c>
      <c r="Y41" s="34">
        <v>5688</v>
      </c>
      <c r="Z41" s="34">
        <v>7846</v>
      </c>
      <c r="AA41" s="34">
        <v>4635</v>
      </c>
      <c r="AB41" s="34">
        <v>5890</v>
      </c>
      <c r="AC41" s="34">
        <v>8178</v>
      </c>
      <c r="AD41" s="34">
        <v>7109</v>
      </c>
      <c r="AE41" s="34">
        <v>5398</v>
      </c>
      <c r="AF41" s="34">
        <v>7582</v>
      </c>
      <c r="AG41" s="34">
        <v>5298</v>
      </c>
      <c r="AH41" s="34">
        <v>5825</v>
      </c>
      <c r="AI41" s="34">
        <v>7485</v>
      </c>
      <c r="AJ41" s="34">
        <v>4192</v>
      </c>
      <c r="AK41" s="34">
        <v>4197</v>
      </c>
      <c r="AL41" s="34">
        <f t="shared" si="0"/>
        <v>70585.44709999999</v>
      </c>
      <c r="AM41" s="34">
        <f t="shared" si="1"/>
        <v>73635</v>
      </c>
      <c r="AN41" s="36">
        <f t="shared" si="2"/>
        <v>0.18861344653236514</v>
      </c>
      <c r="AO41" s="36">
        <f t="shared" si="3"/>
        <v>0.14596767639123737</v>
      </c>
      <c r="AP41" s="36">
        <f t="shared" si="4"/>
        <v>4.3203705937849168E-2</v>
      </c>
      <c r="AQ41" s="36">
        <f t="shared" si="5"/>
        <v>8.1487998799085453E-3</v>
      </c>
    </row>
    <row r="42" spans="1:43" ht="15">
      <c r="A42" s="33" t="s">
        <v>106</v>
      </c>
      <c r="B42" s="34">
        <f>+B34-SUM(B37:B41)</f>
        <v>17899</v>
      </c>
      <c r="C42" s="34">
        <f t="shared" ref="C42:AK42" si="6">+C34-SUM(C37:C41)</f>
        <v>10897.701700000001</v>
      </c>
      <c r="D42" s="34">
        <f t="shared" si="6"/>
        <v>10417</v>
      </c>
      <c r="E42" s="34">
        <f t="shared" si="6"/>
        <v>13535</v>
      </c>
      <c r="F42" s="34">
        <f t="shared" si="6"/>
        <v>11681</v>
      </c>
      <c r="G42" s="34">
        <f t="shared" si="6"/>
        <v>11906</v>
      </c>
      <c r="H42" s="34">
        <f t="shared" si="6"/>
        <v>16644</v>
      </c>
      <c r="I42" s="34">
        <f t="shared" si="6"/>
        <v>12916.284200000002</v>
      </c>
      <c r="J42" s="34">
        <f t="shared" si="6"/>
        <v>10990.7114</v>
      </c>
      <c r="K42" s="34">
        <f t="shared" si="6"/>
        <v>12984</v>
      </c>
      <c r="L42" s="34">
        <f t="shared" si="6"/>
        <v>8018</v>
      </c>
      <c r="M42" s="34">
        <f t="shared" si="6"/>
        <v>7274</v>
      </c>
      <c r="N42" s="34">
        <f t="shared" si="6"/>
        <v>10397.653100000003</v>
      </c>
      <c r="O42" s="34">
        <f t="shared" si="6"/>
        <v>6431.4869000000072</v>
      </c>
      <c r="P42" s="34">
        <f t="shared" si="6"/>
        <v>7443</v>
      </c>
      <c r="Q42" s="34">
        <f t="shared" si="6"/>
        <v>8318</v>
      </c>
      <c r="R42" s="34">
        <f t="shared" si="6"/>
        <v>8391</v>
      </c>
      <c r="S42" s="34">
        <f t="shared" si="6"/>
        <v>6551.0300000000025</v>
      </c>
      <c r="T42" s="34">
        <f t="shared" si="6"/>
        <v>14912.368600000002</v>
      </c>
      <c r="U42" s="34">
        <f t="shared" si="6"/>
        <v>8975</v>
      </c>
      <c r="V42" s="34">
        <f t="shared" si="6"/>
        <v>9512</v>
      </c>
      <c r="W42" s="34">
        <f t="shared" si="6"/>
        <v>15102</v>
      </c>
      <c r="X42" s="34">
        <f t="shared" si="6"/>
        <v>8058</v>
      </c>
      <c r="Y42" s="34">
        <f t="shared" si="6"/>
        <v>9132</v>
      </c>
      <c r="Z42" s="34">
        <f t="shared" si="6"/>
        <v>12141</v>
      </c>
      <c r="AA42" s="34">
        <f t="shared" si="6"/>
        <v>6880</v>
      </c>
      <c r="AB42" s="34">
        <f t="shared" si="6"/>
        <v>6324</v>
      </c>
      <c r="AC42" s="34">
        <f t="shared" si="6"/>
        <v>9738</v>
      </c>
      <c r="AD42" s="34">
        <f t="shared" si="6"/>
        <v>8256</v>
      </c>
      <c r="AE42" s="34">
        <f t="shared" si="6"/>
        <v>5850</v>
      </c>
      <c r="AF42" s="34">
        <f t="shared" si="6"/>
        <v>8094</v>
      </c>
      <c r="AG42" s="34">
        <f t="shared" si="6"/>
        <v>7353</v>
      </c>
      <c r="AH42" s="34">
        <f t="shared" si="6"/>
        <v>5844</v>
      </c>
      <c r="AI42" s="34">
        <f t="shared" si="6"/>
        <v>6767</v>
      </c>
      <c r="AJ42" s="34">
        <f t="shared" si="6"/>
        <v>4023</v>
      </c>
      <c r="AK42" s="34">
        <f t="shared" si="6"/>
        <v>4015</v>
      </c>
      <c r="AL42" s="34">
        <f t="shared" si="0"/>
        <v>113223.53860000001</v>
      </c>
      <c r="AM42" s="34">
        <f t="shared" si="1"/>
        <v>85285</v>
      </c>
      <c r="AN42" s="36">
        <f t="shared" si="2"/>
        <v>0.30254794325636974</v>
      </c>
      <c r="AO42" s="36">
        <f t="shared" si="3"/>
        <v>0.16906163211824105</v>
      </c>
      <c r="AP42" s="36">
        <f t="shared" si="4"/>
        <v>-0.24675556819242539</v>
      </c>
      <c r="AQ42" s="36">
        <f t="shared" si="5"/>
        <v>-7.4655389643675185E-2</v>
      </c>
    </row>
    <row r="43" spans="1:43" ht="15">
      <c r="A43" s="33" t="s">
        <v>109</v>
      </c>
      <c r="B43" s="34">
        <f>+SUM(B37:B42)</f>
        <v>43689</v>
      </c>
      <c r="C43" s="34">
        <f t="shared" ref="C43:AK43" si="7">+SUM(C37:C42)</f>
        <v>26217.475200000001</v>
      </c>
      <c r="D43" s="34">
        <f t="shared" si="7"/>
        <v>27541.999899999999</v>
      </c>
      <c r="E43" s="34">
        <f t="shared" si="7"/>
        <v>36505</v>
      </c>
      <c r="F43" s="34">
        <f t="shared" si="7"/>
        <v>32069.333299999998</v>
      </c>
      <c r="G43" s="34">
        <f t="shared" si="7"/>
        <v>34979.333299999998</v>
      </c>
      <c r="H43" s="34">
        <f t="shared" si="7"/>
        <v>52341</v>
      </c>
      <c r="I43" s="34">
        <f t="shared" si="7"/>
        <v>38111.284200000002</v>
      </c>
      <c r="J43" s="34">
        <f t="shared" si="7"/>
        <v>35161.659800000001</v>
      </c>
      <c r="K43" s="34">
        <f t="shared" si="7"/>
        <v>42639</v>
      </c>
      <c r="L43" s="34">
        <f t="shared" si="7"/>
        <v>26324</v>
      </c>
      <c r="M43" s="34">
        <f t="shared" si="7"/>
        <v>24797</v>
      </c>
      <c r="N43" s="34">
        <f t="shared" si="7"/>
        <v>34088.857000000004</v>
      </c>
      <c r="O43" s="34">
        <f t="shared" si="7"/>
        <v>22211.657700000007</v>
      </c>
      <c r="P43" s="34">
        <f t="shared" si="7"/>
        <v>27297.999799999998</v>
      </c>
      <c r="Q43" s="34">
        <f t="shared" si="7"/>
        <v>28047</v>
      </c>
      <c r="R43" s="34">
        <f t="shared" si="7"/>
        <v>27540</v>
      </c>
      <c r="S43" s="34">
        <f t="shared" si="7"/>
        <v>23409.202000000001</v>
      </c>
      <c r="T43" s="34">
        <f t="shared" si="7"/>
        <v>47522.660800000005</v>
      </c>
      <c r="U43" s="34">
        <f t="shared" si="7"/>
        <v>28003</v>
      </c>
      <c r="V43" s="34">
        <f t="shared" si="7"/>
        <v>28539</v>
      </c>
      <c r="W43" s="34">
        <f t="shared" si="7"/>
        <v>46635</v>
      </c>
      <c r="X43" s="34">
        <f t="shared" si="7"/>
        <v>29677</v>
      </c>
      <c r="Y43" s="34">
        <f t="shared" si="7"/>
        <v>31262</v>
      </c>
      <c r="Z43" s="34">
        <f t="shared" si="7"/>
        <v>49876</v>
      </c>
      <c r="AA43" s="34">
        <f t="shared" si="7"/>
        <v>32764</v>
      </c>
      <c r="AB43" s="34">
        <f t="shared" si="7"/>
        <v>34664</v>
      </c>
      <c r="AC43" s="34">
        <f t="shared" si="7"/>
        <v>51439</v>
      </c>
      <c r="AD43" s="34">
        <f t="shared" si="7"/>
        <v>42463</v>
      </c>
      <c r="AE43" s="34">
        <f t="shared" si="7"/>
        <v>33545</v>
      </c>
      <c r="AF43" s="34">
        <f t="shared" si="7"/>
        <v>48528</v>
      </c>
      <c r="AG43" s="34">
        <f t="shared" si="7"/>
        <v>41407</v>
      </c>
      <c r="AH43" s="34">
        <f t="shared" si="7"/>
        <v>41154</v>
      </c>
      <c r="AI43" s="34">
        <f t="shared" si="7"/>
        <v>58372</v>
      </c>
      <c r="AJ43" s="34">
        <f t="shared" si="7"/>
        <v>35033</v>
      </c>
      <c r="AK43" s="34">
        <f t="shared" si="7"/>
        <v>35216</v>
      </c>
      <c r="AL43" s="34">
        <f t="shared" si="0"/>
        <v>374233.37730000005</v>
      </c>
      <c r="AM43" s="34">
        <f t="shared" si="1"/>
        <v>504461</v>
      </c>
      <c r="AN43" s="36">
        <f t="shared" si="2"/>
        <v>1</v>
      </c>
      <c r="AO43" s="36">
        <f t="shared" si="3"/>
        <v>1</v>
      </c>
      <c r="AP43" s="36">
        <f t="shared" si="4"/>
        <v>0.34798505584819717</v>
      </c>
      <c r="AQ43" s="36">
        <f t="shared" si="5"/>
        <v>0.34798505584819711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6690-0DBF-4FDB-B16C-CE001C9C1B5A}">
  <sheetPr>
    <outlinePr summaryBelow="0"/>
  </sheetPr>
  <dimension ref="A1:AS495"/>
  <sheetViews>
    <sheetView showGridLines="0" workbookViewId="0"/>
  </sheetViews>
  <sheetFormatPr defaultColWidth="9.42578125" defaultRowHeight="14.25"/>
  <cols>
    <col min="1" max="1" width="16.85546875" style="29" customWidth="1"/>
    <col min="2" max="2" width="23.42578125" style="29" customWidth="1"/>
    <col min="3" max="3" width="23" style="29" customWidth="1"/>
    <col min="4" max="4" width="16.7109375" style="29" customWidth="1"/>
    <col min="5" max="5" width="23" style="29" customWidth="1"/>
    <col min="6" max="6" width="42.85546875" style="29" customWidth="1"/>
    <col min="7" max="7" width="69.5703125" style="29" customWidth="1"/>
    <col min="8" max="8" width="10.7109375" style="29" customWidth="1"/>
    <col min="9" max="9" width="35.140625" style="29" customWidth="1"/>
    <col min="10" max="10" width="34.140625" style="29" customWidth="1"/>
    <col min="11" max="11" width="39.85546875" style="29" customWidth="1"/>
    <col min="12" max="12" width="35.42578125" style="29" customWidth="1"/>
    <col min="13" max="13" width="35.7109375" style="29" customWidth="1"/>
    <col min="14" max="14" width="36" style="29" customWidth="1"/>
    <col min="15" max="15" width="35" style="29" customWidth="1"/>
    <col min="16" max="16" width="38.28515625" style="29" customWidth="1"/>
    <col min="17" max="17" width="35.7109375" style="29" customWidth="1"/>
    <col min="18" max="18" width="38.7109375" style="29" customWidth="1"/>
    <col min="19" max="19" width="35.5703125" style="29" customWidth="1"/>
    <col min="20" max="20" width="37.7109375" style="29" customWidth="1"/>
    <col min="21" max="21" width="35.140625" style="29" customWidth="1"/>
    <col min="22" max="22" width="34.140625" style="29" customWidth="1"/>
    <col min="23" max="23" width="39.85546875" style="29" customWidth="1"/>
    <col min="24" max="24" width="35.42578125" style="29" customWidth="1"/>
    <col min="25" max="25" width="35.7109375" style="29" customWidth="1"/>
    <col min="26" max="26" width="36" style="29" customWidth="1"/>
    <col min="27" max="27" width="35" style="29" customWidth="1"/>
    <col min="28" max="28" width="38.28515625" style="29" customWidth="1"/>
    <col min="29" max="29" width="35.7109375" style="29" customWidth="1"/>
    <col min="30" max="30" width="38.7109375" style="29" customWidth="1"/>
    <col min="31" max="31" width="35.5703125" style="29" customWidth="1"/>
    <col min="32" max="32" width="37.7109375" style="29" customWidth="1"/>
    <col min="33" max="33" width="35.140625" style="29" customWidth="1"/>
    <col min="34" max="34" width="34.140625" style="29" customWidth="1"/>
    <col min="35" max="35" width="39.85546875" style="29" customWidth="1"/>
    <col min="36" max="36" width="35.42578125" style="29" customWidth="1"/>
    <col min="37" max="37" width="35.7109375" style="29" customWidth="1"/>
    <col min="38" max="38" width="36" style="29" customWidth="1"/>
    <col min="39" max="39" width="35" style="29" customWidth="1"/>
    <col min="40" max="40" width="38.28515625" style="29" customWidth="1"/>
    <col min="41" max="41" width="35.7109375" style="29" customWidth="1"/>
    <col min="42" max="42" width="38.7109375" style="29" customWidth="1"/>
    <col min="43" max="43" width="35.5703125" style="29" customWidth="1"/>
    <col min="44" max="44" width="37.7109375" style="29" customWidth="1"/>
    <col min="45" max="45" width="35.140625" style="29" customWidth="1"/>
    <col min="46" max="16384" width="9.42578125" style="29"/>
  </cols>
  <sheetData>
    <row r="1" spans="1:45" ht="15.75">
      <c r="A1" s="28" t="s">
        <v>632</v>
      </c>
      <c r="B1" s="28" t="s">
        <v>633</v>
      </c>
      <c r="C1" s="28" t="s">
        <v>634</v>
      </c>
      <c r="D1" s="28" t="s">
        <v>586</v>
      </c>
      <c r="E1" s="28" t="s">
        <v>635</v>
      </c>
      <c r="F1" s="28" t="s">
        <v>636</v>
      </c>
      <c r="G1" s="28" t="s">
        <v>637</v>
      </c>
      <c r="H1" s="28" t="s">
        <v>638</v>
      </c>
      <c r="I1" s="28" t="s">
        <v>639</v>
      </c>
      <c r="J1" s="28" t="s">
        <v>640</v>
      </c>
      <c r="K1" s="28" t="s">
        <v>641</v>
      </c>
      <c r="L1" s="28" t="s">
        <v>642</v>
      </c>
      <c r="M1" s="28" t="s">
        <v>643</v>
      </c>
      <c r="N1" s="28" t="s">
        <v>644</v>
      </c>
      <c r="O1" s="28" t="s">
        <v>645</v>
      </c>
      <c r="P1" s="28" t="s">
        <v>646</v>
      </c>
      <c r="Q1" s="28" t="s">
        <v>647</v>
      </c>
      <c r="R1" s="28" t="s">
        <v>648</v>
      </c>
      <c r="S1" s="28" t="s">
        <v>649</v>
      </c>
      <c r="T1" s="28" t="s">
        <v>650</v>
      </c>
      <c r="U1" s="28" t="s">
        <v>651</v>
      </c>
      <c r="V1" s="28" t="s">
        <v>652</v>
      </c>
      <c r="W1" s="28" t="s">
        <v>653</v>
      </c>
      <c r="X1" s="28" t="s">
        <v>654</v>
      </c>
      <c r="Y1" s="28" t="s">
        <v>655</v>
      </c>
      <c r="Z1" s="28" t="s">
        <v>656</v>
      </c>
      <c r="AA1" s="28" t="s">
        <v>657</v>
      </c>
      <c r="AB1" s="28" t="s">
        <v>658</v>
      </c>
      <c r="AC1" s="28" t="s">
        <v>659</v>
      </c>
      <c r="AD1" s="28" t="s">
        <v>660</v>
      </c>
      <c r="AE1" s="28" t="s">
        <v>661</v>
      </c>
      <c r="AF1" s="28" t="s">
        <v>662</v>
      </c>
      <c r="AG1" s="28" t="s">
        <v>663</v>
      </c>
      <c r="AH1" s="28" t="s">
        <v>664</v>
      </c>
      <c r="AI1" s="28" t="s">
        <v>665</v>
      </c>
      <c r="AJ1" s="28" t="s">
        <v>666</v>
      </c>
      <c r="AK1" s="28" t="s">
        <v>667</v>
      </c>
      <c r="AL1" s="28" t="s">
        <v>668</v>
      </c>
      <c r="AM1" s="28" t="s">
        <v>669</v>
      </c>
      <c r="AN1" s="28" t="s">
        <v>670</v>
      </c>
      <c r="AO1" s="28" t="s">
        <v>671</v>
      </c>
      <c r="AP1" s="28" t="s">
        <v>672</v>
      </c>
      <c r="AQ1" s="28" t="s">
        <v>673</v>
      </c>
      <c r="AR1" s="28" t="s">
        <v>674</v>
      </c>
      <c r="AS1" s="28" t="s">
        <v>675</v>
      </c>
    </row>
    <row r="2" spans="1:45">
      <c r="A2" s="30" t="s">
        <v>676</v>
      </c>
      <c r="B2" s="30" t="s">
        <v>633</v>
      </c>
      <c r="C2" s="30" t="s">
        <v>677</v>
      </c>
      <c r="D2" s="30" t="s">
        <v>587</v>
      </c>
      <c r="E2" s="30" t="s">
        <v>678</v>
      </c>
      <c r="F2" s="30" t="s">
        <v>91</v>
      </c>
      <c r="G2" s="30" t="s">
        <v>679</v>
      </c>
      <c r="H2" s="30" t="s">
        <v>680</v>
      </c>
      <c r="I2" s="31">
        <v>0</v>
      </c>
      <c r="J2" s="31">
        <v>0</v>
      </c>
      <c r="K2" s="31">
        <v>0</v>
      </c>
      <c r="L2" s="31">
        <v>0</v>
      </c>
      <c r="M2" s="31">
        <v>0</v>
      </c>
      <c r="N2" s="31">
        <v>0</v>
      </c>
      <c r="O2" s="32">
        <v>24</v>
      </c>
      <c r="P2" s="32">
        <v>8</v>
      </c>
      <c r="Q2" s="31">
        <v>0</v>
      </c>
      <c r="R2" s="31">
        <v>0</v>
      </c>
      <c r="S2" s="31">
        <v>0</v>
      </c>
      <c r="T2" s="31">
        <v>0</v>
      </c>
      <c r="U2" s="31">
        <v>0</v>
      </c>
      <c r="V2" s="31">
        <v>0</v>
      </c>
      <c r="W2" s="31">
        <v>0</v>
      </c>
      <c r="X2" s="31">
        <v>0</v>
      </c>
      <c r="Y2" s="31">
        <v>0</v>
      </c>
      <c r="Z2" s="31">
        <v>0</v>
      </c>
      <c r="AA2" s="31">
        <v>0</v>
      </c>
      <c r="AB2" s="31">
        <v>0</v>
      </c>
      <c r="AC2" s="31">
        <v>0</v>
      </c>
      <c r="AD2" s="31">
        <v>0</v>
      </c>
      <c r="AE2" s="31">
        <v>0</v>
      </c>
      <c r="AF2" s="31">
        <v>0</v>
      </c>
      <c r="AG2" s="31">
        <v>0</v>
      </c>
      <c r="AH2" s="31">
        <v>0</v>
      </c>
      <c r="AI2" s="31">
        <v>0</v>
      </c>
      <c r="AJ2" s="31">
        <v>0</v>
      </c>
      <c r="AK2" s="31">
        <v>0</v>
      </c>
      <c r="AL2" s="31">
        <v>0</v>
      </c>
      <c r="AM2" s="31">
        <v>0</v>
      </c>
      <c r="AN2" s="31">
        <v>0</v>
      </c>
      <c r="AO2" s="31">
        <v>0</v>
      </c>
      <c r="AP2" s="31">
        <v>0</v>
      </c>
      <c r="AQ2" s="31">
        <v>0</v>
      </c>
      <c r="AR2" s="31">
        <v>0</v>
      </c>
      <c r="AS2" s="31">
        <v>0</v>
      </c>
    </row>
    <row r="3" spans="1:45">
      <c r="A3" s="30" t="s">
        <v>676</v>
      </c>
      <c r="B3" s="30" t="s">
        <v>633</v>
      </c>
      <c r="C3" s="30" t="s">
        <v>677</v>
      </c>
      <c r="D3" s="30" t="s">
        <v>587</v>
      </c>
      <c r="E3" s="30" t="s">
        <v>681</v>
      </c>
      <c r="F3" s="30" t="s">
        <v>98</v>
      </c>
      <c r="G3" s="30" t="s">
        <v>682</v>
      </c>
      <c r="H3" s="30" t="s">
        <v>680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2">
        <v>1</v>
      </c>
      <c r="R3" s="32">
        <v>1</v>
      </c>
      <c r="S3" s="32">
        <v>1</v>
      </c>
      <c r="T3" s="31">
        <v>0</v>
      </c>
      <c r="U3" s="31">
        <v>0</v>
      </c>
      <c r="V3" s="31">
        <v>0</v>
      </c>
      <c r="W3" s="31">
        <v>0</v>
      </c>
      <c r="X3" s="32">
        <v>1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2">
        <v>18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</row>
    <row r="4" spans="1:45">
      <c r="A4" s="30" t="s">
        <v>676</v>
      </c>
      <c r="B4" s="30" t="s">
        <v>633</v>
      </c>
      <c r="C4" s="30" t="s">
        <v>677</v>
      </c>
      <c r="D4" s="30" t="s">
        <v>587</v>
      </c>
      <c r="E4" s="30" t="s">
        <v>683</v>
      </c>
      <c r="F4" s="30" t="s">
        <v>104</v>
      </c>
      <c r="G4" s="30" t="s">
        <v>684</v>
      </c>
      <c r="H4" s="30" t="s">
        <v>680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1">
        <v>0</v>
      </c>
      <c r="P4" s="31">
        <v>0</v>
      </c>
      <c r="Q4" s="31">
        <v>0</v>
      </c>
      <c r="R4" s="31">
        <v>0</v>
      </c>
      <c r="S4" s="31">
        <v>0</v>
      </c>
      <c r="T4" s="31">
        <v>0</v>
      </c>
      <c r="U4" s="31">
        <v>0</v>
      </c>
      <c r="V4" s="31">
        <v>0</v>
      </c>
      <c r="W4" s="31">
        <v>0</v>
      </c>
      <c r="X4" s="31">
        <v>0</v>
      </c>
      <c r="Y4" s="31">
        <v>0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  <c r="AH4" s="31">
        <v>0</v>
      </c>
      <c r="AI4" s="31">
        <v>0</v>
      </c>
      <c r="AJ4" s="31">
        <v>0</v>
      </c>
      <c r="AK4" s="31">
        <v>0</v>
      </c>
      <c r="AL4" s="31">
        <v>0</v>
      </c>
      <c r="AM4" s="31">
        <v>0</v>
      </c>
      <c r="AN4" s="31">
        <v>0</v>
      </c>
      <c r="AO4" s="31">
        <v>0</v>
      </c>
      <c r="AP4" s="31">
        <v>0</v>
      </c>
      <c r="AQ4" s="31">
        <v>0</v>
      </c>
      <c r="AR4" s="31">
        <v>0</v>
      </c>
      <c r="AS4" s="32">
        <v>2</v>
      </c>
    </row>
    <row r="5" spans="1:45">
      <c r="A5" s="30" t="s">
        <v>676</v>
      </c>
      <c r="B5" s="30" t="s">
        <v>633</v>
      </c>
      <c r="C5" s="30" t="s">
        <v>677</v>
      </c>
      <c r="D5" s="30" t="s">
        <v>587</v>
      </c>
      <c r="E5" s="30" t="s">
        <v>685</v>
      </c>
      <c r="F5" s="30" t="s">
        <v>104</v>
      </c>
      <c r="G5" s="30" t="s">
        <v>686</v>
      </c>
      <c r="H5" s="30" t="s">
        <v>680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2">
        <v>2</v>
      </c>
    </row>
    <row r="6" spans="1:45">
      <c r="A6" s="30" t="s">
        <v>676</v>
      </c>
      <c r="B6" s="30" t="s">
        <v>633</v>
      </c>
      <c r="C6" s="30" t="s">
        <v>677</v>
      </c>
      <c r="D6" s="30" t="s">
        <v>587</v>
      </c>
      <c r="E6" s="30" t="s">
        <v>687</v>
      </c>
      <c r="F6" s="30" t="s">
        <v>627</v>
      </c>
      <c r="G6" s="30" t="s">
        <v>688</v>
      </c>
      <c r="H6" s="30" t="s">
        <v>680</v>
      </c>
      <c r="I6" s="31">
        <v>0</v>
      </c>
      <c r="J6" s="31">
        <v>0</v>
      </c>
      <c r="K6" s="31">
        <v>0</v>
      </c>
      <c r="L6" s="32">
        <v>2</v>
      </c>
      <c r="M6" s="31">
        <v>0</v>
      </c>
      <c r="N6" s="31">
        <v>0</v>
      </c>
      <c r="O6" s="32">
        <v>2</v>
      </c>
      <c r="P6" s="32">
        <v>4</v>
      </c>
      <c r="Q6" s="32">
        <v>1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2">
        <v>1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</row>
    <row r="7" spans="1:45">
      <c r="A7" s="30" t="s">
        <v>676</v>
      </c>
      <c r="B7" s="30" t="s">
        <v>633</v>
      </c>
      <c r="C7" s="30" t="s">
        <v>677</v>
      </c>
      <c r="D7" s="30" t="s">
        <v>587</v>
      </c>
      <c r="E7" s="30" t="s">
        <v>689</v>
      </c>
      <c r="F7" s="30" t="s">
        <v>85</v>
      </c>
      <c r="G7" s="30" t="s">
        <v>690</v>
      </c>
      <c r="H7" s="30" t="s">
        <v>680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2">
        <v>5</v>
      </c>
      <c r="X7" s="32">
        <v>1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</row>
    <row r="8" spans="1:45">
      <c r="A8" s="30" t="s">
        <v>676</v>
      </c>
      <c r="B8" s="30" t="s">
        <v>633</v>
      </c>
      <c r="C8" s="30" t="s">
        <v>677</v>
      </c>
      <c r="D8" s="30" t="s">
        <v>587</v>
      </c>
      <c r="E8" s="30" t="s">
        <v>691</v>
      </c>
      <c r="F8" s="30" t="s">
        <v>104</v>
      </c>
      <c r="G8" s="30" t="s">
        <v>692</v>
      </c>
      <c r="H8" s="30" t="s">
        <v>680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2">
        <v>9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</row>
    <row r="9" spans="1:45">
      <c r="A9" s="30" t="s">
        <v>676</v>
      </c>
      <c r="B9" s="30" t="s">
        <v>633</v>
      </c>
      <c r="C9" s="30" t="s">
        <v>677</v>
      </c>
      <c r="D9" s="30" t="s">
        <v>587</v>
      </c>
      <c r="E9" s="30" t="s">
        <v>693</v>
      </c>
      <c r="F9" s="30" t="s">
        <v>104</v>
      </c>
      <c r="G9" s="30" t="s">
        <v>694</v>
      </c>
      <c r="H9" s="30" t="s">
        <v>680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2">
        <v>9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</row>
    <row r="10" spans="1:45">
      <c r="A10" s="30" t="s">
        <v>676</v>
      </c>
      <c r="B10" s="30" t="s">
        <v>633</v>
      </c>
      <c r="C10" s="30" t="s">
        <v>677</v>
      </c>
      <c r="D10" s="30" t="s">
        <v>587</v>
      </c>
      <c r="E10" s="30" t="s">
        <v>695</v>
      </c>
      <c r="F10" s="30" t="s">
        <v>629</v>
      </c>
      <c r="G10" s="30" t="s">
        <v>696</v>
      </c>
      <c r="H10" s="30" t="s">
        <v>680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2">
        <v>2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</row>
    <row r="11" spans="1:45">
      <c r="A11" s="30" t="s">
        <v>676</v>
      </c>
      <c r="B11" s="30" t="s">
        <v>633</v>
      </c>
      <c r="C11" s="30" t="s">
        <v>677</v>
      </c>
      <c r="D11" s="30" t="s">
        <v>587</v>
      </c>
      <c r="E11" s="30" t="s">
        <v>697</v>
      </c>
      <c r="F11" s="30" t="s">
        <v>102</v>
      </c>
      <c r="G11" s="30" t="s">
        <v>153</v>
      </c>
      <c r="H11" s="30" t="s">
        <v>680</v>
      </c>
      <c r="I11" s="32">
        <v>831</v>
      </c>
      <c r="J11" s="32">
        <v>565</v>
      </c>
      <c r="K11" s="32">
        <v>496</v>
      </c>
      <c r="L11" s="32">
        <v>559</v>
      </c>
      <c r="M11" s="32">
        <v>502</v>
      </c>
      <c r="N11" s="32">
        <v>492</v>
      </c>
      <c r="O11" s="32">
        <v>334</v>
      </c>
      <c r="P11" s="32">
        <v>141</v>
      </c>
      <c r="Q11" s="32">
        <v>80</v>
      </c>
      <c r="R11" s="32">
        <v>55</v>
      </c>
      <c r="S11" s="32">
        <v>15</v>
      </c>
      <c r="T11" s="32">
        <v>25</v>
      </c>
      <c r="U11" s="32">
        <v>15</v>
      </c>
      <c r="V11" s="32">
        <v>16</v>
      </c>
      <c r="W11" s="32">
        <v>12</v>
      </c>
      <c r="X11" s="32">
        <v>3</v>
      </c>
      <c r="Y11" s="32">
        <v>3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2">
        <v>1</v>
      </c>
      <c r="AP11" s="31">
        <v>0</v>
      </c>
      <c r="AQ11" s="31">
        <v>0</v>
      </c>
      <c r="AR11" s="31">
        <v>0</v>
      </c>
      <c r="AS11" s="31">
        <v>0</v>
      </c>
    </row>
    <row r="12" spans="1:45">
      <c r="A12" s="30" t="s">
        <v>676</v>
      </c>
      <c r="B12" s="30" t="s">
        <v>633</v>
      </c>
      <c r="C12" s="30" t="s">
        <v>677</v>
      </c>
      <c r="D12" s="30" t="s">
        <v>587</v>
      </c>
      <c r="E12" s="30" t="s">
        <v>698</v>
      </c>
      <c r="F12" s="30" t="s">
        <v>102</v>
      </c>
      <c r="G12" s="30" t="s">
        <v>154</v>
      </c>
      <c r="H12" s="30" t="s">
        <v>680</v>
      </c>
      <c r="I12" s="32">
        <v>463</v>
      </c>
      <c r="J12" s="32">
        <v>373</v>
      </c>
      <c r="K12" s="32">
        <v>257</v>
      </c>
      <c r="L12" s="32">
        <v>181</v>
      </c>
      <c r="M12" s="32">
        <v>46</v>
      </c>
      <c r="N12" s="32">
        <v>26</v>
      </c>
      <c r="O12" s="32">
        <v>36</v>
      </c>
      <c r="P12" s="32">
        <v>14</v>
      </c>
      <c r="Q12" s="32">
        <v>8</v>
      </c>
      <c r="R12" s="32">
        <v>7</v>
      </c>
      <c r="S12" s="32">
        <v>1</v>
      </c>
      <c r="T12" s="32">
        <v>3</v>
      </c>
      <c r="U12" s="32">
        <v>2</v>
      </c>
      <c r="V12" s="32">
        <v>2</v>
      </c>
      <c r="W12" s="32">
        <v>3</v>
      </c>
      <c r="X12" s="32">
        <v>3</v>
      </c>
      <c r="Y12" s="32">
        <v>3</v>
      </c>
      <c r="Z12" s="32">
        <v>1</v>
      </c>
      <c r="AA12" s="32">
        <v>2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2">
        <v>1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</row>
    <row r="13" spans="1:45">
      <c r="A13" s="30" t="s">
        <v>676</v>
      </c>
      <c r="B13" s="30" t="s">
        <v>633</v>
      </c>
      <c r="C13" s="30" t="s">
        <v>677</v>
      </c>
      <c r="D13" s="30" t="s">
        <v>587</v>
      </c>
      <c r="E13" s="30" t="s">
        <v>699</v>
      </c>
      <c r="F13" s="30" t="s">
        <v>85</v>
      </c>
      <c r="G13" s="30" t="s">
        <v>155</v>
      </c>
      <c r="H13" s="30" t="s">
        <v>680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2">
        <v>84</v>
      </c>
      <c r="AB13" s="32">
        <v>63</v>
      </c>
      <c r="AC13" s="32">
        <v>97</v>
      </c>
      <c r="AD13" s="32">
        <v>200</v>
      </c>
      <c r="AE13" s="32">
        <v>120</v>
      </c>
      <c r="AF13" s="32">
        <v>84</v>
      </c>
      <c r="AG13" s="32">
        <v>92</v>
      </c>
      <c r="AH13" s="32">
        <v>38</v>
      </c>
      <c r="AI13" s="32">
        <v>55</v>
      </c>
      <c r="AJ13" s="32">
        <v>49</v>
      </c>
      <c r="AK13" s="32">
        <v>61</v>
      </c>
      <c r="AL13" s="32">
        <v>34</v>
      </c>
      <c r="AM13" s="32">
        <v>53</v>
      </c>
      <c r="AN13" s="32">
        <v>42</v>
      </c>
      <c r="AO13" s="32">
        <v>60</v>
      </c>
      <c r="AP13" s="32">
        <v>56</v>
      </c>
      <c r="AQ13" s="32">
        <v>42</v>
      </c>
      <c r="AR13" s="32">
        <v>33</v>
      </c>
      <c r="AS13" s="32">
        <v>45</v>
      </c>
    </row>
    <row r="14" spans="1:45">
      <c r="A14" s="30" t="s">
        <v>676</v>
      </c>
      <c r="B14" s="30" t="s">
        <v>633</v>
      </c>
      <c r="C14" s="30" t="s">
        <v>677</v>
      </c>
      <c r="D14" s="30" t="s">
        <v>587</v>
      </c>
      <c r="E14" s="30" t="s">
        <v>700</v>
      </c>
      <c r="F14" s="30" t="s">
        <v>88</v>
      </c>
      <c r="G14" s="30" t="s">
        <v>156</v>
      </c>
      <c r="H14" s="30" t="s">
        <v>680</v>
      </c>
      <c r="I14" s="32">
        <v>66</v>
      </c>
      <c r="J14" s="32">
        <v>42</v>
      </c>
      <c r="K14" s="32">
        <v>57</v>
      </c>
      <c r="L14" s="32">
        <v>53</v>
      </c>
      <c r="M14" s="32">
        <v>24</v>
      </c>
      <c r="N14" s="32">
        <v>33</v>
      </c>
      <c r="O14" s="32">
        <v>29</v>
      </c>
      <c r="P14" s="32">
        <v>26</v>
      </c>
      <c r="Q14" s="32">
        <v>11</v>
      </c>
      <c r="R14" s="32">
        <v>13</v>
      </c>
      <c r="S14" s="32">
        <v>7</v>
      </c>
      <c r="T14" s="32">
        <v>3</v>
      </c>
      <c r="U14" s="32">
        <v>10</v>
      </c>
      <c r="V14" s="32">
        <v>5</v>
      </c>
      <c r="W14" s="32">
        <v>4</v>
      </c>
      <c r="X14" s="32">
        <v>13</v>
      </c>
      <c r="Y14" s="32">
        <v>5</v>
      </c>
      <c r="Z14" s="32">
        <v>6</v>
      </c>
      <c r="AA14" s="32">
        <v>9</v>
      </c>
      <c r="AB14" s="32">
        <v>8</v>
      </c>
      <c r="AC14" s="32">
        <v>3</v>
      </c>
      <c r="AD14" s="32">
        <v>3</v>
      </c>
      <c r="AE14" s="31">
        <v>0</v>
      </c>
      <c r="AF14" s="31">
        <v>0</v>
      </c>
      <c r="AG14" s="31">
        <v>0</v>
      </c>
      <c r="AH14" s="32">
        <v>1</v>
      </c>
      <c r="AI14" s="32">
        <v>1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</row>
    <row r="15" spans="1:45">
      <c r="A15" s="30" t="s">
        <v>676</v>
      </c>
      <c r="B15" s="30" t="s">
        <v>633</v>
      </c>
      <c r="C15" s="30" t="s">
        <v>677</v>
      </c>
      <c r="D15" s="30" t="s">
        <v>587</v>
      </c>
      <c r="E15" s="30" t="s">
        <v>701</v>
      </c>
      <c r="F15" s="30" t="s">
        <v>88</v>
      </c>
      <c r="G15" s="30" t="s">
        <v>157</v>
      </c>
      <c r="H15" s="30" t="s">
        <v>680</v>
      </c>
      <c r="I15" s="32">
        <v>128</v>
      </c>
      <c r="J15" s="32">
        <v>90</v>
      </c>
      <c r="K15" s="32">
        <v>103</v>
      </c>
      <c r="L15" s="32">
        <v>108</v>
      </c>
      <c r="M15" s="32">
        <v>63</v>
      </c>
      <c r="N15" s="32">
        <v>70</v>
      </c>
      <c r="O15" s="32">
        <v>76</v>
      </c>
      <c r="P15" s="32">
        <v>51</v>
      </c>
      <c r="Q15" s="32">
        <v>41</v>
      </c>
      <c r="R15" s="32">
        <v>38</v>
      </c>
      <c r="S15" s="32">
        <v>22</v>
      </c>
      <c r="T15" s="32">
        <v>22</v>
      </c>
      <c r="U15" s="32">
        <v>17</v>
      </c>
      <c r="V15" s="32">
        <v>12</v>
      </c>
      <c r="W15" s="32">
        <v>9</v>
      </c>
      <c r="X15" s="32">
        <v>14</v>
      </c>
      <c r="Y15" s="32">
        <v>12</v>
      </c>
      <c r="Z15" s="32">
        <v>6</v>
      </c>
      <c r="AA15" s="32">
        <v>6</v>
      </c>
      <c r="AB15" s="32">
        <v>5</v>
      </c>
      <c r="AC15" s="32">
        <v>3</v>
      </c>
      <c r="AD15" s="32">
        <v>8</v>
      </c>
      <c r="AE15" s="32">
        <v>3</v>
      </c>
      <c r="AF15" s="32">
        <v>1</v>
      </c>
      <c r="AG15" s="32">
        <v>1</v>
      </c>
      <c r="AH15" s="32">
        <v>1</v>
      </c>
      <c r="AI15" s="31">
        <v>0</v>
      </c>
      <c r="AJ15" s="32">
        <v>1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2">
        <v>1</v>
      </c>
      <c r="AQ15" s="31">
        <v>0</v>
      </c>
      <c r="AR15" s="31">
        <v>0</v>
      </c>
      <c r="AS15" s="31">
        <v>0</v>
      </c>
    </row>
    <row r="16" spans="1:45">
      <c r="A16" s="30" t="s">
        <v>676</v>
      </c>
      <c r="B16" s="30" t="s">
        <v>633</v>
      </c>
      <c r="C16" s="30" t="s">
        <v>677</v>
      </c>
      <c r="D16" s="30" t="s">
        <v>587</v>
      </c>
      <c r="E16" s="30" t="s">
        <v>702</v>
      </c>
      <c r="F16" s="30" t="s">
        <v>104</v>
      </c>
      <c r="G16" s="30" t="s">
        <v>158</v>
      </c>
      <c r="H16" s="30" t="s">
        <v>680</v>
      </c>
      <c r="I16" s="32">
        <v>117</v>
      </c>
      <c r="J16" s="32">
        <v>83</v>
      </c>
      <c r="K16" s="32">
        <v>85</v>
      </c>
      <c r="L16" s="32">
        <v>103</v>
      </c>
      <c r="M16" s="32">
        <v>69</v>
      </c>
      <c r="N16" s="32">
        <v>81</v>
      </c>
      <c r="O16" s="32">
        <v>98</v>
      </c>
      <c r="P16" s="32">
        <v>58</v>
      </c>
      <c r="Q16" s="32">
        <v>43</v>
      </c>
      <c r="R16" s="32">
        <v>36</v>
      </c>
      <c r="S16" s="32">
        <v>27</v>
      </c>
      <c r="T16" s="32">
        <v>12</v>
      </c>
      <c r="U16" s="32">
        <v>29</v>
      </c>
      <c r="V16" s="32">
        <v>14</v>
      </c>
      <c r="W16" s="32">
        <v>23</v>
      </c>
      <c r="X16" s="32">
        <v>13</v>
      </c>
      <c r="Y16" s="32">
        <v>10</v>
      </c>
      <c r="Z16" s="32">
        <v>11</v>
      </c>
      <c r="AA16" s="32">
        <v>17</v>
      </c>
      <c r="AB16" s="32">
        <v>6</v>
      </c>
      <c r="AC16" s="32">
        <v>9</v>
      </c>
      <c r="AD16" s="32">
        <v>18</v>
      </c>
      <c r="AE16" s="32">
        <v>8</v>
      </c>
      <c r="AF16" s="32">
        <v>4</v>
      </c>
      <c r="AG16" s="32">
        <v>4</v>
      </c>
      <c r="AH16" s="32">
        <v>2</v>
      </c>
      <c r="AI16" s="32">
        <v>1</v>
      </c>
      <c r="AJ16" s="31">
        <v>0</v>
      </c>
      <c r="AK16" s="31">
        <v>0</v>
      </c>
      <c r="AL16" s="32">
        <v>1</v>
      </c>
      <c r="AM16" s="32">
        <v>1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</row>
    <row r="17" spans="1:45">
      <c r="A17" s="30" t="s">
        <v>676</v>
      </c>
      <c r="B17" s="30" t="s">
        <v>633</v>
      </c>
      <c r="C17" s="30" t="s">
        <v>677</v>
      </c>
      <c r="D17" s="30" t="s">
        <v>587</v>
      </c>
      <c r="E17" s="30" t="s">
        <v>703</v>
      </c>
      <c r="F17" s="30" t="s">
        <v>104</v>
      </c>
      <c r="G17" s="30" t="s">
        <v>159</v>
      </c>
      <c r="H17" s="30" t="s">
        <v>680</v>
      </c>
      <c r="I17" s="32">
        <v>79</v>
      </c>
      <c r="J17" s="32">
        <v>60</v>
      </c>
      <c r="K17" s="32">
        <v>52</v>
      </c>
      <c r="L17" s="32">
        <v>67</v>
      </c>
      <c r="M17" s="32">
        <v>44</v>
      </c>
      <c r="N17" s="32">
        <v>39</v>
      </c>
      <c r="O17" s="32">
        <v>62</v>
      </c>
      <c r="P17" s="32">
        <v>23</v>
      </c>
      <c r="Q17" s="32">
        <v>25</v>
      </c>
      <c r="R17" s="32">
        <v>18</v>
      </c>
      <c r="S17" s="32">
        <v>8</v>
      </c>
      <c r="T17" s="32">
        <v>7</v>
      </c>
      <c r="U17" s="32">
        <v>12</v>
      </c>
      <c r="V17" s="32">
        <v>2</v>
      </c>
      <c r="W17" s="32">
        <v>7</v>
      </c>
      <c r="X17" s="32">
        <v>4</v>
      </c>
      <c r="Y17" s="32">
        <v>7</v>
      </c>
      <c r="Z17" s="32">
        <v>7</v>
      </c>
      <c r="AA17" s="32">
        <v>5</v>
      </c>
      <c r="AB17" s="32">
        <v>1</v>
      </c>
      <c r="AC17" s="32">
        <v>1</v>
      </c>
      <c r="AD17" s="32">
        <v>4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2">
        <v>1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</row>
    <row r="18" spans="1:45">
      <c r="A18" s="30" t="s">
        <v>676</v>
      </c>
      <c r="B18" s="30" t="s">
        <v>633</v>
      </c>
      <c r="C18" s="30" t="s">
        <v>677</v>
      </c>
      <c r="D18" s="30" t="s">
        <v>587</v>
      </c>
      <c r="E18" s="30" t="s">
        <v>704</v>
      </c>
      <c r="F18" s="30" t="s">
        <v>104</v>
      </c>
      <c r="G18" s="30" t="s">
        <v>160</v>
      </c>
      <c r="H18" s="30" t="s">
        <v>680</v>
      </c>
      <c r="I18" s="32">
        <v>181</v>
      </c>
      <c r="J18" s="32">
        <v>117</v>
      </c>
      <c r="K18" s="32">
        <v>149</v>
      </c>
      <c r="L18" s="32">
        <v>187</v>
      </c>
      <c r="M18" s="32">
        <v>163</v>
      </c>
      <c r="N18" s="32">
        <v>199</v>
      </c>
      <c r="O18" s="32">
        <v>228</v>
      </c>
      <c r="P18" s="32">
        <v>331</v>
      </c>
      <c r="Q18" s="32">
        <v>182</v>
      </c>
      <c r="R18" s="32">
        <v>153</v>
      </c>
      <c r="S18" s="32">
        <v>89</v>
      </c>
      <c r="T18" s="32">
        <v>82</v>
      </c>
      <c r="U18" s="32">
        <v>136</v>
      </c>
      <c r="V18" s="32">
        <v>71</v>
      </c>
      <c r="W18" s="32">
        <v>91</v>
      </c>
      <c r="X18" s="32">
        <v>91</v>
      </c>
      <c r="Y18" s="32">
        <v>106</v>
      </c>
      <c r="Z18" s="32">
        <v>90.875900000000001</v>
      </c>
      <c r="AA18" s="32">
        <v>218.64660000000001</v>
      </c>
      <c r="AB18" s="32">
        <v>213</v>
      </c>
      <c r="AC18" s="32">
        <v>222</v>
      </c>
      <c r="AD18" s="32">
        <v>285</v>
      </c>
      <c r="AE18" s="32">
        <v>119</v>
      </c>
      <c r="AF18" s="32">
        <v>117</v>
      </c>
      <c r="AG18" s="32">
        <v>210</v>
      </c>
      <c r="AH18" s="32">
        <v>151</v>
      </c>
      <c r="AI18" s="32">
        <v>124</v>
      </c>
      <c r="AJ18" s="32">
        <v>169</v>
      </c>
      <c r="AK18" s="32">
        <v>178</v>
      </c>
      <c r="AL18" s="32">
        <v>161</v>
      </c>
      <c r="AM18" s="32">
        <v>212</v>
      </c>
      <c r="AN18" s="32">
        <v>197</v>
      </c>
      <c r="AO18" s="32">
        <v>180</v>
      </c>
      <c r="AP18" s="32">
        <v>190</v>
      </c>
      <c r="AQ18" s="32">
        <v>154</v>
      </c>
      <c r="AR18" s="32">
        <v>93</v>
      </c>
      <c r="AS18" s="32">
        <v>231</v>
      </c>
    </row>
    <row r="19" spans="1:45">
      <c r="A19" s="30" t="s">
        <v>676</v>
      </c>
      <c r="B19" s="30" t="s">
        <v>633</v>
      </c>
      <c r="C19" s="30" t="s">
        <v>677</v>
      </c>
      <c r="D19" s="30" t="s">
        <v>587</v>
      </c>
      <c r="E19" s="30" t="s">
        <v>705</v>
      </c>
      <c r="F19" s="30" t="s">
        <v>88</v>
      </c>
      <c r="G19" s="30" t="s">
        <v>161</v>
      </c>
      <c r="H19" s="30" t="s">
        <v>680</v>
      </c>
      <c r="I19" s="32">
        <v>656</v>
      </c>
      <c r="J19" s="32">
        <v>537</v>
      </c>
      <c r="K19" s="32">
        <v>647</v>
      </c>
      <c r="L19" s="32">
        <v>824</v>
      </c>
      <c r="M19" s="32">
        <v>628</v>
      </c>
      <c r="N19" s="32">
        <v>716</v>
      </c>
      <c r="O19" s="32">
        <v>1013</v>
      </c>
      <c r="P19" s="32">
        <v>933</v>
      </c>
      <c r="Q19" s="32">
        <v>773</v>
      </c>
      <c r="R19" s="32">
        <v>1011</v>
      </c>
      <c r="S19" s="32">
        <v>594</v>
      </c>
      <c r="T19" s="32">
        <v>509</v>
      </c>
      <c r="U19" s="32">
        <v>544</v>
      </c>
      <c r="V19" s="32">
        <v>319.3947</v>
      </c>
      <c r="W19" s="32">
        <v>536</v>
      </c>
      <c r="X19" s="32">
        <v>547</v>
      </c>
      <c r="Y19" s="32">
        <v>479</v>
      </c>
      <c r="Z19" s="32">
        <v>496.84719999999999</v>
      </c>
      <c r="AA19" s="32">
        <v>796.26969999999994</v>
      </c>
      <c r="AB19" s="32">
        <v>530</v>
      </c>
      <c r="AC19" s="32">
        <v>638</v>
      </c>
      <c r="AD19" s="32">
        <v>367</v>
      </c>
      <c r="AE19" s="32">
        <v>177</v>
      </c>
      <c r="AF19" s="32">
        <v>204</v>
      </c>
      <c r="AG19" s="32">
        <v>146</v>
      </c>
      <c r="AH19" s="32">
        <v>77</v>
      </c>
      <c r="AI19" s="32">
        <v>60</v>
      </c>
      <c r="AJ19" s="32">
        <v>53</v>
      </c>
      <c r="AK19" s="32">
        <v>33</v>
      </c>
      <c r="AL19" s="32">
        <v>38</v>
      </c>
      <c r="AM19" s="32">
        <v>41</v>
      </c>
      <c r="AN19" s="32">
        <v>28</v>
      </c>
      <c r="AO19" s="32">
        <v>23</v>
      </c>
      <c r="AP19" s="32">
        <v>37</v>
      </c>
      <c r="AQ19" s="32">
        <v>30</v>
      </c>
      <c r="AR19" s="32">
        <v>11</v>
      </c>
      <c r="AS19" s="32">
        <v>35</v>
      </c>
    </row>
    <row r="20" spans="1:45">
      <c r="A20" s="30" t="s">
        <v>676</v>
      </c>
      <c r="B20" s="30" t="s">
        <v>633</v>
      </c>
      <c r="C20" s="30" t="s">
        <v>677</v>
      </c>
      <c r="D20" s="30" t="s">
        <v>587</v>
      </c>
      <c r="E20" s="30" t="s">
        <v>706</v>
      </c>
      <c r="F20" s="30" t="s">
        <v>104</v>
      </c>
      <c r="G20" s="30" t="s">
        <v>707</v>
      </c>
      <c r="H20" s="30" t="s">
        <v>680</v>
      </c>
      <c r="I20" s="31">
        <v>0</v>
      </c>
      <c r="J20" s="31">
        <v>0</v>
      </c>
      <c r="K20" s="32">
        <v>1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2">
        <v>1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2">
        <v>1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2">
        <v>1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</row>
    <row r="21" spans="1:45">
      <c r="A21" s="30" t="s">
        <v>676</v>
      </c>
      <c r="B21" s="30" t="s">
        <v>633</v>
      </c>
      <c r="C21" s="30" t="s">
        <v>677</v>
      </c>
      <c r="D21" s="30" t="s">
        <v>587</v>
      </c>
      <c r="E21" s="30" t="s">
        <v>708</v>
      </c>
      <c r="F21" s="30" t="s">
        <v>104</v>
      </c>
      <c r="G21" s="30" t="s">
        <v>162</v>
      </c>
      <c r="H21" s="30" t="s">
        <v>680</v>
      </c>
      <c r="I21" s="32">
        <v>471</v>
      </c>
      <c r="J21" s="32">
        <v>462</v>
      </c>
      <c r="K21" s="32">
        <v>459</v>
      </c>
      <c r="L21" s="32">
        <v>574</v>
      </c>
      <c r="M21" s="32">
        <v>520</v>
      </c>
      <c r="N21" s="32">
        <v>603</v>
      </c>
      <c r="O21" s="32">
        <v>883</v>
      </c>
      <c r="P21" s="32">
        <v>713</v>
      </c>
      <c r="Q21" s="32">
        <v>588.23710000000005</v>
      </c>
      <c r="R21" s="32">
        <v>859</v>
      </c>
      <c r="S21" s="32">
        <v>572</v>
      </c>
      <c r="T21" s="32">
        <v>503</v>
      </c>
      <c r="U21" s="32">
        <v>724</v>
      </c>
      <c r="V21" s="32">
        <v>404.3947</v>
      </c>
      <c r="W21" s="32">
        <v>612</v>
      </c>
      <c r="X21" s="32">
        <v>494</v>
      </c>
      <c r="Y21" s="32">
        <v>425</v>
      </c>
      <c r="Z21" s="32">
        <v>397.9228</v>
      </c>
      <c r="AA21" s="32">
        <v>773.01840000000004</v>
      </c>
      <c r="AB21" s="32">
        <v>659</v>
      </c>
      <c r="AC21" s="32">
        <v>632</v>
      </c>
      <c r="AD21" s="32">
        <v>672</v>
      </c>
      <c r="AE21" s="32">
        <v>353</v>
      </c>
      <c r="AF21" s="32">
        <v>374</v>
      </c>
      <c r="AG21" s="32">
        <v>624</v>
      </c>
      <c r="AH21" s="32">
        <v>322</v>
      </c>
      <c r="AI21" s="32">
        <v>244</v>
      </c>
      <c r="AJ21" s="32">
        <v>204</v>
      </c>
      <c r="AK21" s="32">
        <v>175</v>
      </c>
      <c r="AL21" s="32">
        <v>70</v>
      </c>
      <c r="AM21" s="32">
        <v>100</v>
      </c>
      <c r="AN21" s="32">
        <v>60</v>
      </c>
      <c r="AO21" s="32">
        <v>56</v>
      </c>
      <c r="AP21" s="32">
        <v>54</v>
      </c>
      <c r="AQ21" s="32">
        <v>56</v>
      </c>
      <c r="AR21" s="32">
        <v>34</v>
      </c>
      <c r="AS21" s="32">
        <v>45</v>
      </c>
    </row>
    <row r="22" spans="1:45">
      <c r="A22" s="30" t="s">
        <v>676</v>
      </c>
      <c r="B22" s="30" t="s">
        <v>633</v>
      </c>
      <c r="C22" s="30" t="s">
        <v>677</v>
      </c>
      <c r="D22" s="30" t="s">
        <v>587</v>
      </c>
      <c r="E22" s="30" t="s">
        <v>709</v>
      </c>
      <c r="F22" s="30" t="s">
        <v>85</v>
      </c>
      <c r="G22" s="30" t="s">
        <v>710</v>
      </c>
      <c r="H22" s="30" t="s">
        <v>680</v>
      </c>
      <c r="I22" s="32">
        <v>1</v>
      </c>
      <c r="J22" s="32">
        <v>1</v>
      </c>
      <c r="K22" s="32">
        <v>1</v>
      </c>
      <c r="L22" s="32">
        <v>2</v>
      </c>
      <c r="M22" s="31">
        <v>0</v>
      </c>
      <c r="N22" s="31">
        <v>0</v>
      </c>
      <c r="O22" s="31">
        <v>0</v>
      </c>
      <c r="P22" s="32">
        <v>1</v>
      </c>
      <c r="Q22" s="32">
        <v>1</v>
      </c>
      <c r="R22" s="32">
        <v>3</v>
      </c>
      <c r="S22" s="31">
        <v>0</v>
      </c>
      <c r="T22" s="31">
        <v>0</v>
      </c>
      <c r="U22" s="32">
        <v>1</v>
      </c>
      <c r="V22" s="32">
        <v>1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2">
        <v>1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</row>
    <row r="23" spans="1:45">
      <c r="A23" s="30" t="s">
        <v>676</v>
      </c>
      <c r="B23" s="30" t="s">
        <v>633</v>
      </c>
      <c r="C23" s="30" t="s">
        <v>677</v>
      </c>
      <c r="D23" s="30" t="s">
        <v>587</v>
      </c>
      <c r="E23" s="30" t="s">
        <v>711</v>
      </c>
      <c r="F23" s="30" t="s">
        <v>83</v>
      </c>
      <c r="G23" s="30" t="s">
        <v>163</v>
      </c>
      <c r="H23" s="30" t="s">
        <v>680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2">
        <v>39</v>
      </c>
      <c r="T23" s="32">
        <v>34</v>
      </c>
      <c r="U23" s="32">
        <v>67</v>
      </c>
      <c r="V23" s="32">
        <v>55</v>
      </c>
      <c r="W23" s="32">
        <v>72</v>
      </c>
      <c r="X23" s="32">
        <v>88</v>
      </c>
      <c r="Y23" s="32">
        <v>61</v>
      </c>
      <c r="Z23" s="32">
        <v>63</v>
      </c>
      <c r="AA23" s="32">
        <v>116</v>
      </c>
      <c r="AB23" s="32">
        <v>113</v>
      </c>
      <c r="AC23" s="32">
        <v>103</v>
      </c>
      <c r="AD23" s="32">
        <v>106</v>
      </c>
      <c r="AE23" s="32">
        <v>86</v>
      </c>
      <c r="AF23" s="32">
        <v>71</v>
      </c>
      <c r="AG23" s="32">
        <v>98</v>
      </c>
      <c r="AH23" s="32">
        <v>58</v>
      </c>
      <c r="AI23" s="32">
        <v>63</v>
      </c>
      <c r="AJ23" s="32">
        <v>75</v>
      </c>
      <c r="AK23" s="32">
        <v>84</v>
      </c>
      <c r="AL23" s="32">
        <v>75</v>
      </c>
      <c r="AM23" s="32">
        <v>90</v>
      </c>
      <c r="AN23" s="32">
        <v>88</v>
      </c>
      <c r="AO23" s="32">
        <v>17</v>
      </c>
      <c r="AP23" s="32">
        <v>8</v>
      </c>
      <c r="AQ23" s="32">
        <v>3</v>
      </c>
      <c r="AR23" s="32">
        <v>1</v>
      </c>
      <c r="AS23" s="31">
        <v>0</v>
      </c>
    </row>
    <row r="24" spans="1:45">
      <c r="A24" s="30" t="s">
        <v>676</v>
      </c>
      <c r="B24" s="30" t="s">
        <v>633</v>
      </c>
      <c r="C24" s="30" t="s">
        <v>677</v>
      </c>
      <c r="D24" s="30" t="s">
        <v>587</v>
      </c>
      <c r="E24" s="30" t="s">
        <v>712</v>
      </c>
      <c r="F24" s="30" t="s">
        <v>83</v>
      </c>
      <c r="G24" s="30" t="s">
        <v>164</v>
      </c>
      <c r="H24" s="30" t="s">
        <v>680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2">
        <v>31</v>
      </c>
      <c r="T24" s="32">
        <v>29</v>
      </c>
      <c r="U24" s="32">
        <v>24</v>
      </c>
      <c r="V24" s="32">
        <v>35.3947</v>
      </c>
      <c r="W24" s="32">
        <v>20</v>
      </c>
      <c r="X24" s="32">
        <v>35</v>
      </c>
      <c r="Y24" s="32">
        <v>35</v>
      </c>
      <c r="Z24" s="32">
        <v>41</v>
      </c>
      <c r="AA24" s="32">
        <v>91</v>
      </c>
      <c r="AB24" s="32">
        <v>86</v>
      </c>
      <c r="AC24" s="32">
        <v>74</v>
      </c>
      <c r="AD24" s="32">
        <v>69</v>
      </c>
      <c r="AE24" s="32">
        <v>45</v>
      </c>
      <c r="AF24" s="32">
        <v>33</v>
      </c>
      <c r="AG24" s="32">
        <v>39</v>
      </c>
      <c r="AH24" s="32">
        <v>13</v>
      </c>
      <c r="AI24" s="32">
        <v>19</v>
      </c>
      <c r="AJ24" s="32">
        <v>36</v>
      </c>
      <c r="AK24" s="32">
        <v>32</v>
      </c>
      <c r="AL24" s="32">
        <v>25</v>
      </c>
      <c r="AM24" s="32">
        <v>10</v>
      </c>
      <c r="AN24" s="32">
        <v>8</v>
      </c>
      <c r="AO24" s="32">
        <v>4</v>
      </c>
      <c r="AP24" s="32">
        <v>3</v>
      </c>
      <c r="AQ24" s="32">
        <v>10</v>
      </c>
      <c r="AR24" s="32">
        <v>4</v>
      </c>
      <c r="AS24" s="32">
        <v>5</v>
      </c>
    </row>
    <row r="25" spans="1:45">
      <c r="A25" s="30" t="s">
        <v>676</v>
      </c>
      <c r="B25" s="30" t="s">
        <v>633</v>
      </c>
      <c r="C25" s="30" t="s">
        <v>677</v>
      </c>
      <c r="D25" s="30" t="s">
        <v>587</v>
      </c>
      <c r="E25" s="30" t="s">
        <v>713</v>
      </c>
      <c r="F25" s="30" t="s">
        <v>99</v>
      </c>
      <c r="G25" s="30" t="s">
        <v>165</v>
      </c>
      <c r="H25" s="30" t="s">
        <v>680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2">
        <v>15</v>
      </c>
    </row>
    <row r="26" spans="1:45">
      <c r="A26" s="30" t="s">
        <v>676</v>
      </c>
      <c r="B26" s="30" t="s">
        <v>633</v>
      </c>
      <c r="C26" s="30" t="s">
        <v>677</v>
      </c>
      <c r="D26" s="30" t="s">
        <v>587</v>
      </c>
      <c r="E26" s="30" t="s">
        <v>714</v>
      </c>
      <c r="F26" s="30" t="s">
        <v>98</v>
      </c>
      <c r="G26" s="30" t="s">
        <v>166</v>
      </c>
      <c r="H26" s="30" t="s">
        <v>680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2">
        <v>19</v>
      </c>
      <c r="AJ26" s="32">
        <v>42</v>
      </c>
      <c r="AK26" s="32">
        <v>98</v>
      </c>
      <c r="AL26" s="32">
        <v>140</v>
      </c>
      <c r="AM26" s="32">
        <v>212</v>
      </c>
      <c r="AN26" s="32">
        <v>215</v>
      </c>
      <c r="AO26" s="32">
        <v>80</v>
      </c>
      <c r="AP26" s="32">
        <v>102</v>
      </c>
      <c r="AQ26" s="32">
        <v>47</v>
      </c>
      <c r="AR26" s="32">
        <v>47</v>
      </c>
      <c r="AS26" s="32">
        <v>73</v>
      </c>
    </row>
    <row r="27" spans="1:45">
      <c r="A27" s="30" t="s">
        <v>676</v>
      </c>
      <c r="B27" s="30" t="s">
        <v>633</v>
      </c>
      <c r="C27" s="30" t="s">
        <v>677</v>
      </c>
      <c r="D27" s="30" t="s">
        <v>587</v>
      </c>
      <c r="E27" s="30" t="s">
        <v>715</v>
      </c>
      <c r="F27" s="30" t="s">
        <v>84</v>
      </c>
      <c r="G27" s="30" t="s">
        <v>167</v>
      </c>
      <c r="H27" s="30" t="s">
        <v>680</v>
      </c>
      <c r="I27" s="32">
        <v>127</v>
      </c>
      <c r="J27" s="32">
        <v>88.154700000000005</v>
      </c>
      <c r="K27" s="32">
        <v>89</v>
      </c>
      <c r="L27" s="32">
        <v>132</v>
      </c>
      <c r="M27" s="32">
        <v>74</v>
      </c>
      <c r="N27" s="32">
        <v>95</v>
      </c>
      <c r="O27" s="32">
        <v>127</v>
      </c>
      <c r="P27" s="32">
        <v>142</v>
      </c>
      <c r="Q27" s="32">
        <v>109.4743</v>
      </c>
      <c r="R27" s="32">
        <v>133</v>
      </c>
      <c r="S27" s="32">
        <v>47</v>
      </c>
      <c r="T27" s="32">
        <v>22</v>
      </c>
      <c r="U27" s="32">
        <v>21</v>
      </c>
      <c r="V27" s="32">
        <v>18</v>
      </c>
      <c r="W27" s="32">
        <v>19</v>
      </c>
      <c r="X27" s="32">
        <v>21</v>
      </c>
      <c r="Y27" s="32">
        <v>5</v>
      </c>
      <c r="Z27" s="32">
        <v>12</v>
      </c>
      <c r="AA27" s="32">
        <v>18</v>
      </c>
      <c r="AB27" s="32">
        <v>12</v>
      </c>
      <c r="AC27" s="32">
        <v>9</v>
      </c>
      <c r="AD27" s="32">
        <v>16</v>
      </c>
      <c r="AE27" s="32">
        <v>8</v>
      </c>
      <c r="AF27" s="32">
        <v>8</v>
      </c>
      <c r="AG27" s="32">
        <v>15</v>
      </c>
      <c r="AH27" s="32">
        <v>9</v>
      </c>
      <c r="AI27" s="32">
        <v>3</v>
      </c>
      <c r="AJ27" s="32">
        <v>1</v>
      </c>
      <c r="AK27" s="32">
        <v>1</v>
      </c>
      <c r="AL27" s="31">
        <v>0</v>
      </c>
      <c r="AM27" s="32">
        <v>1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</row>
    <row r="28" spans="1:45">
      <c r="A28" s="30" t="s">
        <v>676</v>
      </c>
      <c r="B28" s="30" t="s">
        <v>633</v>
      </c>
      <c r="C28" s="30" t="s">
        <v>677</v>
      </c>
      <c r="D28" s="30" t="s">
        <v>587</v>
      </c>
      <c r="E28" s="30" t="s">
        <v>716</v>
      </c>
      <c r="F28" s="30" t="s">
        <v>84</v>
      </c>
      <c r="G28" s="30" t="s">
        <v>169</v>
      </c>
      <c r="H28" s="30" t="s">
        <v>680</v>
      </c>
      <c r="I28" s="32">
        <v>101</v>
      </c>
      <c r="J28" s="32">
        <v>64</v>
      </c>
      <c r="K28" s="32">
        <v>86</v>
      </c>
      <c r="L28" s="32">
        <v>91</v>
      </c>
      <c r="M28" s="32">
        <v>61</v>
      </c>
      <c r="N28" s="32">
        <v>69</v>
      </c>
      <c r="O28" s="32">
        <v>102</v>
      </c>
      <c r="P28" s="32">
        <v>83</v>
      </c>
      <c r="Q28" s="32">
        <v>68</v>
      </c>
      <c r="R28" s="32">
        <v>85</v>
      </c>
      <c r="S28" s="32">
        <v>34</v>
      </c>
      <c r="T28" s="32">
        <v>18</v>
      </c>
      <c r="U28" s="32">
        <v>38</v>
      </c>
      <c r="V28" s="32">
        <v>22</v>
      </c>
      <c r="W28" s="32">
        <v>24</v>
      </c>
      <c r="X28" s="32">
        <v>16</v>
      </c>
      <c r="Y28" s="32">
        <v>19</v>
      </c>
      <c r="Z28" s="32">
        <v>7</v>
      </c>
      <c r="AA28" s="32">
        <v>12</v>
      </c>
      <c r="AB28" s="32">
        <v>6</v>
      </c>
      <c r="AC28" s="32">
        <v>6</v>
      </c>
      <c r="AD28" s="32">
        <v>3</v>
      </c>
      <c r="AE28" s="32">
        <v>4</v>
      </c>
      <c r="AF28" s="32">
        <v>5</v>
      </c>
      <c r="AG28" s="32">
        <v>1</v>
      </c>
      <c r="AH28" s="32">
        <v>3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</row>
    <row r="29" spans="1:45">
      <c r="A29" s="30" t="s">
        <v>676</v>
      </c>
      <c r="B29" s="30" t="s">
        <v>633</v>
      </c>
      <c r="C29" s="30" t="s">
        <v>677</v>
      </c>
      <c r="D29" s="30" t="s">
        <v>587</v>
      </c>
      <c r="E29" s="30" t="s">
        <v>717</v>
      </c>
      <c r="F29" s="30" t="s">
        <v>88</v>
      </c>
      <c r="G29" s="30" t="s">
        <v>718</v>
      </c>
      <c r="H29" s="30" t="s">
        <v>680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2">
        <v>70</v>
      </c>
      <c r="AG29" s="31">
        <v>0</v>
      </c>
      <c r="AH29" s="32">
        <v>25</v>
      </c>
      <c r="AI29" s="32">
        <v>23</v>
      </c>
      <c r="AJ29" s="32">
        <v>11</v>
      </c>
      <c r="AK29" s="32">
        <v>10</v>
      </c>
      <c r="AL29" s="32">
        <v>214</v>
      </c>
      <c r="AM29" s="32">
        <v>279</v>
      </c>
      <c r="AN29" s="32">
        <v>65</v>
      </c>
      <c r="AO29" s="32">
        <v>35</v>
      </c>
      <c r="AP29" s="32">
        <v>12</v>
      </c>
      <c r="AQ29" s="32">
        <v>5</v>
      </c>
      <c r="AR29" s="32">
        <v>7</v>
      </c>
      <c r="AS29" s="32">
        <v>40</v>
      </c>
    </row>
    <row r="30" spans="1:45">
      <c r="A30" s="30" t="s">
        <v>676</v>
      </c>
      <c r="B30" s="30" t="s">
        <v>633</v>
      </c>
      <c r="C30" s="30" t="s">
        <v>677</v>
      </c>
      <c r="D30" s="30" t="s">
        <v>587</v>
      </c>
      <c r="E30" s="30" t="s">
        <v>719</v>
      </c>
      <c r="F30" s="30" t="s">
        <v>98</v>
      </c>
      <c r="G30" s="30" t="s">
        <v>170</v>
      </c>
      <c r="H30" s="30" t="s">
        <v>680</v>
      </c>
      <c r="I30" s="32">
        <v>80</v>
      </c>
      <c r="J30" s="32">
        <v>69</v>
      </c>
      <c r="K30" s="32">
        <v>84</v>
      </c>
      <c r="L30" s="32">
        <v>114</v>
      </c>
      <c r="M30" s="32">
        <v>81</v>
      </c>
      <c r="N30" s="32">
        <v>103</v>
      </c>
      <c r="O30" s="32">
        <v>191</v>
      </c>
      <c r="P30" s="32">
        <v>179</v>
      </c>
      <c r="Q30" s="32">
        <v>131</v>
      </c>
      <c r="R30" s="32">
        <v>117</v>
      </c>
      <c r="S30" s="32">
        <v>64</v>
      </c>
      <c r="T30" s="32">
        <v>63</v>
      </c>
      <c r="U30" s="32">
        <v>111.21769999999999</v>
      </c>
      <c r="V30" s="32">
        <v>65.3947</v>
      </c>
      <c r="W30" s="32">
        <v>98</v>
      </c>
      <c r="X30" s="32">
        <v>75</v>
      </c>
      <c r="Y30" s="32">
        <v>73</v>
      </c>
      <c r="Z30" s="32">
        <v>72.853700000000003</v>
      </c>
      <c r="AA30" s="32">
        <v>155.11869999999999</v>
      </c>
      <c r="AB30" s="32">
        <v>133</v>
      </c>
      <c r="AC30" s="32">
        <v>124</v>
      </c>
      <c r="AD30" s="32">
        <v>133</v>
      </c>
      <c r="AE30" s="32">
        <v>55</v>
      </c>
      <c r="AF30" s="32">
        <v>52</v>
      </c>
      <c r="AG30" s="32">
        <v>71</v>
      </c>
      <c r="AH30" s="32">
        <v>39</v>
      </c>
      <c r="AI30" s="32">
        <v>46</v>
      </c>
      <c r="AJ30" s="32">
        <v>43</v>
      </c>
      <c r="AK30" s="32">
        <v>61</v>
      </c>
      <c r="AL30" s="32">
        <v>54</v>
      </c>
      <c r="AM30" s="32">
        <v>110</v>
      </c>
      <c r="AN30" s="32">
        <v>114</v>
      </c>
      <c r="AO30" s="32">
        <v>148</v>
      </c>
      <c r="AP30" s="32">
        <v>120</v>
      </c>
      <c r="AQ30" s="32">
        <v>59</v>
      </c>
      <c r="AR30" s="32">
        <v>77</v>
      </c>
      <c r="AS30" s="32">
        <v>130</v>
      </c>
    </row>
    <row r="31" spans="1:45">
      <c r="A31" s="30" t="s">
        <v>676</v>
      </c>
      <c r="B31" s="30" t="s">
        <v>633</v>
      </c>
      <c r="C31" s="30" t="s">
        <v>677</v>
      </c>
      <c r="D31" s="30" t="s">
        <v>587</v>
      </c>
      <c r="E31" s="30" t="s">
        <v>720</v>
      </c>
      <c r="F31" s="30" t="s">
        <v>104</v>
      </c>
      <c r="G31" s="30" t="s">
        <v>171</v>
      </c>
      <c r="H31" s="30" t="s">
        <v>680</v>
      </c>
      <c r="I31" s="32">
        <v>62</v>
      </c>
      <c r="J31" s="32">
        <v>29</v>
      </c>
      <c r="K31" s="32">
        <v>47</v>
      </c>
      <c r="L31" s="32">
        <v>80</v>
      </c>
      <c r="M31" s="32">
        <v>22</v>
      </c>
      <c r="N31" s="32">
        <v>90</v>
      </c>
      <c r="O31" s="32">
        <v>100</v>
      </c>
      <c r="P31" s="32">
        <v>115</v>
      </c>
      <c r="Q31" s="32">
        <v>46</v>
      </c>
      <c r="R31" s="32">
        <v>65</v>
      </c>
      <c r="S31" s="32">
        <v>44</v>
      </c>
      <c r="T31" s="32">
        <v>49</v>
      </c>
      <c r="U31" s="32">
        <v>128</v>
      </c>
      <c r="V31" s="32">
        <v>62</v>
      </c>
      <c r="W31" s="32">
        <v>105</v>
      </c>
      <c r="X31" s="32">
        <v>47</v>
      </c>
      <c r="Y31" s="32">
        <v>81</v>
      </c>
      <c r="Z31" s="32">
        <v>58</v>
      </c>
      <c r="AA31" s="32">
        <v>118.51220000000001</v>
      </c>
      <c r="AB31" s="32">
        <v>54</v>
      </c>
      <c r="AC31" s="32">
        <v>50</v>
      </c>
      <c r="AD31" s="32">
        <v>60</v>
      </c>
      <c r="AE31" s="32">
        <v>39</v>
      </c>
      <c r="AF31" s="32">
        <v>41</v>
      </c>
      <c r="AG31" s="32">
        <v>97</v>
      </c>
      <c r="AH31" s="32">
        <v>47</v>
      </c>
      <c r="AI31" s="32">
        <v>34</v>
      </c>
      <c r="AJ31" s="32">
        <v>35</v>
      </c>
      <c r="AK31" s="32">
        <v>146</v>
      </c>
      <c r="AL31" s="32">
        <v>48</v>
      </c>
      <c r="AM31" s="32">
        <v>98</v>
      </c>
      <c r="AN31" s="32">
        <v>52</v>
      </c>
      <c r="AO31" s="32">
        <v>63</v>
      </c>
      <c r="AP31" s="32">
        <v>67</v>
      </c>
      <c r="AQ31" s="32">
        <v>65</v>
      </c>
      <c r="AR31" s="32">
        <v>59</v>
      </c>
      <c r="AS31" s="32">
        <v>144</v>
      </c>
    </row>
    <row r="32" spans="1:45">
      <c r="A32" s="30" t="s">
        <v>676</v>
      </c>
      <c r="B32" s="30" t="s">
        <v>633</v>
      </c>
      <c r="C32" s="30" t="s">
        <v>677</v>
      </c>
      <c r="D32" s="30" t="s">
        <v>587</v>
      </c>
      <c r="E32" s="30" t="s">
        <v>721</v>
      </c>
      <c r="F32" s="30" t="s">
        <v>88</v>
      </c>
      <c r="G32" s="30" t="s">
        <v>172</v>
      </c>
      <c r="H32" s="30" t="s">
        <v>680</v>
      </c>
      <c r="I32" s="32">
        <v>76</v>
      </c>
      <c r="J32" s="32">
        <v>56</v>
      </c>
      <c r="K32" s="32">
        <v>72</v>
      </c>
      <c r="L32" s="32">
        <v>109</v>
      </c>
      <c r="M32" s="32">
        <v>50</v>
      </c>
      <c r="N32" s="32">
        <v>74</v>
      </c>
      <c r="O32" s="32">
        <v>166</v>
      </c>
      <c r="P32" s="32">
        <v>107</v>
      </c>
      <c r="Q32" s="32">
        <v>76</v>
      </c>
      <c r="R32" s="32">
        <v>78</v>
      </c>
      <c r="S32" s="32">
        <v>44</v>
      </c>
      <c r="T32" s="32">
        <v>54</v>
      </c>
      <c r="U32" s="32">
        <v>79</v>
      </c>
      <c r="V32" s="32">
        <v>36</v>
      </c>
      <c r="W32" s="32">
        <v>42</v>
      </c>
      <c r="X32" s="32">
        <v>50</v>
      </c>
      <c r="Y32" s="32">
        <v>65</v>
      </c>
      <c r="Z32" s="32">
        <v>34</v>
      </c>
      <c r="AA32" s="32">
        <v>70.5685</v>
      </c>
      <c r="AB32" s="32">
        <v>53</v>
      </c>
      <c r="AC32" s="32">
        <v>40</v>
      </c>
      <c r="AD32" s="32">
        <v>39</v>
      </c>
      <c r="AE32" s="32">
        <v>40</v>
      </c>
      <c r="AF32" s="32">
        <v>40</v>
      </c>
      <c r="AG32" s="32">
        <v>70</v>
      </c>
      <c r="AH32" s="32">
        <v>50</v>
      </c>
      <c r="AI32" s="32">
        <v>40</v>
      </c>
      <c r="AJ32" s="32">
        <v>53</v>
      </c>
      <c r="AK32" s="32">
        <v>100</v>
      </c>
      <c r="AL32" s="32">
        <v>37</v>
      </c>
      <c r="AM32" s="32">
        <v>109</v>
      </c>
      <c r="AN32" s="32">
        <v>67</v>
      </c>
      <c r="AO32" s="32">
        <v>52</v>
      </c>
      <c r="AP32" s="32">
        <v>62</v>
      </c>
      <c r="AQ32" s="32">
        <v>42</v>
      </c>
      <c r="AR32" s="32">
        <v>43</v>
      </c>
      <c r="AS32" s="32">
        <v>88</v>
      </c>
    </row>
    <row r="33" spans="1:45">
      <c r="A33" s="30" t="s">
        <v>676</v>
      </c>
      <c r="B33" s="30" t="s">
        <v>633</v>
      </c>
      <c r="C33" s="30" t="s">
        <v>677</v>
      </c>
      <c r="D33" s="30" t="s">
        <v>587</v>
      </c>
      <c r="E33" s="30" t="s">
        <v>722</v>
      </c>
      <c r="F33" s="30" t="s">
        <v>98</v>
      </c>
      <c r="G33" s="30" t="s">
        <v>173</v>
      </c>
      <c r="H33" s="30" t="s">
        <v>680</v>
      </c>
      <c r="I33" s="32">
        <v>31</v>
      </c>
      <c r="J33" s="32">
        <v>24</v>
      </c>
      <c r="K33" s="32">
        <v>41</v>
      </c>
      <c r="L33" s="32">
        <v>45</v>
      </c>
      <c r="M33" s="32">
        <v>36</v>
      </c>
      <c r="N33" s="32">
        <v>44</v>
      </c>
      <c r="O33" s="32">
        <v>64</v>
      </c>
      <c r="P33" s="32">
        <v>51</v>
      </c>
      <c r="Q33" s="32">
        <v>34</v>
      </c>
      <c r="R33" s="32">
        <v>64</v>
      </c>
      <c r="S33" s="32">
        <v>42</v>
      </c>
      <c r="T33" s="32">
        <v>38</v>
      </c>
      <c r="U33" s="32">
        <v>68</v>
      </c>
      <c r="V33" s="32">
        <v>40</v>
      </c>
      <c r="W33" s="32">
        <v>50</v>
      </c>
      <c r="X33" s="32">
        <v>43</v>
      </c>
      <c r="Y33" s="32">
        <v>41</v>
      </c>
      <c r="Z33" s="32">
        <v>26</v>
      </c>
      <c r="AA33" s="32">
        <v>56.573900000000002</v>
      </c>
      <c r="AB33" s="32">
        <v>42</v>
      </c>
      <c r="AC33" s="32">
        <v>36</v>
      </c>
      <c r="AD33" s="32">
        <v>36</v>
      </c>
      <c r="AE33" s="32">
        <v>26</v>
      </c>
      <c r="AF33" s="32">
        <v>29</v>
      </c>
      <c r="AG33" s="32">
        <v>43</v>
      </c>
      <c r="AH33" s="32">
        <v>33</v>
      </c>
      <c r="AI33" s="32">
        <v>30</v>
      </c>
      <c r="AJ33" s="32">
        <v>41</v>
      </c>
      <c r="AK33" s="32">
        <v>69</v>
      </c>
      <c r="AL33" s="32">
        <v>25</v>
      </c>
      <c r="AM33" s="32">
        <v>88</v>
      </c>
      <c r="AN33" s="32">
        <v>47</v>
      </c>
      <c r="AO33" s="32">
        <v>52</v>
      </c>
      <c r="AP33" s="32">
        <v>55</v>
      </c>
      <c r="AQ33" s="32">
        <v>75</v>
      </c>
      <c r="AR33" s="32">
        <v>75</v>
      </c>
      <c r="AS33" s="32">
        <v>171</v>
      </c>
    </row>
    <row r="34" spans="1:45">
      <c r="A34" s="30" t="s">
        <v>676</v>
      </c>
      <c r="B34" s="30" t="s">
        <v>633</v>
      </c>
      <c r="C34" s="30" t="s">
        <v>677</v>
      </c>
      <c r="D34" s="30" t="s">
        <v>587</v>
      </c>
      <c r="E34" s="30" t="s">
        <v>723</v>
      </c>
      <c r="F34" s="30" t="s">
        <v>84</v>
      </c>
      <c r="G34" s="30" t="s">
        <v>174</v>
      </c>
      <c r="H34" s="30" t="s">
        <v>680</v>
      </c>
      <c r="I34" s="32">
        <v>44</v>
      </c>
      <c r="J34" s="32">
        <v>19</v>
      </c>
      <c r="K34" s="32">
        <v>31</v>
      </c>
      <c r="L34" s="32">
        <v>35</v>
      </c>
      <c r="M34" s="32">
        <v>18</v>
      </c>
      <c r="N34" s="32">
        <v>21</v>
      </c>
      <c r="O34" s="32">
        <v>31</v>
      </c>
      <c r="P34" s="32">
        <v>23</v>
      </c>
      <c r="Q34" s="32">
        <v>14</v>
      </c>
      <c r="R34" s="32">
        <v>30</v>
      </c>
      <c r="S34" s="32">
        <v>13</v>
      </c>
      <c r="T34" s="32">
        <v>19</v>
      </c>
      <c r="U34" s="32">
        <v>26</v>
      </c>
      <c r="V34" s="32">
        <v>9</v>
      </c>
      <c r="W34" s="32">
        <v>26</v>
      </c>
      <c r="X34" s="32">
        <v>17</v>
      </c>
      <c r="Y34" s="32">
        <v>20</v>
      </c>
      <c r="Z34" s="32">
        <v>16</v>
      </c>
      <c r="AA34" s="32">
        <v>28</v>
      </c>
      <c r="AB34" s="32">
        <v>15</v>
      </c>
      <c r="AC34" s="32">
        <v>12</v>
      </c>
      <c r="AD34" s="32">
        <v>13</v>
      </c>
      <c r="AE34" s="32">
        <v>22</v>
      </c>
      <c r="AF34" s="32">
        <v>14</v>
      </c>
      <c r="AG34" s="32">
        <v>25</v>
      </c>
      <c r="AH34" s="32">
        <v>7</v>
      </c>
      <c r="AI34" s="32">
        <v>9</v>
      </c>
      <c r="AJ34" s="32">
        <v>4</v>
      </c>
      <c r="AK34" s="32">
        <v>9</v>
      </c>
      <c r="AL34" s="32">
        <v>6</v>
      </c>
      <c r="AM34" s="32">
        <v>3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</row>
    <row r="35" spans="1:45">
      <c r="A35" s="30" t="s">
        <v>676</v>
      </c>
      <c r="B35" s="30" t="s">
        <v>633</v>
      </c>
      <c r="C35" s="30" t="s">
        <v>677</v>
      </c>
      <c r="D35" s="30" t="s">
        <v>587</v>
      </c>
      <c r="E35" s="30" t="s">
        <v>724</v>
      </c>
      <c r="F35" s="30" t="s">
        <v>95</v>
      </c>
      <c r="G35" s="30" t="s">
        <v>175</v>
      </c>
      <c r="H35" s="30" t="s">
        <v>680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2">
        <v>46</v>
      </c>
      <c r="O35" s="32">
        <v>489</v>
      </c>
      <c r="P35" s="32">
        <v>869</v>
      </c>
      <c r="Q35" s="32">
        <v>609</v>
      </c>
      <c r="R35" s="32">
        <v>616</v>
      </c>
      <c r="S35" s="32">
        <v>314</v>
      </c>
      <c r="T35" s="32">
        <v>261</v>
      </c>
      <c r="U35" s="32">
        <v>374</v>
      </c>
      <c r="V35" s="32">
        <v>216.19739999999999</v>
      </c>
      <c r="W35" s="32">
        <v>282</v>
      </c>
      <c r="X35" s="32">
        <v>210</v>
      </c>
      <c r="Y35" s="32">
        <v>268</v>
      </c>
      <c r="Z35" s="32">
        <v>170.90950000000001</v>
      </c>
      <c r="AA35" s="32">
        <v>331.11869999999999</v>
      </c>
      <c r="AB35" s="32">
        <v>273</v>
      </c>
      <c r="AC35" s="32">
        <v>316</v>
      </c>
      <c r="AD35" s="32">
        <v>431</v>
      </c>
      <c r="AE35" s="32">
        <v>269</v>
      </c>
      <c r="AF35" s="32">
        <v>214</v>
      </c>
      <c r="AG35" s="32">
        <v>410</v>
      </c>
      <c r="AH35" s="32">
        <v>202</v>
      </c>
      <c r="AI35" s="32">
        <v>206</v>
      </c>
      <c r="AJ35" s="32">
        <v>291</v>
      </c>
      <c r="AK35" s="32">
        <v>261</v>
      </c>
      <c r="AL35" s="32">
        <v>157</v>
      </c>
      <c r="AM35" s="32">
        <v>301</v>
      </c>
      <c r="AN35" s="32">
        <v>293</v>
      </c>
      <c r="AO35" s="32">
        <v>215</v>
      </c>
      <c r="AP35" s="32">
        <v>293</v>
      </c>
      <c r="AQ35" s="32">
        <v>208</v>
      </c>
      <c r="AR35" s="32">
        <v>225</v>
      </c>
      <c r="AS35" s="32">
        <v>414</v>
      </c>
    </row>
    <row r="36" spans="1:45">
      <c r="A36" s="30" t="s">
        <v>676</v>
      </c>
      <c r="B36" s="30" t="s">
        <v>633</v>
      </c>
      <c r="C36" s="30" t="s">
        <v>677</v>
      </c>
      <c r="D36" s="30" t="s">
        <v>587</v>
      </c>
      <c r="E36" s="30" t="s">
        <v>725</v>
      </c>
      <c r="F36" s="30" t="s">
        <v>90</v>
      </c>
      <c r="G36" s="30" t="s">
        <v>176</v>
      </c>
      <c r="H36" s="30" t="s">
        <v>680</v>
      </c>
      <c r="I36" s="32">
        <v>64</v>
      </c>
      <c r="J36" s="32">
        <v>45</v>
      </c>
      <c r="K36" s="32">
        <v>52</v>
      </c>
      <c r="L36" s="32">
        <v>85</v>
      </c>
      <c r="M36" s="32">
        <v>59</v>
      </c>
      <c r="N36" s="32">
        <v>71</v>
      </c>
      <c r="O36" s="32">
        <v>92</v>
      </c>
      <c r="P36" s="32">
        <v>67</v>
      </c>
      <c r="Q36" s="32">
        <v>56</v>
      </c>
      <c r="R36" s="32">
        <v>61</v>
      </c>
      <c r="S36" s="32">
        <v>40</v>
      </c>
      <c r="T36" s="32">
        <v>28</v>
      </c>
      <c r="U36" s="32">
        <v>41</v>
      </c>
      <c r="V36" s="32">
        <v>22</v>
      </c>
      <c r="W36" s="32">
        <v>31</v>
      </c>
      <c r="X36" s="32">
        <v>13</v>
      </c>
      <c r="Y36" s="32">
        <v>27</v>
      </c>
      <c r="Z36" s="32">
        <v>20</v>
      </c>
      <c r="AA36" s="32">
        <v>25.5062</v>
      </c>
      <c r="AB36" s="32">
        <v>14</v>
      </c>
      <c r="AC36" s="32">
        <v>27</v>
      </c>
      <c r="AD36" s="32">
        <v>22</v>
      </c>
      <c r="AE36" s="32">
        <v>24</v>
      </c>
      <c r="AF36" s="32">
        <v>5</v>
      </c>
      <c r="AG36" s="32">
        <v>16</v>
      </c>
      <c r="AH36" s="32">
        <v>5</v>
      </c>
      <c r="AI36" s="32">
        <v>5</v>
      </c>
      <c r="AJ36" s="32">
        <v>3</v>
      </c>
      <c r="AK36" s="31">
        <v>0</v>
      </c>
      <c r="AL36" s="32">
        <v>1</v>
      </c>
      <c r="AM36" s="32">
        <v>1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</row>
    <row r="37" spans="1:45">
      <c r="A37" s="30" t="s">
        <v>676</v>
      </c>
      <c r="B37" s="30" t="s">
        <v>633</v>
      </c>
      <c r="C37" s="30" t="s">
        <v>677</v>
      </c>
      <c r="D37" s="30" t="s">
        <v>587</v>
      </c>
      <c r="E37" s="30" t="s">
        <v>726</v>
      </c>
      <c r="F37" s="30" t="s">
        <v>90</v>
      </c>
      <c r="G37" s="30" t="s">
        <v>177</v>
      </c>
      <c r="H37" s="30" t="s">
        <v>680</v>
      </c>
      <c r="I37" s="32">
        <v>87</v>
      </c>
      <c r="J37" s="32">
        <v>65</v>
      </c>
      <c r="K37" s="32">
        <v>63</v>
      </c>
      <c r="L37" s="32">
        <v>99</v>
      </c>
      <c r="M37" s="32">
        <v>59</v>
      </c>
      <c r="N37" s="32">
        <v>59</v>
      </c>
      <c r="O37" s="32">
        <v>122</v>
      </c>
      <c r="P37" s="32">
        <v>111</v>
      </c>
      <c r="Q37" s="32">
        <v>63</v>
      </c>
      <c r="R37" s="32">
        <v>82</v>
      </c>
      <c r="S37" s="32">
        <v>54</v>
      </c>
      <c r="T37" s="32">
        <v>44</v>
      </c>
      <c r="U37" s="32">
        <v>72</v>
      </c>
      <c r="V37" s="32">
        <v>55.197400000000002</v>
      </c>
      <c r="W37" s="32">
        <v>85</v>
      </c>
      <c r="X37" s="32">
        <v>67</v>
      </c>
      <c r="Y37" s="32">
        <v>68</v>
      </c>
      <c r="Z37" s="32">
        <v>79</v>
      </c>
      <c r="AA37" s="32">
        <v>121.2531</v>
      </c>
      <c r="AB37" s="32">
        <v>125</v>
      </c>
      <c r="AC37" s="32">
        <v>141</v>
      </c>
      <c r="AD37" s="32">
        <v>102</v>
      </c>
      <c r="AE37" s="32">
        <v>59</v>
      </c>
      <c r="AF37" s="32">
        <v>73</v>
      </c>
      <c r="AG37" s="32">
        <v>124</v>
      </c>
      <c r="AH37" s="32">
        <v>55</v>
      </c>
      <c r="AI37" s="32">
        <v>69</v>
      </c>
      <c r="AJ37" s="32">
        <v>111</v>
      </c>
      <c r="AK37" s="32">
        <v>94</v>
      </c>
      <c r="AL37" s="32">
        <v>74</v>
      </c>
      <c r="AM37" s="32">
        <v>133</v>
      </c>
      <c r="AN37" s="32">
        <v>151</v>
      </c>
      <c r="AO37" s="32">
        <v>31</v>
      </c>
      <c r="AP37" s="32">
        <v>13</v>
      </c>
      <c r="AQ37" s="32">
        <v>17</v>
      </c>
      <c r="AR37" s="32">
        <v>1</v>
      </c>
      <c r="AS37" s="32">
        <v>4</v>
      </c>
    </row>
    <row r="38" spans="1:45">
      <c r="A38" s="30" t="s">
        <v>676</v>
      </c>
      <c r="B38" s="30" t="s">
        <v>633</v>
      </c>
      <c r="C38" s="30" t="s">
        <v>677</v>
      </c>
      <c r="D38" s="30" t="s">
        <v>587</v>
      </c>
      <c r="E38" s="30" t="s">
        <v>727</v>
      </c>
      <c r="F38" s="30" t="s">
        <v>90</v>
      </c>
      <c r="G38" s="30" t="s">
        <v>178</v>
      </c>
      <c r="H38" s="30" t="s">
        <v>680</v>
      </c>
      <c r="I38" s="32">
        <v>62</v>
      </c>
      <c r="J38" s="32">
        <v>53</v>
      </c>
      <c r="K38" s="32">
        <v>63</v>
      </c>
      <c r="L38" s="32">
        <v>101</v>
      </c>
      <c r="M38" s="32">
        <v>54</v>
      </c>
      <c r="N38" s="32">
        <v>76</v>
      </c>
      <c r="O38" s="32">
        <v>88</v>
      </c>
      <c r="P38" s="32">
        <v>53</v>
      </c>
      <c r="Q38" s="32">
        <v>47</v>
      </c>
      <c r="R38" s="32">
        <v>61</v>
      </c>
      <c r="S38" s="32">
        <v>42</v>
      </c>
      <c r="T38" s="32">
        <v>22</v>
      </c>
      <c r="U38" s="32">
        <v>25</v>
      </c>
      <c r="V38" s="32">
        <v>11</v>
      </c>
      <c r="W38" s="32">
        <v>13</v>
      </c>
      <c r="X38" s="32">
        <v>9</v>
      </c>
      <c r="Y38" s="32">
        <v>11</v>
      </c>
      <c r="Z38" s="32">
        <v>7</v>
      </c>
      <c r="AA38" s="32">
        <v>6</v>
      </c>
      <c r="AB38" s="32">
        <v>4</v>
      </c>
      <c r="AC38" s="32">
        <v>2</v>
      </c>
      <c r="AD38" s="32">
        <v>1</v>
      </c>
      <c r="AE38" s="31">
        <v>0</v>
      </c>
      <c r="AF38" s="32">
        <v>2</v>
      </c>
      <c r="AG38" s="32">
        <v>1</v>
      </c>
      <c r="AH38" s="31">
        <v>0</v>
      </c>
      <c r="AI38" s="31">
        <v>0</v>
      </c>
      <c r="AJ38" s="32">
        <v>1</v>
      </c>
      <c r="AK38" s="31">
        <v>0</v>
      </c>
      <c r="AL38" s="31">
        <v>0</v>
      </c>
      <c r="AM38" s="32">
        <v>1</v>
      </c>
      <c r="AN38" s="32">
        <v>1</v>
      </c>
      <c r="AO38" s="31">
        <v>0</v>
      </c>
      <c r="AP38" s="31">
        <v>0</v>
      </c>
      <c r="AQ38" s="32">
        <v>1</v>
      </c>
      <c r="AR38" s="31">
        <v>0</v>
      </c>
      <c r="AS38" s="31">
        <v>0</v>
      </c>
    </row>
    <row r="39" spans="1:45">
      <c r="A39" s="30" t="s">
        <v>676</v>
      </c>
      <c r="B39" s="30" t="s">
        <v>633</v>
      </c>
      <c r="C39" s="30" t="s">
        <v>677</v>
      </c>
      <c r="D39" s="30" t="s">
        <v>587</v>
      </c>
      <c r="E39" s="30" t="s">
        <v>728</v>
      </c>
      <c r="F39" s="30" t="s">
        <v>90</v>
      </c>
      <c r="G39" s="30" t="s">
        <v>179</v>
      </c>
      <c r="H39" s="30" t="s">
        <v>680</v>
      </c>
      <c r="I39" s="32">
        <v>79</v>
      </c>
      <c r="J39" s="32">
        <v>53</v>
      </c>
      <c r="K39" s="32">
        <v>57</v>
      </c>
      <c r="L39" s="32">
        <v>71</v>
      </c>
      <c r="M39" s="32">
        <v>56</v>
      </c>
      <c r="N39" s="32">
        <v>61</v>
      </c>
      <c r="O39" s="32">
        <v>91</v>
      </c>
      <c r="P39" s="32">
        <v>95</v>
      </c>
      <c r="Q39" s="32">
        <v>81</v>
      </c>
      <c r="R39" s="32">
        <v>100</v>
      </c>
      <c r="S39" s="32">
        <v>52</v>
      </c>
      <c r="T39" s="32">
        <v>62</v>
      </c>
      <c r="U39" s="32">
        <v>77</v>
      </c>
      <c r="V39" s="32">
        <v>58.197400000000002</v>
      </c>
      <c r="W39" s="32">
        <v>84</v>
      </c>
      <c r="X39" s="32">
        <v>76</v>
      </c>
      <c r="Y39" s="32">
        <v>82</v>
      </c>
      <c r="Z39" s="32">
        <v>104.90949999999999</v>
      </c>
      <c r="AA39" s="32">
        <v>82</v>
      </c>
      <c r="AB39" s="32">
        <v>32</v>
      </c>
      <c r="AC39" s="32">
        <v>57</v>
      </c>
      <c r="AD39" s="32">
        <v>66</v>
      </c>
      <c r="AE39" s="32">
        <v>40</v>
      </c>
      <c r="AF39" s="32">
        <v>31</v>
      </c>
      <c r="AG39" s="32">
        <v>46</v>
      </c>
      <c r="AH39" s="32">
        <v>22</v>
      </c>
      <c r="AI39" s="32">
        <v>24</v>
      </c>
      <c r="AJ39" s="32">
        <v>21</v>
      </c>
      <c r="AK39" s="32">
        <v>25</v>
      </c>
      <c r="AL39" s="32">
        <v>20</v>
      </c>
      <c r="AM39" s="32">
        <v>36</v>
      </c>
      <c r="AN39" s="32">
        <v>12</v>
      </c>
      <c r="AO39" s="32">
        <v>13</v>
      </c>
      <c r="AP39" s="32">
        <v>17</v>
      </c>
      <c r="AQ39" s="32">
        <v>11</v>
      </c>
      <c r="AR39" s="32">
        <v>3</v>
      </c>
      <c r="AS39" s="32">
        <v>8</v>
      </c>
    </row>
    <row r="40" spans="1:45">
      <c r="A40" s="30" t="s">
        <v>676</v>
      </c>
      <c r="B40" s="30" t="s">
        <v>633</v>
      </c>
      <c r="C40" s="30" t="s">
        <v>677</v>
      </c>
      <c r="D40" s="30" t="s">
        <v>587</v>
      </c>
      <c r="E40" s="30" t="s">
        <v>729</v>
      </c>
      <c r="F40" s="30" t="s">
        <v>90</v>
      </c>
      <c r="G40" s="30" t="s">
        <v>180</v>
      </c>
      <c r="H40" s="30" t="s">
        <v>680</v>
      </c>
      <c r="I40" s="32">
        <v>21</v>
      </c>
      <c r="J40" s="32">
        <v>16</v>
      </c>
      <c r="K40" s="32">
        <v>17</v>
      </c>
      <c r="L40" s="32">
        <v>30</v>
      </c>
      <c r="M40" s="32">
        <v>15</v>
      </c>
      <c r="N40" s="32">
        <v>16</v>
      </c>
      <c r="O40" s="32">
        <v>46</v>
      </c>
      <c r="P40" s="32">
        <v>69</v>
      </c>
      <c r="Q40" s="32">
        <v>31</v>
      </c>
      <c r="R40" s="32">
        <v>33</v>
      </c>
      <c r="S40" s="32">
        <v>26</v>
      </c>
      <c r="T40" s="32">
        <v>132</v>
      </c>
      <c r="U40" s="32">
        <v>53</v>
      </c>
      <c r="V40" s="32">
        <v>20</v>
      </c>
      <c r="W40" s="32">
        <v>28</v>
      </c>
      <c r="X40" s="32">
        <v>31</v>
      </c>
      <c r="Y40" s="32">
        <v>29</v>
      </c>
      <c r="Z40" s="32">
        <v>26.8857</v>
      </c>
      <c r="AA40" s="32">
        <v>60.118699999999997</v>
      </c>
      <c r="AB40" s="32">
        <v>29</v>
      </c>
      <c r="AC40" s="32">
        <v>78</v>
      </c>
      <c r="AD40" s="32">
        <v>71</v>
      </c>
      <c r="AE40" s="32">
        <v>34</v>
      </c>
      <c r="AF40" s="32">
        <v>55</v>
      </c>
      <c r="AG40" s="32">
        <v>52</v>
      </c>
      <c r="AH40" s="32">
        <v>33</v>
      </c>
      <c r="AI40" s="32">
        <v>49</v>
      </c>
      <c r="AJ40" s="32">
        <v>36</v>
      </c>
      <c r="AK40" s="32">
        <v>33</v>
      </c>
      <c r="AL40" s="32">
        <v>53</v>
      </c>
      <c r="AM40" s="32">
        <v>129</v>
      </c>
      <c r="AN40" s="32">
        <v>73</v>
      </c>
      <c r="AO40" s="32">
        <v>52</v>
      </c>
      <c r="AP40" s="32">
        <v>41</v>
      </c>
      <c r="AQ40" s="32">
        <v>19</v>
      </c>
      <c r="AR40" s="32">
        <v>27</v>
      </c>
      <c r="AS40" s="32">
        <v>14</v>
      </c>
    </row>
    <row r="41" spans="1:45">
      <c r="A41" s="30" t="s">
        <v>676</v>
      </c>
      <c r="B41" s="30" t="s">
        <v>633</v>
      </c>
      <c r="C41" s="30" t="s">
        <v>677</v>
      </c>
      <c r="D41" s="30" t="s">
        <v>587</v>
      </c>
      <c r="E41" s="30" t="s">
        <v>730</v>
      </c>
      <c r="F41" s="30" t="s">
        <v>90</v>
      </c>
      <c r="G41" s="30" t="s">
        <v>731</v>
      </c>
      <c r="H41" s="30" t="s">
        <v>680</v>
      </c>
      <c r="I41" s="32">
        <v>14</v>
      </c>
      <c r="J41" s="32">
        <v>6</v>
      </c>
      <c r="K41" s="32">
        <v>3</v>
      </c>
      <c r="L41" s="32">
        <v>2</v>
      </c>
      <c r="M41" s="32">
        <v>4</v>
      </c>
      <c r="N41" s="32">
        <v>1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2">
        <v>1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2">
        <v>66.667299999999997</v>
      </c>
      <c r="AA41" s="32">
        <v>9</v>
      </c>
      <c r="AB41" s="32">
        <v>3</v>
      </c>
      <c r="AC41" s="32">
        <v>6</v>
      </c>
      <c r="AD41" s="31">
        <v>0</v>
      </c>
      <c r="AE41" s="32">
        <v>9</v>
      </c>
      <c r="AF41" s="32">
        <v>6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</row>
    <row r="42" spans="1:45">
      <c r="A42" s="30" t="s">
        <v>676</v>
      </c>
      <c r="B42" s="30" t="s">
        <v>633</v>
      </c>
      <c r="C42" s="30" t="s">
        <v>677</v>
      </c>
      <c r="D42" s="30" t="s">
        <v>587</v>
      </c>
      <c r="E42" s="30" t="s">
        <v>732</v>
      </c>
      <c r="F42" s="30" t="s">
        <v>90</v>
      </c>
      <c r="G42" s="30" t="s">
        <v>733</v>
      </c>
      <c r="H42" s="30" t="s">
        <v>680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2">
        <v>1</v>
      </c>
      <c r="AA42" s="32">
        <v>1</v>
      </c>
      <c r="AB42" s="32">
        <v>2</v>
      </c>
      <c r="AC42" s="32">
        <v>7</v>
      </c>
      <c r="AD42" s="32">
        <v>1</v>
      </c>
      <c r="AE42" s="31">
        <v>0</v>
      </c>
      <c r="AF42" s="31">
        <v>0</v>
      </c>
      <c r="AG42" s="31">
        <v>0</v>
      </c>
      <c r="AH42" s="31">
        <v>0</v>
      </c>
      <c r="AI42" s="32">
        <v>3</v>
      </c>
      <c r="AJ42" s="32">
        <v>1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</row>
    <row r="43" spans="1:45">
      <c r="A43" s="30" t="s">
        <v>676</v>
      </c>
      <c r="B43" s="30" t="s">
        <v>633</v>
      </c>
      <c r="C43" s="30" t="s">
        <v>677</v>
      </c>
      <c r="D43" s="30" t="s">
        <v>587</v>
      </c>
      <c r="E43" s="30" t="s">
        <v>734</v>
      </c>
      <c r="F43" s="30" t="s">
        <v>87</v>
      </c>
      <c r="G43" s="30" t="s">
        <v>181</v>
      </c>
      <c r="H43" s="30" t="s">
        <v>680</v>
      </c>
      <c r="I43" s="32">
        <v>225</v>
      </c>
      <c r="J43" s="32">
        <v>197</v>
      </c>
      <c r="K43" s="32">
        <v>208</v>
      </c>
      <c r="L43" s="32">
        <v>233</v>
      </c>
      <c r="M43" s="32">
        <v>155</v>
      </c>
      <c r="N43" s="32">
        <v>196</v>
      </c>
      <c r="O43" s="32">
        <v>327</v>
      </c>
      <c r="P43" s="32">
        <v>301.14210000000003</v>
      </c>
      <c r="Q43" s="32">
        <v>240</v>
      </c>
      <c r="R43" s="32">
        <v>300</v>
      </c>
      <c r="S43" s="32">
        <v>176</v>
      </c>
      <c r="T43" s="32">
        <v>189</v>
      </c>
      <c r="U43" s="32">
        <v>273</v>
      </c>
      <c r="V43" s="32">
        <v>152.19739999999999</v>
      </c>
      <c r="W43" s="32">
        <v>326</v>
      </c>
      <c r="X43" s="32">
        <v>224</v>
      </c>
      <c r="Y43" s="32">
        <v>173</v>
      </c>
      <c r="Z43" s="32">
        <v>159</v>
      </c>
      <c r="AA43" s="32">
        <v>322.68729999999999</v>
      </c>
      <c r="AB43" s="32">
        <v>255</v>
      </c>
      <c r="AC43" s="32">
        <v>302</v>
      </c>
      <c r="AD43" s="32">
        <v>289</v>
      </c>
      <c r="AE43" s="32">
        <v>168</v>
      </c>
      <c r="AF43" s="32">
        <v>171</v>
      </c>
      <c r="AG43" s="32">
        <v>230</v>
      </c>
      <c r="AH43" s="32">
        <v>166</v>
      </c>
      <c r="AI43" s="32">
        <v>164</v>
      </c>
      <c r="AJ43" s="32">
        <v>211</v>
      </c>
      <c r="AK43" s="32">
        <v>292</v>
      </c>
      <c r="AL43" s="32">
        <v>287</v>
      </c>
      <c r="AM43" s="32">
        <v>414</v>
      </c>
      <c r="AN43" s="32">
        <v>416</v>
      </c>
      <c r="AO43" s="32">
        <v>272</v>
      </c>
      <c r="AP43" s="32">
        <v>1171</v>
      </c>
      <c r="AQ43" s="32">
        <v>274</v>
      </c>
      <c r="AR43" s="32">
        <v>229</v>
      </c>
      <c r="AS43" s="32">
        <v>779</v>
      </c>
    </row>
    <row r="44" spans="1:45">
      <c r="A44" s="30" t="s">
        <v>676</v>
      </c>
      <c r="B44" s="30" t="s">
        <v>633</v>
      </c>
      <c r="C44" s="30" t="s">
        <v>677</v>
      </c>
      <c r="D44" s="30" t="s">
        <v>587</v>
      </c>
      <c r="E44" s="30" t="s">
        <v>735</v>
      </c>
      <c r="F44" s="30" t="s">
        <v>91</v>
      </c>
      <c r="G44" s="30" t="s">
        <v>182</v>
      </c>
      <c r="H44" s="30" t="s">
        <v>680</v>
      </c>
      <c r="I44" s="32">
        <v>147</v>
      </c>
      <c r="J44" s="32">
        <v>108</v>
      </c>
      <c r="K44" s="32">
        <v>105</v>
      </c>
      <c r="L44" s="32">
        <v>127</v>
      </c>
      <c r="M44" s="32">
        <v>55</v>
      </c>
      <c r="N44" s="32">
        <v>56</v>
      </c>
      <c r="O44" s="32">
        <v>154</v>
      </c>
      <c r="P44" s="32">
        <v>40</v>
      </c>
      <c r="Q44" s="32">
        <v>22</v>
      </c>
      <c r="R44" s="32">
        <v>11</v>
      </c>
      <c r="S44" s="32">
        <v>8</v>
      </c>
      <c r="T44" s="31">
        <v>0</v>
      </c>
      <c r="U44" s="32">
        <v>11</v>
      </c>
      <c r="V44" s="32">
        <v>6</v>
      </c>
      <c r="W44" s="32">
        <v>2</v>
      </c>
      <c r="X44" s="32">
        <v>2</v>
      </c>
      <c r="Y44" s="32">
        <v>4</v>
      </c>
      <c r="Z44" s="32">
        <v>1</v>
      </c>
      <c r="AA44" s="32">
        <v>4</v>
      </c>
      <c r="AB44" s="32">
        <v>1</v>
      </c>
      <c r="AC44" s="32">
        <v>2</v>
      </c>
      <c r="AD44" s="32">
        <v>1</v>
      </c>
      <c r="AE44" s="32">
        <v>1</v>
      </c>
      <c r="AF44" s="32">
        <v>1</v>
      </c>
      <c r="AG44" s="31">
        <v>0</v>
      </c>
      <c r="AH44" s="31">
        <v>0</v>
      </c>
      <c r="AI44" s="31">
        <v>0</v>
      </c>
      <c r="AJ44" s="31">
        <v>0</v>
      </c>
      <c r="AK44" s="32">
        <v>1</v>
      </c>
      <c r="AL44" s="32">
        <v>1</v>
      </c>
      <c r="AM44" s="31">
        <v>0</v>
      </c>
      <c r="AN44" s="31">
        <v>0</v>
      </c>
      <c r="AO44" s="32">
        <v>1</v>
      </c>
      <c r="AP44" s="32">
        <v>7</v>
      </c>
      <c r="AQ44" s="32">
        <v>3</v>
      </c>
      <c r="AR44" s="31">
        <v>0</v>
      </c>
      <c r="AS44" s="31">
        <v>0</v>
      </c>
    </row>
    <row r="45" spans="1:45">
      <c r="A45" s="30" t="s">
        <v>676</v>
      </c>
      <c r="B45" s="30" t="s">
        <v>633</v>
      </c>
      <c r="C45" s="30" t="s">
        <v>677</v>
      </c>
      <c r="D45" s="30" t="s">
        <v>587</v>
      </c>
      <c r="E45" s="30" t="s">
        <v>736</v>
      </c>
      <c r="F45" s="30" t="s">
        <v>91</v>
      </c>
      <c r="G45" s="30" t="s">
        <v>183</v>
      </c>
      <c r="H45" s="30" t="s">
        <v>680</v>
      </c>
      <c r="I45" s="32">
        <v>97</v>
      </c>
      <c r="J45" s="32">
        <v>71</v>
      </c>
      <c r="K45" s="32">
        <v>93</v>
      </c>
      <c r="L45" s="32">
        <v>102</v>
      </c>
      <c r="M45" s="32">
        <v>63</v>
      </c>
      <c r="N45" s="32">
        <v>64</v>
      </c>
      <c r="O45" s="32">
        <v>93</v>
      </c>
      <c r="P45" s="32">
        <v>62</v>
      </c>
      <c r="Q45" s="32">
        <v>42</v>
      </c>
      <c r="R45" s="32">
        <v>63</v>
      </c>
      <c r="S45" s="32">
        <v>30</v>
      </c>
      <c r="T45" s="32">
        <v>27</v>
      </c>
      <c r="U45" s="32">
        <v>23</v>
      </c>
      <c r="V45" s="32">
        <v>11</v>
      </c>
      <c r="W45" s="32">
        <v>16</v>
      </c>
      <c r="X45" s="32">
        <v>24</v>
      </c>
      <c r="Y45" s="32">
        <v>13</v>
      </c>
      <c r="Z45" s="32">
        <v>7</v>
      </c>
      <c r="AA45" s="32">
        <v>14</v>
      </c>
      <c r="AB45" s="32">
        <v>9</v>
      </c>
      <c r="AC45" s="32">
        <v>12</v>
      </c>
      <c r="AD45" s="32">
        <v>16</v>
      </c>
      <c r="AE45" s="32">
        <v>13</v>
      </c>
      <c r="AF45" s="32">
        <v>2</v>
      </c>
      <c r="AG45" s="32">
        <v>2</v>
      </c>
      <c r="AH45" s="32">
        <v>4</v>
      </c>
      <c r="AI45" s="31">
        <v>0</v>
      </c>
      <c r="AJ45" s="32">
        <v>5</v>
      </c>
      <c r="AK45" s="32">
        <v>2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</row>
    <row r="46" spans="1:45">
      <c r="A46" s="30" t="s">
        <v>676</v>
      </c>
      <c r="B46" s="30" t="s">
        <v>633</v>
      </c>
      <c r="C46" s="30" t="s">
        <v>677</v>
      </c>
      <c r="D46" s="30" t="s">
        <v>587</v>
      </c>
      <c r="E46" s="30" t="s">
        <v>737</v>
      </c>
      <c r="F46" s="30" t="s">
        <v>91</v>
      </c>
      <c r="G46" s="30" t="s">
        <v>738</v>
      </c>
      <c r="H46" s="30" t="s">
        <v>680</v>
      </c>
      <c r="I46" s="32">
        <v>7</v>
      </c>
      <c r="J46" s="32">
        <v>4</v>
      </c>
      <c r="K46" s="32">
        <v>6</v>
      </c>
      <c r="L46" s="32">
        <v>5</v>
      </c>
      <c r="M46" s="32">
        <v>6</v>
      </c>
      <c r="N46" s="32">
        <v>5</v>
      </c>
      <c r="O46" s="32">
        <v>12</v>
      </c>
      <c r="P46" s="32">
        <v>2</v>
      </c>
      <c r="Q46" s="31">
        <v>0</v>
      </c>
      <c r="R46" s="31">
        <v>0</v>
      </c>
      <c r="S46" s="32">
        <v>1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2">
        <v>1</v>
      </c>
      <c r="Z46" s="31">
        <v>0</v>
      </c>
      <c r="AA46" s="31">
        <v>0</v>
      </c>
      <c r="AB46" s="31">
        <v>0</v>
      </c>
      <c r="AC46" s="32">
        <v>1</v>
      </c>
      <c r="AD46" s="31">
        <v>0</v>
      </c>
      <c r="AE46" s="31">
        <v>0</v>
      </c>
      <c r="AF46" s="31">
        <v>0</v>
      </c>
      <c r="AG46" s="32">
        <v>1</v>
      </c>
      <c r="AH46" s="31">
        <v>0</v>
      </c>
      <c r="AI46" s="31">
        <v>0</v>
      </c>
      <c r="AJ46" s="31">
        <v>0</v>
      </c>
      <c r="AK46" s="32">
        <v>1</v>
      </c>
      <c r="AL46" s="31">
        <v>0</v>
      </c>
      <c r="AM46" s="31">
        <v>0</v>
      </c>
      <c r="AN46" s="32">
        <v>1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</row>
    <row r="47" spans="1:45">
      <c r="A47" s="30" t="s">
        <v>676</v>
      </c>
      <c r="B47" s="30" t="s">
        <v>633</v>
      </c>
      <c r="C47" s="30" t="s">
        <v>677</v>
      </c>
      <c r="D47" s="30" t="s">
        <v>587</v>
      </c>
      <c r="E47" s="30" t="s">
        <v>739</v>
      </c>
      <c r="F47" s="30" t="s">
        <v>91</v>
      </c>
      <c r="G47" s="30" t="s">
        <v>184</v>
      </c>
      <c r="H47" s="30" t="s">
        <v>680</v>
      </c>
      <c r="I47" s="32">
        <v>95</v>
      </c>
      <c r="J47" s="32">
        <v>49</v>
      </c>
      <c r="K47" s="32">
        <v>86</v>
      </c>
      <c r="L47" s="32">
        <v>84</v>
      </c>
      <c r="M47" s="32">
        <v>59</v>
      </c>
      <c r="N47" s="32">
        <v>69</v>
      </c>
      <c r="O47" s="32">
        <v>117</v>
      </c>
      <c r="P47" s="32">
        <v>57</v>
      </c>
      <c r="Q47" s="32">
        <v>41</v>
      </c>
      <c r="R47" s="32">
        <v>60</v>
      </c>
      <c r="S47" s="32">
        <v>35</v>
      </c>
      <c r="T47" s="32">
        <v>30</v>
      </c>
      <c r="U47" s="32">
        <v>44</v>
      </c>
      <c r="V47" s="32">
        <v>19</v>
      </c>
      <c r="W47" s="32">
        <v>31</v>
      </c>
      <c r="X47" s="32">
        <v>22</v>
      </c>
      <c r="Y47" s="32">
        <v>22</v>
      </c>
      <c r="Z47" s="32">
        <v>26</v>
      </c>
      <c r="AA47" s="32">
        <v>23</v>
      </c>
      <c r="AB47" s="32">
        <v>16</v>
      </c>
      <c r="AC47" s="32">
        <v>13</v>
      </c>
      <c r="AD47" s="32">
        <v>13</v>
      </c>
      <c r="AE47" s="32">
        <v>20</v>
      </c>
      <c r="AF47" s="32">
        <v>2</v>
      </c>
      <c r="AG47" s="32">
        <v>5</v>
      </c>
      <c r="AH47" s="32">
        <v>1</v>
      </c>
      <c r="AI47" s="32">
        <v>2</v>
      </c>
      <c r="AJ47" s="32">
        <v>3</v>
      </c>
      <c r="AK47" s="32">
        <v>0</v>
      </c>
      <c r="AL47" s="31">
        <v>0</v>
      </c>
      <c r="AM47" s="32">
        <v>1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</row>
    <row r="48" spans="1:45">
      <c r="A48" s="30" t="s">
        <v>676</v>
      </c>
      <c r="B48" s="30" t="s">
        <v>633</v>
      </c>
      <c r="C48" s="30" t="s">
        <v>677</v>
      </c>
      <c r="D48" s="30" t="s">
        <v>587</v>
      </c>
      <c r="E48" s="30" t="s">
        <v>740</v>
      </c>
      <c r="F48" s="30" t="s">
        <v>91</v>
      </c>
      <c r="G48" s="30" t="s">
        <v>185</v>
      </c>
      <c r="H48" s="30" t="s">
        <v>680</v>
      </c>
      <c r="I48" s="31">
        <v>0</v>
      </c>
      <c r="J48" s="31">
        <v>0</v>
      </c>
      <c r="K48" s="31">
        <v>0</v>
      </c>
      <c r="L48" s="32">
        <v>7</v>
      </c>
      <c r="M48" s="32">
        <v>43</v>
      </c>
      <c r="N48" s="32">
        <v>47</v>
      </c>
      <c r="O48" s="32">
        <v>83</v>
      </c>
      <c r="P48" s="32">
        <v>88</v>
      </c>
      <c r="Q48" s="32">
        <v>79</v>
      </c>
      <c r="R48" s="32">
        <v>90</v>
      </c>
      <c r="S48" s="32">
        <v>82</v>
      </c>
      <c r="T48" s="32">
        <v>64</v>
      </c>
      <c r="U48" s="32">
        <v>93</v>
      </c>
      <c r="V48" s="32">
        <v>45</v>
      </c>
      <c r="W48" s="32">
        <v>90</v>
      </c>
      <c r="X48" s="32">
        <v>53</v>
      </c>
      <c r="Y48" s="32">
        <v>46</v>
      </c>
      <c r="Z48" s="32">
        <v>49.930199999999999</v>
      </c>
      <c r="AA48" s="32">
        <v>152.11869999999999</v>
      </c>
      <c r="AB48" s="32">
        <v>138</v>
      </c>
      <c r="AC48" s="32">
        <v>140</v>
      </c>
      <c r="AD48" s="32">
        <v>124</v>
      </c>
      <c r="AE48" s="32">
        <v>63</v>
      </c>
      <c r="AF48" s="32">
        <v>69</v>
      </c>
      <c r="AG48" s="32">
        <v>194</v>
      </c>
      <c r="AH48" s="32">
        <v>106</v>
      </c>
      <c r="AI48" s="32">
        <v>105</v>
      </c>
      <c r="AJ48" s="32">
        <v>86</v>
      </c>
      <c r="AK48" s="32">
        <v>50</v>
      </c>
      <c r="AL48" s="32">
        <v>32</v>
      </c>
      <c r="AM48" s="32">
        <v>86</v>
      </c>
      <c r="AN48" s="32">
        <v>80</v>
      </c>
      <c r="AO48" s="32">
        <v>71</v>
      </c>
      <c r="AP48" s="32">
        <v>22</v>
      </c>
      <c r="AQ48" s="32">
        <v>5</v>
      </c>
      <c r="AR48" s="32">
        <v>4</v>
      </c>
      <c r="AS48" s="32">
        <v>1</v>
      </c>
    </row>
    <row r="49" spans="1:45">
      <c r="A49" s="30" t="s">
        <v>676</v>
      </c>
      <c r="B49" s="30" t="s">
        <v>633</v>
      </c>
      <c r="C49" s="30" t="s">
        <v>677</v>
      </c>
      <c r="D49" s="30" t="s">
        <v>587</v>
      </c>
      <c r="E49" s="30" t="s">
        <v>741</v>
      </c>
      <c r="F49" s="30" t="s">
        <v>91</v>
      </c>
      <c r="G49" s="30" t="s">
        <v>186</v>
      </c>
      <c r="H49" s="30" t="s">
        <v>680</v>
      </c>
      <c r="I49" s="32">
        <v>113</v>
      </c>
      <c r="J49" s="32">
        <v>97</v>
      </c>
      <c r="K49" s="32">
        <v>124</v>
      </c>
      <c r="L49" s="32">
        <v>147</v>
      </c>
      <c r="M49" s="32">
        <v>99</v>
      </c>
      <c r="N49" s="32">
        <v>80</v>
      </c>
      <c r="O49" s="32">
        <v>155</v>
      </c>
      <c r="P49" s="32">
        <v>128</v>
      </c>
      <c r="Q49" s="32">
        <v>104</v>
      </c>
      <c r="R49" s="32">
        <v>124</v>
      </c>
      <c r="S49" s="32">
        <v>89</v>
      </c>
      <c r="T49" s="32">
        <v>65</v>
      </c>
      <c r="U49" s="32">
        <v>104</v>
      </c>
      <c r="V49" s="32">
        <v>66</v>
      </c>
      <c r="W49" s="32">
        <v>110</v>
      </c>
      <c r="X49" s="32">
        <v>75</v>
      </c>
      <c r="Y49" s="32">
        <v>59</v>
      </c>
      <c r="Z49" s="32">
        <v>68.909499999999994</v>
      </c>
      <c r="AA49" s="32">
        <v>178.37180000000001</v>
      </c>
      <c r="AB49" s="32">
        <v>136</v>
      </c>
      <c r="AC49" s="32">
        <v>147</v>
      </c>
      <c r="AD49" s="32">
        <v>117</v>
      </c>
      <c r="AE49" s="32">
        <v>84</v>
      </c>
      <c r="AF49" s="32">
        <v>89</v>
      </c>
      <c r="AG49" s="32">
        <v>153</v>
      </c>
      <c r="AH49" s="32">
        <v>96</v>
      </c>
      <c r="AI49" s="32">
        <v>85</v>
      </c>
      <c r="AJ49" s="32">
        <v>132</v>
      </c>
      <c r="AK49" s="32">
        <v>147</v>
      </c>
      <c r="AL49" s="32">
        <v>127</v>
      </c>
      <c r="AM49" s="32">
        <v>177</v>
      </c>
      <c r="AN49" s="32">
        <v>165</v>
      </c>
      <c r="AO49" s="32">
        <v>84</v>
      </c>
      <c r="AP49" s="32">
        <v>53</v>
      </c>
      <c r="AQ49" s="32">
        <v>29</v>
      </c>
      <c r="AR49" s="32">
        <v>28</v>
      </c>
      <c r="AS49" s="32">
        <v>18</v>
      </c>
    </row>
    <row r="50" spans="1:45">
      <c r="A50" s="30" t="s">
        <v>676</v>
      </c>
      <c r="B50" s="30" t="s">
        <v>633</v>
      </c>
      <c r="C50" s="30" t="s">
        <v>677</v>
      </c>
      <c r="D50" s="30" t="s">
        <v>587</v>
      </c>
      <c r="E50" s="30" t="s">
        <v>742</v>
      </c>
      <c r="F50" s="30" t="s">
        <v>88</v>
      </c>
      <c r="G50" s="30" t="s">
        <v>187</v>
      </c>
      <c r="H50" s="30" t="s">
        <v>680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2">
        <v>500</v>
      </c>
      <c r="P50" s="32">
        <v>420</v>
      </c>
      <c r="Q50" s="32">
        <v>408</v>
      </c>
      <c r="R50" s="32">
        <v>594</v>
      </c>
      <c r="S50" s="32">
        <v>497</v>
      </c>
      <c r="T50" s="32">
        <v>380</v>
      </c>
      <c r="U50" s="32">
        <v>558</v>
      </c>
      <c r="V50" s="32">
        <v>335.19740000000002</v>
      </c>
      <c r="W50" s="32">
        <v>379</v>
      </c>
      <c r="X50" s="32">
        <v>626</v>
      </c>
      <c r="Y50" s="32">
        <v>587</v>
      </c>
      <c r="Z50" s="32">
        <v>571.54430000000002</v>
      </c>
      <c r="AA50" s="32">
        <v>1221.4081000000001</v>
      </c>
      <c r="AB50" s="32">
        <v>713</v>
      </c>
      <c r="AC50" s="32">
        <v>574</v>
      </c>
      <c r="AD50" s="32">
        <v>714</v>
      </c>
      <c r="AE50" s="32">
        <v>334</v>
      </c>
      <c r="AF50" s="32">
        <v>302</v>
      </c>
      <c r="AG50" s="32">
        <v>735</v>
      </c>
      <c r="AH50" s="32">
        <v>583</v>
      </c>
      <c r="AI50" s="32">
        <v>502</v>
      </c>
      <c r="AJ50" s="32">
        <v>485</v>
      </c>
      <c r="AK50" s="32">
        <v>355</v>
      </c>
      <c r="AL50" s="32">
        <v>364</v>
      </c>
      <c r="AM50" s="32">
        <v>564</v>
      </c>
      <c r="AN50" s="32">
        <v>362</v>
      </c>
      <c r="AO50" s="32">
        <v>534</v>
      </c>
      <c r="AP50" s="32">
        <v>641</v>
      </c>
      <c r="AQ50" s="32">
        <v>473</v>
      </c>
      <c r="AR50" s="32">
        <v>418</v>
      </c>
      <c r="AS50" s="32">
        <v>371</v>
      </c>
    </row>
    <row r="51" spans="1:45">
      <c r="A51" s="30" t="s">
        <v>676</v>
      </c>
      <c r="B51" s="30" t="s">
        <v>633</v>
      </c>
      <c r="C51" s="30" t="s">
        <v>677</v>
      </c>
      <c r="D51" s="30" t="s">
        <v>587</v>
      </c>
      <c r="E51" s="30" t="s">
        <v>743</v>
      </c>
      <c r="F51" s="30" t="s">
        <v>88</v>
      </c>
      <c r="G51" s="30" t="s">
        <v>188</v>
      </c>
      <c r="H51" s="30" t="s">
        <v>680</v>
      </c>
      <c r="I51" s="31">
        <v>0</v>
      </c>
      <c r="J51" s="31">
        <v>0</v>
      </c>
      <c r="K51" s="31">
        <v>0</v>
      </c>
      <c r="L51" s="32">
        <v>16</v>
      </c>
      <c r="M51" s="32">
        <v>169</v>
      </c>
      <c r="N51" s="32">
        <v>235</v>
      </c>
      <c r="O51" s="32">
        <v>435</v>
      </c>
      <c r="P51" s="32">
        <v>315</v>
      </c>
      <c r="Q51" s="32">
        <v>332</v>
      </c>
      <c r="R51" s="32">
        <v>382</v>
      </c>
      <c r="S51" s="32">
        <v>253</v>
      </c>
      <c r="T51" s="32">
        <v>198</v>
      </c>
      <c r="U51" s="32">
        <v>326</v>
      </c>
      <c r="V51" s="32">
        <v>209.3947</v>
      </c>
      <c r="W51" s="32">
        <v>273</v>
      </c>
      <c r="X51" s="32">
        <v>286</v>
      </c>
      <c r="Y51" s="32">
        <v>316</v>
      </c>
      <c r="Z51" s="32">
        <v>252.96639999999999</v>
      </c>
      <c r="AA51" s="32">
        <v>606.23040000000003</v>
      </c>
      <c r="AB51" s="32">
        <v>336</v>
      </c>
      <c r="AC51" s="32">
        <v>286</v>
      </c>
      <c r="AD51" s="32">
        <v>359</v>
      </c>
      <c r="AE51" s="32">
        <v>233</v>
      </c>
      <c r="AF51" s="32">
        <v>255</v>
      </c>
      <c r="AG51" s="32">
        <v>434</v>
      </c>
      <c r="AH51" s="32">
        <v>326</v>
      </c>
      <c r="AI51" s="32">
        <v>334</v>
      </c>
      <c r="AJ51" s="32">
        <v>416</v>
      </c>
      <c r="AK51" s="32">
        <v>314</v>
      </c>
      <c r="AL51" s="32">
        <v>301</v>
      </c>
      <c r="AM51" s="32">
        <v>576</v>
      </c>
      <c r="AN51" s="32">
        <v>389</v>
      </c>
      <c r="AO51" s="32">
        <v>341</v>
      </c>
      <c r="AP51" s="32">
        <v>409</v>
      </c>
      <c r="AQ51" s="32">
        <v>346</v>
      </c>
      <c r="AR51" s="32">
        <v>278</v>
      </c>
      <c r="AS51" s="32">
        <v>332</v>
      </c>
    </row>
    <row r="52" spans="1:45">
      <c r="A52" s="30" t="s">
        <v>676</v>
      </c>
      <c r="B52" s="30" t="s">
        <v>633</v>
      </c>
      <c r="C52" s="30" t="s">
        <v>677</v>
      </c>
      <c r="D52" s="30" t="s">
        <v>587</v>
      </c>
      <c r="E52" s="30" t="s">
        <v>744</v>
      </c>
      <c r="F52" s="30" t="s">
        <v>91</v>
      </c>
      <c r="G52" s="30" t="s">
        <v>189</v>
      </c>
      <c r="H52" s="30" t="s">
        <v>680</v>
      </c>
      <c r="I52" s="32">
        <v>60</v>
      </c>
      <c r="J52" s="32">
        <v>47</v>
      </c>
      <c r="K52" s="32">
        <v>52</v>
      </c>
      <c r="L52" s="32">
        <v>78</v>
      </c>
      <c r="M52" s="32">
        <v>64</v>
      </c>
      <c r="N52" s="32">
        <v>102</v>
      </c>
      <c r="O52" s="32">
        <v>187</v>
      </c>
      <c r="P52" s="32">
        <v>205</v>
      </c>
      <c r="Q52" s="32">
        <v>107</v>
      </c>
      <c r="R52" s="32">
        <v>131</v>
      </c>
      <c r="S52" s="32">
        <v>102</v>
      </c>
      <c r="T52" s="32">
        <v>89</v>
      </c>
      <c r="U52" s="32">
        <v>75</v>
      </c>
      <c r="V52" s="32">
        <v>32</v>
      </c>
      <c r="W52" s="32">
        <v>65</v>
      </c>
      <c r="X52" s="32">
        <v>48</v>
      </c>
      <c r="Y52" s="32">
        <v>45</v>
      </c>
      <c r="Z52" s="32">
        <v>47</v>
      </c>
      <c r="AA52" s="32">
        <v>112</v>
      </c>
      <c r="AB52" s="32">
        <v>75</v>
      </c>
      <c r="AC52" s="32">
        <v>101</v>
      </c>
      <c r="AD52" s="32">
        <v>108</v>
      </c>
      <c r="AE52" s="32">
        <v>50</v>
      </c>
      <c r="AF52" s="32">
        <v>46</v>
      </c>
      <c r="AG52" s="32">
        <v>49</v>
      </c>
      <c r="AH52" s="32">
        <v>33</v>
      </c>
      <c r="AI52" s="32">
        <v>37</v>
      </c>
      <c r="AJ52" s="32">
        <v>36</v>
      </c>
      <c r="AK52" s="32">
        <v>66</v>
      </c>
      <c r="AL52" s="32">
        <v>58</v>
      </c>
      <c r="AM52" s="32">
        <v>72</v>
      </c>
      <c r="AN52" s="32">
        <v>81</v>
      </c>
      <c r="AO52" s="32">
        <v>33</v>
      </c>
      <c r="AP52" s="32">
        <v>16</v>
      </c>
      <c r="AQ52" s="32">
        <v>4</v>
      </c>
      <c r="AR52" s="32">
        <v>4</v>
      </c>
      <c r="AS52" s="32">
        <v>5</v>
      </c>
    </row>
    <row r="53" spans="1:45">
      <c r="A53" s="30" t="s">
        <v>676</v>
      </c>
      <c r="B53" s="30" t="s">
        <v>633</v>
      </c>
      <c r="C53" s="30" t="s">
        <v>677</v>
      </c>
      <c r="D53" s="30" t="s">
        <v>587</v>
      </c>
      <c r="E53" s="30" t="s">
        <v>745</v>
      </c>
      <c r="F53" s="30" t="s">
        <v>94</v>
      </c>
      <c r="G53" s="30" t="s">
        <v>190</v>
      </c>
      <c r="H53" s="30" t="s">
        <v>680</v>
      </c>
      <c r="I53" s="32">
        <v>820</v>
      </c>
      <c r="J53" s="32">
        <v>673</v>
      </c>
      <c r="K53" s="32">
        <v>811</v>
      </c>
      <c r="L53" s="32">
        <v>981</v>
      </c>
      <c r="M53" s="32">
        <v>729</v>
      </c>
      <c r="N53" s="32">
        <v>758</v>
      </c>
      <c r="O53" s="32">
        <v>1115</v>
      </c>
      <c r="P53" s="32">
        <v>890</v>
      </c>
      <c r="Q53" s="32">
        <v>837.23710000000005</v>
      </c>
      <c r="R53" s="32">
        <v>1108</v>
      </c>
      <c r="S53" s="32">
        <v>700</v>
      </c>
      <c r="T53" s="32">
        <v>536</v>
      </c>
      <c r="U53" s="32">
        <v>817</v>
      </c>
      <c r="V53" s="32">
        <v>533.98680000000002</v>
      </c>
      <c r="W53" s="32">
        <v>742</v>
      </c>
      <c r="X53" s="32">
        <v>703</v>
      </c>
      <c r="Y53" s="32">
        <v>574</v>
      </c>
      <c r="Z53" s="32">
        <v>554.84230000000002</v>
      </c>
      <c r="AA53" s="32">
        <v>1013.6433</v>
      </c>
      <c r="AB53" s="32">
        <v>464</v>
      </c>
      <c r="AC53" s="32">
        <v>388</v>
      </c>
      <c r="AD53" s="32">
        <v>187</v>
      </c>
      <c r="AE53" s="32">
        <v>86</v>
      </c>
      <c r="AF53" s="32">
        <v>48</v>
      </c>
      <c r="AG53" s="32">
        <v>54</v>
      </c>
      <c r="AH53" s="32">
        <v>25</v>
      </c>
      <c r="AI53" s="32">
        <v>20</v>
      </c>
      <c r="AJ53" s="32">
        <v>25</v>
      </c>
      <c r="AK53" s="32">
        <v>15</v>
      </c>
      <c r="AL53" s="32">
        <v>11</v>
      </c>
      <c r="AM53" s="32">
        <v>23</v>
      </c>
      <c r="AN53" s="32">
        <v>32</v>
      </c>
      <c r="AO53" s="32">
        <v>14</v>
      </c>
      <c r="AP53" s="32">
        <v>18</v>
      </c>
      <c r="AQ53" s="32">
        <v>3</v>
      </c>
      <c r="AR53" s="32">
        <v>6</v>
      </c>
      <c r="AS53" s="32">
        <v>4</v>
      </c>
    </row>
    <row r="54" spans="1:45">
      <c r="A54" s="30" t="s">
        <v>676</v>
      </c>
      <c r="B54" s="30" t="s">
        <v>633</v>
      </c>
      <c r="C54" s="30" t="s">
        <v>677</v>
      </c>
      <c r="D54" s="30" t="s">
        <v>587</v>
      </c>
      <c r="E54" s="30" t="s">
        <v>746</v>
      </c>
      <c r="F54" s="30" t="s">
        <v>94</v>
      </c>
      <c r="G54" s="30" t="s">
        <v>191</v>
      </c>
      <c r="H54" s="30" t="s">
        <v>680</v>
      </c>
      <c r="I54" s="32">
        <v>780</v>
      </c>
      <c r="J54" s="32">
        <v>591</v>
      </c>
      <c r="K54" s="32">
        <v>844</v>
      </c>
      <c r="L54" s="32">
        <v>1041</v>
      </c>
      <c r="M54" s="32">
        <v>668</v>
      </c>
      <c r="N54" s="32">
        <v>784</v>
      </c>
      <c r="O54" s="32">
        <v>1144</v>
      </c>
      <c r="P54" s="32">
        <v>740</v>
      </c>
      <c r="Q54" s="32">
        <v>724</v>
      </c>
      <c r="R54" s="32">
        <v>873</v>
      </c>
      <c r="S54" s="32">
        <v>536</v>
      </c>
      <c r="T54" s="32">
        <v>470</v>
      </c>
      <c r="U54" s="32">
        <v>825</v>
      </c>
      <c r="V54" s="32">
        <v>459.57889999999998</v>
      </c>
      <c r="W54" s="32">
        <v>749</v>
      </c>
      <c r="X54" s="32">
        <v>606</v>
      </c>
      <c r="Y54" s="32">
        <v>643</v>
      </c>
      <c r="Z54" s="32">
        <v>576.8759</v>
      </c>
      <c r="AA54" s="32">
        <v>1087.1608000000001</v>
      </c>
      <c r="AB54" s="32">
        <v>839</v>
      </c>
      <c r="AC54" s="32">
        <v>877</v>
      </c>
      <c r="AD54" s="32">
        <v>1559</v>
      </c>
      <c r="AE54" s="32">
        <v>814</v>
      </c>
      <c r="AF54" s="32">
        <v>710</v>
      </c>
      <c r="AG54" s="32">
        <v>1236</v>
      </c>
      <c r="AH54" s="32">
        <v>826</v>
      </c>
      <c r="AI54" s="32">
        <v>699</v>
      </c>
      <c r="AJ54" s="32">
        <v>1442</v>
      </c>
      <c r="AK54" s="32">
        <v>751</v>
      </c>
      <c r="AL54" s="32">
        <v>567</v>
      </c>
      <c r="AM54" s="32">
        <v>990</v>
      </c>
      <c r="AN54" s="32">
        <v>1097</v>
      </c>
      <c r="AO54" s="32">
        <v>1142</v>
      </c>
      <c r="AP54" s="32">
        <v>2021</v>
      </c>
      <c r="AQ54" s="32">
        <v>783</v>
      </c>
      <c r="AR54" s="32">
        <v>1122</v>
      </c>
      <c r="AS54" s="32">
        <v>1013</v>
      </c>
    </row>
    <row r="55" spans="1:45">
      <c r="A55" s="30" t="s">
        <v>676</v>
      </c>
      <c r="B55" s="30" t="s">
        <v>633</v>
      </c>
      <c r="C55" s="30" t="s">
        <v>677</v>
      </c>
      <c r="D55" s="30" t="s">
        <v>587</v>
      </c>
      <c r="E55" s="30" t="s">
        <v>747</v>
      </c>
      <c r="F55" s="30" t="s">
        <v>94</v>
      </c>
      <c r="G55" s="30" t="s">
        <v>192</v>
      </c>
      <c r="H55" s="30" t="s">
        <v>680</v>
      </c>
      <c r="I55" s="32">
        <v>329</v>
      </c>
      <c r="J55" s="32">
        <v>188</v>
      </c>
      <c r="K55" s="32">
        <v>242</v>
      </c>
      <c r="L55" s="32">
        <v>393</v>
      </c>
      <c r="M55" s="32">
        <v>229</v>
      </c>
      <c r="N55" s="32">
        <v>377</v>
      </c>
      <c r="O55" s="32">
        <v>462</v>
      </c>
      <c r="P55" s="32">
        <v>426</v>
      </c>
      <c r="Q55" s="32">
        <v>313</v>
      </c>
      <c r="R55" s="32">
        <v>335</v>
      </c>
      <c r="S55" s="32">
        <v>228</v>
      </c>
      <c r="T55" s="32">
        <v>178</v>
      </c>
      <c r="U55" s="32">
        <v>291</v>
      </c>
      <c r="V55" s="32">
        <v>172</v>
      </c>
      <c r="W55" s="32">
        <v>390</v>
      </c>
      <c r="X55" s="32">
        <v>176</v>
      </c>
      <c r="Y55" s="32">
        <v>248</v>
      </c>
      <c r="Z55" s="32">
        <v>164.83969999999999</v>
      </c>
      <c r="AA55" s="32">
        <v>411.58080000000001</v>
      </c>
      <c r="AB55" s="32">
        <v>185</v>
      </c>
      <c r="AC55" s="32">
        <v>215</v>
      </c>
      <c r="AD55" s="32">
        <v>211</v>
      </c>
      <c r="AE55" s="32">
        <v>145</v>
      </c>
      <c r="AF55" s="32">
        <v>194</v>
      </c>
      <c r="AG55" s="32">
        <v>340</v>
      </c>
      <c r="AH55" s="32">
        <v>105</v>
      </c>
      <c r="AI55" s="32">
        <v>116</v>
      </c>
      <c r="AJ55" s="32">
        <v>157</v>
      </c>
      <c r="AK55" s="32">
        <v>340</v>
      </c>
      <c r="AL55" s="32">
        <v>98</v>
      </c>
      <c r="AM55" s="32">
        <v>269</v>
      </c>
      <c r="AN55" s="32">
        <v>129</v>
      </c>
      <c r="AO55" s="32">
        <v>128</v>
      </c>
      <c r="AP55" s="32">
        <v>202</v>
      </c>
      <c r="AQ55" s="32">
        <v>191</v>
      </c>
      <c r="AR55" s="32">
        <v>132</v>
      </c>
      <c r="AS55" s="32">
        <v>391</v>
      </c>
    </row>
    <row r="56" spans="1:45">
      <c r="A56" s="30" t="s">
        <v>676</v>
      </c>
      <c r="B56" s="30" t="s">
        <v>633</v>
      </c>
      <c r="C56" s="30" t="s">
        <v>677</v>
      </c>
      <c r="D56" s="30" t="s">
        <v>587</v>
      </c>
      <c r="E56" s="30" t="s">
        <v>748</v>
      </c>
      <c r="F56" s="30" t="s">
        <v>94</v>
      </c>
      <c r="G56" s="30" t="s">
        <v>193</v>
      </c>
      <c r="H56" s="30" t="s">
        <v>680</v>
      </c>
      <c r="I56" s="32">
        <v>796</v>
      </c>
      <c r="J56" s="32">
        <v>637</v>
      </c>
      <c r="K56" s="32">
        <v>775</v>
      </c>
      <c r="L56" s="32">
        <v>1043</v>
      </c>
      <c r="M56" s="32">
        <v>722</v>
      </c>
      <c r="N56" s="32">
        <v>730</v>
      </c>
      <c r="O56" s="32">
        <v>1075</v>
      </c>
      <c r="P56" s="32">
        <v>912</v>
      </c>
      <c r="Q56" s="32">
        <v>870</v>
      </c>
      <c r="R56" s="32">
        <v>1034</v>
      </c>
      <c r="S56" s="32">
        <v>737</v>
      </c>
      <c r="T56" s="32">
        <v>543</v>
      </c>
      <c r="U56" s="32">
        <v>876</v>
      </c>
      <c r="V56" s="32">
        <v>597.57889999999998</v>
      </c>
      <c r="W56" s="32">
        <v>811</v>
      </c>
      <c r="X56" s="32">
        <v>743</v>
      </c>
      <c r="Y56" s="32">
        <v>621</v>
      </c>
      <c r="Z56" s="32">
        <v>606.80610000000001</v>
      </c>
      <c r="AA56" s="32">
        <v>1120.4058</v>
      </c>
      <c r="AB56" s="32">
        <v>724</v>
      </c>
      <c r="AC56" s="32">
        <v>653</v>
      </c>
      <c r="AD56" s="32">
        <v>318</v>
      </c>
      <c r="AE56" s="32">
        <v>113</v>
      </c>
      <c r="AF56" s="32">
        <v>61</v>
      </c>
      <c r="AG56" s="32">
        <v>64</v>
      </c>
      <c r="AH56" s="32">
        <v>38</v>
      </c>
      <c r="AI56" s="32">
        <v>30</v>
      </c>
      <c r="AJ56" s="32">
        <v>23</v>
      </c>
      <c r="AK56" s="32">
        <v>10</v>
      </c>
      <c r="AL56" s="32">
        <v>10</v>
      </c>
      <c r="AM56" s="32">
        <v>18</v>
      </c>
      <c r="AN56" s="32">
        <v>11</v>
      </c>
      <c r="AO56" s="32">
        <v>6</v>
      </c>
      <c r="AP56" s="32">
        <v>22</v>
      </c>
      <c r="AQ56" s="32">
        <v>9</v>
      </c>
      <c r="AR56" s="32">
        <v>10</v>
      </c>
      <c r="AS56" s="32">
        <v>10</v>
      </c>
    </row>
    <row r="57" spans="1:45">
      <c r="A57" s="30" t="s">
        <v>676</v>
      </c>
      <c r="B57" s="30" t="s">
        <v>633</v>
      </c>
      <c r="C57" s="30" t="s">
        <v>677</v>
      </c>
      <c r="D57" s="30" t="s">
        <v>587</v>
      </c>
      <c r="E57" s="30" t="s">
        <v>749</v>
      </c>
      <c r="F57" s="30" t="s">
        <v>94</v>
      </c>
      <c r="G57" s="30" t="s">
        <v>194</v>
      </c>
      <c r="H57" s="30" t="s">
        <v>680</v>
      </c>
      <c r="I57" s="32">
        <v>940</v>
      </c>
      <c r="J57" s="32">
        <v>628</v>
      </c>
      <c r="K57" s="32">
        <v>969</v>
      </c>
      <c r="L57" s="32">
        <v>1202</v>
      </c>
      <c r="M57" s="32">
        <v>749</v>
      </c>
      <c r="N57" s="32">
        <v>961</v>
      </c>
      <c r="O57" s="32">
        <v>1412</v>
      </c>
      <c r="P57" s="32">
        <v>938</v>
      </c>
      <c r="Q57" s="32">
        <v>880</v>
      </c>
      <c r="R57" s="32">
        <v>979</v>
      </c>
      <c r="S57" s="32">
        <v>553</v>
      </c>
      <c r="T57" s="32">
        <v>586</v>
      </c>
      <c r="U57" s="32">
        <v>917</v>
      </c>
      <c r="V57" s="32">
        <v>516.38160000000005</v>
      </c>
      <c r="W57" s="32">
        <v>917</v>
      </c>
      <c r="X57" s="32">
        <v>802</v>
      </c>
      <c r="Y57" s="32">
        <v>901</v>
      </c>
      <c r="Z57" s="32">
        <v>793.6069</v>
      </c>
      <c r="AA57" s="32">
        <v>1235.0289</v>
      </c>
      <c r="AB57" s="32">
        <v>946</v>
      </c>
      <c r="AC57" s="32">
        <v>910</v>
      </c>
      <c r="AD57" s="32">
        <v>1294</v>
      </c>
      <c r="AE57" s="32">
        <v>712</v>
      </c>
      <c r="AF57" s="32">
        <v>771</v>
      </c>
      <c r="AG57" s="32">
        <v>1430</v>
      </c>
      <c r="AH57" s="32">
        <v>905</v>
      </c>
      <c r="AI57" s="32">
        <v>802</v>
      </c>
      <c r="AJ57" s="32">
        <v>1579</v>
      </c>
      <c r="AK57" s="32">
        <v>916</v>
      </c>
      <c r="AL57" s="32">
        <v>686</v>
      </c>
      <c r="AM57" s="32">
        <v>1224</v>
      </c>
      <c r="AN57" s="32">
        <v>1155</v>
      </c>
      <c r="AO57" s="32">
        <v>1371</v>
      </c>
      <c r="AP57" s="32">
        <v>2198</v>
      </c>
      <c r="AQ57" s="32">
        <v>858</v>
      </c>
      <c r="AR57" s="32">
        <v>1186</v>
      </c>
      <c r="AS57" s="32">
        <v>1383</v>
      </c>
    </row>
    <row r="58" spans="1:45">
      <c r="A58" s="30" t="s">
        <v>676</v>
      </c>
      <c r="B58" s="30" t="s">
        <v>633</v>
      </c>
      <c r="C58" s="30" t="s">
        <v>677</v>
      </c>
      <c r="D58" s="30" t="s">
        <v>587</v>
      </c>
      <c r="E58" s="30" t="s">
        <v>750</v>
      </c>
      <c r="F58" s="30" t="s">
        <v>94</v>
      </c>
      <c r="G58" s="30" t="s">
        <v>195</v>
      </c>
      <c r="H58" s="30" t="s">
        <v>680</v>
      </c>
      <c r="I58" s="32">
        <v>303</v>
      </c>
      <c r="J58" s="32">
        <v>231</v>
      </c>
      <c r="K58" s="32">
        <v>349</v>
      </c>
      <c r="L58" s="32">
        <v>394</v>
      </c>
      <c r="M58" s="32">
        <v>292</v>
      </c>
      <c r="N58" s="32">
        <v>385</v>
      </c>
      <c r="O58" s="32">
        <v>650</v>
      </c>
      <c r="P58" s="32">
        <v>830</v>
      </c>
      <c r="Q58" s="32">
        <v>389.2371</v>
      </c>
      <c r="R58" s="32">
        <v>451</v>
      </c>
      <c r="S58" s="32">
        <v>204</v>
      </c>
      <c r="T58" s="32">
        <v>178</v>
      </c>
      <c r="U58" s="32">
        <v>324</v>
      </c>
      <c r="V58" s="32">
        <v>211.3947</v>
      </c>
      <c r="W58" s="32">
        <v>284</v>
      </c>
      <c r="X58" s="32">
        <v>247</v>
      </c>
      <c r="Y58" s="32">
        <v>267</v>
      </c>
      <c r="Z58" s="32">
        <v>208.69810000000001</v>
      </c>
      <c r="AA58" s="32">
        <v>483.26819999999998</v>
      </c>
      <c r="AB58" s="32">
        <v>382</v>
      </c>
      <c r="AC58" s="32">
        <v>317</v>
      </c>
      <c r="AD58" s="32">
        <v>309</v>
      </c>
      <c r="AE58" s="32">
        <v>245</v>
      </c>
      <c r="AF58" s="32">
        <v>161</v>
      </c>
      <c r="AG58" s="32">
        <v>327</v>
      </c>
      <c r="AH58" s="32">
        <v>270</v>
      </c>
      <c r="AI58" s="32">
        <v>231</v>
      </c>
      <c r="AJ58" s="32">
        <v>253</v>
      </c>
      <c r="AK58" s="32">
        <v>281</v>
      </c>
      <c r="AL58" s="32">
        <v>205</v>
      </c>
      <c r="AM58" s="32">
        <v>439</v>
      </c>
      <c r="AN58" s="32">
        <v>505</v>
      </c>
      <c r="AO58" s="32">
        <v>460</v>
      </c>
      <c r="AP58" s="32">
        <v>390</v>
      </c>
      <c r="AQ58" s="32">
        <v>309</v>
      </c>
      <c r="AR58" s="32">
        <v>241</v>
      </c>
      <c r="AS58" s="32">
        <v>384</v>
      </c>
    </row>
    <row r="59" spans="1:45">
      <c r="A59" s="30" t="s">
        <v>676</v>
      </c>
      <c r="B59" s="30" t="s">
        <v>633</v>
      </c>
      <c r="C59" s="30" t="s">
        <v>677</v>
      </c>
      <c r="D59" s="30" t="s">
        <v>587</v>
      </c>
      <c r="E59" s="30" t="s">
        <v>751</v>
      </c>
      <c r="F59" s="30" t="s">
        <v>88</v>
      </c>
      <c r="G59" s="30" t="s">
        <v>196</v>
      </c>
      <c r="H59" s="30" t="s">
        <v>680</v>
      </c>
      <c r="I59" s="32">
        <v>339</v>
      </c>
      <c r="J59" s="32">
        <v>290</v>
      </c>
      <c r="K59" s="32">
        <v>361</v>
      </c>
      <c r="L59" s="32">
        <v>500</v>
      </c>
      <c r="M59" s="32">
        <v>402</v>
      </c>
      <c r="N59" s="32">
        <v>494</v>
      </c>
      <c r="O59" s="32">
        <v>684</v>
      </c>
      <c r="P59" s="32">
        <v>468</v>
      </c>
      <c r="Q59" s="32">
        <v>395</v>
      </c>
      <c r="R59" s="32">
        <v>527</v>
      </c>
      <c r="S59" s="32">
        <v>273</v>
      </c>
      <c r="T59" s="32">
        <v>273</v>
      </c>
      <c r="U59" s="32">
        <v>458</v>
      </c>
      <c r="V59" s="32">
        <v>248.59209999999999</v>
      </c>
      <c r="W59" s="32">
        <v>357</v>
      </c>
      <c r="X59" s="32">
        <v>377</v>
      </c>
      <c r="Y59" s="32">
        <v>312</v>
      </c>
      <c r="Z59" s="32">
        <v>372.79289999999997</v>
      </c>
      <c r="AA59" s="32">
        <v>580.30219999999997</v>
      </c>
      <c r="AB59" s="32">
        <v>460</v>
      </c>
      <c r="AC59" s="32">
        <v>417</v>
      </c>
      <c r="AD59" s="32">
        <v>686</v>
      </c>
      <c r="AE59" s="32">
        <v>386</v>
      </c>
      <c r="AF59" s="32">
        <v>361</v>
      </c>
      <c r="AG59" s="32">
        <v>535</v>
      </c>
      <c r="AH59" s="32">
        <v>369</v>
      </c>
      <c r="AI59" s="32">
        <v>336</v>
      </c>
      <c r="AJ59" s="32">
        <v>629</v>
      </c>
      <c r="AK59" s="32">
        <v>376</v>
      </c>
      <c r="AL59" s="32">
        <v>251</v>
      </c>
      <c r="AM59" s="32">
        <v>491</v>
      </c>
      <c r="AN59" s="32">
        <v>504</v>
      </c>
      <c r="AO59" s="32">
        <v>519</v>
      </c>
      <c r="AP59" s="32">
        <v>610</v>
      </c>
      <c r="AQ59" s="32">
        <v>391</v>
      </c>
      <c r="AR59" s="32">
        <v>437</v>
      </c>
      <c r="AS59" s="32">
        <v>656</v>
      </c>
    </row>
    <row r="60" spans="1:45">
      <c r="A60" s="30" t="s">
        <v>676</v>
      </c>
      <c r="B60" s="30" t="s">
        <v>633</v>
      </c>
      <c r="C60" s="30" t="s">
        <v>677</v>
      </c>
      <c r="D60" s="30" t="s">
        <v>587</v>
      </c>
      <c r="E60" s="30" t="s">
        <v>752</v>
      </c>
      <c r="F60" s="30" t="s">
        <v>99</v>
      </c>
      <c r="G60" s="30" t="s">
        <v>197</v>
      </c>
      <c r="H60" s="30" t="s">
        <v>680</v>
      </c>
      <c r="I60" s="32">
        <v>137</v>
      </c>
      <c r="J60" s="32">
        <v>106</v>
      </c>
      <c r="K60" s="32">
        <v>197</v>
      </c>
      <c r="L60" s="32">
        <v>245</v>
      </c>
      <c r="M60" s="32">
        <v>180</v>
      </c>
      <c r="N60" s="32">
        <v>224</v>
      </c>
      <c r="O60" s="32">
        <v>363</v>
      </c>
      <c r="P60" s="32">
        <v>214</v>
      </c>
      <c r="Q60" s="32">
        <v>215</v>
      </c>
      <c r="R60" s="32">
        <v>290</v>
      </c>
      <c r="S60" s="32">
        <v>176</v>
      </c>
      <c r="T60" s="32">
        <v>150</v>
      </c>
      <c r="U60" s="32">
        <v>253</v>
      </c>
      <c r="V60" s="32">
        <v>133.19739999999999</v>
      </c>
      <c r="W60" s="32">
        <v>184</v>
      </c>
      <c r="X60" s="32">
        <v>201</v>
      </c>
      <c r="Y60" s="32">
        <v>240</v>
      </c>
      <c r="Z60" s="32">
        <v>216.90950000000001</v>
      </c>
      <c r="AA60" s="32">
        <v>409.43419999999998</v>
      </c>
      <c r="AB60" s="32">
        <v>259</v>
      </c>
      <c r="AC60" s="32">
        <v>245</v>
      </c>
      <c r="AD60" s="32">
        <v>347</v>
      </c>
      <c r="AE60" s="32">
        <v>233</v>
      </c>
      <c r="AF60" s="32">
        <v>225</v>
      </c>
      <c r="AG60" s="32">
        <v>383</v>
      </c>
      <c r="AH60" s="32">
        <v>261</v>
      </c>
      <c r="AI60" s="32">
        <v>234</v>
      </c>
      <c r="AJ60" s="32">
        <v>308</v>
      </c>
      <c r="AK60" s="32">
        <v>224</v>
      </c>
      <c r="AL60" s="32">
        <v>346</v>
      </c>
      <c r="AM60" s="32">
        <v>430</v>
      </c>
      <c r="AN60" s="32">
        <v>292</v>
      </c>
      <c r="AO60" s="32">
        <v>320</v>
      </c>
      <c r="AP60" s="32">
        <v>351</v>
      </c>
      <c r="AQ60" s="32">
        <v>258</v>
      </c>
      <c r="AR60" s="32">
        <v>276</v>
      </c>
      <c r="AS60" s="32">
        <v>271</v>
      </c>
    </row>
    <row r="61" spans="1:45">
      <c r="A61" s="30" t="s">
        <v>676</v>
      </c>
      <c r="B61" s="30" t="s">
        <v>633</v>
      </c>
      <c r="C61" s="30" t="s">
        <v>677</v>
      </c>
      <c r="D61" s="30" t="s">
        <v>587</v>
      </c>
      <c r="E61" s="30" t="s">
        <v>753</v>
      </c>
      <c r="F61" s="30" t="s">
        <v>99</v>
      </c>
      <c r="G61" s="30" t="s">
        <v>198</v>
      </c>
      <c r="H61" s="30" t="s">
        <v>680</v>
      </c>
      <c r="I61" s="32">
        <v>83</v>
      </c>
      <c r="J61" s="32">
        <v>68</v>
      </c>
      <c r="K61" s="32">
        <v>115</v>
      </c>
      <c r="L61" s="32">
        <v>169</v>
      </c>
      <c r="M61" s="32">
        <v>112</v>
      </c>
      <c r="N61" s="32">
        <v>183</v>
      </c>
      <c r="O61" s="32">
        <v>219</v>
      </c>
      <c r="P61" s="32">
        <v>168</v>
      </c>
      <c r="Q61" s="32">
        <v>171</v>
      </c>
      <c r="R61" s="32">
        <v>206</v>
      </c>
      <c r="S61" s="32">
        <v>143</v>
      </c>
      <c r="T61" s="32">
        <v>116</v>
      </c>
      <c r="U61" s="32">
        <v>186</v>
      </c>
      <c r="V61" s="32">
        <v>105</v>
      </c>
      <c r="W61" s="32">
        <v>168</v>
      </c>
      <c r="X61" s="32">
        <v>156</v>
      </c>
      <c r="Y61" s="32">
        <v>167</v>
      </c>
      <c r="Z61" s="32">
        <v>173.93020000000001</v>
      </c>
      <c r="AA61" s="32">
        <v>357.54300000000001</v>
      </c>
      <c r="AB61" s="32">
        <v>192</v>
      </c>
      <c r="AC61" s="32">
        <v>224</v>
      </c>
      <c r="AD61" s="32">
        <v>335</v>
      </c>
      <c r="AE61" s="32">
        <v>209</v>
      </c>
      <c r="AF61" s="32">
        <v>194</v>
      </c>
      <c r="AG61" s="32">
        <v>347</v>
      </c>
      <c r="AH61" s="32">
        <v>268</v>
      </c>
      <c r="AI61" s="32">
        <v>234</v>
      </c>
      <c r="AJ61" s="32">
        <v>494</v>
      </c>
      <c r="AK61" s="32">
        <v>418</v>
      </c>
      <c r="AL61" s="32">
        <v>371</v>
      </c>
      <c r="AM61" s="32">
        <v>549</v>
      </c>
      <c r="AN61" s="32">
        <v>423</v>
      </c>
      <c r="AO61" s="32">
        <v>391</v>
      </c>
      <c r="AP61" s="32">
        <v>437</v>
      </c>
      <c r="AQ61" s="32">
        <v>305</v>
      </c>
      <c r="AR61" s="32">
        <v>364</v>
      </c>
      <c r="AS61" s="32">
        <v>444</v>
      </c>
    </row>
    <row r="62" spans="1:45">
      <c r="A62" s="30" t="s">
        <v>676</v>
      </c>
      <c r="B62" s="30" t="s">
        <v>633</v>
      </c>
      <c r="C62" s="30" t="s">
        <v>677</v>
      </c>
      <c r="D62" s="30" t="s">
        <v>587</v>
      </c>
      <c r="E62" s="30" t="s">
        <v>754</v>
      </c>
      <c r="F62" s="30" t="s">
        <v>96</v>
      </c>
      <c r="G62" s="30" t="s">
        <v>199</v>
      </c>
      <c r="H62" s="30" t="s">
        <v>680</v>
      </c>
      <c r="I62" s="32">
        <v>56</v>
      </c>
      <c r="J62" s="32">
        <v>62</v>
      </c>
      <c r="K62" s="32">
        <v>60</v>
      </c>
      <c r="L62" s="32">
        <v>102</v>
      </c>
      <c r="M62" s="32">
        <v>80</v>
      </c>
      <c r="N62" s="32">
        <v>116</v>
      </c>
      <c r="O62" s="32">
        <v>177</v>
      </c>
      <c r="P62" s="32">
        <v>135</v>
      </c>
      <c r="Q62" s="32">
        <v>139</v>
      </c>
      <c r="R62" s="32">
        <v>147</v>
      </c>
      <c r="S62" s="32">
        <v>90</v>
      </c>
      <c r="T62" s="32">
        <v>83</v>
      </c>
      <c r="U62" s="32">
        <v>126</v>
      </c>
      <c r="V62" s="32">
        <v>74</v>
      </c>
      <c r="W62" s="32">
        <v>133</v>
      </c>
      <c r="X62" s="32">
        <v>129</v>
      </c>
      <c r="Y62" s="32">
        <v>140</v>
      </c>
      <c r="Z62" s="32">
        <v>105</v>
      </c>
      <c r="AA62" s="32">
        <v>207.0591</v>
      </c>
      <c r="AB62" s="32">
        <v>172</v>
      </c>
      <c r="AC62" s="32">
        <v>151</v>
      </c>
      <c r="AD62" s="32">
        <v>243</v>
      </c>
      <c r="AE62" s="32">
        <v>149</v>
      </c>
      <c r="AF62" s="32">
        <v>148</v>
      </c>
      <c r="AG62" s="32">
        <v>313</v>
      </c>
      <c r="AH62" s="32">
        <v>192</v>
      </c>
      <c r="AI62" s="32">
        <v>170</v>
      </c>
      <c r="AJ62" s="32">
        <v>503</v>
      </c>
      <c r="AK62" s="32">
        <v>341</v>
      </c>
      <c r="AL62" s="32">
        <v>241</v>
      </c>
      <c r="AM62" s="32">
        <v>364</v>
      </c>
      <c r="AN62" s="32">
        <v>289</v>
      </c>
      <c r="AO62" s="32">
        <v>258</v>
      </c>
      <c r="AP62" s="32">
        <v>232</v>
      </c>
      <c r="AQ62" s="32">
        <v>91</v>
      </c>
      <c r="AR62" s="32">
        <v>90</v>
      </c>
      <c r="AS62" s="32">
        <v>102</v>
      </c>
    </row>
    <row r="63" spans="1:45">
      <c r="A63" s="30" t="s">
        <v>676</v>
      </c>
      <c r="B63" s="30" t="s">
        <v>633</v>
      </c>
      <c r="C63" s="30" t="s">
        <v>677</v>
      </c>
      <c r="D63" s="30" t="s">
        <v>587</v>
      </c>
      <c r="E63" s="30" t="s">
        <v>755</v>
      </c>
      <c r="F63" s="30" t="s">
        <v>96</v>
      </c>
      <c r="G63" s="30" t="s">
        <v>200</v>
      </c>
      <c r="H63" s="30" t="s">
        <v>680</v>
      </c>
      <c r="I63" s="32">
        <v>40</v>
      </c>
      <c r="J63" s="32">
        <v>22</v>
      </c>
      <c r="K63" s="32">
        <v>49</v>
      </c>
      <c r="L63" s="32">
        <v>72</v>
      </c>
      <c r="M63" s="32">
        <v>59</v>
      </c>
      <c r="N63" s="32">
        <v>65</v>
      </c>
      <c r="O63" s="32">
        <v>123</v>
      </c>
      <c r="P63" s="32">
        <v>95</v>
      </c>
      <c r="Q63" s="32">
        <v>95</v>
      </c>
      <c r="R63" s="32">
        <v>96</v>
      </c>
      <c r="S63" s="32">
        <v>63</v>
      </c>
      <c r="T63" s="32">
        <v>67</v>
      </c>
      <c r="U63" s="32">
        <v>122</v>
      </c>
      <c r="V63" s="32">
        <v>54</v>
      </c>
      <c r="W63" s="32">
        <v>116</v>
      </c>
      <c r="X63" s="32">
        <v>141</v>
      </c>
      <c r="Y63" s="32">
        <v>139</v>
      </c>
      <c r="Z63" s="32">
        <v>102.81570000000001</v>
      </c>
      <c r="AA63" s="32">
        <v>187.9247</v>
      </c>
      <c r="AB63" s="32">
        <v>137</v>
      </c>
      <c r="AC63" s="32">
        <v>151</v>
      </c>
      <c r="AD63" s="32">
        <v>206</v>
      </c>
      <c r="AE63" s="32">
        <v>111</v>
      </c>
      <c r="AF63" s="32">
        <v>126</v>
      </c>
      <c r="AG63" s="32">
        <v>266</v>
      </c>
      <c r="AH63" s="32">
        <v>174</v>
      </c>
      <c r="AI63" s="32">
        <v>169</v>
      </c>
      <c r="AJ63" s="32">
        <v>385</v>
      </c>
      <c r="AK63" s="32">
        <v>352</v>
      </c>
      <c r="AL63" s="32">
        <v>235</v>
      </c>
      <c r="AM63" s="32">
        <v>303</v>
      </c>
      <c r="AN63" s="32">
        <v>366</v>
      </c>
      <c r="AO63" s="32">
        <v>246</v>
      </c>
      <c r="AP63" s="32">
        <v>274</v>
      </c>
      <c r="AQ63" s="32">
        <v>138</v>
      </c>
      <c r="AR63" s="32">
        <v>136</v>
      </c>
      <c r="AS63" s="32">
        <v>148</v>
      </c>
    </row>
    <row r="64" spans="1:45">
      <c r="A64" s="30" t="s">
        <v>676</v>
      </c>
      <c r="B64" s="30" t="s">
        <v>633</v>
      </c>
      <c r="C64" s="30" t="s">
        <v>677</v>
      </c>
      <c r="D64" s="30" t="s">
        <v>587</v>
      </c>
      <c r="E64" s="30" t="s">
        <v>756</v>
      </c>
      <c r="F64" s="30" t="s">
        <v>85</v>
      </c>
      <c r="G64" s="30" t="s">
        <v>201</v>
      </c>
      <c r="H64" s="30" t="s">
        <v>680</v>
      </c>
      <c r="I64" s="32">
        <v>112</v>
      </c>
      <c r="J64" s="32">
        <v>78</v>
      </c>
      <c r="K64" s="32">
        <v>130</v>
      </c>
      <c r="L64" s="32">
        <v>188</v>
      </c>
      <c r="M64" s="32">
        <v>160</v>
      </c>
      <c r="N64" s="32">
        <v>178</v>
      </c>
      <c r="O64" s="32">
        <v>220</v>
      </c>
      <c r="P64" s="32">
        <v>142</v>
      </c>
      <c r="Q64" s="32">
        <v>188</v>
      </c>
      <c r="R64" s="32">
        <v>266</v>
      </c>
      <c r="S64" s="32">
        <v>131</v>
      </c>
      <c r="T64" s="32">
        <v>120</v>
      </c>
      <c r="U64" s="32">
        <v>175</v>
      </c>
      <c r="V64" s="32">
        <v>113.5921</v>
      </c>
      <c r="W64" s="32">
        <v>144</v>
      </c>
      <c r="X64" s="32">
        <v>149</v>
      </c>
      <c r="Y64" s="32">
        <v>126</v>
      </c>
      <c r="Z64" s="32">
        <v>79</v>
      </c>
      <c r="AA64" s="32">
        <v>73</v>
      </c>
      <c r="AB64" s="32">
        <v>46</v>
      </c>
      <c r="AC64" s="32">
        <v>47</v>
      </c>
      <c r="AD64" s="32">
        <v>57</v>
      </c>
      <c r="AE64" s="32">
        <v>25</v>
      </c>
      <c r="AF64" s="32">
        <v>23</v>
      </c>
      <c r="AG64" s="32">
        <v>21</v>
      </c>
      <c r="AH64" s="32">
        <v>16</v>
      </c>
      <c r="AI64" s="32">
        <v>12</v>
      </c>
      <c r="AJ64" s="32">
        <v>11</v>
      </c>
      <c r="AK64" s="32">
        <v>11</v>
      </c>
      <c r="AL64" s="32">
        <v>8</v>
      </c>
      <c r="AM64" s="32">
        <v>8</v>
      </c>
      <c r="AN64" s="32">
        <v>6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</row>
    <row r="65" spans="1:45">
      <c r="A65" s="30" t="s">
        <v>676</v>
      </c>
      <c r="B65" s="30" t="s">
        <v>633</v>
      </c>
      <c r="C65" s="30" t="s">
        <v>677</v>
      </c>
      <c r="D65" s="30" t="s">
        <v>587</v>
      </c>
      <c r="E65" s="30" t="s">
        <v>757</v>
      </c>
      <c r="F65" s="30" t="s">
        <v>84</v>
      </c>
      <c r="G65" s="30" t="s">
        <v>202</v>
      </c>
      <c r="H65" s="30" t="s">
        <v>680</v>
      </c>
      <c r="I65" s="32">
        <v>57</v>
      </c>
      <c r="J65" s="32">
        <v>45</v>
      </c>
      <c r="K65" s="32">
        <v>77</v>
      </c>
      <c r="L65" s="32">
        <v>119</v>
      </c>
      <c r="M65" s="32">
        <v>120</v>
      </c>
      <c r="N65" s="32">
        <v>92</v>
      </c>
      <c r="O65" s="32">
        <v>138</v>
      </c>
      <c r="P65" s="32">
        <v>125</v>
      </c>
      <c r="Q65" s="32">
        <v>105</v>
      </c>
      <c r="R65" s="32">
        <v>149</v>
      </c>
      <c r="S65" s="32">
        <v>102</v>
      </c>
      <c r="T65" s="32">
        <v>76</v>
      </c>
      <c r="U65" s="32">
        <v>88</v>
      </c>
      <c r="V65" s="32">
        <v>61</v>
      </c>
      <c r="W65" s="32">
        <v>94</v>
      </c>
      <c r="X65" s="32">
        <v>98</v>
      </c>
      <c r="Y65" s="32">
        <v>119</v>
      </c>
      <c r="Z65" s="32">
        <v>95</v>
      </c>
      <c r="AA65" s="32">
        <v>164</v>
      </c>
      <c r="AB65" s="32">
        <v>108</v>
      </c>
      <c r="AC65" s="32">
        <v>104</v>
      </c>
      <c r="AD65" s="32">
        <v>151</v>
      </c>
      <c r="AE65" s="32">
        <v>92</v>
      </c>
      <c r="AF65" s="32">
        <v>85</v>
      </c>
      <c r="AG65" s="32">
        <v>206</v>
      </c>
      <c r="AH65" s="32">
        <v>92</v>
      </c>
      <c r="AI65" s="32">
        <v>61</v>
      </c>
      <c r="AJ65" s="32">
        <v>77</v>
      </c>
      <c r="AK65" s="32">
        <v>53</v>
      </c>
      <c r="AL65" s="32">
        <v>24</v>
      </c>
      <c r="AM65" s="32">
        <v>27</v>
      </c>
      <c r="AN65" s="32">
        <v>12</v>
      </c>
      <c r="AO65" s="32">
        <v>2</v>
      </c>
      <c r="AP65" s="32">
        <v>4</v>
      </c>
      <c r="AQ65" s="32">
        <v>1</v>
      </c>
      <c r="AR65" s="31">
        <v>0</v>
      </c>
      <c r="AS65" s="31">
        <v>0</v>
      </c>
    </row>
    <row r="66" spans="1:45">
      <c r="A66" s="30" t="s">
        <v>676</v>
      </c>
      <c r="B66" s="30" t="s">
        <v>633</v>
      </c>
      <c r="C66" s="30" t="s">
        <v>677</v>
      </c>
      <c r="D66" s="30" t="s">
        <v>587</v>
      </c>
      <c r="E66" s="30" t="s">
        <v>758</v>
      </c>
      <c r="F66" s="30" t="s">
        <v>84</v>
      </c>
      <c r="G66" s="30" t="s">
        <v>203</v>
      </c>
      <c r="H66" s="30" t="s">
        <v>680</v>
      </c>
      <c r="I66" s="32">
        <v>43</v>
      </c>
      <c r="J66" s="32">
        <v>34</v>
      </c>
      <c r="K66" s="32">
        <v>41</v>
      </c>
      <c r="L66" s="32">
        <v>75</v>
      </c>
      <c r="M66" s="32">
        <v>60</v>
      </c>
      <c r="N66" s="32">
        <v>67</v>
      </c>
      <c r="O66" s="32">
        <v>97</v>
      </c>
      <c r="P66" s="32">
        <v>89</v>
      </c>
      <c r="Q66" s="32">
        <v>73</v>
      </c>
      <c r="R66" s="32">
        <v>127</v>
      </c>
      <c r="S66" s="32">
        <v>72</v>
      </c>
      <c r="T66" s="32">
        <v>59</v>
      </c>
      <c r="U66" s="32">
        <v>87</v>
      </c>
      <c r="V66" s="32">
        <v>54</v>
      </c>
      <c r="W66" s="32">
        <v>100</v>
      </c>
      <c r="X66" s="32">
        <v>73</v>
      </c>
      <c r="Y66" s="32">
        <v>114</v>
      </c>
      <c r="Z66" s="32">
        <v>85</v>
      </c>
      <c r="AA66" s="32">
        <v>167</v>
      </c>
      <c r="AB66" s="32">
        <v>135</v>
      </c>
      <c r="AC66" s="32">
        <v>103</v>
      </c>
      <c r="AD66" s="32">
        <v>149</v>
      </c>
      <c r="AE66" s="32">
        <v>113</v>
      </c>
      <c r="AF66" s="32">
        <v>92</v>
      </c>
      <c r="AG66" s="32">
        <v>179</v>
      </c>
      <c r="AH66" s="32">
        <v>68</v>
      </c>
      <c r="AI66" s="32">
        <v>82</v>
      </c>
      <c r="AJ66" s="32">
        <v>104</v>
      </c>
      <c r="AK66" s="32">
        <v>94</v>
      </c>
      <c r="AL66" s="32">
        <v>51</v>
      </c>
      <c r="AM66" s="32">
        <v>27</v>
      </c>
      <c r="AN66" s="32">
        <v>30</v>
      </c>
      <c r="AO66" s="32">
        <v>9</v>
      </c>
      <c r="AP66" s="32">
        <v>4</v>
      </c>
      <c r="AQ66" s="32">
        <v>5</v>
      </c>
      <c r="AR66" s="32">
        <v>2</v>
      </c>
      <c r="AS66" s="32">
        <v>10</v>
      </c>
    </row>
    <row r="67" spans="1:45">
      <c r="A67" s="30" t="s">
        <v>676</v>
      </c>
      <c r="B67" s="30" t="s">
        <v>633</v>
      </c>
      <c r="C67" s="30" t="s">
        <v>677</v>
      </c>
      <c r="D67" s="30" t="s">
        <v>587</v>
      </c>
      <c r="E67" s="30" t="s">
        <v>759</v>
      </c>
      <c r="F67" s="30" t="s">
        <v>90</v>
      </c>
      <c r="G67" s="30" t="s">
        <v>204</v>
      </c>
      <c r="H67" s="30" t="s">
        <v>680</v>
      </c>
      <c r="I67" s="32">
        <v>35</v>
      </c>
      <c r="J67" s="32">
        <v>21</v>
      </c>
      <c r="K67" s="32">
        <v>49</v>
      </c>
      <c r="L67" s="32">
        <v>61</v>
      </c>
      <c r="M67" s="32">
        <v>64</v>
      </c>
      <c r="N67" s="32">
        <v>62</v>
      </c>
      <c r="O67" s="32">
        <v>104</v>
      </c>
      <c r="P67" s="32">
        <v>96</v>
      </c>
      <c r="Q67" s="32">
        <v>82</v>
      </c>
      <c r="R67" s="32">
        <v>95</v>
      </c>
      <c r="S67" s="32">
        <v>71</v>
      </c>
      <c r="T67" s="32">
        <v>71</v>
      </c>
      <c r="U67" s="32">
        <v>98</v>
      </c>
      <c r="V67" s="32">
        <v>60</v>
      </c>
      <c r="W67" s="32">
        <v>111</v>
      </c>
      <c r="X67" s="32">
        <v>63</v>
      </c>
      <c r="Y67" s="32">
        <v>91</v>
      </c>
      <c r="Z67" s="32">
        <v>73</v>
      </c>
      <c r="AA67" s="32">
        <v>205.4906</v>
      </c>
      <c r="AB67" s="32">
        <v>148</v>
      </c>
      <c r="AC67" s="32">
        <v>179</v>
      </c>
      <c r="AD67" s="32">
        <v>128</v>
      </c>
      <c r="AE67" s="32">
        <v>69</v>
      </c>
      <c r="AF67" s="32">
        <v>78</v>
      </c>
      <c r="AG67" s="32">
        <v>141</v>
      </c>
      <c r="AH67" s="32">
        <v>85</v>
      </c>
      <c r="AI67" s="32">
        <v>77</v>
      </c>
      <c r="AJ67" s="32">
        <v>128</v>
      </c>
      <c r="AK67" s="32">
        <v>162</v>
      </c>
      <c r="AL67" s="32">
        <v>147</v>
      </c>
      <c r="AM67" s="32">
        <v>197</v>
      </c>
      <c r="AN67" s="32">
        <v>159</v>
      </c>
      <c r="AO67" s="32">
        <v>63</v>
      </c>
      <c r="AP67" s="32">
        <v>56</v>
      </c>
      <c r="AQ67" s="32">
        <v>27</v>
      </c>
      <c r="AR67" s="32">
        <v>18</v>
      </c>
      <c r="AS67" s="32">
        <v>10</v>
      </c>
    </row>
    <row r="68" spans="1:45">
      <c r="A68" s="30" t="s">
        <v>676</v>
      </c>
      <c r="B68" s="30" t="s">
        <v>633</v>
      </c>
      <c r="C68" s="30" t="s">
        <v>677</v>
      </c>
      <c r="D68" s="30" t="s">
        <v>587</v>
      </c>
      <c r="E68" s="30" t="s">
        <v>760</v>
      </c>
      <c r="F68" s="30" t="s">
        <v>91</v>
      </c>
      <c r="G68" s="30" t="s">
        <v>205</v>
      </c>
      <c r="H68" s="30" t="s">
        <v>680</v>
      </c>
      <c r="I68" s="32">
        <v>55</v>
      </c>
      <c r="J68" s="32">
        <v>49</v>
      </c>
      <c r="K68" s="32">
        <v>78</v>
      </c>
      <c r="L68" s="32">
        <v>118</v>
      </c>
      <c r="M68" s="32">
        <v>83</v>
      </c>
      <c r="N68" s="32">
        <v>141</v>
      </c>
      <c r="O68" s="32">
        <v>178</v>
      </c>
      <c r="P68" s="32">
        <v>141</v>
      </c>
      <c r="Q68" s="32">
        <v>126.2371</v>
      </c>
      <c r="R68" s="32">
        <v>152</v>
      </c>
      <c r="S68" s="32">
        <v>88</v>
      </c>
      <c r="T68" s="32">
        <v>74</v>
      </c>
      <c r="U68" s="32">
        <v>119</v>
      </c>
      <c r="V68" s="32">
        <v>59.197400000000002</v>
      </c>
      <c r="W68" s="32">
        <v>131</v>
      </c>
      <c r="X68" s="32">
        <v>111</v>
      </c>
      <c r="Y68" s="32">
        <v>101</v>
      </c>
      <c r="Z68" s="32">
        <v>106.917</v>
      </c>
      <c r="AA68" s="32">
        <v>239.7338</v>
      </c>
      <c r="AB68" s="32">
        <v>166</v>
      </c>
      <c r="AC68" s="32">
        <v>182</v>
      </c>
      <c r="AD68" s="32">
        <v>174</v>
      </c>
      <c r="AE68" s="32">
        <v>112</v>
      </c>
      <c r="AF68" s="32">
        <v>125</v>
      </c>
      <c r="AG68" s="32">
        <v>156</v>
      </c>
      <c r="AH68" s="32">
        <v>84</v>
      </c>
      <c r="AI68" s="32">
        <v>80</v>
      </c>
      <c r="AJ68" s="32">
        <v>119</v>
      </c>
      <c r="AK68" s="32">
        <v>133</v>
      </c>
      <c r="AL68" s="32">
        <v>93</v>
      </c>
      <c r="AM68" s="32">
        <v>87</v>
      </c>
      <c r="AN68" s="32">
        <v>77</v>
      </c>
      <c r="AO68" s="32">
        <v>38</v>
      </c>
      <c r="AP68" s="32">
        <v>21</v>
      </c>
      <c r="AQ68" s="32">
        <v>18</v>
      </c>
      <c r="AR68" s="32">
        <v>7</v>
      </c>
      <c r="AS68" s="32">
        <v>8</v>
      </c>
    </row>
    <row r="69" spans="1:45">
      <c r="A69" s="30" t="s">
        <v>676</v>
      </c>
      <c r="B69" s="30" t="s">
        <v>633</v>
      </c>
      <c r="C69" s="30" t="s">
        <v>677</v>
      </c>
      <c r="D69" s="30" t="s">
        <v>587</v>
      </c>
      <c r="E69" s="30" t="s">
        <v>761</v>
      </c>
      <c r="F69" s="30" t="s">
        <v>94</v>
      </c>
      <c r="G69" s="30" t="s">
        <v>206</v>
      </c>
      <c r="H69" s="30" t="s">
        <v>680</v>
      </c>
      <c r="I69" s="32">
        <v>346</v>
      </c>
      <c r="J69" s="32">
        <v>226</v>
      </c>
      <c r="K69" s="32">
        <v>364</v>
      </c>
      <c r="L69" s="32">
        <v>536</v>
      </c>
      <c r="M69" s="32">
        <v>336</v>
      </c>
      <c r="N69" s="32">
        <v>479</v>
      </c>
      <c r="O69" s="32">
        <v>579</v>
      </c>
      <c r="P69" s="32">
        <v>637</v>
      </c>
      <c r="Q69" s="32">
        <v>372.2371</v>
      </c>
      <c r="R69" s="32">
        <v>405</v>
      </c>
      <c r="S69" s="32">
        <v>179</v>
      </c>
      <c r="T69" s="32">
        <v>191</v>
      </c>
      <c r="U69" s="32">
        <v>331</v>
      </c>
      <c r="V69" s="32">
        <v>232.19739999999999</v>
      </c>
      <c r="W69" s="32">
        <v>351</v>
      </c>
      <c r="X69" s="32">
        <v>295</v>
      </c>
      <c r="Y69" s="32">
        <v>296</v>
      </c>
      <c r="Z69" s="32">
        <v>261.69060000000002</v>
      </c>
      <c r="AA69" s="32">
        <v>563.46209999999996</v>
      </c>
      <c r="AB69" s="32">
        <v>343</v>
      </c>
      <c r="AC69" s="32">
        <v>373</v>
      </c>
      <c r="AD69" s="32">
        <v>714</v>
      </c>
      <c r="AE69" s="32">
        <v>363</v>
      </c>
      <c r="AF69" s="32">
        <v>308</v>
      </c>
      <c r="AG69" s="32">
        <v>659</v>
      </c>
      <c r="AH69" s="32">
        <v>565</v>
      </c>
      <c r="AI69" s="32">
        <v>520</v>
      </c>
      <c r="AJ69" s="32">
        <v>469</v>
      </c>
      <c r="AK69" s="32">
        <v>605</v>
      </c>
      <c r="AL69" s="32">
        <v>383</v>
      </c>
      <c r="AM69" s="32">
        <v>611</v>
      </c>
      <c r="AN69" s="32">
        <v>700</v>
      </c>
      <c r="AO69" s="32">
        <v>373</v>
      </c>
      <c r="AP69" s="32">
        <v>237</v>
      </c>
      <c r="AQ69" s="32">
        <v>340</v>
      </c>
      <c r="AR69" s="32">
        <v>288</v>
      </c>
      <c r="AS69" s="32">
        <v>489</v>
      </c>
    </row>
    <row r="70" spans="1:45">
      <c r="A70" s="30" t="s">
        <v>676</v>
      </c>
      <c r="B70" s="30" t="s">
        <v>633</v>
      </c>
      <c r="C70" s="30" t="s">
        <v>677</v>
      </c>
      <c r="D70" s="30" t="s">
        <v>587</v>
      </c>
      <c r="E70" s="30" t="s">
        <v>762</v>
      </c>
      <c r="F70" s="30" t="s">
        <v>104</v>
      </c>
      <c r="G70" s="30" t="s">
        <v>207</v>
      </c>
      <c r="H70" s="30" t="s">
        <v>680</v>
      </c>
      <c r="I70" s="32">
        <v>193</v>
      </c>
      <c r="J70" s="32">
        <v>163</v>
      </c>
      <c r="K70" s="32">
        <v>267</v>
      </c>
      <c r="L70" s="32">
        <v>337</v>
      </c>
      <c r="M70" s="32">
        <v>261</v>
      </c>
      <c r="N70" s="32">
        <v>343</v>
      </c>
      <c r="O70" s="32">
        <v>513</v>
      </c>
      <c r="P70" s="32">
        <v>370</v>
      </c>
      <c r="Q70" s="32">
        <v>314</v>
      </c>
      <c r="R70" s="32">
        <v>398</v>
      </c>
      <c r="S70" s="32">
        <v>209</v>
      </c>
      <c r="T70" s="32">
        <v>248</v>
      </c>
      <c r="U70" s="32">
        <v>394</v>
      </c>
      <c r="V70" s="32">
        <v>191.19739999999999</v>
      </c>
      <c r="W70" s="32">
        <v>399</v>
      </c>
      <c r="X70" s="32">
        <v>302</v>
      </c>
      <c r="Y70" s="32">
        <v>352</v>
      </c>
      <c r="Z70" s="32">
        <v>335.69810000000001</v>
      </c>
      <c r="AA70" s="32">
        <v>588.75919999999996</v>
      </c>
      <c r="AB70" s="32">
        <v>487</v>
      </c>
      <c r="AC70" s="32">
        <v>472</v>
      </c>
      <c r="AD70" s="32">
        <v>784</v>
      </c>
      <c r="AE70" s="32">
        <v>444</v>
      </c>
      <c r="AF70" s="32">
        <v>428</v>
      </c>
      <c r="AG70" s="32">
        <v>688</v>
      </c>
      <c r="AH70" s="32">
        <v>534</v>
      </c>
      <c r="AI70" s="32">
        <v>439</v>
      </c>
      <c r="AJ70" s="32">
        <v>984</v>
      </c>
      <c r="AK70" s="32">
        <v>604</v>
      </c>
      <c r="AL70" s="32">
        <v>505</v>
      </c>
      <c r="AM70" s="32">
        <v>829</v>
      </c>
      <c r="AN70" s="32">
        <v>745</v>
      </c>
      <c r="AO70" s="32">
        <v>919</v>
      </c>
      <c r="AP70" s="32">
        <v>976</v>
      </c>
      <c r="AQ70" s="32">
        <v>552</v>
      </c>
      <c r="AR70" s="32">
        <v>682</v>
      </c>
      <c r="AS70" s="32">
        <v>711</v>
      </c>
    </row>
    <row r="71" spans="1:45">
      <c r="A71" s="30" t="s">
        <v>676</v>
      </c>
      <c r="B71" s="30" t="s">
        <v>633</v>
      </c>
      <c r="C71" s="30" t="s">
        <v>677</v>
      </c>
      <c r="D71" s="30" t="s">
        <v>587</v>
      </c>
      <c r="E71" s="30" t="s">
        <v>763</v>
      </c>
      <c r="F71" s="30" t="s">
        <v>104</v>
      </c>
      <c r="G71" s="30" t="s">
        <v>208</v>
      </c>
      <c r="H71" s="30" t="s">
        <v>680</v>
      </c>
      <c r="I71" s="32">
        <v>209</v>
      </c>
      <c r="J71" s="32">
        <v>154</v>
      </c>
      <c r="K71" s="32">
        <v>250</v>
      </c>
      <c r="L71" s="32">
        <v>325</v>
      </c>
      <c r="M71" s="32">
        <v>262</v>
      </c>
      <c r="N71" s="32">
        <v>350</v>
      </c>
      <c r="O71" s="32">
        <v>563</v>
      </c>
      <c r="P71" s="32">
        <v>368</v>
      </c>
      <c r="Q71" s="32">
        <v>369</v>
      </c>
      <c r="R71" s="32">
        <v>423</v>
      </c>
      <c r="S71" s="32">
        <v>214</v>
      </c>
      <c r="T71" s="32">
        <v>236</v>
      </c>
      <c r="U71" s="32">
        <v>401</v>
      </c>
      <c r="V71" s="32">
        <v>236</v>
      </c>
      <c r="W71" s="32">
        <v>409</v>
      </c>
      <c r="X71" s="32">
        <v>336</v>
      </c>
      <c r="Y71" s="32">
        <v>355</v>
      </c>
      <c r="Z71" s="32">
        <v>333.76139999999998</v>
      </c>
      <c r="AA71" s="32">
        <v>611.42430000000002</v>
      </c>
      <c r="AB71" s="32">
        <v>483</v>
      </c>
      <c r="AC71" s="32">
        <v>434</v>
      </c>
      <c r="AD71" s="32">
        <v>756</v>
      </c>
      <c r="AE71" s="32">
        <v>370</v>
      </c>
      <c r="AF71" s="32">
        <v>408</v>
      </c>
      <c r="AG71" s="32">
        <v>690</v>
      </c>
      <c r="AH71" s="32">
        <v>503</v>
      </c>
      <c r="AI71" s="32">
        <v>447</v>
      </c>
      <c r="AJ71" s="32">
        <v>808</v>
      </c>
      <c r="AK71" s="32">
        <v>621</v>
      </c>
      <c r="AL71" s="32">
        <v>482</v>
      </c>
      <c r="AM71" s="32">
        <v>739</v>
      </c>
      <c r="AN71" s="32">
        <v>688</v>
      </c>
      <c r="AO71" s="32">
        <v>825</v>
      </c>
      <c r="AP71" s="32">
        <v>952</v>
      </c>
      <c r="AQ71" s="32">
        <v>557</v>
      </c>
      <c r="AR71" s="32">
        <v>597</v>
      </c>
      <c r="AS71" s="32">
        <v>673</v>
      </c>
    </row>
    <row r="72" spans="1:45">
      <c r="A72" s="30" t="s">
        <v>676</v>
      </c>
      <c r="B72" s="30" t="s">
        <v>633</v>
      </c>
      <c r="C72" s="30" t="s">
        <v>677</v>
      </c>
      <c r="D72" s="30" t="s">
        <v>587</v>
      </c>
      <c r="E72" s="30" t="s">
        <v>764</v>
      </c>
      <c r="F72" s="30" t="s">
        <v>103</v>
      </c>
      <c r="G72" s="30" t="s">
        <v>209</v>
      </c>
      <c r="H72" s="30" t="s">
        <v>680</v>
      </c>
      <c r="I72" s="32">
        <v>82</v>
      </c>
      <c r="J72" s="32">
        <v>81</v>
      </c>
      <c r="K72" s="32">
        <v>113</v>
      </c>
      <c r="L72" s="32">
        <v>213</v>
      </c>
      <c r="M72" s="32">
        <v>186</v>
      </c>
      <c r="N72" s="32">
        <v>185</v>
      </c>
      <c r="O72" s="32">
        <v>244</v>
      </c>
      <c r="P72" s="32">
        <v>211</v>
      </c>
      <c r="Q72" s="32">
        <v>199</v>
      </c>
      <c r="R72" s="32">
        <v>208</v>
      </c>
      <c r="S72" s="32">
        <v>128</v>
      </c>
      <c r="T72" s="32">
        <v>96</v>
      </c>
      <c r="U72" s="32">
        <v>203</v>
      </c>
      <c r="V72" s="32">
        <v>136</v>
      </c>
      <c r="W72" s="32">
        <v>231</v>
      </c>
      <c r="X72" s="32">
        <v>171</v>
      </c>
      <c r="Y72" s="32">
        <v>209</v>
      </c>
      <c r="Z72" s="32">
        <v>207.755</v>
      </c>
      <c r="AA72" s="32">
        <v>285.3562</v>
      </c>
      <c r="AB72" s="32">
        <v>196</v>
      </c>
      <c r="AC72" s="32">
        <v>213</v>
      </c>
      <c r="AD72" s="32">
        <v>307</v>
      </c>
      <c r="AE72" s="32">
        <v>168</v>
      </c>
      <c r="AF72" s="32">
        <v>192</v>
      </c>
      <c r="AG72" s="32">
        <v>341</v>
      </c>
      <c r="AH72" s="32">
        <v>218</v>
      </c>
      <c r="AI72" s="32">
        <v>234</v>
      </c>
      <c r="AJ72" s="32">
        <v>490</v>
      </c>
      <c r="AK72" s="32">
        <v>382</v>
      </c>
      <c r="AL72" s="32">
        <v>192</v>
      </c>
      <c r="AM72" s="32">
        <v>295</v>
      </c>
      <c r="AN72" s="32">
        <v>314</v>
      </c>
      <c r="AO72" s="32">
        <v>214</v>
      </c>
      <c r="AP72" s="32">
        <v>197</v>
      </c>
      <c r="AQ72" s="32">
        <v>107</v>
      </c>
      <c r="AR72" s="32">
        <v>87</v>
      </c>
      <c r="AS72" s="32">
        <v>129</v>
      </c>
    </row>
    <row r="73" spans="1:45">
      <c r="A73" s="30" t="s">
        <v>676</v>
      </c>
      <c r="B73" s="30" t="s">
        <v>633</v>
      </c>
      <c r="C73" s="30" t="s">
        <v>677</v>
      </c>
      <c r="D73" s="30" t="s">
        <v>587</v>
      </c>
      <c r="E73" s="30" t="s">
        <v>765</v>
      </c>
      <c r="F73" s="30" t="s">
        <v>103</v>
      </c>
      <c r="G73" s="30" t="s">
        <v>210</v>
      </c>
      <c r="H73" s="30" t="s">
        <v>680</v>
      </c>
      <c r="I73" s="32">
        <v>103</v>
      </c>
      <c r="J73" s="32">
        <v>78</v>
      </c>
      <c r="K73" s="32">
        <v>113</v>
      </c>
      <c r="L73" s="32">
        <v>195</v>
      </c>
      <c r="M73" s="32">
        <v>164</v>
      </c>
      <c r="N73" s="32">
        <v>182</v>
      </c>
      <c r="O73" s="32">
        <v>229</v>
      </c>
      <c r="P73" s="32">
        <v>190</v>
      </c>
      <c r="Q73" s="32">
        <v>162</v>
      </c>
      <c r="R73" s="32">
        <v>198</v>
      </c>
      <c r="S73" s="32">
        <v>110</v>
      </c>
      <c r="T73" s="32">
        <v>113</v>
      </c>
      <c r="U73" s="32">
        <v>203</v>
      </c>
      <c r="V73" s="32">
        <v>124.1974</v>
      </c>
      <c r="W73" s="32">
        <v>257</v>
      </c>
      <c r="X73" s="32">
        <v>191</v>
      </c>
      <c r="Y73" s="32">
        <v>234</v>
      </c>
      <c r="Z73" s="32">
        <v>170.7886</v>
      </c>
      <c r="AA73" s="32">
        <v>281.09989999999999</v>
      </c>
      <c r="AB73" s="32">
        <v>192</v>
      </c>
      <c r="AC73" s="32">
        <v>262</v>
      </c>
      <c r="AD73" s="32">
        <v>305</v>
      </c>
      <c r="AE73" s="32">
        <v>203</v>
      </c>
      <c r="AF73" s="32">
        <v>178</v>
      </c>
      <c r="AG73" s="32">
        <v>362</v>
      </c>
      <c r="AH73" s="32">
        <v>249</v>
      </c>
      <c r="AI73" s="32">
        <v>246</v>
      </c>
      <c r="AJ73" s="32">
        <v>455</v>
      </c>
      <c r="AK73" s="32">
        <v>389</v>
      </c>
      <c r="AL73" s="32">
        <v>239</v>
      </c>
      <c r="AM73" s="32">
        <v>436</v>
      </c>
      <c r="AN73" s="32">
        <v>398</v>
      </c>
      <c r="AO73" s="32">
        <v>427</v>
      </c>
      <c r="AP73" s="32">
        <v>362</v>
      </c>
      <c r="AQ73" s="32">
        <v>298</v>
      </c>
      <c r="AR73" s="32">
        <v>311</v>
      </c>
      <c r="AS73" s="32">
        <v>457</v>
      </c>
    </row>
    <row r="74" spans="1:45">
      <c r="A74" s="30" t="s">
        <v>676</v>
      </c>
      <c r="B74" s="30" t="s">
        <v>633</v>
      </c>
      <c r="C74" s="30" t="s">
        <v>677</v>
      </c>
      <c r="D74" s="30" t="s">
        <v>587</v>
      </c>
      <c r="E74" s="30" t="s">
        <v>766</v>
      </c>
      <c r="F74" s="30" t="s">
        <v>97</v>
      </c>
      <c r="G74" s="30" t="s">
        <v>211</v>
      </c>
      <c r="H74" s="30" t="s">
        <v>680</v>
      </c>
      <c r="I74" s="32">
        <v>31</v>
      </c>
      <c r="J74" s="32">
        <v>27</v>
      </c>
      <c r="K74" s="32">
        <v>31</v>
      </c>
      <c r="L74" s="32">
        <v>78</v>
      </c>
      <c r="M74" s="32">
        <v>48</v>
      </c>
      <c r="N74" s="32">
        <v>52</v>
      </c>
      <c r="O74" s="32">
        <v>69</v>
      </c>
      <c r="P74" s="32">
        <v>68</v>
      </c>
      <c r="Q74" s="32">
        <v>61</v>
      </c>
      <c r="R74" s="32">
        <v>101</v>
      </c>
      <c r="S74" s="32">
        <v>62</v>
      </c>
      <c r="T74" s="32">
        <v>63</v>
      </c>
      <c r="U74" s="32">
        <v>101</v>
      </c>
      <c r="V74" s="32">
        <v>53</v>
      </c>
      <c r="W74" s="32">
        <v>91</v>
      </c>
      <c r="X74" s="32">
        <v>92</v>
      </c>
      <c r="Y74" s="32">
        <v>104</v>
      </c>
      <c r="Z74" s="32">
        <v>63.871600000000001</v>
      </c>
      <c r="AA74" s="32">
        <v>142</v>
      </c>
      <c r="AB74" s="32">
        <v>110</v>
      </c>
      <c r="AC74" s="32">
        <v>152</v>
      </c>
      <c r="AD74" s="32">
        <v>121</v>
      </c>
      <c r="AE74" s="32">
        <v>54</v>
      </c>
      <c r="AF74" s="32">
        <v>78</v>
      </c>
      <c r="AG74" s="32">
        <v>103</v>
      </c>
      <c r="AH74" s="32">
        <v>77</v>
      </c>
      <c r="AI74" s="32">
        <v>76</v>
      </c>
      <c r="AJ74" s="32">
        <v>174</v>
      </c>
      <c r="AK74" s="32">
        <v>154</v>
      </c>
      <c r="AL74" s="32">
        <v>143</v>
      </c>
      <c r="AM74" s="32">
        <v>197</v>
      </c>
      <c r="AN74" s="32">
        <v>138</v>
      </c>
      <c r="AO74" s="32">
        <v>120</v>
      </c>
      <c r="AP74" s="32">
        <v>102</v>
      </c>
      <c r="AQ74" s="32">
        <v>63</v>
      </c>
      <c r="AR74" s="32">
        <v>65</v>
      </c>
      <c r="AS74" s="32">
        <v>84</v>
      </c>
    </row>
    <row r="75" spans="1:45">
      <c r="A75" s="30" t="s">
        <v>676</v>
      </c>
      <c r="B75" s="30" t="s">
        <v>633</v>
      </c>
      <c r="C75" s="30" t="s">
        <v>677</v>
      </c>
      <c r="D75" s="30" t="s">
        <v>587</v>
      </c>
      <c r="E75" s="30" t="s">
        <v>767</v>
      </c>
      <c r="F75" s="30" t="s">
        <v>97</v>
      </c>
      <c r="G75" s="30" t="s">
        <v>212</v>
      </c>
      <c r="H75" s="30" t="s">
        <v>680</v>
      </c>
      <c r="I75" s="32">
        <v>41</v>
      </c>
      <c r="J75" s="32">
        <v>40</v>
      </c>
      <c r="K75" s="32">
        <v>36</v>
      </c>
      <c r="L75" s="32">
        <v>82</v>
      </c>
      <c r="M75" s="32">
        <v>80</v>
      </c>
      <c r="N75" s="32">
        <v>66</v>
      </c>
      <c r="O75" s="32">
        <v>112</v>
      </c>
      <c r="P75" s="32">
        <v>86</v>
      </c>
      <c r="Q75" s="32">
        <v>81</v>
      </c>
      <c r="R75" s="32">
        <v>129</v>
      </c>
      <c r="S75" s="32">
        <v>81</v>
      </c>
      <c r="T75" s="32">
        <v>77</v>
      </c>
      <c r="U75" s="32">
        <v>115</v>
      </c>
      <c r="V75" s="32">
        <v>65</v>
      </c>
      <c r="W75" s="32">
        <v>102</v>
      </c>
      <c r="X75" s="32">
        <v>107</v>
      </c>
      <c r="Y75" s="32">
        <v>135</v>
      </c>
      <c r="Z75" s="32">
        <v>78</v>
      </c>
      <c r="AA75" s="32">
        <v>169.23750000000001</v>
      </c>
      <c r="AB75" s="32">
        <v>126</v>
      </c>
      <c r="AC75" s="32">
        <v>141</v>
      </c>
      <c r="AD75" s="32">
        <v>186</v>
      </c>
      <c r="AE75" s="32">
        <v>107</v>
      </c>
      <c r="AF75" s="32">
        <v>127</v>
      </c>
      <c r="AG75" s="32">
        <v>219</v>
      </c>
      <c r="AH75" s="32">
        <v>161</v>
      </c>
      <c r="AI75" s="32">
        <v>131</v>
      </c>
      <c r="AJ75" s="32">
        <v>277</v>
      </c>
      <c r="AK75" s="32">
        <v>247</v>
      </c>
      <c r="AL75" s="32">
        <v>227</v>
      </c>
      <c r="AM75" s="32">
        <v>289</v>
      </c>
      <c r="AN75" s="32">
        <v>255</v>
      </c>
      <c r="AO75" s="32">
        <v>181</v>
      </c>
      <c r="AP75" s="32">
        <v>214</v>
      </c>
      <c r="AQ75" s="32">
        <v>117</v>
      </c>
      <c r="AR75" s="32">
        <v>109</v>
      </c>
      <c r="AS75" s="32">
        <v>145</v>
      </c>
    </row>
    <row r="76" spans="1:45">
      <c r="A76" s="30" t="s">
        <v>676</v>
      </c>
      <c r="B76" s="30" t="s">
        <v>633</v>
      </c>
      <c r="C76" s="30" t="s">
        <v>677</v>
      </c>
      <c r="D76" s="30" t="s">
        <v>587</v>
      </c>
      <c r="E76" s="30" t="s">
        <v>768</v>
      </c>
      <c r="F76" s="30" t="s">
        <v>85</v>
      </c>
      <c r="G76" s="30" t="s">
        <v>213</v>
      </c>
      <c r="H76" s="30" t="s">
        <v>680</v>
      </c>
      <c r="I76" s="32">
        <v>77</v>
      </c>
      <c r="J76" s="32">
        <v>48</v>
      </c>
      <c r="K76" s="32">
        <v>84</v>
      </c>
      <c r="L76" s="32">
        <v>132</v>
      </c>
      <c r="M76" s="32">
        <v>108</v>
      </c>
      <c r="N76" s="32">
        <v>97</v>
      </c>
      <c r="O76" s="32">
        <v>129</v>
      </c>
      <c r="P76" s="32">
        <v>76</v>
      </c>
      <c r="Q76" s="32">
        <v>100</v>
      </c>
      <c r="R76" s="32">
        <v>132</v>
      </c>
      <c r="S76" s="32">
        <v>71</v>
      </c>
      <c r="T76" s="32">
        <v>59</v>
      </c>
      <c r="U76" s="32">
        <v>98</v>
      </c>
      <c r="V76" s="32">
        <v>52.592100000000002</v>
      </c>
      <c r="W76" s="32">
        <v>76</v>
      </c>
      <c r="X76" s="32">
        <v>62</v>
      </c>
      <c r="Y76" s="32">
        <v>90</v>
      </c>
      <c r="Z76" s="32">
        <v>50</v>
      </c>
      <c r="AA76" s="32">
        <v>58</v>
      </c>
      <c r="AB76" s="32">
        <v>50</v>
      </c>
      <c r="AC76" s="32">
        <v>36</v>
      </c>
      <c r="AD76" s="32">
        <v>56</v>
      </c>
      <c r="AE76" s="32">
        <v>18</v>
      </c>
      <c r="AF76" s="32">
        <v>27</v>
      </c>
      <c r="AG76" s="32">
        <v>39</v>
      </c>
      <c r="AH76" s="32">
        <v>34</v>
      </c>
      <c r="AI76" s="32">
        <v>22</v>
      </c>
      <c r="AJ76" s="32">
        <v>24</v>
      </c>
      <c r="AK76" s="32">
        <v>21</v>
      </c>
      <c r="AL76" s="32">
        <v>23</v>
      </c>
      <c r="AM76" s="32">
        <v>3</v>
      </c>
      <c r="AN76" s="32">
        <v>2</v>
      </c>
      <c r="AO76" s="32">
        <v>3</v>
      </c>
      <c r="AP76" s="32">
        <v>2</v>
      </c>
      <c r="AQ76" s="31">
        <v>0</v>
      </c>
      <c r="AR76" s="31">
        <v>0</v>
      </c>
      <c r="AS76" s="32">
        <v>6</v>
      </c>
    </row>
    <row r="77" spans="1:45">
      <c r="A77" s="30" t="s">
        <v>676</v>
      </c>
      <c r="B77" s="30" t="s">
        <v>633</v>
      </c>
      <c r="C77" s="30" t="s">
        <v>677</v>
      </c>
      <c r="D77" s="30" t="s">
        <v>587</v>
      </c>
      <c r="E77" s="30" t="s">
        <v>769</v>
      </c>
      <c r="F77" s="30" t="s">
        <v>91</v>
      </c>
      <c r="G77" s="30" t="s">
        <v>214</v>
      </c>
      <c r="H77" s="30" t="s">
        <v>680</v>
      </c>
      <c r="I77" s="32">
        <v>45</v>
      </c>
      <c r="J77" s="32">
        <v>41</v>
      </c>
      <c r="K77" s="32">
        <v>55</v>
      </c>
      <c r="L77" s="32">
        <v>71</v>
      </c>
      <c r="M77" s="32">
        <v>63</v>
      </c>
      <c r="N77" s="32">
        <v>91</v>
      </c>
      <c r="O77" s="32">
        <v>124</v>
      </c>
      <c r="P77" s="32">
        <v>110</v>
      </c>
      <c r="Q77" s="32">
        <v>91</v>
      </c>
      <c r="R77" s="32">
        <v>107</v>
      </c>
      <c r="S77" s="32">
        <v>80</v>
      </c>
      <c r="T77" s="32">
        <v>67</v>
      </c>
      <c r="U77" s="32">
        <v>108</v>
      </c>
      <c r="V77" s="32">
        <v>44.3947</v>
      </c>
      <c r="W77" s="32">
        <v>104</v>
      </c>
      <c r="X77" s="32">
        <v>79</v>
      </c>
      <c r="Y77" s="32">
        <v>101</v>
      </c>
      <c r="Z77" s="32">
        <v>83.909499999999994</v>
      </c>
      <c r="AA77" s="32">
        <v>182.53970000000001</v>
      </c>
      <c r="AB77" s="32">
        <v>124</v>
      </c>
      <c r="AC77" s="32">
        <v>131</v>
      </c>
      <c r="AD77" s="32">
        <v>131</v>
      </c>
      <c r="AE77" s="32">
        <v>89</v>
      </c>
      <c r="AF77" s="32">
        <v>95</v>
      </c>
      <c r="AG77" s="32">
        <v>140</v>
      </c>
      <c r="AH77" s="32">
        <v>70</v>
      </c>
      <c r="AI77" s="32">
        <v>40</v>
      </c>
      <c r="AJ77" s="32">
        <v>53</v>
      </c>
      <c r="AK77" s="32">
        <v>89</v>
      </c>
      <c r="AL77" s="32">
        <v>45</v>
      </c>
      <c r="AM77" s="32">
        <v>9</v>
      </c>
      <c r="AN77" s="32">
        <v>10</v>
      </c>
      <c r="AO77" s="32">
        <v>3</v>
      </c>
      <c r="AP77" s="32">
        <v>6</v>
      </c>
      <c r="AQ77" s="32">
        <v>4</v>
      </c>
      <c r="AR77" s="31">
        <v>0</v>
      </c>
      <c r="AS77" s="32">
        <v>1</v>
      </c>
    </row>
    <row r="78" spans="1:45">
      <c r="A78" s="30" t="s">
        <v>676</v>
      </c>
      <c r="B78" s="30" t="s">
        <v>633</v>
      </c>
      <c r="C78" s="30" t="s">
        <v>677</v>
      </c>
      <c r="D78" s="30" t="s">
        <v>587</v>
      </c>
      <c r="E78" s="30" t="s">
        <v>770</v>
      </c>
      <c r="F78" s="30" t="s">
        <v>90</v>
      </c>
      <c r="G78" s="30" t="s">
        <v>215</v>
      </c>
      <c r="H78" s="30" t="s">
        <v>680</v>
      </c>
      <c r="I78" s="32">
        <v>43</v>
      </c>
      <c r="J78" s="32">
        <v>32</v>
      </c>
      <c r="K78" s="32">
        <v>46</v>
      </c>
      <c r="L78" s="32">
        <v>61</v>
      </c>
      <c r="M78" s="32">
        <v>42</v>
      </c>
      <c r="N78" s="32">
        <v>55</v>
      </c>
      <c r="O78" s="32">
        <v>109</v>
      </c>
      <c r="P78" s="32">
        <v>85</v>
      </c>
      <c r="Q78" s="32">
        <v>87</v>
      </c>
      <c r="R78" s="32">
        <v>104</v>
      </c>
      <c r="S78" s="32">
        <v>71</v>
      </c>
      <c r="T78" s="32">
        <v>79</v>
      </c>
      <c r="U78" s="32">
        <v>87</v>
      </c>
      <c r="V78" s="32">
        <v>63.197400000000002</v>
      </c>
      <c r="W78" s="32">
        <v>99</v>
      </c>
      <c r="X78" s="32">
        <v>98</v>
      </c>
      <c r="Y78" s="32">
        <v>81</v>
      </c>
      <c r="Z78" s="32">
        <v>96.930199999999999</v>
      </c>
      <c r="AA78" s="32">
        <v>209.50620000000001</v>
      </c>
      <c r="AB78" s="32">
        <v>105</v>
      </c>
      <c r="AC78" s="32">
        <v>140</v>
      </c>
      <c r="AD78" s="32">
        <v>120</v>
      </c>
      <c r="AE78" s="32">
        <v>87</v>
      </c>
      <c r="AF78" s="32">
        <v>89</v>
      </c>
      <c r="AG78" s="32">
        <v>151</v>
      </c>
      <c r="AH78" s="32">
        <v>79</v>
      </c>
      <c r="AI78" s="32">
        <v>89</v>
      </c>
      <c r="AJ78" s="32">
        <v>127</v>
      </c>
      <c r="AK78" s="32">
        <v>160</v>
      </c>
      <c r="AL78" s="32">
        <v>129</v>
      </c>
      <c r="AM78" s="32">
        <v>63</v>
      </c>
      <c r="AN78" s="32">
        <v>38</v>
      </c>
      <c r="AO78" s="32">
        <v>12</v>
      </c>
      <c r="AP78" s="32">
        <v>8</v>
      </c>
      <c r="AQ78" s="32">
        <v>6</v>
      </c>
      <c r="AR78" s="31">
        <v>0</v>
      </c>
      <c r="AS78" s="31">
        <v>0</v>
      </c>
    </row>
    <row r="79" spans="1:45">
      <c r="A79" s="30" t="s">
        <v>676</v>
      </c>
      <c r="B79" s="30" t="s">
        <v>633</v>
      </c>
      <c r="C79" s="30" t="s">
        <v>677</v>
      </c>
      <c r="D79" s="30" t="s">
        <v>587</v>
      </c>
      <c r="E79" s="30" t="s">
        <v>771</v>
      </c>
      <c r="F79" s="30" t="s">
        <v>88</v>
      </c>
      <c r="G79" s="30" t="s">
        <v>216</v>
      </c>
      <c r="H79" s="30" t="s">
        <v>680</v>
      </c>
      <c r="I79" s="32">
        <v>166</v>
      </c>
      <c r="J79" s="32">
        <v>156</v>
      </c>
      <c r="K79" s="32">
        <v>224</v>
      </c>
      <c r="L79" s="32">
        <v>329</v>
      </c>
      <c r="M79" s="32">
        <v>270</v>
      </c>
      <c r="N79" s="32">
        <v>313</v>
      </c>
      <c r="O79" s="32">
        <v>493</v>
      </c>
      <c r="P79" s="32">
        <v>360</v>
      </c>
      <c r="Q79" s="32">
        <v>300</v>
      </c>
      <c r="R79" s="32">
        <v>404</v>
      </c>
      <c r="S79" s="32">
        <v>197</v>
      </c>
      <c r="T79" s="32">
        <v>195</v>
      </c>
      <c r="U79" s="32">
        <v>350</v>
      </c>
      <c r="V79" s="32">
        <v>192.3947</v>
      </c>
      <c r="W79" s="32">
        <v>288</v>
      </c>
      <c r="X79" s="32">
        <v>268</v>
      </c>
      <c r="Y79" s="32">
        <v>274</v>
      </c>
      <c r="Z79" s="32">
        <v>240.88339999999999</v>
      </c>
      <c r="AA79" s="32">
        <v>482.71820000000002</v>
      </c>
      <c r="AB79" s="32">
        <v>345</v>
      </c>
      <c r="AC79" s="32">
        <v>315</v>
      </c>
      <c r="AD79" s="32">
        <v>466</v>
      </c>
      <c r="AE79" s="32">
        <v>246</v>
      </c>
      <c r="AF79" s="32">
        <v>287</v>
      </c>
      <c r="AG79" s="32">
        <v>498</v>
      </c>
      <c r="AH79" s="32">
        <v>304</v>
      </c>
      <c r="AI79" s="32">
        <v>291</v>
      </c>
      <c r="AJ79" s="32">
        <v>498</v>
      </c>
      <c r="AK79" s="32">
        <v>415</v>
      </c>
      <c r="AL79" s="32">
        <v>312</v>
      </c>
      <c r="AM79" s="32">
        <v>670</v>
      </c>
      <c r="AN79" s="32">
        <v>619</v>
      </c>
      <c r="AO79" s="32">
        <v>627</v>
      </c>
      <c r="AP79" s="32">
        <v>635</v>
      </c>
      <c r="AQ79" s="32">
        <v>343</v>
      </c>
      <c r="AR79" s="32">
        <v>427</v>
      </c>
      <c r="AS79" s="32">
        <v>617</v>
      </c>
    </row>
    <row r="80" spans="1:45">
      <c r="A80" s="30" t="s">
        <v>676</v>
      </c>
      <c r="B80" s="30" t="s">
        <v>633</v>
      </c>
      <c r="C80" s="30" t="s">
        <v>677</v>
      </c>
      <c r="D80" s="30" t="s">
        <v>587</v>
      </c>
      <c r="E80" s="30" t="s">
        <v>772</v>
      </c>
      <c r="F80" s="30" t="s">
        <v>99</v>
      </c>
      <c r="G80" s="30" t="s">
        <v>217</v>
      </c>
      <c r="H80" s="30" t="s">
        <v>680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2">
        <v>1</v>
      </c>
      <c r="W80" s="32">
        <v>1</v>
      </c>
      <c r="X80" s="31">
        <v>0</v>
      </c>
      <c r="Y80" s="32">
        <v>1</v>
      </c>
      <c r="Z80" s="32">
        <v>1</v>
      </c>
      <c r="AA80" s="32">
        <v>10</v>
      </c>
      <c r="AB80" s="32">
        <v>11</v>
      </c>
      <c r="AC80" s="32">
        <v>4</v>
      </c>
      <c r="AD80" s="32">
        <v>19</v>
      </c>
      <c r="AE80" s="32">
        <v>7</v>
      </c>
      <c r="AF80" s="32">
        <v>10</v>
      </c>
      <c r="AG80" s="32">
        <v>14</v>
      </c>
      <c r="AH80" s="32">
        <v>13</v>
      </c>
      <c r="AI80" s="32">
        <v>18</v>
      </c>
      <c r="AJ80" s="32">
        <v>16</v>
      </c>
      <c r="AK80" s="32">
        <v>51</v>
      </c>
      <c r="AL80" s="32">
        <v>28</v>
      </c>
      <c r="AM80" s="32">
        <v>37</v>
      </c>
      <c r="AN80" s="32">
        <v>30</v>
      </c>
      <c r="AO80" s="32">
        <v>14</v>
      </c>
      <c r="AP80" s="32">
        <v>4</v>
      </c>
      <c r="AQ80" s="31">
        <v>0</v>
      </c>
      <c r="AR80" s="32">
        <v>1</v>
      </c>
      <c r="AS80" s="31">
        <v>0</v>
      </c>
    </row>
    <row r="81" spans="1:45">
      <c r="A81" s="30" t="s">
        <v>676</v>
      </c>
      <c r="B81" s="30" t="s">
        <v>633</v>
      </c>
      <c r="C81" s="30" t="s">
        <v>677</v>
      </c>
      <c r="D81" s="30" t="s">
        <v>587</v>
      </c>
      <c r="E81" s="30" t="s">
        <v>773</v>
      </c>
      <c r="F81" s="30" t="s">
        <v>630</v>
      </c>
      <c r="G81" s="30" t="s">
        <v>774</v>
      </c>
      <c r="H81" s="30" t="s">
        <v>680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2">
        <v>1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0</v>
      </c>
      <c r="AJ81" s="31">
        <v>0</v>
      </c>
      <c r="AK81" s="31">
        <v>0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</row>
    <row r="82" spans="1:45">
      <c r="A82" s="30" t="s">
        <v>676</v>
      </c>
      <c r="B82" s="30" t="s">
        <v>633</v>
      </c>
      <c r="C82" s="30" t="s">
        <v>677</v>
      </c>
      <c r="D82" s="30" t="s">
        <v>587</v>
      </c>
      <c r="E82" s="30" t="s">
        <v>775</v>
      </c>
      <c r="F82" s="30" t="s">
        <v>93</v>
      </c>
      <c r="G82" s="30" t="s">
        <v>218</v>
      </c>
      <c r="H82" s="30" t="s">
        <v>680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2">
        <v>545</v>
      </c>
      <c r="T82" s="32">
        <v>1093</v>
      </c>
      <c r="U82" s="32">
        <v>2051</v>
      </c>
      <c r="V82" s="32">
        <v>1119.3815999999999</v>
      </c>
      <c r="W82" s="32">
        <v>1378</v>
      </c>
      <c r="X82" s="32">
        <v>1025</v>
      </c>
      <c r="Y82" s="32">
        <v>1010</v>
      </c>
      <c r="Z82" s="32">
        <v>919.8587</v>
      </c>
      <c r="AA82" s="32">
        <v>1477.9867999999999</v>
      </c>
      <c r="AB82" s="32">
        <v>1003</v>
      </c>
      <c r="AC82" s="32">
        <v>1076</v>
      </c>
      <c r="AD82" s="32">
        <v>1676</v>
      </c>
      <c r="AE82" s="32">
        <v>880</v>
      </c>
      <c r="AF82" s="32">
        <v>768</v>
      </c>
      <c r="AG82" s="32">
        <v>1405</v>
      </c>
      <c r="AH82" s="32">
        <v>905</v>
      </c>
      <c r="AI82" s="32">
        <v>928</v>
      </c>
      <c r="AJ82" s="32">
        <v>1856</v>
      </c>
      <c r="AK82" s="32">
        <v>894</v>
      </c>
      <c r="AL82" s="32">
        <v>769</v>
      </c>
      <c r="AM82" s="32">
        <v>1281</v>
      </c>
      <c r="AN82" s="32">
        <v>1169</v>
      </c>
      <c r="AO82" s="32">
        <v>1323</v>
      </c>
      <c r="AP82" s="32">
        <v>1545</v>
      </c>
      <c r="AQ82" s="32">
        <v>889</v>
      </c>
      <c r="AR82" s="32">
        <v>1000</v>
      </c>
      <c r="AS82" s="32">
        <v>968</v>
      </c>
    </row>
    <row r="83" spans="1:45">
      <c r="A83" s="30" t="s">
        <v>676</v>
      </c>
      <c r="B83" s="30" t="s">
        <v>633</v>
      </c>
      <c r="C83" s="30" t="s">
        <v>677</v>
      </c>
      <c r="D83" s="30" t="s">
        <v>587</v>
      </c>
      <c r="E83" s="30" t="s">
        <v>776</v>
      </c>
      <c r="F83" s="30" t="s">
        <v>93</v>
      </c>
      <c r="G83" s="30" t="s">
        <v>219</v>
      </c>
      <c r="H83" s="30" t="s">
        <v>680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2">
        <v>257</v>
      </c>
      <c r="T83" s="32">
        <v>437</v>
      </c>
      <c r="U83" s="32">
        <v>871</v>
      </c>
      <c r="V83" s="32">
        <v>626.78949999999998</v>
      </c>
      <c r="W83" s="32">
        <v>1155</v>
      </c>
      <c r="X83" s="32">
        <v>492</v>
      </c>
      <c r="Y83" s="32">
        <v>638</v>
      </c>
      <c r="Z83" s="32">
        <v>377.00580000000002</v>
      </c>
      <c r="AA83" s="32">
        <v>792.11869999999999</v>
      </c>
      <c r="AB83" s="32">
        <v>304</v>
      </c>
      <c r="AC83" s="32">
        <v>326</v>
      </c>
      <c r="AD83" s="32">
        <v>616</v>
      </c>
      <c r="AE83" s="32">
        <v>360</v>
      </c>
      <c r="AF83" s="32">
        <v>366</v>
      </c>
      <c r="AG83" s="32">
        <v>870</v>
      </c>
      <c r="AH83" s="32">
        <v>410</v>
      </c>
      <c r="AI83" s="32">
        <v>349</v>
      </c>
      <c r="AJ83" s="32">
        <v>537</v>
      </c>
      <c r="AK83" s="32">
        <v>701</v>
      </c>
      <c r="AL83" s="32">
        <v>404</v>
      </c>
      <c r="AM83" s="32">
        <v>579</v>
      </c>
      <c r="AN83" s="32">
        <v>285</v>
      </c>
      <c r="AO83" s="32">
        <v>379</v>
      </c>
      <c r="AP83" s="32">
        <v>619</v>
      </c>
      <c r="AQ83" s="32">
        <v>426</v>
      </c>
      <c r="AR83" s="32">
        <v>398</v>
      </c>
      <c r="AS83" s="32">
        <v>735</v>
      </c>
    </row>
    <row r="84" spans="1:45">
      <c r="A84" s="30" t="s">
        <v>676</v>
      </c>
      <c r="B84" s="30" t="s">
        <v>633</v>
      </c>
      <c r="C84" s="30" t="s">
        <v>677</v>
      </c>
      <c r="D84" s="30" t="s">
        <v>587</v>
      </c>
      <c r="E84" s="30" t="s">
        <v>777</v>
      </c>
      <c r="F84" s="30" t="s">
        <v>93</v>
      </c>
      <c r="G84" s="30" t="s">
        <v>220</v>
      </c>
      <c r="H84" s="30" t="s">
        <v>680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2">
        <v>478</v>
      </c>
      <c r="T84" s="32">
        <v>879</v>
      </c>
      <c r="U84" s="32">
        <v>1644</v>
      </c>
      <c r="V84" s="32">
        <v>950.98680000000002</v>
      </c>
      <c r="W84" s="32">
        <v>1437</v>
      </c>
      <c r="X84" s="32">
        <v>859</v>
      </c>
      <c r="Y84" s="32">
        <v>899</v>
      </c>
      <c r="Z84" s="32">
        <v>723.00580000000002</v>
      </c>
      <c r="AA84" s="32">
        <v>1311.5011</v>
      </c>
      <c r="AB84" s="32">
        <v>763</v>
      </c>
      <c r="AC84" s="32">
        <v>785</v>
      </c>
      <c r="AD84" s="32">
        <v>1475</v>
      </c>
      <c r="AE84" s="32">
        <v>750</v>
      </c>
      <c r="AF84" s="32">
        <v>635</v>
      </c>
      <c r="AG84" s="32">
        <v>1365</v>
      </c>
      <c r="AH84" s="32">
        <v>809</v>
      </c>
      <c r="AI84" s="32">
        <v>731</v>
      </c>
      <c r="AJ84" s="32">
        <v>1613</v>
      </c>
      <c r="AK84" s="32">
        <v>928</v>
      </c>
      <c r="AL84" s="32">
        <v>625</v>
      </c>
      <c r="AM84" s="32">
        <v>1074</v>
      </c>
      <c r="AN84" s="32">
        <v>882</v>
      </c>
      <c r="AO84" s="32">
        <v>1028</v>
      </c>
      <c r="AP84" s="32">
        <v>1338</v>
      </c>
      <c r="AQ84" s="32">
        <v>724</v>
      </c>
      <c r="AR84" s="32">
        <v>775</v>
      </c>
      <c r="AS84" s="32">
        <v>982</v>
      </c>
    </row>
    <row r="85" spans="1:45">
      <c r="A85" s="30" t="s">
        <v>676</v>
      </c>
      <c r="B85" s="30" t="s">
        <v>633</v>
      </c>
      <c r="C85" s="30" t="s">
        <v>677</v>
      </c>
      <c r="D85" s="30" t="s">
        <v>587</v>
      </c>
      <c r="E85" s="30" t="s">
        <v>778</v>
      </c>
      <c r="F85" s="30" t="s">
        <v>93</v>
      </c>
      <c r="G85" s="30" t="s">
        <v>221</v>
      </c>
      <c r="H85" s="30" t="s">
        <v>680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2">
        <v>201</v>
      </c>
      <c r="T85" s="32">
        <v>356</v>
      </c>
      <c r="U85" s="32">
        <v>569</v>
      </c>
      <c r="V85" s="32">
        <v>337.19740000000002</v>
      </c>
      <c r="W85" s="32">
        <v>605</v>
      </c>
      <c r="X85" s="32">
        <v>347</v>
      </c>
      <c r="Y85" s="32">
        <v>362</v>
      </c>
      <c r="Z85" s="32">
        <v>228.917</v>
      </c>
      <c r="AA85" s="32">
        <v>459.83690000000001</v>
      </c>
      <c r="AB85" s="32">
        <v>298</v>
      </c>
      <c r="AC85" s="32">
        <v>301</v>
      </c>
      <c r="AD85" s="32">
        <v>692</v>
      </c>
      <c r="AE85" s="32">
        <v>328</v>
      </c>
      <c r="AF85" s="32">
        <v>251</v>
      </c>
      <c r="AG85" s="32">
        <v>563</v>
      </c>
      <c r="AH85" s="32">
        <v>430</v>
      </c>
      <c r="AI85" s="32">
        <v>394</v>
      </c>
      <c r="AJ85" s="32">
        <v>452</v>
      </c>
      <c r="AK85" s="32">
        <v>446</v>
      </c>
      <c r="AL85" s="32">
        <v>224</v>
      </c>
      <c r="AM85" s="32">
        <v>449</v>
      </c>
      <c r="AN85" s="32">
        <v>495</v>
      </c>
      <c r="AO85" s="32">
        <v>500</v>
      </c>
      <c r="AP85" s="32">
        <v>450</v>
      </c>
      <c r="AQ85" s="32">
        <v>354</v>
      </c>
      <c r="AR85" s="32">
        <v>309</v>
      </c>
      <c r="AS85" s="32">
        <v>618</v>
      </c>
    </row>
    <row r="86" spans="1:45">
      <c r="A86" s="30" t="s">
        <v>676</v>
      </c>
      <c r="B86" s="30" t="s">
        <v>633</v>
      </c>
      <c r="C86" s="30" t="s">
        <v>677</v>
      </c>
      <c r="D86" s="30" t="s">
        <v>587</v>
      </c>
      <c r="E86" s="30" t="s">
        <v>779</v>
      </c>
      <c r="F86" s="30" t="s">
        <v>93</v>
      </c>
      <c r="G86" s="30" t="s">
        <v>222</v>
      </c>
      <c r="H86" s="30" t="s">
        <v>680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  <c r="AC86" s="32">
        <v>31</v>
      </c>
      <c r="AD86" s="32">
        <v>693</v>
      </c>
      <c r="AE86" s="32">
        <v>594</v>
      </c>
      <c r="AF86" s="32">
        <v>629</v>
      </c>
      <c r="AG86" s="32">
        <v>1046</v>
      </c>
      <c r="AH86" s="32">
        <v>658</v>
      </c>
      <c r="AI86" s="32">
        <v>667</v>
      </c>
      <c r="AJ86" s="32">
        <v>593</v>
      </c>
      <c r="AK86" s="32">
        <v>392</v>
      </c>
      <c r="AL86" s="32">
        <v>228</v>
      </c>
      <c r="AM86" s="32">
        <v>377</v>
      </c>
      <c r="AN86" s="32">
        <v>204</v>
      </c>
      <c r="AO86" s="32">
        <v>192</v>
      </c>
      <c r="AP86" s="32">
        <v>401</v>
      </c>
      <c r="AQ86" s="32">
        <v>537</v>
      </c>
      <c r="AR86" s="32">
        <v>420</v>
      </c>
      <c r="AS86" s="32">
        <v>735</v>
      </c>
    </row>
    <row r="87" spans="1:45">
      <c r="A87" s="30" t="s">
        <v>676</v>
      </c>
      <c r="B87" s="30" t="s">
        <v>633</v>
      </c>
      <c r="C87" s="30" t="s">
        <v>677</v>
      </c>
      <c r="D87" s="30" t="s">
        <v>587</v>
      </c>
      <c r="E87" s="30" t="s">
        <v>780</v>
      </c>
      <c r="F87" s="30" t="s">
        <v>93</v>
      </c>
      <c r="G87" s="30" t="s">
        <v>223</v>
      </c>
      <c r="H87" s="30" t="s">
        <v>680</v>
      </c>
      <c r="I87" s="31">
        <v>0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  <c r="AC87" s="32">
        <v>30</v>
      </c>
      <c r="AD87" s="32">
        <v>559</v>
      </c>
      <c r="AE87" s="32">
        <v>451</v>
      </c>
      <c r="AF87" s="32">
        <v>439</v>
      </c>
      <c r="AG87" s="32">
        <v>876</v>
      </c>
      <c r="AH87" s="32">
        <v>481</v>
      </c>
      <c r="AI87" s="32">
        <v>471</v>
      </c>
      <c r="AJ87" s="32">
        <v>578</v>
      </c>
      <c r="AK87" s="32">
        <v>346</v>
      </c>
      <c r="AL87" s="32">
        <v>199</v>
      </c>
      <c r="AM87" s="32">
        <v>355</v>
      </c>
      <c r="AN87" s="32">
        <v>195</v>
      </c>
      <c r="AO87" s="32">
        <v>167</v>
      </c>
      <c r="AP87" s="32">
        <v>376</v>
      </c>
      <c r="AQ87" s="32">
        <v>402</v>
      </c>
      <c r="AR87" s="32">
        <v>289</v>
      </c>
      <c r="AS87" s="32">
        <v>504</v>
      </c>
    </row>
    <row r="88" spans="1:45">
      <c r="A88" s="30" t="s">
        <v>676</v>
      </c>
      <c r="B88" s="30" t="s">
        <v>633</v>
      </c>
      <c r="C88" s="30" t="s">
        <v>677</v>
      </c>
      <c r="D88" s="30" t="s">
        <v>587</v>
      </c>
      <c r="E88" s="30" t="s">
        <v>781</v>
      </c>
      <c r="F88" s="30" t="s">
        <v>93</v>
      </c>
      <c r="G88" s="30" t="s">
        <v>224</v>
      </c>
      <c r="H88" s="30" t="s">
        <v>680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2">
        <v>37</v>
      </c>
      <c r="Y88" s="32">
        <v>57</v>
      </c>
      <c r="Z88" s="32">
        <v>42</v>
      </c>
      <c r="AA88" s="32">
        <v>42</v>
      </c>
      <c r="AB88" s="32">
        <v>38</v>
      </c>
      <c r="AC88" s="32">
        <v>31</v>
      </c>
      <c r="AD88" s="32">
        <v>50</v>
      </c>
      <c r="AE88" s="32">
        <v>38</v>
      </c>
      <c r="AF88" s="32">
        <v>26</v>
      </c>
      <c r="AG88" s="32">
        <v>62</v>
      </c>
      <c r="AH88" s="32">
        <v>28</v>
      </c>
      <c r="AI88" s="32">
        <v>20</v>
      </c>
      <c r="AJ88" s="32">
        <v>51</v>
      </c>
      <c r="AK88" s="32">
        <v>35</v>
      </c>
      <c r="AL88" s="32">
        <v>46</v>
      </c>
      <c r="AM88" s="32">
        <v>38</v>
      </c>
      <c r="AN88" s="32">
        <v>30</v>
      </c>
      <c r="AO88" s="32">
        <v>45</v>
      </c>
      <c r="AP88" s="32">
        <v>1997</v>
      </c>
      <c r="AQ88" s="32">
        <v>61</v>
      </c>
      <c r="AR88" s="32">
        <v>38</v>
      </c>
      <c r="AS88" s="32">
        <v>98</v>
      </c>
    </row>
    <row r="89" spans="1:45">
      <c r="A89" s="30" t="s">
        <v>676</v>
      </c>
      <c r="B89" s="30" t="s">
        <v>633</v>
      </c>
      <c r="C89" s="30" t="s">
        <v>677</v>
      </c>
      <c r="D89" s="30" t="s">
        <v>587</v>
      </c>
      <c r="E89" s="30" t="s">
        <v>782</v>
      </c>
      <c r="F89" s="30" t="s">
        <v>85</v>
      </c>
      <c r="G89" s="30" t="s">
        <v>225</v>
      </c>
      <c r="H89" s="30" t="s">
        <v>680</v>
      </c>
      <c r="I89" s="31">
        <v>0</v>
      </c>
      <c r="J89" s="31">
        <v>0</v>
      </c>
      <c r="K89" s="31">
        <v>0</v>
      </c>
      <c r="L89" s="31">
        <v>0</v>
      </c>
      <c r="M89" s="31">
        <v>0</v>
      </c>
      <c r="N89" s="31">
        <v>0</v>
      </c>
      <c r="O89" s="31"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2">
        <v>15</v>
      </c>
      <c r="AA89" s="32">
        <v>880.85249999999996</v>
      </c>
      <c r="AB89" s="32">
        <v>614</v>
      </c>
      <c r="AC89" s="32">
        <v>646</v>
      </c>
      <c r="AD89" s="32">
        <v>1182</v>
      </c>
      <c r="AE89" s="32">
        <v>408</v>
      </c>
      <c r="AF89" s="32">
        <v>366</v>
      </c>
      <c r="AG89" s="32">
        <v>530</v>
      </c>
      <c r="AH89" s="32">
        <v>325</v>
      </c>
      <c r="AI89" s="32">
        <v>345</v>
      </c>
      <c r="AJ89" s="32">
        <v>865</v>
      </c>
      <c r="AK89" s="32">
        <v>537</v>
      </c>
      <c r="AL89" s="32">
        <v>399</v>
      </c>
      <c r="AM89" s="32">
        <v>554</v>
      </c>
      <c r="AN89" s="32">
        <v>604</v>
      </c>
      <c r="AO89" s="32">
        <v>572</v>
      </c>
      <c r="AP89" s="32">
        <v>730</v>
      </c>
      <c r="AQ89" s="32">
        <v>394</v>
      </c>
      <c r="AR89" s="32">
        <v>445</v>
      </c>
      <c r="AS89" s="32">
        <v>533</v>
      </c>
    </row>
    <row r="90" spans="1:45">
      <c r="A90" s="30" t="s">
        <v>676</v>
      </c>
      <c r="B90" s="30" t="s">
        <v>633</v>
      </c>
      <c r="C90" s="30" t="s">
        <v>677</v>
      </c>
      <c r="D90" s="30" t="s">
        <v>587</v>
      </c>
      <c r="E90" s="30" t="s">
        <v>783</v>
      </c>
      <c r="F90" s="30" t="s">
        <v>85</v>
      </c>
      <c r="G90" s="30" t="s">
        <v>226</v>
      </c>
      <c r="H90" s="30" t="s">
        <v>680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2">
        <v>6</v>
      </c>
      <c r="AA90" s="32">
        <v>607</v>
      </c>
      <c r="AB90" s="32">
        <v>469</v>
      </c>
      <c r="AC90" s="32">
        <v>433</v>
      </c>
      <c r="AD90" s="32">
        <v>834</v>
      </c>
      <c r="AE90" s="32">
        <v>325</v>
      </c>
      <c r="AF90" s="32">
        <v>256</v>
      </c>
      <c r="AG90" s="32">
        <v>373</v>
      </c>
      <c r="AH90" s="32">
        <v>290</v>
      </c>
      <c r="AI90" s="32">
        <v>263</v>
      </c>
      <c r="AJ90" s="32">
        <v>655</v>
      </c>
      <c r="AK90" s="32">
        <v>421</v>
      </c>
      <c r="AL90" s="32">
        <v>249</v>
      </c>
      <c r="AM90" s="32">
        <v>422</v>
      </c>
      <c r="AN90" s="32">
        <v>447</v>
      </c>
      <c r="AO90" s="32">
        <v>423</v>
      </c>
      <c r="AP90" s="32">
        <v>477</v>
      </c>
      <c r="AQ90" s="32">
        <v>241</v>
      </c>
      <c r="AR90" s="32">
        <v>319</v>
      </c>
      <c r="AS90" s="32">
        <v>372</v>
      </c>
    </row>
    <row r="91" spans="1:45">
      <c r="A91" s="30" t="s">
        <v>676</v>
      </c>
      <c r="B91" s="30" t="s">
        <v>633</v>
      </c>
      <c r="C91" s="30" t="s">
        <v>677</v>
      </c>
      <c r="D91" s="30" t="s">
        <v>587</v>
      </c>
      <c r="E91" s="30" t="s">
        <v>784</v>
      </c>
      <c r="F91" s="30" t="s">
        <v>85</v>
      </c>
      <c r="G91" s="30" t="s">
        <v>227</v>
      </c>
      <c r="H91" s="30" t="s">
        <v>680</v>
      </c>
      <c r="I91" s="31">
        <v>0</v>
      </c>
      <c r="J91" s="31">
        <v>0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0</v>
      </c>
      <c r="Z91" s="32">
        <v>2</v>
      </c>
      <c r="AA91" s="32">
        <v>134</v>
      </c>
      <c r="AB91" s="32">
        <v>90</v>
      </c>
      <c r="AC91" s="32">
        <v>93</v>
      </c>
      <c r="AD91" s="32">
        <v>124</v>
      </c>
      <c r="AE91" s="32">
        <v>54</v>
      </c>
      <c r="AF91" s="32">
        <v>93</v>
      </c>
      <c r="AG91" s="32">
        <v>198</v>
      </c>
      <c r="AH91" s="32">
        <v>138</v>
      </c>
      <c r="AI91" s="32">
        <v>99</v>
      </c>
      <c r="AJ91" s="32">
        <v>165</v>
      </c>
      <c r="AK91" s="32">
        <v>252</v>
      </c>
      <c r="AL91" s="32">
        <v>103</v>
      </c>
      <c r="AM91" s="32">
        <v>183</v>
      </c>
      <c r="AN91" s="32">
        <v>164</v>
      </c>
      <c r="AO91" s="32">
        <v>162</v>
      </c>
      <c r="AP91" s="32">
        <v>166</v>
      </c>
      <c r="AQ91" s="32">
        <v>98</v>
      </c>
      <c r="AR91" s="32">
        <v>100</v>
      </c>
      <c r="AS91" s="32">
        <v>241</v>
      </c>
    </row>
    <row r="92" spans="1:45">
      <c r="A92" s="30" t="s">
        <v>676</v>
      </c>
      <c r="B92" s="30" t="s">
        <v>633</v>
      </c>
      <c r="C92" s="30" t="s">
        <v>677</v>
      </c>
      <c r="D92" s="30" t="s">
        <v>587</v>
      </c>
      <c r="E92" s="30" t="s">
        <v>785</v>
      </c>
      <c r="F92" s="30" t="s">
        <v>85</v>
      </c>
      <c r="G92" s="30" t="s">
        <v>228</v>
      </c>
      <c r="H92" s="30" t="s">
        <v>680</v>
      </c>
      <c r="I92" s="31">
        <v>0</v>
      </c>
      <c r="J92" s="31">
        <v>0</v>
      </c>
      <c r="K92" s="31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2">
        <v>2</v>
      </c>
      <c r="AA92" s="32">
        <v>140.94040000000001</v>
      </c>
      <c r="AB92" s="32">
        <v>182</v>
      </c>
      <c r="AC92" s="32">
        <v>161</v>
      </c>
      <c r="AD92" s="32">
        <v>309</v>
      </c>
      <c r="AE92" s="32">
        <v>135</v>
      </c>
      <c r="AF92" s="32">
        <v>86</v>
      </c>
      <c r="AG92" s="32">
        <v>89</v>
      </c>
      <c r="AH92" s="32">
        <v>78</v>
      </c>
      <c r="AI92" s="32">
        <v>46</v>
      </c>
      <c r="AJ92" s="32">
        <v>96</v>
      </c>
      <c r="AK92" s="32">
        <v>136</v>
      </c>
      <c r="AL92" s="32">
        <v>113</v>
      </c>
      <c r="AM92" s="32">
        <v>151</v>
      </c>
      <c r="AN92" s="32">
        <v>131</v>
      </c>
      <c r="AO92" s="32">
        <v>109</v>
      </c>
      <c r="AP92" s="32">
        <v>90</v>
      </c>
      <c r="AQ92" s="32">
        <v>66</v>
      </c>
      <c r="AR92" s="32">
        <v>59</v>
      </c>
      <c r="AS92" s="32">
        <v>127</v>
      </c>
    </row>
    <row r="93" spans="1:45">
      <c r="A93" s="30" t="s">
        <v>676</v>
      </c>
      <c r="B93" s="30" t="s">
        <v>633</v>
      </c>
      <c r="C93" s="30" t="s">
        <v>677</v>
      </c>
      <c r="D93" s="30" t="s">
        <v>587</v>
      </c>
      <c r="E93" s="30" t="s">
        <v>786</v>
      </c>
      <c r="F93" s="30" t="s">
        <v>94</v>
      </c>
      <c r="G93" s="30" t="s">
        <v>229</v>
      </c>
      <c r="H93" s="30" t="s">
        <v>680</v>
      </c>
      <c r="I93" s="31">
        <v>0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0</v>
      </c>
      <c r="AC93" s="31">
        <v>0</v>
      </c>
      <c r="AD93" s="32">
        <v>95</v>
      </c>
      <c r="AE93" s="32">
        <v>63</v>
      </c>
      <c r="AF93" s="32">
        <v>100</v>
      </c>
      <c r="AG93" s="32">
        <v>279</v>
      </c>
      <c r="AH93" s="32">
        <v>252</v>
      </c>
      <c r="AI93" s="32">
        <v>470</v>
      </c>
      <c r="AJ93" s="32">
        <v>602</v>
      </c>
      <c r="AK93" s="32">
        <v>505</v>
      </c>
      <c r="AL93" s="32">
        <v>486</v>
      </c>
      <c r="AM93" s="32">
        <v>795</v>
      </c>
      <c r="AN93" s="32">
        <v>579</v>
      </c>
      <c r="AO93" s="32">
        <v>480</v>
      </c>
      <c r="AP93" s="32">
        <v>613</v>
      </c>
      <c r="AQ93" s="32">
        <v>553</v>
      </c>
      <c r="AR93" s="32">
        <v>492</v>
      </c>
      <c r="AS93" s="32">
        <v>598</v>
      </c>
    </row>
    <row r="94" spans="1:45">
      <c r="A94" s="30" t="s">
        <v>676</v>
      </c>
      <c r="B94" s="30" t="s">
        <v>633</v>
      </c>
      <c r="C94" s="30" t="s">
        <v>677</v>
      </c>
      <c r="D94" s="30" t="s">
        <v>587</v>
      </c>
      <c r="E94" s="30" t="s">
        <v>787</v>
      </c>
      <c r="F94" s="30" t="s">
        <v>94</v>
      </c>
      <c r="G94" s="30" t="s">
        <v>230</v>
      </c>
      <c r="H94" s="30" t="s">
        <v>680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2">
        <v>178</v>
      </c>
      <c r="AE94" s="32">
        <v>197</v>
      </c>
      <c r="AF94" s="32">
        <v>285</v>
      </c>
      <c r="AG94" s="32">
        <v>518</v>
      </c>
      <c r="AH94" s="32">
        <v>382</v>
      </c>
      <c r="AI94" s="32">
        <v>529</v>
      </c>
      <c r="AJ94" s="32">
        <v>640</v>
      </c>
      <c r="AK94" s="32">
        <v>590</v>
      </c>
      <c r="AL94" s="32">
        <v>505</v>
      </c>
      <c r="AM94" s="32">
        <v>913</v>
      </c>
      <c r="AN94" s="32">
        <v>667</v>
      </c>
      <c r="AO94" s="32">
        <v>593</v>
      </c>
      <c r="AP94" s="32">
        <v>694</v>
      </c>
      <c r="AQ94" s="32">
        <v>656</v>
      </c>
      <c r="AR94" s="32">
        <v>548</v>
      </c>
      <c r="AS94" s="32">
        <v>707</v>
      </c>
    </row>
    <row r="95" spans="1:45">
      <c r="A95" s="30" t="s">
        <v>676</v>
      </c>
      <c r="B95" s="30" t="s">
        <v>633</v>
      </c>
      <c r="C95" s="30" t="s">
        <v>677</v>
      </c>
      <c r="D95" s="30" t="s">
        <v>587</v>
      </c>
      <c r="E95" s="30" t="s">
        <v>788</v>
      </c>
      <c r="F95" s="30" t="s">
        <v>88</v>
      </c>
      <c r="G95" s="30" t="s">
        <v>231</v>
      </c>
      <c r="H95" s="30" t="s">
        <v>680</v>
      </c>
      <c r="I95" s="32">
        <v>338</v>
      </c>
      <c r="J95" s="32">
        <v>300.30939999999998</v>
      </c>
      <c r="K95" s="32">
        <v>351</v>
      </c>
      <c r="L95" s="32">
        <v>412</v>
      </c>
      <c r="M95" s="32">
        <v>361</v>
      </c>
      <c r="N95" s="32">
        <v>406</v>
      </c>
      <c r="O95" s="32">
        <v>567</v>
      </c>
      <c r="P95" s="32">
        <v>456</v>
      </c>
      <c r="Q95" s="32">
        <v>361</v>
      </c>
      <c r="R95" s="32">
        <v>517</v>
      </c>
      <c r="S95" s="32">
        <v>272</v>
      </c>
      <c r="T95" s="32">
        <v>236</v>
      </c>
      <c r="U95" s="32">
        <v>279</v>
      </c>
      <c r="V95" s="32">
        <v>187</v>
      </c>
      <c r="W95" s="32">
        <v>350</v>
      </c>
      <c r="X95" s="32">
        <v>256</v>
      </c>
      <c r="Y95" s="32">
        <v>212</v>
      </c>
      <c r="Z95" s="32">
        <v>239.92699999999999</v>
      </c>
      <c r="AA95" s="32">
        <v>394.23039999999997</v>
      </c>
      <c r="AB95" s="32">
        <v>272</v>
      </c>
      <c r="AC95" s="32">
        <v>322</v>
      </c>
      <c r="AD95" s="32">
        <v>319</v>
      </c>
      <c r="AE95" s="32">
        <v>185</v>
      </c>
      <c r="AF95" s="32">
        <v>230</v>
      </c>
      <c r="AG95" s="32">
        <v>257</v>
      </c>
      <c r="AH95" s="32">
        <v>196</v>
      </c>
      <c r="AI95" s="32">
        <v>239</v>
      </c>
      <c r="AJ95" s="32">
        <v>256</v>
      </c>
      <c r="AK95" s="32">
        <v>247</v>
      </c>
      <c r="AL95" s="32">
        <v>196</v>
      </c>
      <c r="AM95" s="32">
        <v>207</v>
      </c>
      <c r="AN95" s="32">
        <v>89</v>
      </c>
      <c r="AO95" s="32">
        <v>78</v>
      </c>
      <c r="AP95" s="32">
        <v>90</v>
      </c>
      <c r="AQ95" s="32">
        <v>52</v>
      </c>
      <c r="AR95" s="32">
        <v>46</v>
      </c>
      <c r="AS95" s="32">
        <v>53</v>
      </c>
    </row>
    <row r="96" spans="1:45">
      <c r="A96" s="30" t="s">
        <v>676</v>
      </c>
      <c r="B96" s="30" t="s">
        <v>633</v>
      </c>
      <c r="C96" s="30" t="s">
        <v>677</v>
      </c>
      <c r="D96" s="30" t="s">
        <v>587</v>
      </c>
      <c r="E96" s="30" t="s">
        <v>789</v>
      </c>
      <c r="F96" s="30" t="s">
        <v>103</v>
      </c>
      <c r="G96" s="30" t="s">
        <v>232</v>
      </c>
      <c r="H96" s="30" t="s">
        <v>680</v>
      </c>
      <c r="I96" s="31">
        <v>0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  <c r="AG96" s="31">
        <v>0</v>
      </c>
      <c r="AH96" s="31">
        <v>0</v>
      </c>
      <c r="AI96" s="32">
        <v>8</v>
      </c>
      <c r="AJ96" s="32">
        <v>18</v>
      </c>
      <c r="AK96" s="32">
        <v>30</v>
      </c>
      <c r="AL96" s="32">
        <v>27</v>
      </c>
      <c r="AM96" s="32">
        <v>64</v>
      </c>
      <c r="AN96" s="32">
        <v>128</v>
      </c>
      <c r="AO96" s="32">
        <v>71</v>
      </c>
      <c r="AP96" s="32">
        <v>62</v>
      </c>
      <c r="AQ96" s="32">
        <v>87</v>
      </c>
      <c r="AR96" s="32">
        <v>40</v>
      </c>
      <c r="AS96" s="32">
        <v>146</v>
      </c>
    </row>
    <row r="97" spans="1:45">
      <c r="A97" s="30" t="s">
        <v>676</v>
      </c>
      <c r="B97" s="30" t="s">
        <v>633</v>
      </c>
      <c r="C97" s="30" t="s">
        <v>677</v>
      </c>
      <c r="D97" s="30" t="s">
        <v>587</v>
      </c>
      <c r="E97" s="30" t="s">
        <v>790</v>
      </c>
      <c r="F97" s="30" t="s">
        <v>104</v>
      </c>
      <c r="G97" s="30" t="s">
        <v>233</v>
      </c>
      <c r="H97" s="30" t="s">
        <v>680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2">
        <v>76</v>
      </c>
      <c r="AI97" s="32">
        <v>154</v>
      </c>
      <c r="AJ97" s="32">
        <v>193</v>
      </c>
      <c r="AK97" s="32">
        <v>88</v>
      </c>
      <c r="AL97" s="32">
        <v>233</v>
      </c>
      <c r="AM97" s="32">
        <v>411</v>
      </c>
      <c r="AN97" s="32">
        <v>334</v>
      </c>
      <c r="AO97" s="32">
        <v>252</v>
      </c>
      <c r="AP97" s="32">
        <v>307</v>
      </c>
      <c r="AQ97" s="32">
        <v>277</v>
      </c>
      <c r="AR97" s="32">
        <v>222</v>
      </c>
      <c r="AS97" s="32">
        <v>335</v>
      </c>
    </row>
    <row r="98" spans="1:45">
      <c r="A98" s="30" t="s">
        <v>676</v>
      </c>
      <c r="B98" s="30" t="s">
        <v>633</v>
      </c>
      <c r="C98" s="30" t="s">
        <v>677</v>
      </c>
      <c r="D98" s="30" t="s">
        <v>587</v>
      </c>
      <c r="E98" s="30" t="s">
        <v>791</v>
      </c>
      <c r="F98" s="30" t="s">
        <v>104</v>
      </c>
      <c r="G98" s="30" t="s">
        <v>234</v>
      </c>
      <c r="H98" s="30" t="s">
        <v>680</v>
      </c>
      <c r="I98" s="32">
        <v>553</v>
      </c>
      <c r="J98" s="32">
        <v>507</v>
      </c>
      <c r="K98" s="32">
        <v>566</v>
      </c>
      <c r="L98" s="32">
        <v>642</v>
      </c>
      <c r="M98" s="32">
        <v>522</v>
      </c>
      <c r="N98" s="32">
        <v>669</v>
      </c>
      <c r="O98" s="32">
        <v>905</v>
      </c>
      <c r="P98" s="32">
        <v>815</v>
      </c>
      <c r="Q98" s="32">
        <v>630</v>
      </c>
      <c r="R98" s="32">
        <v>877</v>
      </c>
      <c r="S98" s="32">
        <v>556</v>
      </c>
      <c r="T98" s="32">
        <v>506</v>
      </c>
      <c r="U98" s="32">
        <v>690</v>
      </c>
      <c r="V98" s="32">
        <v>357.19740000000002</v>
      </c>
      <c r="W98" s="32">
        <v>615</v>
      </c>
      <c r="X98" s="32">
        <v>501</v>
      </c>
      <c r="Y98" s="32">
        <v>390</v>
      </c>
      <c r="Z98" s="32">
        <v>425.7122</v>
      </c>
      <c r="AA98" s="32">
        <v>757.50890000000004</v>
      </c>
      <c r="AB98" s="32">
        <v>608</v>
      </c>
      <c r="AC98" s="32">
        <v>614</v>
      </c>
      <c r="AD98" s="32">
        <v>753</v>
      </c>
      <c r="AE98" s="32">
        <v>440</v>
      </c>
      <c r="AF98" s="32">
        <v>375</v>
      </c>
      <c r="AG98" s="32">
        <v>639</v>
      </c>
      <c r="AH98" s="32">
        <v>439</v>
      </c>
      <c r="AI98" s="32">
        <v>528</v>
      </c>
      <c r="AJ98" s="32">
        <v>823</v>
      </c>
      <c r="AK98" s="32">
        <v>779</v>
      </c>
      <c r="AL98" s="32">
        <v>513</v>
      </c>
      <c r="AM98" s="32">
        <v>348</v>
      </c>
      <c r="AN98" s="32">
        <v>203</v>
      </c>
      <c r="AO98" s="32">
        <v>104</v>
      </c>
      <c r="AP98" s="32">
        <v>83</v>
      </c>
      <c r="AQ98" s="32">
        <v>67</v>
      </c>
      <c r="AR98" s="32">
        <v>40</v>
      </c>
      <c r="AS98" s="32">
        <v>76</v>
      </c>
    </row>
    <row r="99" spans="1:45">
      <c r="A99" s="30" t="s">
        <v>676</v>
      </c>
      <c r="B99" s="30" t="s">
        <v>633</v>
      </c>
      <c r="C99" s="30" t="s">
        <v>677</v>
      </c>
      <c r="D99" s="30" t="s">
        <v>587</v>
      </c>
      <c r="E99" s="30" t="s">
        <v>792</v>
      </c>
      <c r="F99" s="30" t="s">
        <v>88</v>
      </c>
      <c r="G99" s="30" t="s">
        <v>235</v>
      </c>
      <c r="H99" s="30" t="s">
        <v>680</v>
      </c>
      <c r="I99" s="32">
        <v>58</v>
      </c>
      <c r="J99" s="32">
        <v>50</v>
      </c>
      <c r="K99" s="32">
        <v>46</v>
      </c>
      <c r="L99" s="32">
        <v>71</v>
      </c>
      <c r="M99" s="32">
        <v>42</v>
      </c>
      <c r="N99" s="32">
        <v>61</v>
      </c>
      <c r="O99" s="32">
        <v>86</v>
      </c>
      <c r="P99" s="32">
        <v>120</v>
      </c>
      <c r="Q99" s="32">
        <v>51</v>
      </c>
      <c r="R99" s="32">
        <v>58</v>
      </c>
      <c r="S99" s="32">
        <v>40</v>
      </c>
      <c r="T99" s="32">
        <v>31</v>
      </c>
      <c r="U99" s="32">
        <v>60</v>
      </c>
      <c r="V99" s="32">
        <v>29</v>
      </c>
      <c r="W99" s="32">
        <v>42</v>
      </c>
      <c r="X99" s="32">
        <v>35</v>
      </c>
      <c r="Y99" s="32">
        <v>64</v>
      </c>
      <c r="Z99" s="32">
        <v>43.005800000000001</v>
      </c>
      <c r="AA99" s="32">
        <v>98.118700000000004</v>
      </c>
      <c r="AB99" s="32">
        <v>51</v>
      </c>
      <c r="AC99" s="32">
        <v>58</v>
      </c>
      <c r="AD99" s="32">
        <v>67</v>
      </c>
      <c r="AE99" s="32">
        <v>39</v>
      </c>
      <c r="AF99" s="32">
        <v>53</v>
      </c>
      <c r="AG99" s="32">
        <v>93</v>
      </c>
      <c r="AH99" s="32">
        <v>71</v>
      </c>
      <c r="AI99" s="32">
        <v>69</v>
      </c>
      <c r="AJ99" s="32">
        <v>60</v>
      </c>
      <c r="AK99" s="32">
        <v>96</v>
      </c>
      <c r="AL99" s="32">
        <v>64</v>
      </c>
      <c r="AM99" s="32">
        <v>115</v>
      </c>
      <c r="AN99" s="32">
        <v>96</v>
      </c>
      <c r="AO99" s="32">
        <v>98</v>
      </c>
      <c r="AP99" s="32">
        <v>91</v>
      </c>
      <c r="AQ99" s="32">
        <v>88</v>
      </c>
      <c r="AR99" s="32">
        <v>76</v>
      </c>
      <c r="AS99" s="32">
        <v>181</v>
      </c>
    </row>
    <row r="100" spans="1:45">
      <c r="A100" s="30" t="s">
        <v>676</v>
      </c>
      <c r="B100" s="30" t="s">
        <v>633</v>
      </c>
      <c r="C100" s="30" t="s">
        <v>677</v>
      </c>
      <c r="D100" s="30" t="s">
        <v>587</v>
      </c>
      <c r="E100" s="30" t="s">
        <v>793</v>
      </c>
      <c r="F100" s="30" t="s">
        <v>104</v>
      </c>
      <c r="G100" s="30" t="s">
        <v>236</v>
      </c>
      <c r="H100" s="30" t="s">
        <v>680</v>
      </c>
      <c r="I100" s="32">
        <v>239</v>
      </c>
      <c r="J100" s="32">
        <v>190.15469999999999</v>
      </c>
      <c r="K100" s="32">
        <v>220</v>
      </c>
      <c r="L100" s="32">
        <v>212</v>
      </c>
      <c r="M100" s="32">
        <v>181</v>
      </c>
      <c r="N100" s="32">
        <v>218</v>
      </c>
      <c r="O100" s="32">
        <v>303</v>
      </c>
      <c r="P100" s="32">
        <v>357</v>
      </c>
      <c r="Q100" s="32">
        <v>213</v>
      </c>
      <c r="R100" s="32">
        <v>256</v>
      </c>
      <c r="S100" s="32">
        <v>151</v>
      </c>
      <c r="T100" s="32">
        <v>130</v>
      </c>
      <c r="U100" s="32">
        <v>208</v>
      </c>
      <c r="V100" s="32">
        <v>112.3947</v>
      </c>
      <c r="W100" s="32">
        <v>191</v>
      </c>
      <c r="X100" s="32">
        <v>175</v>
      </c>
      <c r="Y100" s="32">
        <v>150</v>
      </c>
      <c r="Z100" s="32">
        <v>161</v>
      </c>
      <c r="AA100" s="32">
        <v>339.37180000000001</v>
      </c>
      <c r="AB100" s="32">
        <v>211</v>
      </c>
      <c r="AC100" s="32">
        <v>267</v>
      </c>
      <c r="AD100" s="32">
        <v>393</v>
      </c>
      <c r="AE100" s="32">
        <v>202</v>
      </c>
      <c r="AF100" s="31">
        <v>0</v>
      </c>
      <c r="AG100" s="31">
        <v>0</v>
      </c>
      <c r="AH100" s="31">
        <v>0</v>
      </c>
      <c r="AI100" s="31">
        <v>0</v>
      </c>
      <c r="AJ100" s="32">
        <v>1</v>
      </c>
      <c r="AK100" s="31">
        <v>0</v>
      </c>
      <c r="AL100" s="31">
        <v>0</v>
      </c>
      <c r="AM100" s="32">
        <v>1</v>
      </c>
      <c r="AN100" s="32">
        <v>1</v>
      </c>
      <c r="AO100" s="31">
        <v>0</v>
      </c>
      <c r="AP100" s="31">
        <v>0</v>
      </c>
      <c r="AQ100" s="31">
        <v>0</v>
      </c>
      <c r="AR100" s="31">
        <v>0</v>
      </c>
      <c r="AS100" s="31">
        <v>0</v>
      </c>
    </row>
    <row r="101" spans="1:45">
      <c r="A101" s="30" t="s">
        <v>676</v>
      </c>
      <c r="B101" s="30" t="s">
        <v>633</v>
      </c>
      <c r="C101" s="30" t="s">
        <v>677</v>
      </c>
      <c r="D101" s="30" t="s">
        <v>587</v>
      </c>
      <c r="E101" s="30" t="s">
        <v>793</v>
      </c>
      <c r="F101" s="30" t="s">
        <v>104</v>
      </c>
      <c r="G101" s="30" t="s">
        <v>794</v>
      </c>
      <c r="H101" s="30" t="s">
        <v>680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2">
        <v>207</v>
      </c>
      <c r="AG101" s="32">
        <v>345</v>
      </c>
      <c r="AH101" s="32">
        <v>294</v>
      </c>
      <c r="AI101" s="32">
        <v>241</v>
      </c>
      <c r="AJ101" s="32">
        <v>298</v>
      </c>
      <c r="AK101" s="32">
        <v>437</v>
      </c>
      <c r="AL101" s="32">
        <v>285</v>
      </c>
      <c r="AM101" s="32">
        <v>381</v>
      </c>
      <c r="AN101" s="32">
        <v>344</v>
      </c>
      <c r="AO101" s="32">
        <v>345</v>
      </c>
      <c r="AP101" s="32">
        <v>382</v>
      </c>
      <c r="AQ101" s="32">
        <v>341</v>
      </c>
      <c r="AR101" s="32">
        <v>263</v>
      </c>
      <c r="AS101" s="32">
        <v>535</v>
      </c>
    </row>
    <row r="102" spans="1:45">
      <c r="A102" s="30" t="s">
        <v>676</v>
      </c>
      <c r="B102" s="30" t="s">
        <v>633</v>
      </c>
      <c r="C102" s="30" t="s">
        <v>677</v>
      </c>
      <c r="D102" s="30" t="s">
        <v>587</v>
      </c>
      <c r="E102" s="30" t="s">
        <v>795</v>
      </c>
      <c r="F102" s="30" t="s">
        <v>104</v>
      </c>
      <c r="G102" s="30" t="s">
        <v>237</v>
      </c>
      <c r="H102" s="30" t="s">
        <v>680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2">
        <v>130</v>
      </c>
      <c r="AN102" s="32">
        <v>122</v>
      </c>
      <c r="AO102" s="32">
        <v>236</v>
      </c>
      <c r="AP102" s="32">
        <v>263</v>
      </c>
      <c r="AQ102" s="32">
        <v>288</v>
      </c>
      <c r="AR102" s="32">
        <v>219</v>
      </c>
      <c r="AS102" s="32">
        <v>347</v>
      </c>
    </row>
    <row r="103" spans="1:45">
      <c r="A103" s="30" t="s">
        <v>676</v>
      </c>
      <c r="B103" s="30" t="s">
        <v>633</v>
      </c>
      <c r="C103" s="30" t="s">
        <v>677</v>
      </c>
      <c r="D103" s="30" t="s">
        <v>587</v>
      </c>
      <c r="E103" s="30" t="s">
        <v>796</v>
      </c>
      <c r="F103" s="30" t="s">
        <v>88</v>
      </c>
      <c r="G103" s="30" t="s">
        <v>238</v>
      </c>
      <c r="H103" s="30" t="s">
        <v>680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2">
        <v>55</v>
      </c>
      <c r="AI103" s="32">
        <v>114</v>
      </c>
      <c r="AJ103" s="32">
        <v>146</v>
      </c>
      <c r="AK103" s="32">
        <v>116</v>
      </c>
      <c r="AL103" s="32">
        <v>124</v>
      </c>
      <c r="AM103" s="32">
        <v>246</v>
      </c>
      <c r="AN103" s="32">
        <v>238</v>
      </c>
      <c r="AO103" s="32">
        <v>240</v>
      </c>
      <c r="AP103" s="32">
        <v>344</v>
      </c>
      <c r="AQ103" s="32">
        <v>292</v>
      </c>
      <c r="AR103" s="32">
        <v>286</v>
      </c>
      <c r="AS103" s="32">
        <v>290</v>
      </c>
    </row>
    <row r="104" spans="1:45">
      <c r="A104" s="30" t="s">
        <v>676</v>
      </c>
      <c r="B104" s="30" t="s">
        <v>633</v>
      </c>
      <c r="C104" s="30" t="s">
        <v>677</v>
      </c>
      <c r="D104" s="30" t="s">
        <v>587</v>
      </c>
      <c r="E104" s="30" t="s">
        <v>797</v>
      </c>
      <c r="F104" s="30" t="s">
        <v>100</v>
      </c>
      <c r="G104" s="30" t="s">
        <v>239</v>
      </c>
      <c r="H104" s="30" t="s">
        <v>680</v>
      </c>
      <c r="I104" s="32">
        <v>92</v>
      </c>
      <c r="J104" s="32">
        <v>146.15469999999999</v>
      </c>
      <c r="K104" s="32">
        <v>89</v>
      </c>
      <c r="L104" s="32">
        <v>142</v>
      </c>
      <c r="M104" s="32">
        <v>144</v>
      </c>
      <c r="N104" s="32">
        <v>144</v>
      </c>
      <c r="O104" s="32">
        <v>208</v>
      </c>
      <c r="P104" s="32">
        <v>285</v>
      </c>
      <c r="Q104" s="32">
        <v>166</v>
      </c>
      <c r="R104" s="32">
        <v>121</v>
      </c>
      <c r="S104" s="32">
        <v>119</v>
      </c>
      <c r="T104" s="32">
        <v>134</v>
      </c>
      <c r="U104" s="32">
        <v>155</v>
      </c>
      <c r="V104" s="32">
        <v>102.5921</v>
      </c>
      <c r="W104" s="32">
        <v>134</v>
      </c>
      <c r="X104" s="32">
        <v>76</v>
      </c>
      <c r="Y104" s="32">
        <v>62</v>
      </c>
      <c r="Z104" s="32">
        <v>51</v>
      </c>
      <c r="AA104" s="32">
        <v>229</v>
      </c>
      <c r="AB104" s="32">
        <v>57</v>
      </c>
      <c r="AC104" s="32">
        <v>124</v>
      </c>
      <c r="AD104" s="32">
        <v>77</v>
      </c>
      <c r="AE104" s="32">
        <v>130</v>
      </c>
      <c r="AF104" s="32">
        <v>139</v>
      </c>
      <c r="AG104" s="32">
        <v>261</v>
      </c>
      <c r="AH104" s="32">
        <v>151</v>
      </c>
      <c r="AI104" s="32">
        <v>145</v>
      </c>
      <c r="AJ104" s="32">
        <v>170</v>
      </c>
      <c r="AK104" s="32">
        <v>162</v>
      </c>
      <c r="AL104" s="32">
        <v>102</v>
      </c>
      <c r="AM104" s="32">
        <v>150</v>
      </c>
      <c r="AN104" s="32">
        <v>175</v>
      </c>
      <c r="AO104" s="32">
        <v>152</v>
      </c>
      <c r="AP104" s="32">
        <v>112</v>
      </c>
      <c r="AQ104" s="32">
        <v>340</v>
      </c>
      <c r="AR104" s="32">
        <v>368</v>
      </c>
      <c r="AS104" s="32">
        <v>528</v>
      </c>
    </row>
    <row r="105" spans="1:45">
      <c r="A105" s="30" t="s">
        <v>676</v>
      </c>
      <c r="B105" s="30" t="s">
        <v>633</v>
      </c>
      <c r="C105" s="30" t="s">
        <v>677</v>
      </c>
      <c r="D105" s="30" t="s">
        <v>587</v>
      </c>
      <c r="E105" s="30" t="s">
        <v>798</v>
      </c>
      <c r="F105" s="30" t="s">
        <v>628</v>
      </c>
      <c r="G105" s="30" t="s">
        <v>799</v>
      </c>
      <c r="H105" s="30" t="s">
        <v>680</v>
      </c>
      <c r="I105" s="32">
        <v>2</v>
      </c>
      <c r="J105" s="32">
        <v>1</v>
      </c>
      <c r="K105" s="31">
        <v>0</v>
      </c>
      <c r="L105" s="32">
        <v>1</v>
      </c>
      <c r="M105" s="32">
        <v>2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</row>
    <row r="106" spans="1:45">
      <c r="A106" s="30" t="s">
        <v>676</v>
      </c>
      <c r="B106" s="30" t="s">
        <v>633</v>
      </c>
      <c r="C106" s="30" t="s">
        <v>677</v>
      </c>
      <c r="D106" s="30" t="s">
        <v>587</v>
      </c>
      <c r="E106" s="30" t="s">
        <v>800</v>
      </c>
      <c r="F106" s="30" t="s">
        <v>628</v>
      </c>
      <c r="G106" s="30" t="s">
        <v>801</v>
      </c>
      <c r="H106" s="30" t="s">
        <v>680</v>
      </c>
      <c r="I106" s="31">
        <v>0</v>
      </c>
      <c r="J106" s="31">
        <v>0</v>
      </c>
      <c r="K106" s="32">
        <v>1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  <c r="AC106" s="31">
        <v>0</v>
      </c>
      <c r="AD106" s="31">
        <v>0</v>
      </c>
      <c r="AE106" s="31">
        <v>0</v>
      </c>
      <c r="AF106" s="31">
        <v>0</v>
      </c>
      <c r="AG106" s="31">
        <v>0</v>
      </c>
      <c r="AH106" s="31">
        <v>0</v>
      </c>
      <c r="AI106" s="31">
        <v>0</v>
      </c>
      <c r="AJ106" s="31">
        <v>0</v>
      </c>
      <c r="AK106" s="31">
        <v>0</v>
      </c>
      <c r="AL106" s="31">
        <v>0</v>
      </c>
      <c r="AM106" s="31">
        <v>0</v>
      </c>
      <c r="AN106" s="31">
        <v>0</v>
      </c>
      <c r="AO106" s="31">
        <v>0</v>
      </c>
      <c r="AP106" s="31">
        <v>0</v>
      </c>
      <c r="AQ106" s="31">
        <v>0</v>
      </c>
      <c r="AR106" s="31">
        <v>0</v>
      </c>
      <c r="AS106" s="31">
        <v>0</v>
      </c>
    </row>
    <row r="107" spans="1:45">
      <c r="A107" s="30" t="s">
        <v>676</v>
      </c>
      <c r="B107" s="30" t="s">
        <v>633</v>
      </c>
      <c r="C107" s="30" t="s">
        <v>677</v>
      </c>
      <c r="D107" s="30" t="s">
        <v>587</v>
      </c>
      <c r="E107" s="30" t="s">
        <v>802</v>
      </c>
      <c r="F107" s="30" t="s">
        <v>628</v>
      </c>
      <c r="G107" s="30" t="s">
        <v>803</v>
      </c>
      <c r="H107" s="30" t="s">
        <v>680</v>
      </c>
      <c r="I107" s="31">
        <v>0</v>
      </c>
      <c r="J107" s="31">
        <v>0</v>
      </c>
      <c r="K107" s="31">
        <v>0</v>
      </c>
      <c r="L107" s="32">
        <v>2</v>
      </c>
      <c r="M107" s="31">
        <v>0</v>
      </c>
      <c r="N107" s="31">
        <v>0</v>
      </c>
      <c r="O107" s="32">
        <v>1</v>
      </c>
      <c r="P107" s="31">
        <v>0</v>
      </c>
      <c r="Q107" s="31">
        <v>0</v>
      </c>
      <c r="R107" s="32">
        <v>1</v>
      </c>
      <c r="S107" s="32">
        <v>1</v>
      </c>
      <c r="T107" s="31">
        <v>0</v>
      </c>
      <c r="U107" s="32">
        <v>1</v>
      </c>
      <c r="V107" s="31">
        <v>0</v>
      </c>
      <c r="W107" s="31">
        <v>0</v>
      </c>
      <c r="X107" s="32">
        <v>1</v>
      </c>
      <c r="Y107" s="31">
        <v>0</v>
      </c>
      <c r="Z107" s="31">
        <v>0</v>
      </c>
      <c r="AA107" s="31">
        <v>0</v>
      </c>
      <c r="AB107" s="31">
        <v>0</v>
      </c>
      <c r="AC107" s="31">
        <v>0</v>
      </c>
      <c r="AD107" s="31">
        <v>0</v>
      </c>
      <c r="AE107" s="31">
        <v>0</v>
      </c>
      <c r="AF107" s="31">
        <v>0</v>
      </c>
      <c r="AG107" s="31">
        <v>0</v>
      </c>
      <c r="AH107" s="31">
        <v>0</v>
      </c>
      <c r="AI107" s="31">
        <v>0</v>
      </c>
      <c r="AJ107" s="31">
        <v>0</v>
      </c>
      <c r="AK107" s="31">
        <v>0</v>
      </c>
      <c r="AL107" s="31">
        <v>0</v>
      </c>
      <c r="AM107" s="31">
        <v>0</v>
      </c>
      <c r="AN107" s="31">
        <v>0</v>
      </c>
      <c r="AO107" s="31">
        <v>0</v>
      </c>
      <c r="AP107" s="31">
        <v>0</v>
      </c>
      <c r="AQ107" s="31">
        <v>0</v>
      </c>
      <c r="AR107" s="31">
        <v>0</v>
      </c>
      <c r="AS107" s="31">
        <v>0</v>
      </c>
    </row>
    <row r="108" spans="1:45">
      <c r="A108" s="30" t="s">
        <v>676</v>
      </c>
      <c r="B108" s="30" t="s">
        <v>633</v>
      </c>
      <c r="C108" s="30" t="s">
        <v>677</v>
      </c>
      <c r="D108" s="30" t="s">
        <v>587</v>
      </c>
      <c r="E108" s="30" t="s">
        <v>804</v>
      </c>
      <c r="F108" s="30" t="s">
        <v>103</v>
      </c>
      <c r="G108" s="30" t="s">
        <v>240</v>
      </c>
      <c r="H108" s="30" t="s">
        <v>680</v>
      </c>
      <c r="I108" s="32">
        <v>89</v>
      </c>
      <c r="J108" s="32">
        <v>46</v>
      </c>
      <c r="K108" s="32">
        <v>74</v>
      </c>
      <c r="L108" s="32">
        <v>96</v>
      </c>
      <c r="M108" s="32">
        <v>70</v>
      </c>
      <c r="N108" s="32">
        <v>62</v>
      </c>
      <c r="O108" s="32">
        <v>96</v>
      </c>
      <c r="P108" s="32">
        <v>72</v>
      </c>
      <c r="Q108" s="32">
        <v>55</v>
      </c>
      <c r="R108" s="32">
        <v>41</v>
      </c>
      <c r="S108" s="32">
        <v>17</v>
      </c>
      <c r="T108" s="32">
        <v>11</v>
      </c>
      <c r="U108" s="32">
        <v>11</v>
      </c>
      <c r="V108" s="32">
        <v>6</v>
      </c>
      <c r="W108" s="32">
        <v>25</v>
      </c>
      <c r="X108" s="32">
        <v>11</v>
      </c>
      <c r="Y108" s="32">
        <v>13</v>
      </c>
      <c r="Z108" s="32">
        <v>8</v>
      </c>
      <c r="AA108" s="32">
        <v>8</v>
      </c>
      <c r="AB108" s="32">
        <v>6</v>
      </c>
      <c r="AC108" s="32">
        <v>7</v>
      </c>
      <c r="AD108" s="32">
        <v>5</v>
      </c>
      <c r="AE108" s="32">
        <v>3</v>
      </c>
      <c r="AF108" s="32">
        <v>7</v>
      </c>
      <c r="AG108" s="32">
        <v>5</v>
      </c>
      <c r="AH108" s="32">
        <v>1</v>
      </c>
      <c r="AI108" s="31">
        <v>0</v>
      </c>
      <c r="AJ108" s="31">
        <v>0</v>
      </c>
      <c r="AK108" s="31">
        <v>0</v>
      </c>
      <c r="AL108" s="31">
        <v>0</v>
      </c>
      <c r="AM108" s="31">
        <v>0</v>
      </c>
      <c r="AN108" s="31">
        <v>0</v>
      </c>
      <c r="AO108" s="32">
        <v>1</v>
      </c>
      <c r="AP108" s="31">
        <v>0</v>
      </c>
      <c r="AQ108" s="31">
        <v>0</v>
      </c>
      <c r="AR108" s="31">
        <v>0</v>
      </c>
      <c r="AS108" s="31">
        <v>0</v>
      </c>
    </row>
    <row r="109" spans="1:45">
      <c r="A109" s="30" t="s">
        <v>676</v>
      </c>
      <c r="B109" s="30" t="s">
        <v>633</v>
      </c>
      <c r="C109" s="30" t="s">
        <v>677</v>
      </c>
      <c r="D109" s="30" t="s">
        <v>587</v>
      </c>
      <c r="E109" s="30" t="s">
        <v>805</v>
      </c>
      <c r="F109" s="30" t="s">
        <v>103</v>
      </c>
      <c r="G109" s="30" t="s">
        <v>241</v>
      </c>
      <c r="H109" s="30" t="s">
        <v>680</v>
      </c>
      <c r="I109" s="32">
        <v>83</v>
      </c>
      <c r="J109" s="32">
        <v>52</v>
      </c>
      <c r="K109" s="32">
        <v>53</v>
      </c>
      <c r="L109" s="32">
        <v>59</v>
      </c>
      <c r="M109" s="32">
        <v>45</v>
      </c>
      <c r="N109" s="32">
        <v>73</v>
      </c>
      <c r="O109" s="32">
        <v>48</v>
      </c>
      <c r="P109" s="32">
        <v>41</v>
      </c>
      <c r="Q109" s="32">
        <v>26</v>
      </c>
      <c r="R109" s="32">
        <v>30</v>
      </c>
      <c r="S109" s="32">
        <v>14</v>
      </c>
      <c r="T109" s="32">
        <v>8</v>
      </c>
      <c r="U109" s="32">
        <v>15</v>
      </c>
      <c r="V109" s="32">
        <v>3</v>
      </c>
      <c r="W109" s="32">
        <v>6</v>
      </c>
      <c r="X109" s="32">
        <v>10</v>
      </c>
      <c r="Y109" s="32">
        <v>7</v>
      </c>
      <c r="Z109" s="32">
        <v>9</v>
      </c>
      <c r="AA109" s="32">
        <v>5</v>
      </c>
      <c r="AB109" s="32">
        <v>2</v>
      </c>
      <c r="AC109" s="32">
        <v>1</v>
      </c>
      <c r="AD109" s="32">
        <v>2</v>
      </c>
      <c r="AE109" s="31">
        <v>0</v>
      </c>
      <c r="AF109" s="31">
        <v>0</v>
      </c>
      <c r="AG109" s="32">
        <v>2</v>
      </c>
      <c r="AH109" s="31">
        <v>0</v>
      </c>
      <c r="AI109" s="31">
        <v>0</v>
      </c>
      <c r="AJ109" s="32">
        <v>1</v>
      </c>
      <c r="AK109" s="31">
        <v>0</v>
      </c>
      <c r="AL109" s="31">
        <v>0</v>
      </c>
      <c r="AM109" s="31">
        <v>0</v>
      </c>
      <c r="AN109" s="32">
        <v>1</v>
      </c>
      <c r="AO109" s="31">
        <v>0</v>
      </c>
      <c r="AP109" s="32">
        <v>1</v>
      </c>
      <c r="AQ109" s="31">
        <v>0</v>
      </c>
      <c r="AR109" s="32">
        <v>1</v>
      </c>
      <c r="AS109" s="32">
        <v>1</v>
      </c>
    </row>
    <row r="110" spans="1:45">
      <c r="A110" s="30" t="s">
        <v>676</v>
      </c>
      <c r="B110" s="30" t="s">
        <v>633</v>
      </c>
      <c r="C110" s="30" t="s">
        <v>677</v>
      </c>
      <c r="D110" s="30" t="s">
        <v>587</v>
      </c>
      <c r="E110" s="30" t="s">
        <v>806</v>
      </c>
      <c r="F110" s="30" t="s">
        <v>103</v>
      </c>
      <c r="G110" s="30" t="s">
        <v>242</v>
      </c>
      <c r="H110" s="30" t="s">
        <v>680</v>
      </c>
      <c r="I110" s="32">
        <v>15</v>
      </c>
      <c r="J110" s="32">
        <v>143</v>
      </c>
      <c r="K110" s="32">
        <v>100</v>
      </c>
      <c r="L110" s="32">
        <v>145</v>
      </c>
      <c r="M110" s="32">
        <v>115</v>
      </c>
      <c r="N110" s="32">
        <v>173</v>
      </c>
      <c r="O110" s="32">
        <v>209</v>
      </c>
      <c r="P110" s="32">
        <v>277</v>
      </c>
      <c r="Q110" s="32">
        <v>137</v>
      </c>
      <c r="R110" s="32">
        <v>153</v>
      </c>
      <c r="S110" s="32">
        <v>109</v>
      </c>
      <c r="T110" s="32">
        <v>90</v>
      </c>
      <c r="U110" s="32">
        <v>153</v>
      </c>
      <c r="V110" s="32">
        <v>72</v>
      </c>
      <c r="W110" s="32">
        <v>112</v>
      </c>
      <c r="X110" s="32">
        <v>96</v>
      </c>
      <c r="Y110" s="32">
        <v>112</v>
      </c>
      <c r="Z110" s="32">
        <v>94</v>
      </c>
      <c r="AA110" s="32">
        <v>155</v>
      </c>
      <c r="AB110" s="32">
        <v>152</v>
      </c>
      <c r="AC110" s="32">
        <v>131</v>
      </c>
      <c r="AD110" s="32">
        <v>230</v>
      </c>
      <c r="AE110" s="32">
        <v>110</v>
      </c>
      <c r="AF110" s="32">
        <v>113</v>
      </c>
      <c r="AG110" s="32">
        <v>202</v>
      </c>
      <c r="AH110" s="32">
        <v>126</v>
      </c>
      <c r="AI110" s="32">
        <v>72</v>
      </c>
      <c r="AJ110" s="32">
        <v>185</v>
      </c>
      <c r="AK110" s="32">
        <v>122</v>
      </c>
      <c r="AL110" s="32">
        <v>151</v>
      </c>
      <c r="AM110" s="32">
        <v>189</v>
      </c>
      <c r="AN110" s="32">
        <v>182</v>
      </c>
      <c r="AO110" s="32">
        <v>261</v>
      </c>
      <c r="AP110" s="32">
        <v>261</v>
      </c>
      <c r="AQ110" s="32">
        <v>122</v>
      </c>
      <c r="AR110" s="32">
        <v>63</v>
      </c>
      <c r="AS110" s="32">
        <v>149</v>
      </c>
    </row>
    <row r="111" spans="1:45">
      <c r="A111" s="30" t="s">
        <v>676</v>
      </c>
      <c r="B111" s="30" t="s">
        <v>633</v>
      </c>
      <c r="C111" s="30" t="s">
        <v>677</v>
      </c>
      <c r="D111" s="30" t="s">
        <v>587</v>
      </c>
      <c r="E111" s="30" t="s">
        <v>807</v>
      </c>
      <c r="F111" s="30" t="s">
        <v>101</v>
      </c>
      <c r="G111" s="30" t="s">
        <v>808</v>
      </c>
      <c r="H111" s="30" t="s">
        <v>680</v>
      </c>
      <c r="I111" s="32">
        <v>6</v>
      </c>
      <c r="J111" s="32">
        <v>3</v>
      </c>
      <c r="K111" s="32">
        <v>6</v>
      </c>
      <c r="L111" s="32">
        <v>1</v>
      </c>
      <c r="M111" s="32">
        <v>4</v>
      </c>
      <c r="N111" s="32">
        <v>3</v>
      </c>
      <c r="O111" s="32">
        <v>2</v>
      </c>
      <c r="P111" s="32">
        <v>1</v>
      </c>
      <c r="Q111" s="31">
        <v>0</v>
      </c>
      <c r="R111" s="32">
        <v>3</v>
      </c>
      <c r="S111" s="32">
        <v>3</v>
      </c>
      <c r="T111" s="31">
        <v>0</v>
      </c>
      <c r="U111" s="32">
        <v>1</v>
      </c>
      <c r="V111" s="32">
        <v>1</v>
      </c>
      <c r="W111" s="32">
        <v>1</v>
      </c>
      <c r="X111" s="32">
        <v>4</v>
      </c>
      <c r="Y111" s="32">
        <v>6</v>
      </c>
      <c r="Z111" s="31">
        <v>0</v>
      </c>
      <c r="AA111" s="32">
        <v>3</v>
      </c>
      <c r="AB111" s="32">
        <v>1</v>
      </c>
      <c r="AC111" s="31">
        <v>0</v>
      </c>
      <c r="AD111" s="31">
        <v>0</v>
      </c>
      <c r="AE111" s="31">
        <v>0</v>
      </c>
      <c r="AF111" s="31">
        <v>0</v>
      </c>
      <c r="AG111" s="31">
        <v>0</v>
      </c>
      <c r="AH111" s="31">
        <v>0</v>
      </c>
      <c r="AI111" s="31">
        <v>0</v>
      </c>
      <c r="AJ111" s="31">
        <v>0</v>
      </c>
      <c r="AK111" s="31">
        <v>0</v>
      </c>
      <c r="AL111" s="31">
        <v>0</v>
      </c>
      <c r="AM111" s="31">
        <v>0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</row>
    <row r="112" spans="1:45">
      <c r="A112" s="30" t="s">
        <v>676</v>
      </c>
      <c r="B112" s="30" t="s">
        <v>633</v>
      </c>
      <c r="C112" s="30" t="s">
        <v>677</v>
      </c>
      <c r="D112" s="30" t="s">
        <v>587</v>
      </c>
      <c r="E112" s="30" t="s">
        <v>809</v>
      </c>
      <c r="F112" s="30" t="s">
        <v>88</v>
      </c>
      <c r="G112" s="30" t="s">
        <v>243</v>
      </c>
      <c r="H112" s="30" t="s">
        <v>680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0</v>
      </c>
      <c r="AC112" s="31">
        <v>0</v>
      </c>
      <c r="AD112" s="32">
        <v>203</v>
      </c>
      <c r="AE112" s="32">
        <v>150</v>
      </c>
      <c r="AF112" s="32">
        <v>121</v>
      </c>
      <c r="AG112" s="32">
        <v>377</v>
      </c>
      <c r="AH112" s="32">
        <v>357</v>
      </c>
      <c r="AI112" s="32">
        <v>450</v>
      </c>
      <c r="AJ112" s="32">
        <v>627</v>
      </c>
      <c r="AK112" s="32">
        <v>530</v>
      </c>
      <c r="AL112" s="32">
        <v>649</v>
      </c>
      <c r="AM112" s="32">
        <v>993</v>
      </c>
      <c r="AN112" s="32">
        <v>726</v>
      </c>
      <c r="AO112" s="32">
        <v>670</v>
      </c>
      <c r="AP112" s="32">
        <v>763</v>
      </c>
      <c r="AQ112" s="32">
        <v>610</v>
      </c>
      <c r="AR112" s="32">
        <v>541</v>
      </c>
      <c r="AS112" s="32">
        <v>561</v>
      </c>
    </row>
    <row r="113" spans="1:45">
      <c r="A113" s="30" t="s">
        <v>676</v>
      </c>
      <c r="B113" s="30" t="s">
        <v>633</v>
      </c>
      <c r="C113" s="30" t="s">
        <v>677</v>
      </c>
      <c r="D113" s="30" t="s">
        <v>587</v>
      </c>
      <c r="E113" s="30" t="s">
        <v>810</v>
      </c>
      <c r="F113" s="30" t="s">
        <v>99</v>
      </c>
      <c r="G113" s="30" t="s">
        <v>244</v>
      </c>
      <c r="H113" s="30" t="s">
        <v>680</v>
      </c>
      <c r="I113" s="32">
        <v>128</v>
      </c>
      <c r="J113" s="32">
        <v>77</v>
      </c>
      <c r="K113" s="32">
        <v>117</v>
      </c>
      <c r="L113" s="32">
        <v>95</v>
      </c>
      <c r="M113" s="32">
        <v>48</v>
      </c>
      <c r="N113" s="32">
        <v>50</v>
      </c>
      <c r="O113" s="32">
        <v>57</v>
      </c>
      <c r="P113" s="32">
        <v>42</v>
      </c>
      <c r="Q113" s="32">
        <v>37</v>
      </c>
      <c r="R113" s="32">
        <v>26</v>
      </c>
      <c r="S113" s="32">
        <v>25</v>
      </c>
      <c r="T113" s="32">
        <v>10</v>
      </c>
      <c r="U113" s="32">
        <v>13</v>
      </c>
      <c r="V113" s="32">
        <v>11.3947</v>
      </c>
      <c r="W113" s="32">
        <v>12</v>
      </c>
      <c r="X113" s="32">
        <v>12</v>
      </c>
      <c r="Y113" s="32">
        <v>18</v>
      </c>
      <c r="Z113" s="32">
        <v>15</v>
      </c>
      <c r="AA113" s="32">
        <v>33</v>
      </c>
      <c r="AB113" s="32">
        <v>25</v>
      </c>
      <c r="AC113" s="32">
        <v>22</v>
      </c>
      <c r="AD113" s="32">
        <v>23</v>
      </c>
      <c r="AE113" s="32">
        <v>7</v>
      </c>
      <c r="AF113" s="32">
        <v>1</v>
      </c>
      <c r="AG113" s="32">
        <v>1</v>
      </c>
      <c r="AH113" s="32">
        <v>2</v>
      </c>
      <c r="AI113" s="32">
        <v>1</v>
      </c>
      <c r="AJ113" s="32">
        <v>1</v>
      </c>
      <c r="AK113" s="31">
        <v>0</v>
      </c>
      <c r="AL113" s="31">
        <v>0</v>
      </c>
      <c r="AM113" s="32">
        <v>1</v>
      </c>
      <c r="AN113" s="31">
        <v>0</v>
      </c>
      <c r="AO113" s="31">
        <v>0</v>
      </c>
      <c r="AP113" s="31">
        <v>0</v>
      </c>
      <c r="AQ113" s="31">
        <v>0</v>
      </c>
      <c r="AR113" s="31">
        <v>0</v>
      </c>
      <c r="AS113" s="31">
        <v>0</v>
      </c>
    </row>
    <row r="114" spans="1:45">
      <c r="A114" s="30" t="s">
        <v>676</v>
      </c>
      <c r="B114" s="30" t="s">
        <v>633</v>
      </c>
      <c r="C114" s="30" t="s">
        <v>677</v>
      </c>
      <c r="D114" s="30" t="s">
        <v>587</v>
      </c>
      <c r="E114" s="30" t="s">
        <v>811</v>
      </c>
      <c r="F114" s="30" t="s">
        <v>98</v>
      </c>
      <c r="G114" s="30" t="s">
        <v>812</v>
      </c>
      <c r="H114" s="30" t="s">
        <v>680</v>
      </c>
      <c r="I114" s="32">
        <v>11</v>
      </c>
      <c r="J114" s="32">
        <v>13</v>
      </c>
      <c r="K114" s="32">
        <v>17</v>
      </c>
      <c r="L114" s="32">
        <v>19</v>
      </c>
      <c r="M114" s="32">
        <v>17</v>
      </c>
      <c r="N114" s="32">
        <v>9</v>
      </c>
      <c r="O114" s="32">
        <v>32</v>
      </c>
      <c r="P114" s="32">
        <v>19</v>
      </c>
      <c r="Q114" s="32">
        <v>17</v>
      </c>
      <c r="R114" s="32">
        <v>31</v>
      </c>
      <c r="S114" s="32">
        <v>11</v>
      </c>
      <c r="T114" s="32">
        <v>18</v>
      </c>
      <c r="U114" s="32">
        <v>23.217700000000001</v>
      </c>
      <c r="V114" s="32">
        <v>17</v>
      </c>
      <c r="W114" s="32">
        <v>14</v>
      </c>
      <c r="X114" s="32">
        <v>17</v>
      </c>
      <c r="Y114" s="32">
        <v>19</v>
      </c>
      <c r="Z114" s="32">
        <v>24</v>
      </c>
      <c r="AA114" s="32">
        <v>55</v>
      </c>
      <c r="AB114" s="32">
        <v>40</v>
      </c>
      <c r="AC114" s="32">
        <v>27</v>
      </c>
      <c r="AD114" s="32">
        <v>30</v>
      </c>
      <c r="AE114" s="32">
        <v>12</v>
      </c>
      <c r="AF114" s="32">
        <v>8</v>
      </c>
      <c r="AG114" s="32">
        <v>20</v>
      </c>
      <c r="AH114" s="32">
        <v>9</v>
      </c>
      <c r="AI114" s="32">
        <v>5</v>
      </c>
      <c r="AJ114" s="32">
        <v>6</v>
      </c>
      <c r="AK114" s="32">
        <v>5</v>
      </c>
      <c r="AL114" s="32">
        <v>7</v>
      </c>
      <c r="AM114" s="32">
        <v>3</v>
      </c>
      <c r="AN114" s="32">
        <v>1</v>
      </c>
      <c r="AO114" s="32">
        <v>4</v>
      </c>
      <c r="AP114" s="32">
        <v>2</v>
      </c>
      <c r="AQ114" s="32">
        <v>2</v>
      </c>
      <c r="AR114" s="31">
        <v>0</v>
      </c>
      <c r="AS114" s="31">
        <v>0</v>
      </c>
    </row>
    <row r="115" spans="1:45">
      <c r="A115" s="30" t="s">
        <v>676</v>
      </c>
      <c r="B115" s="30" t="s">
        <v>633</v>
      </c>
      <c r="C115" s="30" t="s">
        <v>677</v>
      </c>
      <c r="D115" s="30" t="s">
        <v>587</v>
      </c>
      <c r="E115" s="30" t="s">
        <v>813</v>
      </c>
      <c r="F115" s="30" t="s">
        <v>99</v>
      </c>
      <c r="G115" s="30" t="s">
        <v>245</v>
      </c>
      <c r="H115" s="30" t="s">
        <v>680</v>
      </c>
      <c r="I115" s="32">
        <v>101</v>
      </c>
      <c r="J115" s="32">
        <v>78</v>
      </c>
      <c r="K115" s="32">
        <v>88</v>
      </c>
      <c r="L115" s="32">
        <v>89</v>
      </c>
      <c r="M115" s="32">
        <v>64</v>
      </c>
      <c r="N115" s="32">
        <v>64</v>
      </c>
      <c r="O115" s="32">
        <v>83</v>
      </c>
      <c r="P115" s="32">
        <v>46</v>
      </c>
      <c r="Q115" s="32">
        <v>35</v>
      </c>
      <c r="R115" s="32">
        <v>40</v>
      </c>
      <c r="S115" s="32">
        <v>24</v>
      </c>
      <c r="T115" s="32">
        <v>11</v>
      </c>
      <c r="U115" s="32">
        <v>24</v>
      </c>
      <c r="V115" s="32">
        <v>8</v>
      </c>
      <c r="W115" s="32">
        <v>10</v>
      </c>
      <c r="X115" s="32">
        <v>16</v>
      </c>
      <c r="Y115" s="32">
        <v>16</v>
      </c>
      <c r="Z115" s="32">
        <v>9</v>
      </c>
      <c r="AA115" s="32">
        <v>12</v>
      </c>
      <c r="AB115" s="32">
        <v>10</v>
      </c>
      <c r="AC115" s="32">
        <v>4</v>
      </c>
      <c r="AD115" s="32">
        <v>20</v>
      </c>
      <c r="AE115" s="32">
        <v>6</v>
      </c>
      <c r="AF115" s="32">
        <v>6</v>
      </c>
      <c r="AG115" s="32">
        <v>8</v>
      </c>
      <c r="AH115" s="32">
        <v>1</v>
      </c>
      <c r="AI115" s="31">
        <v>0</v>
      </c>
      <c r="AJ115" s="31">
        <v>0</v>
      </c>
      <c r="AK115" s="31">
        <v>0</v>
      </c>
      <c r="AL115" s="31">
        <v>0</v>
      </c>
      <c r="AM115" s="31">
        <v>0</v>
      </c>
      <c r="AN115" s="31">
        <v>0</v>
      </c>
      <c r="AO115" s="31">
        <v>0</v>
      </c>
      <c r="AP115" s="31">
        <v>0</v>
      </c>
      <c r="AQ115" s="31">
        <v>0</v>
      </c>
      <c r="AR115" s="31">
        <v>0</v>
      </c>
      <c r="AS115" s="31">
        <v>0</v>
      </c>
    </row>
    <row r="116" spans="1:45">
      <c r="A116" s="30" t="s">
        <v>676</v>
      </c>
      <c r="B116" s="30" t="s">
        <v>633</v>
      </c>
      <c r="C116" s="30" t="s">
        <v>677</v>
      </c>
      <c r="D116" s="30" t="s">
        <v>587</v>
      </c>
      <c r="E116" s="30" t="s">
        <v>814</v>
      </c>
      <c r="F116" s="30" t="s">
        <v>98</v>
      </c>
      <c r="G116" s="30" t="s">
        <v>246</v>
      </c>
      <c r="H116" s="30" t="s">
        <v>680</v>
      </c>
      <c r="I116" s="32">
        <v>104</v>
      </c>
      <c r="J116" s="32">
        <v>70</v>
      </c>
      <c r="K116" s="32">
        <v>108</v>
      </c>
      <c r="L116" s="32">
        <v>102</v>
      </c>
      <c r="M116" s="32">
        <v>61</v>
      </c>
      <c r="N116" s="32">
        <v>61</v>
      </c>
      <c r="O116" s="32">
        <v>104</v>
      </c>
      <c r="P116" s="32">
        <v>55</v>
      </c>
      <c r="Q116" s="32">
        <v>38</v>
      </c>
      <c r="R116" s="32">
        <v>50</v>
      </c>
      <c r="S116" s="32">
        <v>46</v>
      </c>
      <c r="T116" s="32">
        <v>39</v>
      </c>
      <c r="U116" s="32">
        <v>32</v>
      </c>
      <c r="V116" s="32">
        <v>19</v>
      </c>
      <c r="W116" s="32">
        <v>26</v>
      </c>
      <c r="X116" s="32">
        <v>21</v>
      </c>
      <c r="Y116" s="32">
        <v>22</v>
      </c>
      <c r="Z116" s="32">
        <v>14</v>
      </c>
      <c r="AA116" s="32">
        <v>18</v>
      </c>
      <c r="AB116" s="32">
        <v>15</v>
      </c>
      <c r="AC116" s="32">
        <v>17</v>
      </c>
      <c r="AD116" s="32">
        <v>17</v>
      </c>
      <c r="AE116" s="32">
        <v>8</v>
      </c>
      <c r="AF116" s="32">
        <v>3</v>
      </c>
      <c r="AG116" s="32">
        <v>3</v>
      </c>
      <c r="AH116" s="32">
        <v>4</v>
      </c>
      <c r="AI116" s="31">
        <v>0</v>
      </c>
      <c r="AJ116" s="31">
        <v>0</v>
      </c>
      <c r="AK116" s="31">
        <v>0</v>
      </c>
      <c r="AL116" s="31">
        <v>0</v>
      </c>
      <c r="AM116" s="31">
        <v>0</v>
      </c>
      <c r="AN116" s="31">
        <v>0</v>
      </c>
      <c r="AO116" s="31">
        <v>0</v>
      </c>
      <c r="AP116" s="31">
        <v>0</v>
      </c>
      <c r="AQ116" s="31">
        <v>0</v>
      </c>
      <c r="AR116" s="31">
        <v>0</v>
      </c>
      <c r="AS116" s="31">
        <v>0</v>
      </c>
    </row>
    <row r="117" spans="1:45">
      <c r="A117" s="30" t="s">
        <v>676</v>
      </c>
      <c r="B117" s="30" t="s">
        <v>633</v>
      </c>
      <c r="C117" s="30" t="s">
        <v>677</v>
      </c>
      <c r="D117" s="30" t="s">
        <v>587</v>
      </c>
      <c r="E117" s="30" t="s">
        <v>815</v>
      </c>
      <c r="F117" s="30" t="s">
        <v>98</v>
      </c>
      <c r="G117" s="30" t="s">
        <v>247</v>
      </c>
      <c r="H117" s="30" t="s">
        <v>680</v>
      </c>
      <c r="I117" s="32">
        <v>117</v>
      </c>
      <c r="J117" s="32">
        <v>86</v>
      </c>
      <c r="K117" s="32">
        <v>135</v>
      </c>
      <c r="L117" s="32">
        <v>162</v>
      </c>
      <c r="M117" s="32">
        <v>72</v>
      </c>
      <c r="N117" s="32">
        <v>89</v>
      </c>
      <c r="O117" s="32">
        <v>126</v>
      </c>
      <c r="P117" s="32">
        <v>92</v>
      </c>
      <c r="Q117" s="32">
        <v>85</v>
      </c>
      <c r="R117" s="32">
        <v>75</v>
      </c>
      <c r="S117" s="32">
        <v>64</v>
      </c>
      <c r="T117" s="32">
        <v>50</v>
      </c>
      <c r="U117" s="32">
        <v>56</v>
      </c>
      <c r="V117" s="32">
        <v>30</v>
      </c>
      <c r="W117" s="32">
        <v>29</v>
      </c>
      <c r="X117" s="32">
        <v>39</v>
      </c>
      <c r="Y117" s="32">
        <v>39</v>
      </c>
      <c r="Z117" s="32">
        <v>33</v>
      </c>
      <c r="AA117" s="32">
        <v>59</v>
      </c>
      <c r="AB117" s="32">
        <v>26</v>
      </c>
      <c r="AC117" s="32">
        <v>26</v>
      </c>
      <c r="AD117" s="32">
        <v>26</v>
      </c>
      <c r="AE117" s="32">
        <v>17</v>
      </c>
      <c r="AF117" s="32">
        <v>5</v>
      </c>
      <c r="AG117" s="32">
        <v>35</v>
      </c>
      <c r="AH117" s="32">
        <v>6</v>
      </c>
      <c r="AI117" s="32">
        <v>4</v>
      </c>
      <c r="AJ117" s="32">
        <v>2</v>
      </c>
      <c r="AK117" s="32">
        <v>3</v>
      </c>
      <c r="AL117" s="31">
        <v>0</v>
      </c>
      <c r="AM117" s="32">
        <v>4</v>
      </c>
      <c r="AN117" s="32">
        <v>1</v>
      </c>
      <c r="AO117" s="32">
        <v>3</v>
      </c>
      <c r="AP117" s="32">
        <v>4</v>
      </c>
      <c r="AQ117" s="32">
        <v>3</v>
      </c>
      <c r="AR117" s="31">
        <v>0</v>
      </c>
      <c r="AS117" s="32">
        <v>1</v>
      </c>
    </row>
    <row r="118" spans="1:45">
      <c r="A118" s="30" t="s">
        <v>676</v>
      </c>
      <c r="B118" s="30" t="s">
        <v>633</v>
      </c>
      <c r="C118" s="30" t="s">
        <v>677</v>
      </c>
      <c r="D118" s="30" t="s">
        <v>587</v>
      </c>
      <c r="E118" s="30" t="s">
        <v>816</v>
      </c>
      <c r="F118" s="30" t="s">
        <v>98</v>
      </c>
      <c r="G118" s="30" t="s">
        <v>248</v>
      </c>
      <c r="H118" s="30" t="s">
        <v>680</v>
      </c>
      <c r="I118" s="32">
        <v>179</v>
      </c>
      <c r="J118" s="32">
        <v>115</v>
      </c>
      <c r="K118" s="32">
        <v>155</v>
      </c>
      <c r="L118" s="32">
        <v>198</v>
      </c>
      <c r="M118" s="32">
        <v>153</v>
      </c>
      <c r="N118" s="32">
        <v>198</v>
      </c>
      <c r="O118" s="32">
        <v>275</v>
      </c>
      <c r="P118" s="32">
        <v>340.14210000000003</v>
      </c>
      <c r="Q118" s="32">
        <v>195</v>
      </c>
      <c r="R118" s="32">
        <v>219</v>
      </c>
      <c r="S118" s="32">
        <v>103</v>
      </c>
      <c r="T118" s="32">
        <v>98</v>
      </c>
      <c r="U118" s="32">
        <v>209</v>
      </c>
      <c r="V118" s="32">
        <v>90.197400000000002</v>
      </c>
      <c r="W118" s="32">
        <v>159</v>
      </c>
      <c r="X118" s="32">
        <v>125</v>
      </c>
      <c r="Y118" s="32">
        <v>136</v>
      </c>
      <c r="Z118" s="32">
        <v>69</v>
      </c>
      <c r="AA118" s="32">
        <v>203.25309999999999</v>
      </c>
      <c r="AB118" s="32">
        <v>117</v>
      </c>
      <c r="AC118" s="32">
        <v>157</v>
      </c>
      <c r="AD118" s="32">
        <v>182</v>
      </c>
      <c r="AE118" s="32">
        <v>103</v>
      </c>
      <c r="AF118" s="32">
        <v>94</v>
      </c>
      <c r="AG118" s="32">
        <v>200</v>
      </c>
      <c r="AH118" s="32">
        <v>143</v>
      </c>
      <c r="AI118" s="32">
        <v>134</v>
      </c>
      <c r="AJ118" s="32">
        <v>154</v>
      </c>
      <c r="AK118" s="32">
        <v>163</v>
      </c>
      <c r="AL118" s="32">
        <v>78</v>
      </c>
      <c r="AM118" s="32">
        <v>153</v>
      </c>
      <c r="AN118" s="32">
        <v>199</v>
      </c>
      <c r="AO118" s="32">
        <v>203</v>
      </c>
      <c r="AP118" s="32">
        <v>161</v>
      </c>
      <c r="AQ118" s="32">
        <v>101</v>
      </c>
      <c r="AR118" s="32">
        <v>81</v>
      </c>
      <c r="AS118" s="32">
        <v>248</v>
      </c>
    </row>
    <row r="119" spans="1:45">
      <c r="A119" s="30" t="s">
        <v>676</v>
      </c>
      <c r="B119" s="30" t="s">
        <v>633</v>
      </c>
      <c r="C119" s="30" t="s">
        <v>677</v>
      </c>
      <c r="D119" s="30" t="s">
        <v>587</v>
      </c>
      <c r="E119" s="30" t="s">
        <v>817</v>
      </c>
      <c r="F119" s="30" t="s">
        <v>626</v>
      </c>
      <c r="G119" s="30" t="s">
        <v>818</v>
      </c>
      <c r="H119" s="30" t="s">
        <v>680</v>
      </c>
      <c r="I119" s="31">
        <v>0</v>
      </c>
      <c r="J119" s="31">
        <v>0</v>
      </c>
      <c r="K119" s="31">
        <v>0</v>
      </c>
      <c r="L119" s="31">
        <v>0</v>
      </c>
      <c r="M119" s="31">
        <v>0</v>
      </c>
      <c r="N119" s="31">
        <v>0</v>
      </c>
      <c r="O119" s="31">
        <v>0</v>
      </c>
      <c r="P119" s="31">
        <v>0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  <c r="AC119" s="31">
        <v>0</v>
      </c>
      <c r="AD119" s="31">
        <v>0</v>
      </c>
      <c r="AE119" s="31">
        <v>0</v>
      </c>
      <c r="AF119" s="31">
        <v>0</v>
      </c>
      <c r="AG119" s="31">
        <v>0</v>
      </c>
      <c r="AH119" s="31">
        <v>0</v>
      </c>
      <c r="AI119" s="31">
        <v>0</v>
      </c>
      <c r="AJ119" s="31">
        <v>0</v>
      </c>
      <c r="AK119" s="31">
        <v>0</v>
      </c>
      <c r="AL119" s="31">
        <v>0</v>
      </c>
      <c r="AM119" s="31">
        <v>0</v>
      </c>
      <c r="AN119" s="31">
        <v>0</v>
      </c>
      <c r="AO119" s="32">
        <v>2</v>
      </c>
      <c r="AP119" s="31">
        <v>0</v>
      </c>
      <c r="AQ119" s="31">
        <v>0</v>
      </c>
      <c r="AR119" s="31">
        <v>0</v>
      </c>
      <c r="AS119" s="31">
        <v>0</v>
      </c>
    </row>
    <row r="120" spans="1:45">
      <c r="A120" s="30" t="s">
        <v>676</v>
      </c>
      <c r="B120" s="30" t="s">
        <v>633</v>
      </c>
      <c r="C120" s="30" t="s">
        <v>677</v>
      </c>
      <c r="D120" s="30" t="s">
        <v>587</v>
      </c>
      <c r="E120" s="30" t="s">
        <v>819</v>
      </c>
      <c r="F120" s="30" t="s">
        <v>626</v>
      </c>
      <c r="G120" s="30" t="s">
        <v>820</v>
      </c>
      <c r="H120" s="30" t="s">
        <v>680</v>
      </c>
      <c r="I120" s="31">
        <v>0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  <c r="AC120" s="31">
        <v>0</v>
      </c>
      <c r="AD120" s="31">
        <v>0</v>
      </c>
      <c r="AE120" s="31">
        <v>0</v>
      </c>
      <c r="AF120" s="31">
        <v>0</v>
      </c>
      <c r="AG120" s="31">
        <v>0</v>
      </c>
      <c r="AH120" s="32">
        <v>2</v>
      </c>
      <c r="AI120" s="32">
        <v>5</v>
      </c>
      <c r="AJ120" s="32">
        <v>16</v>
      </c>
      <c r="AK120" s="32">
        <v>10</v>
      </c>
      <c r="AL120" s="32">
        <v>14</v>
      </c>
      <c r="AM120" s="32">
        <v>20</v>
      </c>
      <c r="AN120" s="32">
        <v>15</v>
      </c>
      <c r="AO120" s="32">
        <v>7</v>
      </c>
      <c r="AP120" s="32">
        <v>12</v>
      </c>
      <c r="AQ120" s="32">
        <v>10</v>
      </c>
      <c r="AR120" s="32">
        <v>3</v>
      </c>
      <c r="AS120" s="32">
        <v>6</v>
      </c>
    </row>
    <row r="121" spans="1:45">
      <c r="A121" s="30" t="s">
        <v>676</v>
      </c>
      <c r="B121" s="30" t="s">
        <v>633</v>
      </c>
      <c r="C121" s="30" t="s">
        <v>677</v>
      </c>
      <c r="D121" s="30" t="s">
        <v>587</v>
      </c>
      <c r="E121" s="30" t="s">
        <v>821</v>
      </c>
      <c r="F121" s="30" t="s">
        <v>101</v>
      </c>
      <c r="G121" s="30" t="s">
        <v>249</v>
      </c>
      <c r="H121" s="30" t="s">
        <v>680</v>
      </c>
      <c r="I121" s="32">
        <v>73</v>
      </c>
      <c r="J121" s="32">
        <v>39</v>
      </c>
      <c r="K121" s="32">
        <v>51</v>
      </c>
      <c r="L121" s="32">
        <v>36</v>
      </c>
      <c r="M121" s="32">
        <v>21</v>
      </c>
      <c r="N121" s="32">
        <v>25</v>
      </c>
      <c r="O121" s="32">
        <v>97</v>
      </c>
      <c r="P121" s="32">
        <v>100</v>
      </c>
      <c r="Q121" s="32">
        <v>74</v>
      </c>
      <c r="R121" s="32">
        <v>114</v>
      </c>
      <c r="S121" s="32">
        <v>80</v>
      </c>
      <c r="T121" s="32">
        <v>75</v>
      </c>
      <c r="U121" s="32">
        <v>65</v>
      </c>
      <c r="V121" s="32">
        <v>41.197400000000002</v>
      </c>
      <c r="W121" s="32">
        <v>53</v>
      </c>
      <c r="X121" s="32">
        <v>59</v>
      </c>
      <c r="Y121" s="32">
        <v>53</v>
      </c>
      <c r="Z121" s="32">
        <v>55</v>
      </c>
      <c r="AA121" s="32">
        <v>106</v>
      </c>
      <c r="AB121" s="32">
        <v>78</v>
      </c>
      <c r="AC121" s="32">
        <v>116</v>
      </c>
      <c r="AD121" s="32">
        <v>165</v>
      </c>
      <c r="AE121" s="32">
        <v>119</v>
      </c>
      <c r="AF121" s="32">
        <v>111</v>
      </c>
      <c r="AG121" s="32">
        <v>177</v>
      </c>
      <c r="AH121" s="32">
        <v>106</v>
      </c>
      <c r="AI121" s="32">
        <v>80</v>
      </c>
      <c r="AJ121" s="32">
        <v>248</v>
      </c>
      <c r="AK121" s="32">
        <v>262</v>
      </c>
      <c r="AL121" s="32">
        <v>203</v>
      </c>
      <c r="AM121" s="32">
        <v>368</v>
      </c>
      <c r="AN121" s="32">
        <v>335</v>
      </c>
      <c r="AO121" s="32">
        <v>246</v>
      </c>
      <c r="AP121" s="32">
        <v>262</v>
      </c>
      <c r="AQ121" s="32">
        <v>189</v>
      </c>
      <c r="AR121" s="32">
        <v>211</v>
      </c>
      <c r="AS121" s="32">
        <v>278</v>
      </c>
    </row>
    <row r="122" spans="1:45">
      <c r="A122" s="30" t="s">
        <v>676</v>
      </c>
      <c r="B122" s="30" t="s">
        <v>633</v>
      </c>
      <c r="C122" s="30" t="s">
        <v>677</v>
      </c>
      <c r="D122" s="30" t="s">
        <v>587</v>
      </c>
      <c r="E122" s="30" t="s">
        <v>822</v>
      </c>
      <c r="F122" s="30" t="s">
        <v>97</v>
      </c>
      <c r="G122" s="30" t="s">
        <v>250</v>
      </c>
      <c r="H122" s="30" t="s">
        <v>680</v>
      </c>
      <c r="I122" s="32">
        <v>54</v>
      </c>
      <c r="J122" s="32">
        <v>30</v>
      </c>
      <c r="K122" s="32">
        <v>34</v>
      </c>
      <c r="L122" s="32">
        <v>49</v>
      </c>
      <c r="M122" s="32">
        <v>55</v>
      </c>
      <c r="N122" s="32">
        <v>55</v>
      </c>
      <c r="O122" s="32">
        <v>66</v>
      </c>
      <c r="P122" s="32">
        <v>46</v>
      </c>
      <c r="Q122" s="32">
        <v>34</v>
      </c>
      <c r="R122" s="32">
        <v>31</v>
      </c>
      <c r="S122" s="32">
        <v>14</v>
      </c>
      <c r="T122" s="32">
        <v>20</v>
      </c>
      <c r="U122" s="32">
        <v>20</v>
      </c>
      <c r="V122" s="32">
        <v>6</v>
      </c>
      <c r="W122" s="32">
        <v>18</v>
      </c>
      <c r="X122" s="32">
        <v>14</v>
      </c>
      <c r="Y122" s="32">
        <v>16</v>
      </c>
      <c r="Z122" s="32">
        <v>8</v>
      </c>
      <c r="AA122" s="32">
        <v>3</v>
      </c>
      <c r="AB122" s="32">
        <v>3</v>
      </c>
      <c r="AC122" s="32">
        <v>4</v>
      </c>
      <c r="AD122" s="32">
        <v>5</v>
      </c>
      <c r="AE122" s="32">
        <v>4</v>
      </c>
      <c r="AF122" s="31">
        <v>0</v>
      </c>
      <c r="AG122" s="32">
        <v>5</v>
      </c>
      <c r="AH122" s="32">
        <v>6</v>
      </c>
      <c r="AI122" s="31">
        <v>0</v>
      </c>
      <c r="AJ122" s="32">
        <v>1</v>
      </c>
      <c r="AK122" s="31">
        <v>0</v>
      </c>
      <c r="AL122" s="31">
        <v>0</v>
      </c>
      <c r="AM122" s="32">
        <v>1</v>
      </c>
      <c r="AN122" s="31">
        <v>0</v>
      </c>
      <c r="AO122" s="32">
        <v>1</v>
      </c>
      <c r="AP122" s="31">
        <v>0</v>
      </c>
      <c r="AQ122" s="31">
        <v>0</v>
      </c>
      <c r="AR122" s="31">
        <v>0</v>
      </c>
      <c r="AS122" s="31">
        <v>0</v>
      </c>
    </row>
    <row r="123" spans="1:45">
      <c r="A123" s="30" t="s">
        <v>676</v>
      </c>
      <c r="B123" s="30" t="s">
        <v>633</v>
      </c>
      <c r="C123" s="30" t="s">
        <v>677</v>
      </c>
      <c r="D123" s="30" t="s">
        <v>587</v>
      </c>
      <c r="E123" s="30" t="s">
        <v>823</v>
      </c>
      <c r="F123" s="30" t="s">
        <v>97</v>
      </c>
      <c r="G123" s="30" t="s">
        <v>824</v>
      </c>
      <c r="H123" s="30" t="s">
        <v>680</v>
      </c>
      <c r="I123" s="32">
        <v>43</v>
      </c>
      <c r="J123" s="32">
        <v>38</v>
      </c>
      <c r="K123" s="32">
        <v>33</v>
      </c>
      <c r="L123" s="32">
        <v>45</v>
      </c>
      <c r="M123" s="32">
        <v>42</v>
      </c>
      <c r="N123" s="32">
        <v>39</v>
      </c>
      <c r="O123" s="32">
        <v>38</v>
      </c>
      <c r="P123" s="32">
        <v>32</v>
      </c>
      <c r="Q123" s="32">
        <v>29</v>
      </c>
      <c r="R123" s="32">
        <v>27</v>
      </c>
      <c r="S123" s="32">
        <v>15</v>
      </c>
      <c r="T123" s="32">
        <v>10</v>
      </c>
      <c r="U123" s="32">
        <v>19</v>
      </c>
      <c r="V123" s="32">
        <v>6</v>
      </c>
      <c r="W123" s="32">
        <v>7</v>
      </c>
      <c r="X123" s="32">
        <v>14</v>
      </c>
      <c r="Y123" s="32">
        <v>7</v>
      </c>
      <c r="Z123" s="32">
        <v>2</v>
      </c>
      <c r="AA123" s="32">
        <v>7</v>
      </c>
      <c r="AB123" s="32">
        <v>3</v>
      </c>
      <c r="AC123" s="32">
        <v>2</v>
      </c>
      <c r="AD123" s="32">
        <v>3</v>
      </c>
      <c r="AE123" s="32">
        <v>1</v>
      </c>
      <c r="AF123" s="32">
        <v>1</v>
      </c>
      <c r="AG123" s="31">
        <v>0</v>
      </c>
      <c r="AH123" s="31">
        <v>0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0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</row>
    <row r="124" spans="1:45">
      <c r="A124" s="30" t="s">
        <v>676</v>
      </c>
      <c r="B124" s="30" t="s">
        <v>633</v>
      </c>
      <c r="C124" s="30" t="s">
        <v>677</v>
      </c>
      <c r="D124" s="30" t="s">
        <v>587</v>
      </c>
      <c r="E124" s="30" t="s">
        <v>825</v>
      </c>
      <c r="F124" s="30" t="s">
        <v>97</v>
      </c>
      <c r="G124" s="30" t="s">
        <v>251</v>
      </c>
      <c r="H124" s="30" t="s">
        <v>680</v>
      </c>
      <c r="I124" s="32">
        <v>137</v>
      </c>
      <c r="J124" s="32">
        <v>106</v>
      </c>
      <c r="K124" s="32">
        <v>153</v>
      </c>
      <c r="L124" s="32">
        <v>192</v>
      </c>
      <c r="M124" s="32">
        <v>137</v>
      </c>
      <c r="N124" s="32">
        <v>156</v>
      </c>
      <c r="O124" s="32">
        <v>270</v>
      </c>
      <c r="P124" s="32">
        <v>288</v>
      </c>
      <c r="Q124" s="32">
        <v>150</v>
      </c>
      <c r="R124" s="32">
        <v>146</v>
      </c>
      <c r="S124" s="32">
        <v>107</v>
      </c>
      <c r="T124" s="32">
        <v>90</v>
      </c>
      <c r="U124" s="32">
        <v>158.21770000000001</v>
      </c>
      <c r="V124" s="32">
        <v>74</v>
      </c>
      <c r="W124" s="32">
        <v>102</v>
      </c>
      <c r="X124" s="32">
        <v>98</v>
      </c>
      <c r="Y124" s="32">
        <v>116</v>
      </c>
      <c r="Z124" s="32">
        <v>75.919300000000007</v>
      </c>
      <c r="AA124" s="32">
        <v>209.23750000000001</v>
      </c>
      <c r="AB124" s="32">
        <v>150</v>
      </c>
      <c r="AC124" s="32">
        <v>145</v>
      </c>
      <c r="AD124" s="32">
        <v>193</v>
      </c>
      <c r="AE124" s="32">
        <v>105</v>
      </c>
      <c r="AF124" s="32">
        <v>112</v>
      </c>
      <c r="AG124" s="32">
        <v>161</v>
      </c>
      <c r="AH124" s="32">
        <v>109</v>
      </c>
      <c r="AI124" s="32">
        <v>98</v>
      </c>
      <c r="AJ124" s="32">
        <v>87</v>
      </c>
      <c r="AK124" s="32">
        <v>122</v>
      </c>
      <c r="AL124" s="32">
        <v>92</v>
      </c>
      <c r="AM124" s="32">
        <v>96</v>
      </c>
      <c r="AN124" s="32">
        <v>112</v>
      </c>
      <c r="AO124" s="32">
        <v>44</v>
      </c>
      <c r="AP124" s="32">
        <v>61</v>
      </c>
      <c r="AQ124" s="32">
        <v>59</v>
      </c>
      <c r="AR124" s="32">
        <v>65</v>
      </c>
      <c r="AS124" s="32">
        <v>66</v>
      </c>
    </row>
    <row r="125" spans="1:45">
      <c r="A125" s="30" t="s">
        <v>676</v>
      </c>
      <c r="B125" s="30" t="s">
        <v>633</v>
      </c>
      <c r="C125" s="30" t="s">
        <v>677</v>
      </c>
      <c r="D125" s="30" t="s">
        <v>587</v>
      </c>
      <c r="E125" s="30" t="s">
        <v>826</v>
      </c>
      <c r="F125" s="30" t="s">
        <v>100</v>
      </c>
      <c r="G125" s="30" t="s">
        <v>827</v>
      </c>
      <c r="H125" s="30" t="s">
        <v>680</v>
      </c>
      <c r="I125" s="32">
        <v>9</v>
      </c>
      <c r="J125" s="32">
        <v>11</v>
      </c>
      <c r="K125" s="32">
        <v>5</v>
      </c>
      <c r="L125" s="32">
        <v>12</v>
      </c>
      <c r="M125" s="32">
        <v>13</v>
      </c>
      <c r="N125" s="32">
        <v>10</v>
      </c>
      <c r="O125" s="32">
        <v>15</v>
      </c>
      <c r="P125" s="32">
        <v>9</v>
      </c>
      <c r="Q125" s="32">
        <v>3</v>
      </c>
      <c r="R125" s="32">
        <v>9</v>
      </c>
      <c r="S125" s="32">
        <v>2</v>
      </c>
      <c r="T125" s="32">
        <v>4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0</v>
      </c>
      <c r="AC125" s="31">
        <v>0</v>
      </c>
      <c r="AD125" s="31">
        <v>0</v>
      </c>
      <c r="AE125" s="31">
        <v>0</v>
      </c>
      <c r="AF125" s="31">
        <v>0</v>
      </c>
      <c r="AG125" s="31">
        <v>0</v>
      </c>
      <c r="AH125" s="31">
        <v>0</v>
      </c>
      <c r="AI125" s="31">
        <v>0</v>
      </c>
      <c r="AJ125" s="31">
        <v>0</v>
      </c>
      <c r="AK125" s="31">
        <v>0</v>
      </c>
      <c r="AL125" s="31">
        <v>0</v>
      </c>
      <c r="AM125" s="31">
        <v>0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</row>
    <row r="126" spans="1:45">
      <c r="A126" s="30" t="s">
        <v>676</v>
      </c>
      <c r="B126" s="30" t="s">
        <v>633</v>
      </c>
      <c r="C126" s="30" t="s">
        <v>677</v>
      </c>
      <c r="D126" s="30" t="s">
        <v>587</v>
      </c>
      <c r="E126" s="30" t="s">
        <v>828</v>
      </c>
      <c r="F126" s="30" t="s">
        <v>85</v>
      </c>
      <c r="G126" s="30" t="s">
        <v>252</v>
      </c>
      <c r="H126" s="30" t="s">
        <v>680</v>
      </c>
      <c r="I126" s="32">
        <v>80</v>
      </c>
      <c r="J126" s="32">
        <v>47</v>
      </c>
      <c r="K126" s="32">
        <v>55</v>
      </c>
      <c r="L126" s="32">
        <v>55</v>
      </c>
      <c r="M126" s="32">
        <v>59</v>
      </c>
      <c r="N126" s="32">
        <v>44</v>
      </c>
      <c r="O126" s="32">
        <v>35</v>
      </c>
      <c r="P126" s="32">
        <v>26</v>
      </c>
      <c r="Q126" s="32">
        <v>30</v>
      </c>
      <c r="R126" s="32">
        <v>25</v>
      </c>
      <c r="S126" s="32">
        <v>12</v>
      </c>
      <c r="T126" s="32">
        <v>21</v>
      </c>
      <c r="U126" s="32">
        <v>14</v>
      </c>
      <c r="V126" s="32">
        <v>12</v>
      </c>
      <c r="W126" s="32">
        <v>7</v>
      </c>
      <c r="X126" s="32">
        <v>15</v>
      </c>
      <c r="Y126" s="32">
        <v>10</v>
      </c>
      <c r="Z126" s="32">
        <v>7</v>
      </c>
      <c r="AA126" s="32">
        <v>3</v>
      </c>
      <c r="AB126" s="32">
        <v>3</v>
      </c>
      <c r="AC126" s="32">
        <v>4</v>
      </c>
      <c r="AD126" s="32">
        <v>3</v>
      </c>
      <c r="AE126" s="32">
        <v>1</v>
      </c>
      <c r="AF126" s="32">
        <v>1</v>
      </c>
      <c r="AG126" s="32">
        <v>1</v>
      </c>
      <c r="AH126" s="31">
        <v>0</v>
      </c>
      <c r="AI126" s="31">
        <v>0</v>
      </c>
      <c r="AJ126" s="31">
        <v>0</v>
      </c>
      <c r="AK126" s="31">
        <v>0</v>
      </c>
      <c r="AL126" s="31">
        <v>0</v>
      </c>
      <c r="AM126" s="31">
        <v>0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</row>
    <row r="127" spans="1:45">
      <c r="A127" s="30" t="s">
        <v>676</v>
      </c>
      <c r="B127" s="30" t="s">
        <v>633</v>
      </c>
      <c r="C127" s="30" t="s">
        <v>677</v>
      </c>
      <c r="D127" s="30" t="s">
        <v>587</v>
      </c>
      <c r="E127" s="30" t="s">
        <v>829</v>
      </c>
      <c r="F127" s="30" t="s">
        <v>85</v>
      </c>
      <c r="G127" s="30" t="s">
        <v>830</v>
      </c>
      <c r="H127" s="30" t="s">
        <v>680</v>
      </c>
      <c r="I127" s="32">
        <v>2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1">
        <v>0</v>
      </c>
      <c r="Y127" s="31">
        <v>0</v>
      </c>
      <c r="Z127" s="31">
        <v>0</v>
      </c>
      <c r="AA127" s="31">
        <v>0</v>
      </c>
      <c r="AB127" s="31">
        <v>0</v>
      </c>
      <c r="AC127" s="31">
        <v>0</v>
      </c>
      <c r="AD127" s="31">
        <v>0</v>
      </c>
      <c r="AE127" s="31">
        <v>0</v>
      </c>
      <c r="AF127" s="31">
        <v>0</v>
      </c>
      <c r="AG127" s="31">
        <v>0</v>
      </c>
      <c r="AH127" s="31">
        <v>0</v>
      </c>
      <c r="AI127" s="31">
        <v>0</v>
      </c>
      <c r="AJ127" s="31">
        <v>0</v>
      </c>
      <c r="AK127" s="31">
        <v>0</v>
      </c>
      <c r="AL127" s="31">
        <v>0</v>
      </c>
      <c r="AM127" s="31">
        <v>0</v>
      </c>
      <c r="AN127" s="31">
        <v>0</v>
      </c>
      <c r="AO127" s="31">
        <v>0</v>
      </c>
      <c r="AP127" s="31">
        <v>0</v>
      </c>
      <c r="AQ127" s="31">
        <v>0</v>
      </c>
      <c r="AR127" s="31">
        <v>0</v>
      </c>
      <c r="AS127" s="31">
        <v>0</v>
      </c>
    </row>
    <row r="128" spans="1:45">
      <c r="A128" s="30" t="s">
        <v>676</v>
      </c>
      <c r="B128" s="30" t="s">
        <v>633</v>
      </c>
      <c r="C128" s="30" t="s">
        <v>677</v>
      </c>
      <c r="D128" s="30" t="s">
        <v>587</v>
      </c>
      <c r="E128" s="30" t="s">
        <v>831</v>
      </c>
      <c r="F128" s="30" t="s">
        <v>85</v>
      </c>
      <c r="G128" s="30" t="s">
        <v>253</v>
      </c>
      <c r="H128" s="30" t="s">
        <v>680</v>
      </c>
      <c r="I128" s="32">
        <v>12</v>
      </c>
      <c r="J128" s="32">
        <v>6</v>
      </c>
      <c r="K128" s="32">
        <v>8</v>
      </c>
      <c r="L128" s="32">
        <v>2</v>
      </c>
      <c r="M128" s="32">
        <v>2</v>
      </c>
      <c r="N128" s="32">
        <v>1</v>
      </c>
      <c r="O128" s="32">
        <v>5</v>
      </c>
      <c r="P128" s="32">
        <v>5</v>
      </c>
      <c r="Q128" s="32">
        <v>4</v>
      </c>
      <c r="R128" s="32">
        <v>5</v>
      </c>
      <c r="S128" s="32">
        <v>3</v>
      </c>
      <c r="T128" s="32">
        <v>3</v>
      </c>
      <c r="U128" s="32">
        <v>2</v>
      </c>
      <c r="V128" s="32">
        <v>5</v>
      </c>
      <c r="W128" s="32">
        <v>5</v>
      </c>
      <c r="X128" s="32">
        <v>2</v>
      </c>
      <c r="Y128" s="31">
        <v>0</v>
      </c>
      <c r="Z128" s="32">
        <v>5</v>
      </c>
      <c r="AA128" s="32">
        <v>2</v>
      </c>
      <c r="AB128" s="32">
        <v>4</v>
      </c>
      <c r="AC128" s="32">
        <v>1</v>
      </c>
      <c r="AD128" s="32">
        <v>5</v>
      </c>
      <c r="AE128" s="32">
        <v>2</v>
      </c>
      <c r="AF128" s="32">
        <v>1</v>
      </c>
      <c r="AG128" s="32">
        <v>1</v>
      </c>
      <c r="AH128" s="32">
        <v>1</v>
      </c>
      <c r="AI128" s="31">
        <v>0</v>
      </c>
      <c r="AJ128" s="32">
        <v>1</v>
      </c>
      <c r="AK128" s="32">
        <v>2</v>
      </c>
      <c r="AL128" s="32">
        <v>1</v>
      </c>
      <c r="AM128" s="31">
        <v>0</v>
      </c>
      <c r="AN128" s="31">
        <v>0</v>
      </c>
      <c r="AO128" s="31">
        <v>0</v>
      </c>
      <c r="AP128" s="31">
        <v>0</v>
      </c>
      <c r="AQ128" s="31">
        <v>0</v>
      </c>
      <c r="AR128" s="31">
        <v>0</v>
      </c>
      <c r="AS128" s="31">
        <v>0</v>
      </c>
    </row>
    <row r="129" spans="1:45">
      <c r="A129" s="30" t="s">
        <v>676</v>
      </c>
      <c r="B129" s="30" t="s">
        <v>633</v>
      </c>
      <c r="C129" s="30" t="s">
        <v>677</v>
      </c>
      <c r="D129" s="30" t="s">
        <v>587</v>
      </c>
      <c r="E129" s="30" t="s">
        <v>832</v>
      </c>
      <c r="F129" s="30" t="s">
        <v>84</v>
      </c>
      <c r="G129" s="30" t="s">
        <v>833</v>
      </c>
      <c r="H129" s="30" t="s">
        <v>680</v>
      </c>
      <c r="I129" s="31">
        <v>0</v>
      </c>
      <c r="J129" s="31">
        <v>0</v>
      </c>
      <c r="K129" s="32">
        <v>4</v>
      </c>
      <c r="L129" s="32">
        <v>2</v>
      </c>
      <c r="M129" s="31">
        <v>0</v>
      </c>
      <c r="N129" s="31">
        <v>0</v>
      </c>
      <c r="O129" s="32">
        <v>1</v>
      </c>
      <c r="P129" s="32">
        <v>5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1">
        <v>0</v>
      </c>
      <c r="X129" s="31">
        <v>0</v>
      </c>
      <c r="Y129" s="31">
        <v>0</v>
      </c>
      <c r="Z129" s="31">
        <v>0</v>
      </c>
      <c r="AA129" s="32">
        <v>3</v>
      </c>
      <c r="AB129" s="31">
        <v>0</v>
      </c>
      <c r="AC129" s="31">
        <v>0</v>
      </c>
      <c r="AD129" s="31">
        <v>0</v>
      </c>
      <c r="AE129" s="31">
        <v>0</v>
      </c>
      <c r="AF129" s="31">
        <v>0</v>
      </c>
      <c r="AG129" s="31">
        <v>0</v>
      </c>
      <c r="AH129" s="32">
        <v>1</v>
      </c>
      <c r="AI129" s="32">
        <v>1</v>
      </c>
      <c r="AJ129" s="32">
        <v>1</v>
      </c>
      <c r="AK129" s="31">
        <v>0</v>
      </c>
      <c r="AL129" s="31">
        <v>0</v>
      </c>
      <c r="AM129" s="32">
        <v>1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1">
        <v>0</v>
      </c>
    </row>
    <row r="130" spans="1:45">
      <c r="A130" s="30" t="s">
        <v>676</v>
      </c>
      <c r="B130" s="30" t="s">
        <v>633</v>
      </c>
      <c r="C130" s="30" t="s">
        <v>677</v>
      </c>
      <c r="D130" s="30" t="s">
        <v>587</v>
      </c>
      <c r="E130" s="30" t="s">
        <v>834</v>
      </c>
      <c r="F130" s="30" t="s">
        <v>84</v>
      </c>
      <c r="G130" s="30" t="s">
        <v>254</v>
      </c>
      <c r="H130" s="30" t="s">
        <v>680</v>
      </c>
      <c r="I130" s="32">
        <v>116</v>
      </c>
      <c r="J130" s="32">
        <v>76.154700000000005</v>
      </c>
      <c r="K130" s="32">
        <v>64</v>
      </c>
      <c r="L130" s="32">
        <v>93</v>
      </c>
      <c r="M130" s="32">
        <v>56</v>
      </c>
      <c r="N130" s="32">
        <v>55</v>
      </c>
      <c r="O130" s="32">
        <v>76</v>
      </c>
      <c r="P130" s="32">
        <v>65</v>
      </c>
      <c r="Q130" s="32">
        <v>36</v>
      </c>
      <c r="R130" s="32">
        <v>47</v>
      </c>
      <c r="S130" s="32">
        <v>25</v>
      </c>
      <c r="T130" s="32">
        <v>15</v>
      </c>
      <c r="U130" s="32">
        <v>20</v>
      </c>
      <c r="V130" s="32">
        <v>6</v>
      </c>
      <c r="W130" s="32">
        <v>7</v>
      </c>
      <c r="X130" s="32">
        <v>12</v>
      </c>
      <c r="Y130" s="32">
        <v>2</v>
      </c>
      <c r="Z130" s="32">
        <v>2</v>
      </c>
      <c r="AA130" s="32">
        <v>5</v>
      </c>
      <c r="AB130" s="32">
        <v>4</v>
      </c>
      <c r="AC130" s="32">
        <v>3</v>
      </c>
      <c r="AD130" s="32">
        <v>11</v>
      </c>
      <c r="AE130" s="32">
        <v>4</v>
      </c>
      <c r="AF130" s="31">
        <v>0</v>
      </c>
      <c r="AG130" s="32">
        <v>1</v>
      </c>
      <c r="AH130" s="31">
        <v>0</v>
      </c>
      <c r="AI130" s="31">
        <v>0</v>
      </c>
      <c r="AJ130" s="32">
        <v>2</v>
      </c>
      <c r="AK130" s="31">
        <v>0</v>
      </c>
      <c r="AL130" s="31">
        <v>0</v>
      </c>
      <c r="AM130" s="31">
        <v>0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1">
        <v>0</v>
      </c>
    </row>
    <row r="131" spans="1:45">
      <c r="A131" s="30" t="s">
        <v>676</v>
      </c>
      <c r="B131" s="30" t="s">
        <v>633</v>
      </c>
      <c r="C131" s="30" t="s">
        <v>677</v>
      </c>
      <c r="D131" s="30" t="s">
        <v>587</v>
      </c>
      <c r="E131" s="30" t="s">
        <v>835</v>
      </c>
      <c r="F131" s="30" t="s">
        <v>84</v>
      </c>
      <c r="G131" s="30" t="s">
        <v>255</v>
      </c>
      <c r="H131" s="30" t="s">
        <v>680</v>
      </c>
      <c r="I131" s="32">
        <v>103</v>
      </c>
      <c r="J131" s="32">
        <v>58</v>
      </c>
      <c r="K131" s="32">
        <v>117</v>
      </c>
      <c r="L131" s="32">
        <v>101</v>
      </c>
      <c r="M131" s="32">
        <v>87</v>
      </c>
      <c r="N131" s="32">
        <v>52</v>
      </c>
      <c r="O131" s="32">
        <v>82</v>
      </c>
      <c r="P131" s="32">
        <v>63</v>
      </c>
      <c r="Q131" s="32">
        <v>66</v>
      </c>
      <c r="R131" s="32">
        <v>71</v>
      </c>
      <c r="S131" s="32">
        <v>26</v>
      </c>
      <c r="T131" s="32">
        <v>20</v>
      </c>
      <c r="U131" s="32">
        <v>43</v>
      </c>
      <c r="V131" s="32">
        <v>27.197399999999998</v>
      </c>
      <c r="W131" s="32">
        <v>28</v>
      </c>
      <c r="X131" s="32">
        <v>19</v>
      </c>
      <c r="Y131" s="32">
        <v>17</v>
      </c>
      <c r="Z131" s="32">
        <v>10</v>
      </c>
      <c r="AA131" s="32">
        <v>16</v>
      </c>
      <c r="AB131" s="32">
        <v>9</v>
      </c>
      <c r="AC131" s="32">
        <v>11</v>
      </c>
      <c r="AD131" s="32">
        <v>4</v>
      </c>
      <c r="AE131" s="32">
        <v>4</v>
      </c>
      <c r="AF131" s="32">
        <v>6</v>
      </c>
      <c r="AG131" s="32">
        <v>3</v>
      </c>
      <c r="AH131" s="32">
        <v>3</v>
      </c>
      <c r="AI131" s="32">
        <v>1</v>
      </c>
      <c r="AJ131" s="32">
        <v>4</v>
      </c>
      <c r="AK131" s="31">
        <v>0</v>
      </c>
      <c r="AL131" s="32">
        <v>1</v>
      </c>
      <c r="AM131" s="31">
        <v>0</v>
      </c>
      <c r="AN131" s="31">
        <v>0</v>
      </c>
      <c r="AO131" s="32">
        <v>1</v>
      </c>
      <c r="AP131" s="31">
        <v>0</v>
      </c>
      <c r="AQ131" s="32">
        <v>2</v>
      </c>
      <c r="AR131" s="31">
        <v>0</v>
      </c>
      <c r="AS131" s="31">
        <v>0</v>
      </c>
    </row>
    <row r="132" spans="1:45">
      <c r="A132" s="30" t="s">
        <v>676</v>
      </c>
      <c r="B132" s="30" t="s">
        <v>633</v>
      </c>
      <c r="C132" s="30" t="s">
        <v>677</v>
      </c>
      <c r="D132" s="30" t="s">
        <v>587</v>
      </c>
      <c r="E132" s="30" t="s">
        <v>836</v>
      </c>
      <c r="F132" s="30" t="s">
        <v>631</v>
      </c>
      <c r="G132" s="30" t="s">
        <v>837</v>
      </c>
      <c r="H132" s="30" t="s">
        <v>680</v>
      </c>
      <c r="I132" s="31">
        <v>0</v>
      </c>
      <c r="J132" s="31">
        <v>0</v>
      </c>
      <c r="K132" s="32">
        <v>1</v>
      </c>
      <c r="L132" s="31">
        <v>0</v>
      </c>
      <c r="M132" s="31">
        <v>0</v>
      </c>
      <c r="N132" s="31">
        <v>0</v>
      </c>
      <c r="O132" s="31">
        <v>0</v>
      </c>
      <c r="P132" s="31">
        <v>0</v>
      </c>
      <c r="Q132" s="31">
        <v>0</v>
      </c>
      <c r="R132" s="31">
        <v>0</v>
      </c>
      <c r="S132" s="32">
        <v>1</v>
      </c>
      <c r="T132" s="31">
        <v>0</v>
      </c>
      <c r="U132" s="31">
        <v>0</v>
      </c>
      <c r="V132" s="31">
        <v>0</v>
      </c>
      <c r="W132" s="31">
        <v>0</v>
      </c>
      <c r="X132" s="32">
        <v>2</v>
      </c>
      <c r="Y132" s="31">
        <v>0</v>
      </c>
      <c r="Z132" s="32">
        <v>1</v>
      </c>
      <c r="AA132" s="32">
        <v>7</v>
      </c>
      <c r="AB132" s="32">
        <v>3</v>
      </c>
      <c r="AC132" s="32">
        <v>3</v>
      </c>
      <c r="AD132" s="32">
        <v>2</v>
      </c>
      <c r="AE132" s="31">
        <v>0</v>
      </c>
      <c r="AF132" s="31">
        <v>0</v>
      </c>
      <c r="AG132" s="32">
        <v>1</v>
      </c>
      <c r="AH132" s="31">
        <v>0</v>
      </c>
      <c r="AI132" s="32">
        <v>1</v>
      </c>
      <c r="AJ132" s="31">
        <v>0</v>
      </c>
      <c r="AK132" s="31">
        <v>0</v>
      </c>
      <c r="AL132" s="31">
        <v>0</v>
      </c>
      <c r="AM132" s="31">
        <v>0</v>
      </c>
      <c r="AN132" s="32">
        <v>1</v>
      </c>
      <c r="AO132" s="32">
        <v>1</v>
      </c>
      <c r="AP132" s="31">
        <v>0</v>
      </c>
      <c r="AQ132" s="31">
        <v>0</v>
      </c>
      <c r="AR132" s="31">
        <v>0</v>
      </c>
      <c r="AS132" s="31">
        <v>0</v>
      </c>
    </row>
    <row r="133" spans="1:45">
      <c r="A133" s="30" t="s">
        <v>676</v>
      </c>
      <c r="B133" s="30" t="s">
        <v>633</v>
      </c>
      <c r="C133" s="30" t="s">
        <v>677</v>
      </c>
      <c r="D133" s="30" t="s">
        <v>587</v>
      </c>
      <c r="E133" s="30" t="s">
        <v>838</v>
      </c>
      <c r="F133" s="30" t="s">
        <v>92</v>
      </c>
      <c r="G133" s="30" t="s">
        <v>256</v>
      </c>
      <c r="H133" s="30" t="s">
        <v>680</v>
      </c>
      <c r="I133" s="31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1">
        <v>0</v>
      </c>
      <c r="AC133" s="31">
        <v>0</v>
      </c>
      <c r="AD133" s="32">
        <v>6</v>
      </c>
      <c r="AE133" s="32">
        <v>426</v>
      </c>
      <c r="AF133" s="32">
        <v>759</v>
      </c>
      <c r="AG133" s="32">
        <v>1226</v>
      </c>
      <c r="AH133" s="32">
        <v>967</v>
      </c>
      <c r="AI133" s="32">
        <v>703</v>
      </c>
      <c r="AJ133" s="32">
        <v>980</v>
      </c>
      <c r="AK133" s="32">
        <v>908</v>
      </c>
      <c r="AL133" s="32">
        <v>687</v>
      </c>
      <c r="AM133" s="32">
        <v>956</v>
      </c>
      <c r="AN133" s="32">
        <v>975</v>
      </c>
      <c r="AO133" s="32">
        <v>701</v>
      </c>
      <c r="AP133" s="32">
        <v>1603</v>
      </c>
      <c r="AQ133" s="32">
        <v>513</v>
      </c>
      <c r="AR133" s="32">
        <v>490</v>
      </c>
      <c r="AS133" s="32">
        <v>969</v>
      </c>
    </row>
    <row r="134" spans="1:45">
      <c r="A134" s="30" t="s">
        <v>676</v>
      </c>
      <c r="B134" s="30" t="s">
        <v>633</v>
      </c>
      <c r="C134" s="30" t="s">
        <v>677</v>
      </c>
      <c r="D134" s="30" t="s">
        <v>587</v>
      </c>
      <c r="E134" s="30" t="s">
        <v>839</v>
      </c>
      <c r="F134" s="30" t="s">
        <v>92</v>
      </c>
      <c r="G134" s="30" t="s">
        <v>257</v>
      </c>
      <c r="H134" s="30" t="s">
        <v>680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  <c r="AC134" s="31">
        <v>0</v>
      </c>
      <c r="AD134" s="31">
        <v>0</v>
      </c>
      <c r="AE134" s="31">
        <v>0</v>
      </c>
      <c r="AF134" s="31">
        <v>0</v>
      </c>
      <c r="AG134" s="32">
        <v>2</v>
      </c>
      <c r="AH134" s="32">
        <v>79</v>
      </c>
      <c r="AI134" s="32">
        <v>189</v>
      </c>
      <c r="AJ134" s="32">
        <v>233</v>
      </c>
      <c r="AK134" s="32">
        <v>214</v>
      </c>
      <c r="AL134" s="32">
        <v>137</v>
      </c>
      <c r="AM134" s="32">
        <v>173</v>
      </c>
      <c r="AN134" s="32">
        <v>118</v>
      </c>
      <c r="AO134" s="32">
        <v>127</v>
      </c>
      <c r="AP134" s="32">
        <v>140</v>
      </c>
      <c r="AQ134" s="32">
        <v>82</v>
      </c>
      <c r="AR134" s="32">
        <v>52</v>
      </c>
      <c r="AS134" s="32">
        <v>157</v>
      </c>
    </row>
    <row r="135" spans="1:45">
      <c r="A135" s="30" t="s">
        <v>676</v>
      </c>
      <c r="B135" s="30" t="s">
        <v>633</v>
      </c>
      <c r="C135" s="30" t="s">
        <v>677</v>
      </c>
      <c r="D135" s="30" t="s">
        <v>587</v>
      </c>
      <c r="E135" s="30" t="s">
        <v>840</v>
      </c>
      <c r="F135" s="30" t="s">
        <v>92</v>
      </c>
      <c r="G135" s="30" t="s">
        <v>258</v>
      </c>
      <c r="H135" s="30" t="s">
        <v>680</v>
      </c>
      <c r="I135" s="31">
        <v>0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0</v>
      </c>
      <c r="AC135" s="31">
        <v>0</v>
      </c>
      <c r="AD135" s="32">
        <v>7</v>
      </c>
      <c r="AE135" s="32">
        <v>243</v>
      </c>
      <c r="AF135" s="32">
        <v>405</v>
      </c>
      <c r="AG135" s="32">
        <v>994</v>
      </c>
      <c r="AH135" s="32">
        <v>462</v>
      </c>
      <c r="AI135" s="32">
        <v>413</v>
      </c>
      <c r="AJ135" s="32">
        <v>643</v>
      </c>
      <c r="AK135" s="32">
        <v>876</v>
      </c>
      <c r="AL135" s="32">
        <v>485</v>
      </c>
      <c r="AM135" s="32">
        <v>634</v>
      </c>
      <c r="AN135" s="32">
        <v>309</v>
      </c>
      <c r="AO135" s="32">
        <v>321</v>
      </c>
      <c r="AP135" s="32">
        <v>588</v>
      </c>
      <c r="AQ135" s="32">
        <v>356</v>
      </c>
      <c r="AR135" s="32">
        <v>555</v>
      </c>
      <c r="AS135" s="32">
        <v>986</v>
      </c>
    </row>
    <row r="136" spans="1:45">
      <c r="A136" s="30" t="s">
        <v>676</v>
      </c>
      <c r="B136" s="30" t="s">
        <v>633</v>
      </c>
      <c r="C136" s="30" t="s">
        <v>677</v>
      </c>
      <c r="D136" s="30" t="s">
        <v>587</v>
      </c>
      <c r="E136" s="30" t="s">
        <v>841</v>
      </c>
      <c r="F136" s="30" t="s">
        <v>92</v>
      </c>
      <c r="G136" s="30" t="s">
        <v>259</v>
      </c>
      <c r="H136" s="30" t="s">
        <v>680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2">
        <v>16</v>
      </c>
      <c r="AE136" s="32">
        <v>906</v>
      </c>
      <c r="AF136" s="32">
        <v>1744</v>
      </c>
      <c r="AG136" s="32">
        <v>2986</v>
      </c>
      <c r="AH136" s="32">
        <v>1623</v>
      </c>
      <c r="AI136" s="32">
        <v>1628</v>
      </c>
      <c r="AJ136" s="32">
        <v>2442</v>
      </c>
      <c r="AK136" s="32">
        <v>1548</v>
      </c>
      <c r="AL136" s="32">
        <v>1018</v>
      </c>
      <c r="AM136" s="32">
        <v>1731</v>
      </c>
      <c r="AN136" s="32">
        <v>1380</v>
      </c>
      <c r="AO136" s="32">
        <v>1489</v>
      </c>
      <c r="AP136" s="32">
        <v>2528</v>
      </c>
      <c r="AQ136" s="32">
        <v>1037</v>
      </c>
      <c r="AR136" s="32">
        <v>1500</v>
      </c>
      <c r="AS136" s="32">
        <v>1573</v>
      </c>
    </row>
    <row r="137" spans="1:45">
      <c r="A137" s="30" t="s">
        <v>676</v>
      </c>
      <c r="B137" s="30" t="s">
        <v>633</v>
      </c>
      <c r="C137" s="30" t="s">
        <v>677</v>
      </c>
      <c r="D137" s="30" t="s">
        <v>587</v>
      </c>
      <c r="E137" s="30" t="s">
        <v>842</v>
      </c>
      <c r="F137" s="30" t="s">
        <v>92</v>
      </c>
      <c r="G137" s="30" t="s">
        <v>260</v>
      </c>
      <c r="H137" s="30" t="s">
        <v>680</v>
      </c>
      <c r="I137" s="31">
        <v>0</v>
      </c>
      <c r="J137" s="31">
        <v>0</v>
      </c>
      <c r="K137" s="31">
        <v>0</v>
      </c>
      <c r="L137" s="31">
        <v>0</v>
      </c>
      <c r="M137" s="31">
        <v>0</v>
      </c>
      <c r="N137" s="31">
        <v>0</v>
      </c>
      <c r="O137" s="31">
        <v>0</v>
      </c>
      <c r="P137" s="31">
        <v>0</v>
      </c>
      <c r="Q137" s="31"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0</v>
      </c>
      <c r="AA137" s="31">
        <v>0</v>
      </c>
      <c r="AB137" s="31">
        <v>0</v>
      </c>
      <c r="AC137" s="31">
        <v>0</v>
      </c>
      <c r="AD137" s="32">
        <v>3</v>
      </c>
      <c r="AE137" s="32">
        <v>235</v>
      </c>
      <c r="AF137" s="32">
        <v>329</v>
      </c>
      <c r="AG137" s="32">
        <v>606</v>
      </c>
      <c r="AH137" s="32">
        <v>465</v>
      </c>
      <c r="AI137" s="32">
        <v>394</v>
      </c>
      <c r="AJ137" s="32">
        <v>385</v>
      </c>
      <c r="AK137" s="32">
        <v>461</v>
      </c>
      <c r="AL137" s="32">
        <v>384</v>
      </c>
      <c r="AM137" s="32">
        <v>470</v>
      </c>
      <c r="AN137" s="32">
        <v>556</v>
      </c>
      <c r="AO137" s="32">
        <v>481</v>
      </c>
      <c r="AP137" s="32">
        <v>459</v>
      </c>
      <c r="AQ137" s="32">
        <v>369</v>
      </c>
      <c r="AR137" s="32">
        <v>320</v>
      </c>
      <c r="AS137" s="32">
        <v>443</v>
      </c>
    </row>
    <row r="138" spans="1:45">
      <c r="A138" s="30" t="s">
        <v>676</v>
      </c>
      <c r="B138" s="30" t="s">
        <v>633</v>
      </c>
      <c r="C138" s="30" t="s">
        <v>677</v>
      </c>
      <c r="D138" s="30" t="s">
        <v>587</v>
      </c>
      <c r="E138" s="30" t="s">
        <v>843</v>
      </c>
      <c r="F138" s="30" t="s">
        <v>92</v>
      </c>
      <c r="G138" s="30" t="s">
        <v>261</v>
      </c>
      <c r="H138" s="30" t="s">
        <v>680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  <c r="AC138" s="31">
        <v>0</v>
      </c>
      <c r="AD138" s="31">
        <v>0</v>
      </c>
      <c r="AE138" s="31">
        <v>0</v>
      </c>
      <c r="AF138" s="31">
        <v>0</v>
      </c>
      <c r="AG138" s="31">
        <v>0</v>
      </c>
      <c r="AH138" s="32">
        <v>57</v>
      </c>
      <c r="AI138" s="32">
        <v>129</v>
      </c>
      <c r="AJ138" s="32">
        <v>240</v>
      </c>
      <c r="AK138" s="32">
        <v>185</v>
      </c>
      <c r="AL138" s="32">
        <v>143</v>
      </c>
      <c r="AM138" s="32">
        <v>171</v>
      </c>
      <c r="AN138" s="32">
        <v>112</v>
      </c>
      <c r="AO138" s="32">
        <v>94</v>
      </c>
      <c r="AP138" s="32">
        <v>147</v>
      </c>
      <c r="AQ138" s="32">
        <v>96</v>
      </c>
      <c r="AR138" s="32">
        <v>93</v>
      </c>
      <c r="AS138" s="32">
        <v>234</v>
      </c>
    </row>
    <row r="139" spans="1:45">
      <c r="A139" s="30" t="s">
        <v>676</v>
      </c>
      <c r="B139" s="30" t="s">
        <v>633</v>
      </c>
      <c r="C139" s="30" t="s">
        <v>677</v>
      </c>
      <c r="D139" s="30" t="s">
        <v>587</v>
      </c>
      <c r="E139" s="30" t="s">
        <v>844</v>
      </c>
      <c r="F139" s="30" t="s">
        <v>92</v>
      </c>
      <c r="G139" s="30" t="s">
        <v>262</v>
      </c>
      <c r="H139" s="30" t="s">
        <v>680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2">
        <v>178</v>
      </c>
      <c r="AI139" s="32">
        <v>356</v>
      </c>
      <c r="AJ139" s="32">
        <v>698</v>
      </c>
      <c r="AK139" s="32">
        <v>711</v>
      </c>
      <c r="AL139" s="32">
        <v>715</v>
      </c>
      <c r="AM139" s="32">
        <v>1206</v>
      </c>
      <c r="AN139" s="32">
        <v>897</v>
      </c>
      <c r="AO139" s="32">
        <v>735</v>
      </c>
      <c r="AP139" s="32">
        <v>921</v>
      </c>
      <c r="AQ139" s="32">
        <v>813</v>
      </c>
      <c r="AR139" s="32">
        <v>628</v>
      </c>
      <c r="AS139" s="32">
        <v>946</v>
      </c>
    </row>
    <row r="140" spans="1:45">
      <c r="A140" s="30" t="s">
        <v>676</v>
      </c>
      <c r="B140" s="30" t="s">
        <v>633</v>
      </c>
      <c r="C140" s="30" t="s">
        <v>677</v>
      </c>
      <c r="D140" s="30" t="s">
        <v>587</v>
      </c>
      <c r="E140" s="30" t="s">
        <v>845</v>
      </c>
      <c r="F140" s="30" t="s">
        <v>92</v>
      </c>
      <c r="G140" s="30" t="s">
        <v>263</v>
      </c>
      <c r="H140" s="30" t="s">
        <v>680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  <c r="AC140" s="31">
        <v>0</v>
      </c>
      <c r="AD140" s="32">
        <v>16</v>
      </c>
      <c r="AE140" s="32">
        <v>865</v>
      </c>
      <c r="AF140" s="32">
        <v>1591</v>
      </c>
      <c r="AG140" s="32">
        <v>2634</v>
      </c>
      <c r="AH140" s="32">
        <v>1613</v>
      </c>
      <c r="AI140" s="32">
        <v>1522</v>
      </c>
      <c r="AJ140" s="32">
        <v>2126</v>
      </c>
      <c r="AK140" s="32">
        <v>1031</v>
      </c>
      <c r="AL140" s="32">
        <v>821</v>
      </c>
      <c r="AM140" s="32">
        <v>1251</v>
      </c>
      <c r="AN140" s="32">
        <v>1108</v>
      </c>
      <c r="AO140" s="32">
        <v>1094</v>
      </c>
      <c r="AP140" s="32">
        <v>1576</v>
      </c>
      <c r="AQ140" s="32">
        <v>721</v>
      </c>
      <c r="AR140" s="32">
        <v>1019</v>
      </c>
      <c r="AS140" s="32">
        <v>992</v>
      </c>
    </row>
    <row r="141" spans="1:45">
      <c r="A141" s="30" t="s">
        <v>676</v>
      </c>
      <c r="B141" s="30" t="s">
        <v>633</v>
      </c>
      <c r="C141" s="30" t="s">
        <v>677</v>
      </c>
      <c r="D141" s="30" t="s">
        <v>587</v>
      </c>
      <c r="E141" s="30" t="s">
        <v>846</v>
      </c>
      <c r="F141" s="30" t="s">
        <v>92</v>
      </c>
      <c r="G141" s="30" t="s">
        <v>264</v>
      </c>
      <c r="H141" s="30" t="s">
        <v>680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0</v>
      </c>
      <c r="AG141" s="31">
        <v>0</v>
      </c>
      <c r="AH141" s="32">
        <v>177</v>
      </c>
      <c r="AI141" s="32">
        <v>425</v>
      </c>
      <c r="AJ141" s="32">
        <v>768</v>
      </c>
      <c r="AK141" s="32">
        <v>787</v>
      </c>
      <c r="AL141" s="32">
        <v>721</v>
      </c>
      <c r="AM141" s="32">
        <v>1074</v>
      </c>
      <c r="AN141" s="32">
        <v>810</v>
      </c>
      <c r="AO141" s="32">
        <v>668</v>
      </c>
      <c r="AP141" s="32">
        <v>1141</v>
      </c>
      <c r="AQ141" s="32">
        <v>743</v>
      </c>
      <c r="AR141" s="32">
        <v>527</v>
      </c>
      <c r="AS141" s="32">
        <v>799</v>
      </c>
    </row>
    <row r="142" spans="1:45">
      <c r="A142" s="30" t="s">
        <v>676</v>
      </c>
      <c r="B142" s="30" t="s">
        <v>633</v>
      </c>
      <c r="C142" s="30" t="s">
        <v>677</v>
      </c>
      <c r="D142" s="30" t="s">
        <v>587</v>
      </c>
      <c r="E142" s="30" t="s">
        <v>847</v>
      </c>
      <c r="F142" s="30" t="s">
        <v>89</v>
      </c>
      <c r="G142" s="30" t="s">
        <v>265</v>
      </c>
      <c r="H142" s="30" t="s">
        <v>680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2">
        <v>619</v>
      </c>
    </row>
    <row r="143" spans="1:45">
      <c r="A143" s="30" t="s">
        <v>676</v>
      </c>
      <c r="B143" s="30" t="s">
        <v>633</v>
      </c>
      <c r="C143" s="30" t="s">
        <v>677</v>
      </c>
      <c r="D143" s="30" t="s">
        <v>587</v>
      </c>
      <c r="E143" s="30" t="s">
        <v>848</v>
      </c>
      <c r="F143" s="30" t="s">
        <v>89</v>
      </c>
      <c r="G143" s="30" t="s">
        <v>266</v>
      </c>
      <c r="H143" s="30" t="s">
        <v>680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2">
        <v>813</v>
      </c>
    </row>
    <row r="144" spans="1:45">
      <c r="A144" s="30" t="s">
        <v>676</v>
      </c>
      <c r="B144" s="30" t="s">
        <v>633</v>
      </c>
      <c r="C144" s="30" t="s">
        <v>677</v>
      </c>
      <c r="D144" s="30" t="s">
        <v>587</v>
      </c>
      <c r="E144" s="30" t="s">
        <v>849</v>
      </c>
      <c r="F144" s="30" t="s">
        <v>89</v>
      </c>
      <c r="G144" s="30" t="s">
        <v>267</v>
      </c>
      <c r="H144" s="30" t="s">
        <v>680</v>
      </c>
      <c r="I144" s="31">
        <v>0</v>
      </c>
      <c r="J144" s="31">
        <v>0</v>
      </c>
      <c r="K144" s="31">
        <v>0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1">
        <v>0</v>
      </c>
      <c r="AD144" s="31">
        <v>0</v>
      </c>
      <c r="AE144" s="31">
        <v>0</v>
      </c>
      <c r="AF144" s="31">
        <v>0</v>
      </c>
      <c r="AG144" s="31">
        <v>0</v>
      </c>
      <c r="AH144" s="31">
        <v>0</v>
      </c>
      <c r="AI144" s="31">
        <v>0</v>
      </c>
      <c r="AJ144" s="31">
        <v>0</v>
      </c>
      <c r="AK144" s="31">
        <v>0</v>
      </c>
      <c r="AL144" s="31">
        <v>0</v>
      </c>
      <c r="AM144" s="31">
        <v>0</v>
      </c>
      <c r="AN144" s="31">
        <v>0</v>
      </c>
      <c r="AO144" s="31">
        <v>0</v>
      </c>
      <c r="AP144" s="31">
        <v>0</v>
      </c>
      <c r="AQ144" s="31">
        <v>0</v>
      </c>
      <c r="AR144" s="31">
        <v>0</v>
      </c>
      <c r="AS144" s="32">
        <v>1038</v>
      </c>
    </row>
    <row r="145" spans="1:45">
      <c r="A145" s="30" t="s">
        <v>676</v>
      </c>
      <c r="B145" s="30" t="s">
        <v>633</v>
      </c>
      <c r="C145" s="30" t="s">
        <v>677</v>
      </c>
      <c r="D145" s="30" t="s">
        <v>587</v>
      </c>
      <c r="E145" s="30" t="s">
        <v>850</v>
      </c>
      <c r="F145" s="30" t="s">
        <v>89</v>
      </c>
      <c r="G145" s="30" t="s">
        <v>268</v>
      </c>
      <c r="H145" s="30" t="s">
        <v>680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  <c r="AC145" s="31">
        <v>0</v>
      </c>
      <c r="AD145" s="31">
        <v>0</v>
      </c>
      <c r="AE145" s="31">
        <v>0</v>
      </c>
      <c r="AF145" s="31">
        <v>0</v>
      </c>
      <c r="AG145" s="31">
        <v>0</v>
      </c>
      <c r="AH145" s="31">
        <v>0</v>
      </c>
      <c r="AI145" s="31">
        <v>0</v>
      </c>
      <c r="AJ145" s="31">
        <v>0</v>
      </c>
      <c r="AK145" s="31">
        <v>0</v>
      </c>
      <c r="AL145" s="31">
        <v>0</v>
      </c>
      <c r="AM145" s="31">
        <v>0</v>
      </c>
      <c r="AN145" s="31">
        <v>0</v>
      </c>
      <c r="AO145" s="31">
        <v>0</v>
      </c>
      <c r="AP145" s="31">
        <v>0</v>
      </c>
      <c r="AQ145" s="31">
        <v>0</v>
      </c>
      <c r="AR145" s="31">
        <v>0</v>
      </c>
      <c r="AS145" s="32">
        <v>1132</v>
      </c>
    </row>
    <row r="146" spans="1:45">
      <c r="A146" s="30" t="s">
        <v>676</v>
      </c>
      <c r="B146" s="30" t="s">
        <v>633</v>
      </c>
      <c r="C146" s="30" t="s">
        <v>677</v>
      </c>
      <c r="D146" s="30" t="s">
        <v>587</v>
      </c>
      <c r="E146" s="30" t="s">
        <v>851</v>
      </c>
      <c r="F146" s="30" t="s">
        <v>89</v>
      </c>
      <c r="G146" s="30" t="s">
        <v>269</v>
      </c>
      <c r="H146" s="30" t="s">
        <v>680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  <c r="AC146" s="31">
        <v>0</v>
      </c>
      <c r="AD146" s="31">
        <v>0</v>
      </c>
      <c r="AE146" s="31">
        <v>0</v>
      </c>
      <c r="AF146" s="31">
        <v>0</v>
      </c>
      <c r="AG146" s="31">
        <v>0</v>
      </c>
      <c r="AH146" s="31">
        <v>0</v>
      </c>
      <c r="AI146" s="31">
        <v>0</v>
      </c>
      <c r="AJ146" s="31">
        <v>0</v>
      </c>
      <c r="AK146" s="31">
        <v>0</v>
      </c>
      <c r="AL146" s="31">
        <v>0</v>
      </c>
      <c r="AM146" s="31">
        <v>0</v>
      </c>
      <c r="AN146" s="31">
        <v>0</v>
      </c>
      <c r="AO146" s="31">
        <v>0</v>
      </c>
      <c r="AP146" s="31">
        <v>0</v>
      </c>
      <c r="AQ146" s="31">
        <v>0</v>
      </c>
      <c r="AR146" s="31">
        <v>0</v>
      </c>
      <c r="AS146" s="32">
        <v>860</v>
      </c>
    </row>
    <row r="147" spans="1:45">
      <c r="A147" s="30" t="s">
        <v>676</v>
      </c>
      <c r="B147" s="30" t="s">
        <v>633</v>
      </c>
      <c r="C147" s="30" t="s">
        <v>677</v>
      </c>
      <c r="D147" s="30" t="s">
        <v>587</v>
      </c>
      <c r="E147" s="30" t="s">
        <v>852</v>
      </c>
      <c r="F147" s="30" t="s">
        <v>89</v>
      </c>
      <c r="G147" s="30" t="s">
        <v>270</v>
      </c>
      <c r="H147" s="30" t="s">
        <v>680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  <c r="AC147" s="31">
        <v>0</v>
      </c>
      <c r="AD147" s="31">
        <v>0</v>
      </c>
      <c r="AE147" s="31">
        <v>0</v>
      </c>
      <c r="AF147" s="31">
        <v>0</v>
      </c>
      <c r="AG147" s="31">
        <v>0</v>
      </c>
      <c r="AH147" s="31">
        <v>0</v>
      </c>
      <c r="AI147" s="31">
        <v>0</v>
      </c>
      <c r="AJ147" s="31">
        <v>0</v>
      </c>
      <c r="AK147" s="31">
        <v>0</v>
      </c>
      <c r="AL147" s="31">
        <v>0</v>
      </c>
      <c r="AM147" s="31">
        <v>0</v>
      </c>
      <c r="AN147" s="31">
        <v>0</v>
      </c>
      <c r="AO147" s="31">
        <v>0</v>
      </c>
      <c r="AP147" s="31">
        <v>0</v>
      </c>
      <c r="AQ147" s="31">
        <v>0</v>
      </c>
      <c r="AR147" s="31">
        <v>0</v>
      </c>
      <c r="AS147" s="32">
        <v>850</v>
      </c>
    </row>
    <row r="148" spans="1:45">
      <c r="A148" s="30" t="s">
        <v>676</v>
      </c>
      <c r="B148" s="30" t="s">
        <v>633</v>
      </c>
      <c r="C148" s="30" t="s">
        <v>677</v>
      </c>
      <c r="D148" s="30" t="s">
        <v>587</v>
      </c>
      <c r="E148" s="30" t="s">
        <v>853</v>
      </c>
      <c r="F148" s="30" t="s">
        <v>88</v>
      </c>
      <c r="G148" s="30" t="s">
        <v>854</v>
      </c>
      <c r="H148" s="30" t="s">
        <v>680</v>
      </c>
      <c r="I148" s="32">
        <v>171</v>
      </c>
      <c r="J148" s="32">
        <v>40</v>
      </c>
      <c r="K148" s="32">
        <v>33</v>
      </c>
      <c r="L148" s="32">
        <v>28</v>
      </c>
      <c r="M148" s="32">
        <v>18</v>
      </c>
      <c r="N148" s="32">
        <v>27</v>
      </c>
      <c r="O148" s="32">
        <v>14</v>
      </c>
      <c r="P148" s="32">
        <v>10</v>
      </c>
      <c r="Q148" s="32">
        <v>3</v>
      </c>
      <c r="R148" s="32">
        <v>5</v>
      </c>
      <c r="S148" s="31">
        <v>0</v>
      </c>
      <c r="T148" s="32">
        <v>3</v>
      </c>
      <c r="U148" s="31">
        <v>0</v>
      </c>
      <c r="V148" s="31">
        <v>0</v>
      </c>
      <c r="W148" s="31">
        <v>0</v>
      </c>
      <c r="X148" s="32">
        <v>1</v>
      </c>
      <c r="Y148" s="32">
        <v>2</v>
      </c>
      <c r="Z148" s="31">
        <v>0</v>
      </c>
      <c r="AA148" s="32">
        <v>1</v>
      </c>
      <c r="AB148" s="31">
        <v>0</v>
      </c>
      <c r="AC148" s="31">
        <v>0</v>
      </c>
      <c r="AD148" s="31">
        <v>0</v>
      </c>
      <c r="AE148" s="31">
        <v>0</v>
      </c>
      <c r="AF148" s="31">
        <v>0</v>
      </c>
      <c r="AG148" s="31">
        <v>0</v>
      </c>
      <c r="AH148" s="31">
        <v>0</v>
      </c>
      <c r="AI148" s="31">
        <v>0</v>
      </c>
      <c r="AJ148" s="31">
        <v>0</v>
      </c>
      <c r="AK148" s="31">
        <v>0</v>
      </c>
      <c r="AL148" s="31">
        <v>0</v>
      </c>
      <c r="AM148" s="31">
        <v>0</v>
      </c>
      <c r="AN148" s="31">
        <v>0</v>
      </c>
      <c r="AO148" s="31">
        <v>0</v>
      </c>
      <c r="AP148" s="31">
        <v>0</v>
      </c>
      <c r="AQ148" s="31">
        <v>0</v>
      </c>
      <c r="AR148" s="31">
        <v>0</v>
      </c>
      <c r="AS148" s="31">
        <v>0</v>
      </c>
    </row>
    <row r="149" spans="1:45">
      <c r="A149" s="30" t="s">
        <v>676</v>
      </c>
      <c r="B149" s="30" t="s">
        <v>633</v>
      </c>
      <c r="C149" s="30" t="s">
        <v>677</v>
      </c>
      <c r="D149" s="30" t="s">
        <v>587</v>
      </c>
      <c r="E149" s="30" t="s">
        <v>855</v>
      </c>
      <c r="F149" s="30" t="s">
        <v>88</v>
      </c>
      <c r="G149" s="30" t="s">
        <v>856</v>
      </c>
      <c r="H149" s="30" t="s">
        <v>680</v>
      </c>
      <c r="I149" s="32">
        <v>171</v>
      </c>
      <c r="J149" s="32">
        <v>40</v>
      </c>
      <c r="K149" s="32">
        <v>33</v>
      </c>
      <c r="L149" s="32">
        <v>28</v>
      </c>
      <c r="M149" s="32">
        <v>18</v>
      </c>
      <c r="N149" s="32">
        <v>27</v>
      </c>
      <c r="O149" s="32">
        <v>14</v>
      </c>
      <c r="P149" s="32">
        <v>10</v>
      </c>
      <c r="Q149" s="32">
        <v>3</v>
      </c>
      <c r="R149" s="32">
        <v>5</v>
      </c>
      <c r="S149" s="31">
        <v>0</v>
      </c>
      <c r="T149" s="32">
        <v>3</v>
      </c>
      <c r="U149" s="31">
        <v>0</v>
      </c>
      <c r="V149" s="31">
        <v>0</v>
      </c>
      <c r="W149" s="31">
        <v>0</v>
      </c>
      <c r="X149" s="32">
        <v>1</v>
      </c>
      <c r="Y149" s="32">
        <v>2</v>
      </c>
      <c r="Z149" s="31">
        <v>0</v>
      </c>
      <c r="AA149" s="32">
        <v>1</v>
      </c>
      <c r="AB149" s="31">
        <v>0</v>
      </c>
      <c r="AC149" s="31">
        <v>0</v>
      </c>
      <c r="AD149" s="31">
        <v>0</v>
      </c>
      <c r="AE149" s="31">
        <v>0</v>
      </c>
      <c r="AF149" s="31">
        <v>0</v>
      </c>
      <c r="AG149" s="31">
        <v>0</v>
      </c>
      <c r="AH149" s="31">
        <v>0</v>
      </c>
      <c r="AI149" s="31">
        <v>0</v>
      </c>
      <c r="AJ149" s="31">
        <v>0</v>
      </c>
      <c r="AK149" s="31">
        <v>0</v>
      </c>
      <c r="AL149" s="31">
        <v>0</v>
      </c>
      <c r="AM149" s="31">
        <v>0</v>
      </c>
      <c r="AN149" s="31">
        <v>0</v>
      </c>
      <c r="AO149" s="31">
        <v>0</v>
      </c>
      <c r="AP149" s="31">
        <v>0</v>
      </c>
      <c r="AQ149" s="31">
        <v>0</v>
      </c>
      <c r="AR149" s="31">
        <v>0</v>
      </c>
      <c r="AS149" s="31">
        <v>0</v>
      </c>
    </row>
    <row r="150" spans="1:45">
      <c r="A150" s="30" t="s">
        <v>676</v>
      </c>
      <c r="B150" s="30" t="s">
        <v>633</v>
      </c>
      <c r="C150" s="30" t="s">
        <v>677</v>
      </c>
      <c r="D150" s="30" t="s">
        <v>587</v>
      </c>
      <c r="E150" s="30" t="s">
        <v>857</v>
      </c>
      <c r="F150" s="30" t="s">
        <v>104</v>
      </c>
      <c r="G150" s="30" t="s">
        <v>858</v>
      </c>
      <c r="H150" s="30" t="s">
        <v>680</v>
      </c>
      <c r="I150" s="32">
        <v>564</v>
      </c>
      <c r="J150" s="32">
        <v>135</v>
      </c>
      <c r="K150" s="32">
        <v>94</v>
      </c>
      <c r="L150" s="32">
        <v>94</v>
      </c>
      <c r="M150" s="32">
        <v>103</v>
      </c>
      <c r="N150" s="32">
        <v>53</v>
      </c>
      <c r="O150" s="32">
        <v>68</v>
      </c>
      <c r="P150" s="32">
        <v>23</v>
      </c>
      <c r="Q150" s="32">
        <v>20</v>
      </c>
      <c r="R150" s="32">
        <v>11</v>
      </c>
      <c r="S150" s="31">
        <v>0</v>
      </c>
      <c r="T150" s="32">
        <v>1</v>
      </c>
      <c r="U150" s="32">
        <v>1</v>
      </c>
      <c r="V150" s="31">
        <v>0</v>
      </c>
      <c r="W150" s="31">
        <v>0</v>
      </c>
      <c r="X150" s="32">
        <v>1</v>
      </c>
      <c r="Y150" s="31">
        <v>0</v>
      </c>
      <c r="Z150" s="31">
        <v>0</v>
      </c>
      <c r="AA150" s="31">
        <v>0</v>
      </c>
      <c r="AB150" s="31">
        <v>0</v>
      </c>
      <c r="AC150" s="31">
        <v>0</v>
      </c>
      <c r="AD150" s="31">
        <v>0</v>
      </c>
      <c r="AE150" s="31">
        <v>0</v>
      </c>
      <c r="AF150" s="31">
        <v>0</v>
      </c>
      <c r="AG150" s="31">
        <v>0</v>
      </c>
      <c r="AH150" s="31">
        <v>0</v>
      </c>
      <c r="AI150" s="32">
        <v>1</v>
      </c>
      <c r="AJ150" s="31">
        <v>0</v>
      </c>
      <c r="AK150" s="31">
        <v>0</v>
      </c>
      <c r="AL150" s="31">
        <v>0</v>
      </c>
      <c r="AM150" s="32">
        <v>2</v>
      </c>
      <c r="AN150" s="32">
        <v>2</v>
      </c>
      <c r="AO150" s="31">
        <v>0</v>
      </c>
      <c r="AP150" s="31">
        <v>0</v>
      </c>
      <c r="AQ150" s="31">
        <v>0</v>
      </c>
      <c r="AR150" s="31">
        <v>0</v>
      </c>
      <c r="AS150" s="31">
        <v>0</v>
      </c>
    </row>
    <row r="151" spans="1:45">
      <c r="A151" s="30" t="s">
        <v>676</v>
      </c>
      <c r="B151" s="30" t="s">
        <v>633</v>
      </c>
      <c r="C151" s="30" t="s">
        <v>677</v>
      </c>
      <c r="D151" s="30" t="s">
        <v>587</v>
      </c>
      <c r="E151" s="30" t="s">
        <v>859</v>
      </c>
      <c r="F151" s="30" t="s">
        <v>104</v>
      </c>
      <c r="G151" s="30" t="s">
        <v>860</v>
      </c>
      <c r="H151" s="30" t="s">
        <v>680</v>
      </c>
      <c r="I151" s="32">
        <v>564</v>
      </c>
      <c r="J151" s="32">
        <v>135</v>
      </c>
      <c r="K151" s="32">
        <v>94</v>
      </c>
      <c r="L151" s="32">
        <v>94</v>
      </c>
      <c r="M151" s="32">
        <v>103</v>
      </c>
      <c r="N151" s="32">
        <v>53</v>
      </c>
      <c r="O151" s="32">
        <v>68</v>
      </c>
      <c r="P151" s="32">
        <v>23</v>
      </c>
      <c r="Q151" s="32">
        <v>20</v>
      </c>
      <c r="R151" s="32">
        <v>11</v>
      </c>
      <c r="S151" s="31">
        <v>0</v>
      </c>
      <c r="T151" s="32">
        <v>1</v>
      </c>
      <c r="U151" s="32">
        <v>1</v>
      </c>
      <c r="V151" s="31">
        <v>0</v>
      </c>
      <c r="W151" s="31">
        <v>0</v>
      </c>
      <c r="X151" s="32">
        <v>1</v>
      </c>
      <c r="Y151" s="31">
        <v>0</v>
      </c>
      <c r="Z151" s="31">
        <v>0</v>
      </c>
      <c r="AA151" s="31">
        <v>0</v>
      </c>
      <c r="AB151" s="31">
        <v>0</v>
      </c>
      <c r="AC151" s="31">
        <v>0</v>
      </c>
      <c r="AD151" s="31">
        <v>0</v>
      </c>
      <c r="AE151" s="31">
        <v>0</v>
      </c>
      <c r="AF151" s="31">
        <v>0</v>
      </c>
      <c r="AG151" s="31">
        <v>0</v>
      </c>
      <c r="AH151" s="31">
        <v>0</v>
      </c>
      <c r="AI151" s="32">
        <v>1</v>
      </c>
      <c r="AJ151" s="31">
        <v>0</v>
      </c>
      <c r="AK151" s="31">
        <v>0</v>
      </c>
      <c r="AL151" s="31">
        <v>0</v>
      </c>
      <c r="AM151" s="32">
        <v>2</v>
      </c>
      <c r="AN151" s="32">
        <v>2</v>
      </c>
      <c r="AO151" s="31">
        <v>0</v>
      </c>
      <c r="AP151" s="31">
        <v>0</v>
      </c>
      <c r="AQ151" s="31">
        <v>0</v>
      </c>
      <c r="AR151" s="31">
        <v>0</v>
      </c>
      <c r="AS151" s="31">
        <v>0</v>
      </c>
    </row>
    <row r="152" spans="1:45">
      <c r="A152" s="30" t="s">
        <v>676</v>
      </c>
      <c r="B152" s="30" t="s">
        <v>633</v>
      </c>
      <c r="C152" s="30" t="s">
        <v>677</v>
      </c>
      <c r="D152" s="30" t="s">
        <v>587</v>
      </c>
      <c r="E152" s="30" t="s">
        <v>861</v>
      </c>
      <c r="F152" s="30" t="s">
        <v>88</v>
      </c>
      <c r="G152" s="30" t="s">
        <v>856</v>
      </c>
      <c r="H152" s="30" t="s">
        <v>680</v>
      </c>
      <c r="I152" s="32">
        <v>5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0</v>
      </c>
      <c r="AC152" s="31">
        <v>0</v>
      </c>
      <c r="AD152" s="31">
        <v>0</v>
      </c>
      <c r="AE152" s="31">
        <v>0</v>
      </c>
      <c r="AF152" s="31">
        <v>0</v>
      </c>
      <c r="AG152" s="31">
        <v>0</v>
      </c>
      <c r="AH152" s="31">
        <v>0</v>
      </c>
      <c r="AI152" s="31">
        <v>0</v>
      </c>
      <c r="AJ152" s="31">
        <v>0</v>
      </c>
      <c r="AK152" s="31">
        <v>0</v>
      </c>
      <c r="AL152" s="31">
        <v>0</v>
      </c>
      <c r="AM152" s="31">
        <v>0</v>
      </c>
      <c r="AN152" s="31">
        <v>0</v>
      </c>
      <c r="AO152" s="31">
        <v>0</v>
      </c>
      <c r="AP152" s="31">
        <v>0</v>
      </c>
      <c r="AQ152" s="31">
        <v>0</v>
      </c>
      <c r="AR152" s="31">
        <v>0</v>
      </c>
      <c r="AS152" s="31">
        <v>0</v>
      </c>
    </row>
    <row r="153" spans="1:45">
      <c r="A153" s="30" t="s">
        <v>676</v>
      </c>
      <c r="B153" s="30" t="s">
        <v>633</v>
      </c>
      <c r="C153" s="30" t="s">
        <v>677</v>
      </c>
      <c r="D153" s="30" t="s">
        <v>587</v>
      </c>
      <c r="E153" s="30" t="s">
        <v>862</v>
      </c>
      <c r="F153" s="30" t="s">
        <v>88</v>
      </c>
      <c r="G153" s="30" t="s">
        <v>863</v>
      </c>
      <c r="H153" s="30" t="s">
        <v>680</v>
      </c>
      <c r="I153" s="32">
        <v>5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0</v>
      </c>
      <c r="AA153" s="31">
        <v>0</v>
      </c>
      <c r="AB153" s="31">
        <v>0</v>
      </c>
      <c r="AC153" s="31">
        <v>0</v>
      </c>
      <c r="AD153" s="31">
        <v>0</v>
      </c>
      <c r="AE153" s="31">
        <v>0</v>
      </c>
      <c r="AF153" s="31">
        <v>0</v>
      </c>
      <c r="AG153" s="31">
        <v>0</v>
      </c>
      <c r="AH153" s="31">
        <v>0</v>
      </c>
      <c r="AI153" s="31">
        <v>0</v>
      </c>
      <c r="AJ153" s="31">
        <v>0</v>
      </c>
      <c r="AK153" s="31">
        <v>0</v>
      </c>
      <c r="AL153" s="31">
        <v>0</v>
      </c>
      <c r="AM153" s="31">
        <v>0</v>
      </c>
      <c r="AN153" s="31">
        <v>0</v>
      </c>
      <c r="AO153" s="31">
        <v>0</v>
      </c>
      <c r="AP153" s="31">
        <v>0</v>
      </c>
      <c r="AQ153" s="31">
        <v>0</v>
      </c>
      <c r="AR153" s="31">
        <v>0</v>
      </c>
      <c r="AS153" s="31">
        <v>0</v>
      </c>
    </row>
    <row r="154" spans="1:45">
      <c r="A154" s="30" t="s">
        <v>676</v>
      </c>
      <c r="B154" s="30" t="s">
        <v>633</v>
      </c>
      <c r="C154" s="30" t="s">
        <v>677</v>
      </c>
      <c r="D154" s="30" t="s">
        <v>587</v>
      </c>
      <c r="E154" s="30" t="s">
        <v>864</v>
      </c>
      <c r="F154" s="30" t="s">
        <v>628</v>
      </c>
      <c r="G154" s="30" t="s">
        <v>865</v>
      </c>
      <c r="H154" s="30" t="s">
        <v>680</v>
      </c>
      <c r="I154" s="31">
        <v>0</v>
      </c>
      <c r="J154" s="31">
        <v>0</v>
      </c>
      <c r="K154" s="31">
        <v>0</v>
      </c>
      <c r="L154" s="31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2">
        <v>9</v>
      </c>
      <c r="Y154" s="31">
        <v>0</v>
      </c>
      <c r="Z154" s="31">
        <v>0</v>
      </c>
      <c r="AA154" s="31">
        <v>0</v>
      </c>
      <c r="AB154" s="31">
        <v>0</v>
      </c>
      <c r="AC154" s="31">
        <v>0</v>
      </c>
      <c r="AD154" s="31">
        <v>0</v>
      </c>
      <c r="AE154" s="31">
        <v>0</v>
      </c>
      <c r="AF154" s="31">
        <v>0</v>
      </c>
      <c r="AG154" s="31">
        <v>0</v>
      </c>
      <c r="AH154" s="31">
        <v>0</v>
      </c>
      <c r="AI154" s="31">
        <v>0</v>
      </c>
      <c r="AJ154" s="31">
        <v>0</v>
      </c>
      <c r="AK154" s="31">
        <v>0</v>
      </c>
      <c r="AL154" s="31">
        <v>0</v>
      </c>
      <c r="AM154" s="31">
        <v>0</v>
      </c>
      <c r="AN154" s="31">
        <v>0</v>
      </c>
      <c r="AO154" s="31">
        <v>0</v>
      </c>
      <c r="AP154" s="31">
        <v>0</v>
      </c>
      <c r="AQ154" s="31">
        <v>0</v>
      </c>
      <c r="AR154" s="31">
        <v>0</v>
      </c>
      <c r="AS154" s="31">
        <v>0</v>
      </c>
    </row>
    <row r="155" spans="1:45">
      <c r="A155" s="30" t="s">
        <v>676</v>
      </c>
      <c r="B155" s="30" t="s">
        <v>633</v>
      </c>
      <c r="C155" s="30" t="s">
        <v>677</v>
      </c>
      <c r="D155" s="30" t="s">
        <v>587</v>
      </c>
      <c r="E155" s="30" t="s">
        <v>866</v>
      </c>
      <c r="F155" s="30" t="s">
        <v>628</v>
      </c>
      <c r="G155" s="30" t="s">
        <v>867</v>
      </c>
      <c r="H155" s="30" t="s">
        <v>680</v>
      </c>
      <c r="I155" s="31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2">
        <v>9</v>
      </c>
      <c r="Y155" s="31">
        <v>0</v>
      </c>
      <c r="Z155" s="31">
        <v>0</v>
      </c>
      <c r="AA155" s="31">
        <v>0</v>
      </c>
      <c r="AB155" s="31">
        <v>0</v>
      </c>
      <c r="AC155" s="31">
        <v>0</v>
      </c>
      <c r="AD155" s="31">
        <v>0</v>
      </c>
      <c r="AE155" s="31">
        <v>0</v>
      </c>
      <c r="AF155" s="31">
        <v>0</v>
      </c>
      <c r="AG155" s="31">
        <v>0</v>
      </c>
      <c r="AH155" s="31">
        <v>0</v>
      </c>
      <c r="AI155" s="31">
        <v>0</v>
      </c>
      <c r="AJ155" s="31">
        <v>0</v>
      </c>
      <c r="AK155" s="31">
        <v>0</v>
      </c>
      <c r="AL155" s="31">
        <v>0</v>
      </c>
      <c r="AM155" s="31">
        <v>0</v>
      </c>
      <c r="AN155" s="31">
        <v>0</v>
      </c>
      <c r="AO155" s="31">
        <v>0</v>
      </c>
      <c r="AP155" s="31">
        <v>0</v>
      </c>
      <c r="AQ155" s="31">
        <v>0</v>
      </c>
      <c r="AR155" s="31">
        <v>0</v>
      </c>
      <c r="AS155" s="31">
        <v>0</v>
      </c>
    </row>
    <row r="156" spans="1:45">
      <c r="A156" s="30" t="s">
        <v>676</v>
      </c>
      <c r="B156" s="30" t="s">
        <v>633</v>
      </c>
      <c r="C156" s="30" t="s">
        <v>677</v>
      </c>
      <c r="D156" s="30" t="s">
        <v>587</v>
      </c>
      <c r="E156" s="30" t="s">
        <v>868</v>
      </c>
      <c r="F156" s="30" t="s">
        <v>98</v>
      </c>
      <c r="G156" s="30" t="s">
        <v>869</v>
      </c>
      <c r="H156" s="30" t="s">
        <v>680</v>
      </c>
      <c r="I156" s="32">
        <v>161</v>
      </c>
      <c r="J156" s="32">
        <v>37</v>
      </c>
      <c r="K156" s="32">
        <v>23</v>
      </c>
      <c r="L156" s="32">
        <v>32</v>
      </c>
      <c r="M156" s="32">
        <v>28</v>
      </c>
      <c r="N156" s="32">
        <v>15</v>
      </c>
      <c r="O156" s="32">
        <v>20</v>
      </c>
      <c r="P156" s="32">
        <v>15</v>
      </c>
      <c r="Q156" s="32">
        <v>20</v>
      </c>
      <c r="R156" s="32">
        <v>32</v>
      </c>
      <c r="S156" s="32">
        <v>19</v>
      </c>
      <c r="T156" s="32">
        <v>9</v>
      </c>
      <c r="U156" s="32">
        <v>4</v>
      </c>
      <c r="V156" s="32">
        <v>4</v>
      </c>
      <c r="W156" s="32">
        <v>3</v>
      </c>
      <c r="X156" s="32">
        <v>4</v>
      </c>
      <c r="Y156" s="31">
        <v>0</v>
      </c>
      <c r="Z156" s="31">
        <v>0</v>
      </c>
      <c r="AA156" s="31">
        <v>0</v>
      </c>
      <c r="AB156" s="31">
        <v>0</v>
      </c>
      <c r="AC156" s="31">
        <v>0</v>
      </c>
      <c r="AD156" s="31">
        <v>0</v>
      </c>
      <c r="AE156" s="31">
        <v>0</v>
      </c>
      <c r="AF156" s="31">
        <v>0</v>
      </c>
      <c r="AG156" s="31">
        <v>0</v>
      </c>
      <c r="AH156" s="31">
        <v>0</v>
      </c>
      <c r="AI156" s="31">
        <v>0</v>
      </c>
      <c r="AJ156" s="31">
        <v>0</v>
      </c>
      <c r="AK156" s="31">
        <v>0</v>
      </c>
      <c r="AL156" s="31">
        <v>0</v>
      </c>
      <c r="AM156" s="31">
        <v>0</v>
      </c>
      <c r="AN156" s="31">
        <v>0</v>
      </c>
      <c r="AO156" s="31">
        <v>0</v>
      </c>
      <c r="AP156" s="31">
        <v>0</v>
      </c>
      <c r="AQ156" s="31">
        <v>0</v>
      </c>
      <c r="AR156" s="31">
        <v>0</v>
      </c>
      <c r="AS156" s="31">
        <v>0</v>
      </c>
    </row>
    <row r="157" spans="1:45">
      <c r="A157" s="30" t="s">
        <v>676</v>
      </c>
      <c r="B157" s="30" t="s">
        <v>633</v>
      </c>
      <c r="C157" s="30" t="s">
        <v>677</v>
      </c>
      <c r="D157" s="30" t="s">
        <v>587</v>
      </c>
      <c r="E157" s="30" t="s">
        <v>870</v>
      </c>
      <c r="F157" s="30" t="s">
        <v>98</v>
      </c>
      <c r="G157" s="30" t="s">
        <v>871</v>
      </c>
      <c r="H157" s="30" t="s">
        <v>680</v>
      </c>
      <c r="I157" s="32">
        <v>161</v>
      </c>
      <c r="J157" s="32">
        <v>37</v>
      </c>
      <c r="K157" s="32">
        <v>23</v>
      </c>
      <c r="L157" s="32">
        <v>32</v>
      </c>
      <c r="M157" s="32">
        <v>28</v>
      </c>
      <c r="N157" s="32">
        <v>15</v>
      </c>
      <c r="O157" s="32">
        <v>20</v>
      </c>
      <c r="P157" s="32">
        <v>15</v>
      </c>
      <c r="Q157" s="32">
        <v>20</v>
      </c>
      <c r="R157" s="32">
        <v>32</v>
      </c>
      <c r="S157" s="32">
        <v>19</v>
      </c>
      <c r="T157" s="32">
        <v>9</v>
      </c>
      <c r="U157" s="32">
        <v>4</v>
      </c>
      <c r="V157" s="32">
        <v>4</v>
      </c>
      <c r="W157" s="32">
        <v>3</v>
      </c>
      <c r="X157" s="32">
        <v>4</v>
      </c>
      <c r="Y157" s="31">
        <v>0</v>
      </c>
      <c r="Z157" s="31">
        <v>0</v>
      </c>
      <c r="AA157" s="31">
        <v>0</v>
      </c>
      <c r="AB157" s="31">
        <v>0</v>
      </c>
      <c r="AC157" s="31">
        <v>0</v>
      </c>
      <c r="AD157" s="31">
        <v>0</v>
      </c>
      <c r="AE157" s="31">
        <v>0</v>
      </c>
      <c r="AF157" s="31">
        <v>0</v>
      </c>
      <c r="AG157" s="31">
        <v>0</v>
      </c>
      <c r="AH157" s="31">
        <v>0</v>
      </c>
      <c r="AI157" s="31">
        <v>0</v>
      </c>
      <c r="AJ157" s="31">
        <v>0</v>
      </c>
      <c r="AK157" s="31">
        <v>0</v>
      </c>
      <c r="AL157" s="31">
        <v>0</v>
      </c>
      <c r="AM157" s="31">
        <v>0</v>
      </c>
      <c r="AN157" s="31">
        <v>0</v>
      </c>
      <c r="AO157" s="31">
        <v>0</v>
      </c>
      <c r="AP157" s="31">
        <v>0</v>
      </c>
      <c r="AQ157" s="31">
        <v>0</v>
      </c>
      <c r="AR157" s="31">
        <v>0</v>
      </c>
      <c r="AS157" s="31">
        <v>0</v>
      </c>
    </row>
    <row r="158" spans="1:45">
      <c r="A158" s="30" t="s">
        <v>676</v>
      </c>
      <c r="B158" s="30" t="s">
        <v>633</v>
      </c>
      <c r="C158" s="30" t="s">
        <v>677</v>
      </c>
      <c r="D158" s="30" t="s">
        <v>587</v>
      </c>
      <c r="E158" s="30" t="s">
        <v>872</v>
      </c>
      <c r="F158" s="30" t="s">
        <v>84</v>
      </c>
      <c r="G158" s="30" t="s">
        <v>873</v>
      </c>
      <c r="H158" s="30" t="s">
        <v>680</v>
      </c>
      <c r="I158" s="32">
        <v>67</v>
      </c>
      <c r="J158" s="32">
        <v>22</v>
      </c>
      <c r="K158" s="32">
        <v>11</v>
      </c>
      <c r="L158" s="32">
        <v>12</v>
      </c>
      <c r="M158" s="32">
        <v>7</v>
      </c>
      <c r="N158" s="32">
        <v>6</v>
      </c>
      <c r="O158" s="32">
        <v>7</v>
      </c>
      <c r="P158" s="32">
        <v>13</v>
      </c>
      <c r="Q158" s="32">
        <v>19</v>
      </c>
      <c r="R158" s="32">
        <v>21</v>
      </c>
      <c r="S158" s="32">
        <v>10</v>
      </c>
      <c r="T158" s="32">
        <v>14</v>
      </c>
      <c r="U158" s="32">
        <v>8</v>
      </c>
      <c r="V158" s="32">
        <v>5</v>
      </c>
      <c r="W158" s="32">
        <v>5</v>
      </c>
      <c r="X158" s="32">
        <v>5</v>
      </c>
      <c r="Y158" s="32">
        <v>7</v>
      </c>
      <c r="Z158" s="32">
        <v>5</v>
      </c>
      <c r="AA158" s="32">
        <v>4</v>
      </c>
      <c r="AB158" s="32">
        <v>2</v>
      </c>
      <c r="AC158" s="31">
        <v>0</v>
      </c>
      <c r="AD158" s="31">
        <v>0</v>
      </c>
      <c r="AE158" s="31">
        <v>0</v>
      </c>
      <c r="AF158" s="31">
        <v>0</v>
      </c>
      <c r="AG158" s="31">
        <v>0</v>
      </c>
      <c r="AH158" s="31">
        <v>0</v>
      </c>
      <c r="AI158" s="31">
        <v>0</v>
      </c>
      <c r="AJ158" s="31">
        <v>0</v>
      </c>
      <c r="AK158" s="31">
        <v>0</v>
      </c>
      <c r="AL158" s="31">
        <v>0</v>
      </c>
      <c r="AM158" s="31">
        <v>0</v>
      </c>
      <c r="AN158" s="32">
        <v>1</v>
      </c>
      <c r="AO158" s="31">
        <v>0</v>
      </c>
      <c r="AP158" s="32">
        <v>1</v>
      </c>
      <c r="AQ158" s="31">
        <v>0</v>
      </c>
      <c r="AR158" s="31">
        <v>0</v>
      </c>
      <c r="AS158" s="32">
        <v>1</v>
      </c>
    </row>
    <row r="159" spans="1:45">
      <c r="A159" s="30" t="s">
        <v>676</v>
      </c>
      <c r="B159" s="30" t="s">
        <v>633</v>
      </c>
      <c r="C159" s="30" t="s">
        <v>677</v>
      </c>
      <c r="D159" s="30" t="s">
        <v>587</v>
      </c>
      <c r="E159" s="30" t="s">
        <v>874</v>
      </c>
      <c r="F159" s="30" t="s">
        <v>84</v>
      </c>
      <c r="G159" s="30" t="s">
        <v>875</v>
      </c>
      <c r="H159" s="30" t="s">
        <v>680</v>
      </c>
      <c r="I159" s="32">
        <v>67</v>
      </c>
      <c r="J159" s="32">
        <v>22</v>
      </c>
      <c r="K159" s="32">
        <v>11</v>
      </c>
      <c r="L159" s="32">
        <v>12</v>
      </c>
      <c r="M159" s="32">
        <v>7</v>
      </c>
      <c r="N159" s="32">
        <v>6</v>
      </c>
      <c r="O159" s="32">
        <v>7</v>
      </c>
      <c r="P159" s="32">
        <v>13</v>
      </c>
      <c r="Q159" s="32">
        <v>19</v>
      </c>
      <c r="R159" s="32">
        <v>21</v>
      </c>
      <c r="S159" s="32">
        <v>10</v>
      </c>
      <c r="T159" s="32">
        <v>14</v>
      </c>
      <c r="U159" s="32">
        <v>8</v>
      </c>
      <c r="V159" s="32">
        <v>5</v>
      </c>
      <c r="W159" s="32">
        <v>5</v>
      </c>
      <c r="X159" s="32">
        <v>5</v>
      </c>
      <c r="Y159" s="32">
        <v>7</v>
      </c>
      <c r="Z159" s="32">
        <v>5</v>
      </c>
      <c r="AA159" s="32">
        <v>4</v>
      </c>
      <c r="AB159" s="32">
        <v>2</v>
      </c>
      <c r="AC159" s="31">
        <v>0</v>
      </c>
      <c r="AD159" s="31">
        <v>0</v>
      </c>
      <c r="AE159" s="31">
        <v>0</v>
      </c>
      <c r="AF159" s="31">
        <v>0</v>
      </c>
      <c r="AG159" s="31">
        <v>0</v>
      </c>
      <c r="AH159" s="31">
        <v>0</v>
      </c>
      <c r="AI159" s="31">
        <v>0</v>
      </c>
      <c r="AJ159" s="31">
        <v>0</v>
      </c>
      <c r="AK159" s="31">
        <v>0</v>
      </c>
      <c r="AL159" s="31">
        <v>0</v>
      </c>
      <c r="AM159" s="31">
        <v>0</v>
      </c>
      <c r="AN159" s="32">
        <v>1</v>
      </c>
      <c r="AO159" s="31">
        <v>0</v>
      </c>
      <c r="AP159" s="32">
        <v>1</v>
      </c>
      <c r="AQ159" s="31">
        <v>0</v>
      </c>
      <c r="AR159" s="31">
        <v>0</v>
      </c>
      <c r="AS159" s="32">
        <v>1</v>
      </c>
    </row>
    <row r="160" spans="1:45">
      <c r="A160" s="30" t="s">
        <v>676</v>
      </c>
      <c r="B160" s="30" t="s">
        <v>633</v>
      </c>
      <c r="C160" s="30" t="s">
        <v>677</v>
      </c>
      <c r="D160" s="30" t="s">
        <v>587</v>
      </c>
      <c r="E160" s="30" t="s">
        <v>876</v>
      </c>
      <c r="F160" s="30" t="s">
        <v>90</v>
      </c>
      <c r="G160" s="30" t="s">
        <v>877</v>
      </c>
      <c r="H160" s="30" t="s">
        <v>680</v>
      </c>
      <c r="I160" s="32">
        <v>544</v>
      </c>
      <c r="J160" s="32">
        <v>140</v>
      </c>
      <c r="K160" s="32">
        <v>112</v>
      </c>
      <c r="L160" s="32">
        <v>157</v>
      </c>
      <c r="M160" s="32">
        <v>153</v>
      </c>
      <c r="N160" s="32">
        <v>186</v>
      </c>
      <c r="O160" s="32">
        <v>211</v>
      </c>
      <c r="P160" s="32">
        <v>86</v>
      </c>
      <c r="Q160" s="32">
        <v>86</v>
      </c>
      <c r="R160" s="32">
        <v>87</v>
      </c>
      <c r="S160" s="32">
        <v>35</v>
      </c>
      <c r="T160" s="32">
        <v>32</v>
      </c>
      <c r="U160" s="32">
        <v>20</v>
      </c>
      <c r="V160" s="32">
        <v>20</v>
      </c>
      <c r="W160" s="32">
        <v>45</v>
      </c>
      <c r="X160" s="32">
        <v>68</v>
      </c>
      <c r="Y160" s="32">
        <v>20</v>
      </c>
      <c r="Z160" s="32">
        <v>25</v>
      </c>
      <c r="AA160" s="32">
        <v>48</v>
      </c>
      <c r="AB160" s="32">
        <v>12</v>
      </c>
      <c r="AC160" s="32">
        <v>10</v>
      </c>
      <c r="AD160" s="31">
        <v>0</v>
      </c>
      <c r="AE160" s="31">
        <v>0</v>
      </c>
      <c r="AF160" s="31">
        <v>0</v>
      </c>
      <c r="AG160" s="32">
        <v>1</v>
      </c>
      <c r="AH160" s="31">
        <v>0</v>
      </c>
      <c r="AI160" s="32">
        <v>1</v>
      </c>
      <c r="AJ160" s="31">
        <v>0</v>
      </c>
      <c r="AK160" s="31">
        <v>0</v>
      </c>
      <c r="AL160" s="31">
        <v>0</v>
      </c>
      <c r="AM160" s="31">
        <v>0</v>
      </c>
      <c r="AN160" s="31">
        <v>0</v>
      </c>
      <c r="AO160" s="31">
        <v>0</v>
      </c>
      <c r="AP160" s="31">
        <v>0</v>
      </c>
      <c r="AQ160" s="31">
        <v>0</v>
      </c>
      <c r="AR160" s="31">
        <v>0</v>
      </c>
      <c r="AS160" s="31">
        <v>0</v>
      </c>
    </row>
    <row r="161" spans="1:45">
      <c r="A161" s="30" t="s">
        <v>676</v>
      </c>
      <c r="B161" s="30" t="s">
        <v>633</v>
      </c>
      <c r="C161" s="30" t="s">
        <v>677</v>
      </c>
      <c r="D161" s="30" t="s">
        <v>587</v>
      </c>
      <c r="E161" s="30" t="s">
        <v>878</v>
      </c>
      <c r="F161" s="30" t="s">
        <v>90</v>
      </c>
      <c r="G161" s="30" t="s">
        <v>879</v>
      </c>
      <c r="H161" s="30" t="s">
        <v>680</v>
      </c>
      <c r="I161" s="32">
        <v>544</v>
      </c>
      <c r="J161" s="32">
        <v>140</v>
      </c>
      <c r="K161" s="32">
        <v>112</v>
      </c>
      <c r="L161" s="32">
        <v>157</v>
      </c>
      <c r="M161" s="32">
        <v>153</v>
      </c>
      <c r="N161" s="32">
        <v>186</v>
      </c>
      <c r="O161" s="32">
        <v>211</v>
      </c>
      <c r="P161" s="32">
        <v>86</v>
      </c>
      <c r="Q161" s="32">
        <v>86</v>
      </c>
      <c r="R161" s="32">
        <v>87</v>
      </c>
      <c r="S161" s="32">
        <v>35</v>
      </c>
      <c r="T161" s="32">
        <v>32</v>
      </c>
      <c r="U161" s="32">
        <v>20</v>
      </c>
      <c r="V161" s="32">
        <v>20</v>
      </c>
      <c r="W161" s="32">
        <v>45</v>
      </c>
      <c r="X161" s="32">
        <v>68</v>
      </c>
      <c r="Y161" s="32">
        <v>20</v>
      </c>
      <c r="Z161" s="32">
        <v>25</v>
      </c>
      <c r="AA161" s="32">
        <v>48</v>
      </c>
      <c r="AB161" s="32">
        <v>12</v>
      </c>
      <c r="AC161" s="32">
        <v>10</v>
      </c>
      <c r="AD161" s="31">
        <v>0</v>
      </c>
      <c r="AE161" s="31">
        <v>0</v>
      </c>
      <c r="AF161" s="31">
        <v>0</v>
      </c>
      <c r="AG161" s="32">
        <v>1</v>
      </c>
      <c r="AH161" s="31">
        <v>0</v>
      </c>
      <c r="AI161" s="32">
        <v>1</v>
      </c>
      <c r="AJ161" s="31">
        <v>0</v>
      </c>
      <c r="AK161" s="31">
        <v>0</v>
      </c>
      <c r="AL161" s="31">
        <v>0</v>
      </c>
      <c r="AM161" s="31">
        <v>0</v>
      </c>
      <c r="AN161" s="31">
        <v>0</v>
      </c>
      <c r="AO161" s="31">
        <v>0</v>
      </c>
      <c r="AP161" s="31">
        <v>0</v>
      </c>
      <c r="AQ161" s="31">
        <v>0</v>
      </c>
      <c r="AR161" s="31">
        <v>0</v>
      </c>
      <c r="AS161" s="31">
        <v>0</v>
      </c>
    </row>
    <row r="162" spans="1:45">
      <c r="A162" s="30" t="s">
        <v>676</v>
      </c>
      <c r="B162" s="30" t="s">
        <v>633</v>
      </c>
      <c r="C162" s="30" t="s">
        <v>677</v>
      </c>
      <c r="D162" s="30" t="s">
        <v>587</v>
      </c>
      <c r="E162" s="30" t="s">
        <v>880</v>
      </c>
      <c r="F162" s="30" t="s">
        <v>98</v>
      </c>
      <c r="G162" s="30" t="s">
        <v>881</v>
      </c>
      <c r="H162" s="30" t="s">
        <v>680</v>
      </c>
      <c r="I162" s="31">
        <v>0</v>
      </c>
      <c r="J162" s="31">
        <v>0</v>
      </c>
      <c r="K162" s="31">
        <v>0</v>
      </c>
      <c r="L162" s="31">
        <v>0</v>
      </c>
      <c r="M162" s="31">
        <v>0</v>
      </c>
      <c r="N162" s="31">
        <v>0</v>
      </c>
      <c r="O162" s="31">
        <v>0</v>
      </c>
      <c r="P162" s="31">
        <v>0</v>
      </c>
      <c r="Q162" s="32">
        <v>1</v>
      </c>
      <c r="R162" s="32">
        <v>1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  <c r="AC162" s="31">
        <v>0</v>
      </c>
      <c r="AD162" s="31">
        <v>0</v>
      </c>
      <c r="AE162" s="31">
        <v>0</v>
      </c>
      <c r="AF162" s="31">
        <v>0</v>
      </c>
      <c r="AG162" s="31">
        <v>0</v>
      </c>
      <c r="AH162" s="31">
        <v>0</v>
      </c>
      <c r="AI162" s="31">
        <v>0</v>
      </c>
      <c r="AJ162" s="31">
        <v>0</v>
      </c>
      <c r="AK162" s="31">
        <v>0</v>
      </c>
      <c r="AL162" s="31">
        <v>0</v>
      </c>
      <c r="AM162" s="31">
        <v>0</v>
      </c>
      <c r="AN162" s="31">
        <v>0</v>
      </c>
      <c r="AO162" s="31">
        <v>0</v>
      </c>
      <c r="AP162" s="31">
        <v>0</v>
      </c>
      <c r="AQ162" s="31">
        <v>0</v>
      </c>
      <c r="AR162" s="31">
        <v>0</v>
      </c>
      <c r="AS162" s="31">
        <v>0</v>
      </c>
    </row>
    <row r="163" spans="1:45">
      <c r="A163" s="30" t="s">
        <v>676</v>
      </c>
      <c r="B163" s="30" t="s">
        <v>633</v>
      </c>
      <c r="C163" s="30" t="s">
        <v>677</v>
      </c>
      <c r="D163" s="30" t="s">
        <v>587</v>
      </c>
      <c r="E163" s="30" t="s">
        <v>882</v>
      </c>
      <c r="F163" s="30" t="s">
        <v>98</v>
      </c>
      <c r="G163" s="30" t="s">
        <v>883</v>
      </c>
      <c r="H163" s="30" t="s">
        <v>680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2">
        <v>1</v>
      </c>
      <c r="R163" s="32">
        <v>1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  <c r="AC163" s="31">
        <v>0</v>
      </c>
      <c r="AD163" s="31">
        <v>0</v>
      </c>
      <c r="AE163" s="31">
        <v>0</v>
      </c>
      <c r="AF163" s="31">
        <v>0</v>
      </c>
      <c r="AG163" s="31">
        <v>0</v>
      </c>
      <c r="AH163" s="31">
        <v>0</v>
      </c>
      <c r="AI163" s="31">
        <v>0</v>
      </c>
      <c r="AJ163" s="31">
        <v>0</v>
      </c>
      <c r="AK163" s="31">
        <v>0</v>
      </c>
      <c r="AL163" s="31">
        <v>0</v>
      </c>
      <c r="AM163" s="31">
        <v>0</v>
      </c>
      <c r="AN163" s="31">
        <v>0</v>
      </c>
      <c r="AO163" s="31">
        <v>0</v>
      </c>
      <c r="AP163" s="31">
        <v>0</v>
      </c>
      <c r="AQ163" s="31">
        <v>0</v>
      </c>
      <c r="AR163" s="31">
        <v>0</v>
      </c>
      <c r="AS163" s="31">
        <v>0</v>
      </c>
    </row>
    <row r="164" spans="1:45">
      <c r="A164" s="30" t="s">
        <v>676</v>
      </c>
      <c r="B164" s="30" t="s">
        <v>633</v>
      </c>
      <c r="C164" s="30" t="s">
        <v>677</v>
      </c>
      <c r="D164" s="30" t="s">
        <v>587</v>
      </c>
      <c r="E164" s="30" t="s">
        <v>884</v>
      </c>
      <c r="F164" s="30" t="s">
        <v>88</v>
      </c>
      <c r="G164" s="30" t="s">
        <v>885</v>
      </c>
      <c r="H164" s="30" t="s">
        <v>680</v>
      </c>
      <c r="I164" s="31">
        <v>0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2">
        <v>1</v>
      </c>
      <c r="R164" s="31">
        <v>0</v>
      </c>
      <c r="S164" s="32">
        <v>1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0</v>
      </c>
      <c r="AC164" s="31">
        <v>0</v>
      </c>
      <c r="AD164" s="31">
        <v>0</v>
      </c>
      <c r="AE164" s="31">
        <v>0</v>
      </c>
      <c r="AF164" s="31">
        <v>0</v>
      </c>
      <c r="AG164" s="31">
        <v>0</v>
      </c>
      <c r="AH164" s="31">
        <v>0</v>
      </c>
      <c r="AI164" s="31">
        <v>0</v>
      </c>
      <c r="AJ164" s="31">
        <v>0</v>
      </c>
      <c r="AK164" s="31">
        <v>0</v>
      </c>
      <c r="AL164" s="31">
        <v>0</v>
      </c>
      <c r="AM164" s="31">
        <v>0</v>
      </c>
      <c r="AN164" s="31">
        <v>0</v>
      </c>
      <c r="AO164" s="31">
        <v>0</v>
      </c>
      <c r="AP164" s="31">
        <v>0</v>
      </c>
      <c r="AQ164" s="31">
        <v>0</v>
      </c>
      <c r="AR164" s="31">
        <v>0</v>
      </c>
      <c r="AS164" s="31">
        <v>0</v>
      </c>
    </row>
    <row r="165" spans="1:45">
      <c r="A165" s="30" t="s">
        <v>676</v>
      </c>
      <c r="B165" s="30" t="s">
        <v>633</v>
      </c>
      <c r="C165" s="30" t="s">
        <v>677</v>
      </c>
      <c r="D165" s="30" t="s">
        <v>587</v>
      </c>
      <c r="E165" s="30" t="s">
        <v>886</v>
      </c>
      <c r="F165" s="30" t="s">
        <v>88</v>
      </c>
      <c r="G165" s="30" t="s">
        <v>887</v>
      </c>
      <c r="H165" s="30" t="s">
        <v>680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2">
        <v>1</v>
      </c>
      <c r="R165" s="31">
        <v>0</v>
      </c>
      <c r="S165" s="32">
        <v>1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0</v>
      </c>
      <c r="AC165" s="31">
        <v>0</v>
      </c>
      <c r="AD165" s="31">
        <v>0</v>
      </c>
      <c r="AE165" s="31">
        <v>0</v>
      </c>
      <c r="AF165" s="31">
        <v>0</v>
      </c>
      <c r="AG165" s="31">
        <v>0</v>
      </c>
      <c r="AH165" s="31">
        <v>0</v>
      </c>
      <c r="AI165" s="31">
        <v>0</v>
      </c>
      <c r="AJ165" s="31">
        <v>0</v>
      </c>
      <c r="AK165" s="31">
        <v>0</v>
      </c>
      <c r="AL165" s="31">
        <v>0</v>
      </c>
      <c r="AM165" s="31">
        <v>0</v>
      </c>
      <c r="AN165" s="31">
        <v>0</v>
      </c>
      <c r="AO165" s="31">
        <v>0</v>
      </c>
      <c r="AP165" s="31">
        <v>0</v>
      </c>
      <c r="AQ165" s="31">
        <v>0</v>
      </c>
      <c r="AR165" s="31">
        <v>0</v>
      </c>
      <c r="AS165" s="31">
        <v>0</v>
      </c>
    </row>
    <row r="166" spans="1:45">
      <c r="A166" s="30" t="s">
        <v>676</v>
      </c>
      <c r="B166" s="30" t="s">
        <v>633</v>
      </c>
      <c r="C166" s="30" t="s">
        <v>677</v>
      </c>
      <c r="D166" s="30" t="s">
        <v>587</v>
      </c>
      <c r="E166" s="30" t="s">
        <v>888</v>
      </c>
      <c r="F166" s="30" t="s">
        <v>84</v>
      </c>
      <c r="G166" s="30" t="s">
        <v>889</v>
      </c>
      <c r="H166" s="30" t="s">
        <v>680</v>
      </c>
      <c r="I166" s="31">
        <v>0</v>
      </c>
      <c r="J166" s="31">
        <v>0</v>
      </c>
      <c r="K166" s="31">
        <v>0</v>
      </c>
      <c r="L166" s="31">
        <v>0</v>
      </c>
      <c r="M166" s="32">
        <v>1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Z166" s="31">
        <v>0</v>
      </c>
      <c r="AA166" s="31">
        <v>0</v>
      </c>
      <c r="AB166" s="31">
        <v>0</v>
      </c>
      <c r="AC166" s="31">
        <v>0</v>
      </c>
      <c r="AD166" s="31">
        <v>0</v>
      </c>
      <c r="AE166" s="31">
        <v>0</v>
      </c>
      <c r="AF166" s="31">
        <v>0</v>
      </c>
      <c r="AG166" s="31">
        <v>0</v>
      </c>
      <c r="AH166" s="31">
        <v>0</v>
      </c>
      <c r="AI166" s="31">
        <v>0</v>
      </c>
      <c r="AJ166" s="31">
        <v>0</v>
      </c>
      <c r="AK166" s="31">
        <v>0</v>
      </c>
      <c r="AL166" s="31">
        <v>0</v>
      </c>
      <c r="AM166" s="31">
        <v>0</v>
      </c>
      <c r="AN166" s="31">
        <v>0</v>
      </c>
      <c r="AO166" s="31">
        <v>0</v>
      </c>
      <c r="AP166" s="31">
        <v>0</v>
      </c>
      <c r="AQ166" s="31">
        <v>0</v>
      </c>
      <c r="AR166" s="31">
        <v>0</v>
      </c>
      <c r="AS166" s="31">
        <v>0</v>
      </c>
    </row>
    <row r="167" spans="1:45">
      <c r="A167" s="30" t="s">
        <v>676</v>
      </c>
      <c r="B167" s="30" t="s">
        <v>633</v>
      </c>
      <c r="C167" s="30" t="s">
        <v>677</v>
      </c>
      <c r="D167" s="30" t="s">
        <v>587</v>
      </c>
      <c r="E167" s="30" t="s">
        <v>890</v>
      </c>
      <c r="F167" s="30" t="s">
        <v>84</v>
      </c>
      <c r="G167" s="30" t="s">
        <v>891</v>
      </c>
      <c r="H167" s="30" t="s">
        <v>680</v>
      </c>
      <c r="I167" s="31">
        <v>0</v>
      </c>
      <c r="J167" s="31">
        <v>0</v>
      </c>
      <c r="K167" s="31">
        <v>0</v>
      </c>
      <c r="L167" s="31">
        <v>0</v>
      </c>
      <c r="M167" s="32">
        <v>1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0</v>
      </c>
      <c r="AC167" s="31">
        <v>0</v>
      </c>
      <c r="AD167" s="31">
        <v>0</v>
      </c>
      <c r="AE167" s="31">
        <v>0</v>
      </c>
      <c r="AF167" s="31">
        <v>0</v>
      </c>
      <c r="AG167" s="31">
        <v>0</v>
      </c>
      <c r="AH167" s="31">
        <v>0</v>
      </c>
      <c r="AI167" s="31">
        <v>0</v>
      </c>
      <c r="AJ167" s="31">
        <v>0</v>
      </c>
      <c r="AK167" s="31">
        <v>0</v>
      </c>
      <c r="AL167" s="31">
        <v>0</v>
      </c>
      <c r="AM167" s="31">
        <v>0</v>
      </c>
      <c r="AN167" s="31">
        <v>0</v>
      </c>
      <c r="AO167" s="31">
        <v>0</v>
      </c>
      <c r="AP167" s="31">
        <v>0</v>
      </c>
      <c r="AQ167" s="31">
        <v>0</v>
      </c>
      <c r="AR167" s="31">
        <v>0</v>
      </c>
      <c r="AS167" s="31">
        <v>0</v>
      </c>
    </row>
    <row r="168" spans="1:45">
      <c r="A168" s="30" t="s">
        <v>676</v>
      </c>
      <c r="B168" s="30" t="s">
        <v>633</v>
      </c>
      <c r="C168" s="30" t="s">
        <v>677</v>
      </c>
      <c r="D168" s="30" t="s">
        <v>587</v>
      </c>
      <c r="E168" s="30" t="s">
        <v>892</v>
      </c>
      <c r="F168" s="30" t="s">
        <v>91</v>
      </c>
      <c r="G168" s="30" t="s">
        <v>893</v>
      </c>
      <c r="H168" s="30" t="s">
        <v>680</v>
      </c>
      <c r="I168" s="31">
        <v>0</v>
      </c>
      <c r="J168" s="31">
        <v>0</v>
      </c>
      <c r="K168" s="31">
        <v>0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2">
        <v>1</v>
      </c>
      <c r="X168" s="31">
        <v>0</v>
      </c>
      <c r="Y168" s="31">
        <v>0</v>
      </c>
      <c r="Z168" s="31">
        <v>0</v>
      </c>
      <c r="AA168" s="31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0</v>
      </c>
      <c r="AG168" s="31">
        <v>0</v>
      </c>
      <c r="AH168" s="31">
        <v>0</v>
      </c>
      <c r="AI168" s="31">
        <v>0</v>
      </c>
      <c r="AJ168" s="31">
        <v>0</v>
      </c>
      <c r="AK168" s="31">
        <v>0</v>
      </c>
      <c r="AL168" s="31">
        <v>0</v>
      </c>
      <c r="AM168" s="31">
        <v>0</v>
      </c>
      <c r="AN168" s="31">
        <v>0</v>
      </c>
      <c r="AO168" s="31">
        <v>0</v>
      </c>
      <c r="AP168" s="31">
        <v>0</v>
      </c>
      <c r="AQ168" s="31">
        <v>0</v>
      </c>
      <c r="AR168" s="31">
        <v>0</v>
      </c>
      <c r="AS168" s="31">
        <v>0</v>
      </c>
    </row>
    <row r="169" spans="1:45">
      <c r="A169" s="30" t="s">
        <v>676</v>
      </c>
      <c r="B169" s="30" t="s">
        <v>633</v>
      </c>
      <c r="C169" s="30" t="s">
        <v>677</v>
      </c>
      <c r="D169" s="30" t="s">
        <v>587</v>
      </c>
      <c r="E169" s="30" t="s">
        <v>894</v>
      </c>
      <c r="F169" s="30" t="s">
        <v>91</v>
      </c>
      <c r="G169" s="30" t="s">
        <v>895</v>
      </c>
      <c r="H169" s="30" t="s">
        <v>680</v>
      </c>
      <c r="I169" s="31">
        <v>0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2">
        <v>1</v>
      </c>
      <c r="X169" s="31">
        <v>0</v>
      </c>
      <c r="Y169" s="31">
        <v>0</v>
      </c>
      <c r="Z169" s="31">
        <v>0</v>
      </c>
      <c r="AA169" s="31">
        <v>0</v>
      </c>
      <c r="AB169" s="31">
        <v>0</v>
      </c>
      <c r="AC169" s="31">
        <v>0</v>
      </c>
      <c r="AD169" s="31">
        <v>0</v>
      </c>
      <c r="AE169" s="31">
        <v>0</v>
      </c>
      <c r="AF169" s="31">
        <v>0</v>
      </c>
      <c r="AG169" s="31">
        <v>0</v>
      </c>
      <c r="AH169" s="31">
        <v>0</v>
      </c>
      <c r="AI169" s="31">
        <v>0</v>
      </c>
      <c r="AJ169" s="31">
        <v>0</v>
      </c>
      <c r="AK169" s="31">
        <v>0</v>
      </c>
      <c r="AL169" s="31">
        <v>0</v>
      </c>
      <c r="AM169" s="31">
        <v>0</v>
      </c>
      <c r="AN169" s="31">
        <v>0</v>
      </c>
      <c r="AO169" s="31">
        <v>0</v>
      </c>
      <c r="AP169" s="31">
        <v>0</v>
      </c>
      <c r="AQ169" s="31">
        <v>0</v>
      </c>
      <c r="AR169" s="31">
        <v>0</v>
      </c>
      <c r="AS169" s="31">
        <v>0</v>
      </c>
    </row>
    <row r="170" spans="1:45">
      <c r="A170" s="30" t="s">
        <v>676</v>
      </c>
      <c r="B170" s="30" t="s">
        <v>633</v>
      </c>
      <c r="C170" s="30" t="s">
        <v>677</v>
      </c>
      <c r="D170" s="30" t="s">
        <v>587</v>
      </c>
      <c r="E170" s="30" t="s">
        <v>896</v>
      </c>
      <c r="F170" s="30" t="s">
        <v>91</v>
      </c>
      <c r="G170" s="30" t="s">
        <v>897</v>
      </c>
      <c r="H170" s="30" t="s">
        <v>680</v>
      </c>
      <c r="I170" s="32">
        <v>244</v>
      </c>
      <c r="J170" s="32">
        <v>112</v>
      </c>
      <c r="K170" s="32">
        <v>68</v>
      </c>
      <c r="L170" s="32">
        <v>105</v>
      </c>
      <c r="M170" s="32">
        <v>80</v>
      </c>
      <c r="N170" s="32">
        <v>56</v>
      </c>
      <c r="O170" s="32">
        <v>66</v>
      </c>
      <c r="P170" s="32">
        <v>17</v>
      </c>
      <c r="Q170" s="32">
        <v>15</v>
      </c>
      <c r="R170" s="32">
        <v>2</v>
      </c>
      <c r="S170" s="32">
        <v>8</v>
      </c>
      <c r="T170" s="32">
        <v>5</v>
      </c>
      <c r="U170" s="32">
        <v>10</v>
      </c>
      <c r="V170" s="32">
        <v>1</v>
      </c>
      <c r="W170" s="32">
        <v>2</v>
      </c>
      <c r="X170" s="32">
        <v>1</v>
      </c>
      <c r="Y170" s="32">
        <v>2</v>
      </c>
      <c r="Z170" s="32">
        <v>2</v>
      </c>
      <c r="AA170" s="32">
        <v>2</v>
      </c>
      <c r="AB170" s="31">
        <v>0</v>
      </c>
      <c r="AC170" s="32">
        <v>2</v>
      </c>
      <c r="AD170" s="32">
        <v>1</v>
      </c>
      <c r="AE170" s="31">
        <v>0</v>
      </c>
      <c r="AF170" s="31">
        <v>0</v>
      </c>
      <c r="AG170" s="31">
        <v>0</v>
      </c>
      <c r="AH170" s="31">
        <v>0</v>
      </c>
      <c r="AI170" s="31">
        <v>0</v>
      </c>
      <c r="AJ170" s="31">
        <v>0</v>
      </c>
      <c r="AK170" s="31">
        <v>0</v>
      </c>
      <c r="AL170" s="31">
        <v>0</v>
      </c>
      <c r="AM170" s="31">
        <v>0</v>
      </c>
      <c r="AN170" s="31">
        <v>0</v>
      </c>
      <c r="AO170" s="31">
        <v>0</v>
      </c>
      <c r="AP170" s="31">
        <v>0</v>
      </c>
      <c r="AQ170" s="31">
        <v>0</v>
      </c>
      <c r="AR170" s="31">
        <v>0</v>
      </c>
      <c r="AS170" s="31">
        <v>0</v>
      </c>
    </row>
    <row r="171" spans="1:45">
      <c r="A171" s="30" t="s">
        <v>676</v>
      </c>
      <c r="B171" s="30" t="s">
        <v>633</v>
      </c>
      <c r="C171" s="30" t="s">
        <v>677</v>
      </c>
      <c r="D171" s="30" t="s">
        <v>587</v>
      </c>
      <c r="E171" s="30" t="s">
        <v>898</v>
      </c>
      <c r="F171" s="30" t="s">
        <v>91</v>
      </c>
      <c r="G171" s="30" t="s">
        <v>899</v>
      </c>
      <c r="H171" s="30" t="s">
        <v>680</v>
      </c>
      <c r="I171" s="32">
        <v>244</v>
      </c>
      <c r="J171" s="32">
        <v>112</v>
      </c>
      <c r="K171" s="32">
        <v>68</v>
      </c>
      <c r="L171" s="32">
        <v>105</v>
      </c>
      <c r="M171" s="32">
        <v>80</v>
      </c>
      <c r="N171" s="32">
        <v>56</v>
      </c>
      <c r="O171" s="32">
        <v>66</v>
      </c>
      <c r="P171" s="32">
        <v>17</v>
      </c>
      <c r="Q171" s="32">
        <v>15</v>
      </c>
      <c r="R171" s="32">
        <v>2</v>
      </c>
      <c r="S171" s="32">
        <v>8</v>
      </c>
      <c r="T171" s="32">
        <v>5</v>
      </c>
      <c r="U171" s="32">
        <v>10</v>
      </c>
      <c r="V171" s="32">
        <v>1</v>
      </c>
      <c r="W171" s="32">
        <v>2</v>
      </c>
      <c r="X171" s="32">
        <v>1</v>
      </c>
      <c r="Y171" s="32">
        <v>2</v>
      </c>
      <c r="Z171" s="32">
        <v>2</v>
      </c>
      <c r="AA171" s="32">
        <v>2</v>
      </c>
      <c r="AB171" s="31">
        <v>0</v>
      </c>
      <c r="AC171" s="32">
        <v>2</v>
      </c>
      <c r="AD171" s="32">
        <v>1</v>
      </c>
      <c r="AE171" s="31">
        <v>0</v>
      </c>
      <c r="AF171" s="31">
        <v>0</v>
      </c>
      <c r="AG171" s="31">
        <v>0</v>
      </c>
      <c r="AH171" s="31">
        <v>0</v>
      </c>
      <c r="AI171" s="31">
        <v>0</v>
      </c>
      <c r="AJ171" s="31">
        <v>0</v>
      </c>
      <c r="AK171" s="31">
        <v>0</v>
      </c>
      <c r="AL171" s="31">
        <v>0</v>
      </c>
      <c r="AM171" s="31">
        <v>0</v>
      </c>
      <c r="AN171" s="31">
        <v>0</v>
      </c>
      <c r="AO171" s="31">
        <v>0</v>
      </c>
      <c r="AP171" s="31">
        <v>0</v>
      </c>
      <c r="AQ171" s="31">
        <v>0</v>
      </c>
      <c r="AR171" s="31">
        <v>0</v>
      </c>
      <c r="AS171" s="31">
        <v>0</v>
      </c>
    </row>
    <row r="172" spans="1:45">
      <c r="A172" s="30" t="s">
        <v>676</v>
      </c>
      <c r="B172" s="30" t="s">
        <v>633</v>
      </c>
      <c r="C172" s="30" t="s">
        <v>677</v>
      </c>
      <c r="D172" s="30" t="s">
        <v>587</v>
      </c>
      <c r="E172" s="30" t="s">
        <v>900</v>
      </c>
      <c r="F172" s="30" t="s">
        <v>88</v>
      </c>
      <c r="G172" s="30" t="s">
        <v>901</v>
      </c>
      <c r="H172" s="30" t="s">
        <v>680</v>
      </c>
      <c r="I172" s="32">
        <v>164</v>
      </c>
      <c r="J172" s="32">
        <v>72</v>
      </c>
      <c r="K172" s="32">
        <v>39</v>
      </c>
      <c r="L172" s="32">
        <v>39</v>
      </c>
      <c r="M172" s="32">
        <v>29</v>
      </c>
      <c r="N172" s="32">
        <v>43</v>
      </c>
      <c r="O172" s="32">
        <v>37</v>
      </c>
      <c r="P172" s="32">
        <v>9</v>
      </c>
      <c r="Q172" s="32">
        <v>6</v>
      </c>
      <c r="R172" s="32">
        <v>3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0</v>
      </c>
      <c r="AC172" s="31">
        <v>0</v>
      </c>
      <c r="AD172" s="31">
        <v>0</v>
      </c>
      <c r="AE172" s="31">
        <v>0</v>
      </c>
      <c r="AF172" s="31">
        <v>0</v>
      </c>
      <c r="AG172" s="31">
        <v>0</v>
      </c>
      <c r="AH172" s="31">
        <v>0</v>
      </c>
      <c r="AI172" s="31">
        <v>0</v>
      </c>
      <c r="AJ172" s="31">
        <v>0</v>
      </c>
      <c r="AK172" s="31">
        <v>0</v>
      </c>
      <c r="AL172" s="31">
        <v>0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1">
        <v>0</v>
      </c>
    </row>
    <row r="173" spans="1:45">
      <c r="A173" s="30" t="s">
        <v>676</v>
      </c>
      <c r="B173" s="30" t="s">
        <v>633</v>
      </c>
      <c r="C173" s="30" t="s">
        <v>677</v>
      </c>
      <c r="D173" s="30" t="s">
        <v>587</v>
      </c>
      <c r="E173" s="30" t="s">
        <v>902</v>
      </c>
      <c r="F173" s="30" t="s">
        <v>88</v>
      </c>
      <c r="G173" s="30" t="s">
        <v>903</v>
      </c>
      <c r="H173" s="30" t="s">
        <v>680</v>
      </c>
      <c r="I173" s="32">
        <v>164</v>
      </c>
      <c r="J173" s="32">
        <v>72</v>
      </c>
      <c r="K173" s="32">
        <v>39</v>
      </c>
      <c r="L173" s="32">
        <v>39</v>
      </c>
      <c r="M173" s="32">
        <v>29</v>
      </c>
      <c r="N173" s="32">
        <v>43</v>
      </c>
      <c r="O173" s="32">
        <v>37</v>
      </c>
      <c r="P173" s="32">
        <v>9</v>
      </c>
      <c r="Q173" s="32">
        <v>6</v>
      </c>
      <c r="R173" s="32">
        <v>3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0</v>
      </c>
      <c r="AC173" s="31">
        <v>0</v>
      </c>
      <c r="AD173" s="31">
        <v>0</v>
      </c>
      <c r="AE173" s="31">
        <v>0</v>
      </c>
      <c r="AF173" s="31">
        <v>0</v>
      </c>
      <c r="AG173" s="31">
        <v>0</v>
      </c>
      <c r="AH173" s="31">
        <v>0</v>
      </c>
      <c r="AI173" s="31">
        <v>0</v>
      </c>
      <c r="AJ173" s="31">
        <v>0</v>
      </c>
      <c r="AK173" s="31">
        <v>0</v>
      </c>
      <c r="AL173" s="31">
        <v>0</v>
      </c>
      <c r="AM173" s="31">
        <v>0</v>
      </c>
      <c r="AN173" s="31">
        <v>0</v>
      </c>
      <c r="AO173" s="31">
        <v>0</v>
      </c>
      <c r="AP173" s="31">
        <v>0</v>
      </c>
      <c r="AQ173" s="31">
        <v>0</v>
      </c>
      <c r="AR173" s="31">
        <v>0</v>
      </c>
      <c r="AS173" s="31">
        <v>0</v>
      </c>
    </row>
    <row r="174" spans="1:45">
      <c r="A174" s="30" t="s">
        <v>676</v>
      </c>
      <c r="B174" s="30" t="s">
        <v>633</v>
      </c>
      <c r="C174" s="30" t="s">
        <v>677</v>
      </c>
      <c r="D174" s="30" t="s">
        <v>587</v>
      </c>
      <c r="E174" s="30" t="s">
        <v>904</v>
      </c>
      <c r="F174" s="30" t="s">
        <v>104</v>
      </c>
      <c r="G174" s="30" t="s">
        <v>905</v>
      </c>
      <c r="H174" s="30" t="s">
        <v>680</v>
      </c>
      <c r="I174" s="32">
        <v>60</v>
      </c>
      <c r="J174" s="32">
        <v>25</v>
      </c>
      <c r="K174" s="32">
        <v>7</v>
      </c>
      <c r="L174" s="32">
        <v>6</v>
      </c>
      <c r="M174" s="32">
        <v>2</v>
      </c>
      <c r="N174" s="32">
        <v>3</v>
      </c>
      <c r="O174" s="32">
        <v>3</v>
      </c>
      <c r="P174" s="32">
        <v>2</v>
      </c>
      <c r="Q174" s="32">
        <v>3</v>
      </c>
      <c r="R174" s="31">
        <v>0</v>
      </c>
      <c r="S174" s="31">
        <v>0</v>
      </c>
      <c r="T174" s="31">
        <v>0</v>
      </c>
      <c r="U174" s="32">
        <v>2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  <c r="AC174" s="31">
        <v>0</v>
      </c>
      <c r="AD174" s="31">
        <v>0</v>
      </c>
      <c r="AE174" s="31">
        <v>0</v>
      </c>
      <c r="AF174" s="31">
        <v>0</v>
      </c>
      <c r="AG174" s="31">
        <v>0</v>
      </c>
      <c r="AH174" s="31">
        <v>0</v>
      </c>
      <c r="AI174" s="31">
        <v>0</v>
      </c>
      <c r="AJ174" s="31">
        <v>0</v>
      </c>
      <c r="AK174" s="31">
        <v>0</v>
      </c>
      <c r="AL174" s="31">
        <v>0</v>
      </c>
      <c r="AM174" s="31">
        <v>0</v>
      </c>
      <c r="AN174" s="31">
        <v>0</v>
      </c>
      <c r="AO174" s="31">
        <v>0</v>
      </c>
      <c r="AP174" s="31">
        <v>0</v>
      </c>
      <c r="AQ174" s="31">
        <v>0</v>
      </c>
      <c r="AR174" s="31">
        <v>0</v>
      </c>
      <c r="AS174" s="31">
        <v>0</v>
      </c>
    </row>
    <row r="175" spans="1:45">
      <c r="A175" s="30" t="s">
        <v>676</v>
      </c>
      <c r="B175" s="30" t="s">
        <v>633</v>
      </c>
      <c r="C175" s="30" t="s">
        <v>677</v>
      </c>
      <c r="D175" s="30" t="s">
        <v>587</v>
      </c>
      <c r="E175" s="30" t="s">
        <v>906</v>
      </c>
      <c r="F175" s="30" t="s">
        <v>104</v>
      </c>
      <c r="G175" s="30" t="s">
        <v>907</v>
      </c>
      <c r="H175" s="30" t="s">
        <v>680</v>
      </c>
      <c r="I175" s="32">
        <v>60</v>
      </c>
      <c r="J175" s="32">
        <v>25</v>
      </c>
      <c r="K175" s="32">
        <v>7</v>
      </c>
      <c r="L175" s="32">
        <v>6</v>
      </c>
      <c r="M175" s="32">
        <v>2</v>
      </c>
      <c r="N175" s="32">
        <v>3</v>
      </c>
      <c r="O175" s="32">
        <v>3</v>
      </c>
      <c r="P175" s="32">
        <v>2</v>
      </c>
      <c r="Q175" s="32">
        <v>3</v>
      </c>
      <c r="R175" s="31">
        <v>0</v>
      </c>
      <c r="S175" s="31">
        <v>0</v>
      </c>
      <c r="T175" s="31">
        <v>0</v>
      </c>
      <c r="U175" s="32">
        <v>2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1">
        <v>0</v>
      </c>
      <c r="AD175" s="31">
        <v>0</v>
      </c>
      <c r="AE175" s="31">
        <v>0</v>
      </c>
      <c r="AF175" s="31">
        <v>0</v>
      </c>
      <c r="AG175" s="31">
        <v>0</v>
      </c>
      <c r="AH175" s="31">
        <v>0</v>
      </c>
      <c r="AI175" s="31">
        <v>0</v>
      </c>
      <c r="AJ175" s="31">
        <v>0</v>
      </c>
      <c r="AK175" s="31">
        <v>0</v>
      </c>
      <c r="AL175" s="31">
        <v>0</v>
      </c>
      <c r="AM175" s="31">
        <v>0</v>
      </c>
      <c r="AN175" s="31">
        <v>0</v>
      </c>
      <c r="AO175" s="31">
        <v>0</v>
      </c>
      <c r="AP175" s="31">
        <v>0</v>
      </c>
      <c r="AQ175" s="31">
        <v>0</v>
      </c>
      <c r="AR175" s="31">
        <v>0</v>
      </c>
      <c r="AS175" s="31">
        <v>0</v>
      </c>
    </row>
    <row r="176" spans="1:45">
      <c r="A176" s="30" t="s">
        <v>676</v>
      </c>
      <c r="B176" s="30" t="s">
        <v>633</v>
      </c>
      <c r="C176" s="30" t="s">
        <v>677</v>
      </c>
      <c r="D176" s="30" t="s">
        <v>587</v>
      </c>
      <c r="E176" s="30" t="s">
        <v>908</v>
      </c>
      <c r="F176" s="30" t="s">
        <v>98</v>
      </c>
      <c r="G176" s="30" t="s">
        <v>909</v>
      </c>
      <c r="H176" s="30" t="s">
        <v>680</v>
      </c>
      <c r="I176" s="32">
        <v>275</v>
      </c>
      <c r="J176" s="32">
        <v>102</v>
      </c>
      <c r="K176" s="32">
        <v>71</v>
      </c>
      <c r="L176" s="32">
        <v>113</v>
      </c>
      <c r="M176" s="32">
        <v>63</v>
      </c>
      <c r="N176" s="32">
        <v>54</v>
      </c>
      <c r="O176" s="32">
        <v>64</v>
      </c>
      <c r="P176" s="32">
        <v>16</v>
      </c>
      <c r="Q176" s="32">
        <v>14</v>
      </c>
      <c r="R176" s="32">
        <v>7</v>
      </c>
      <c r="S176" s="32">
        <v>6</v>
      </c>
      <c r="T176" s="32">
        <v>3</v>
      </c>
      <c r="U176" s="32">
        <v>5</v>
      </c>
      <c r="V176" s="32">
        <v>3</v>
      </c>
      <c r="W176" s="32">
        <v>3</v>
      </c>
      <c r="X176" s="32">
        <v>6</v>
      </c>
      <c r="Y176" s="32">
        <v>1</v>
      </c>
      <c r="Z176" s="32">
        <v>1</v>
      </c>
      <c r="AA176" s="31">
        <v>0</v>
      </c>
      <c r="AB176" s="31">
        <v>0</v>
      </c>
      <c r="AC176" s="31">
        <v>0</v>
      </c>
      <c r="AD176" s="31">
        <v>0</v>
      </c>
      <c r="AE176" s="31">
        <v>0</v>
      </c>
      <c r="AF176" s="31">
        <v>0</v>
      </c>
      <c r="AG176" s="31">
        <v>0</v>
      </c>
      <c r="AH176" s="31">
        <v>0</v>
      </c>
      <c r="AI176" s="31">
        <v>0</v>
      </c>
      <c r="AJ176" s="31">
        <v>0</v>
      </c>
      <c r="AK176" s="31">
        <v>0</v>
      </c>
      <c r="AL176" s="31">
        <v>0</v>
      </c>
      <c r="AM176" s="31">
        <v>0</v>
      </c>
      <c r="AN176" s="31">
        <v>0</v>
      </c>
      <c r="AO176" s="31">
        <v>0</v>
      </c>
      <c r="AP176" s="31">
        <v>0</v>
      </c>
      <c r="AQ176" s="31">
        <v>0</v>
      </c>
      <c r="AR176" s="31">
        <v>0</v>
      </c>
      <c r="AS176" s="31">
        <v>0</v>
      </c>
    </row>
    <row r="177" spans="1:45">
      <c r="A177" s="30" t="s">
        <v>676</v>
      </c>
      <c r="B177" s="30" t="s">
        <v>633</v>
      </c>
      <c r="C177" s="30" t="s">
        <v>677</v>
      </c>
      <c r="D177" s="30" t="s">
        <v>587</v>
      </c>
      <c r="E177" s="30" t="s">
        <v>910</v>
      </c>
      <c r="F177" s="30" t="s">
        <v>98</v>
      </c>
      <c r="G177" s="30" t="s">
        <v>911</v>
      </c>
      <c r="H177" s="30" t="s">
        <v>680</v>
      </c>
      <c r="I177" s="32">
        <v>275</v>
      </c>
      <c r="J177" s="32">
        <v>102</v>
      </c>
      <c r="K177" s="32">
        <v>71</v>
      </c>
      <c r="L177" s="32">
        <v>113</v>
      </c>
      <c r="M177" s="32">
        <v>63</v>
      </c>
      <c r="N177" s="32">
        <v>54</v>
      </c>
      <c r="O177" s="32">
        <v>64</v>
      </c>
      <c r="P177" s="32">
        <v>16</v>
      </c>
      <c r="Q177" s="32">
        <v>14</v>
      </c>
      <c r="R177" s="32">
        <v>7</v>
      </c>
      <c r="S177" s="32">
        <v>6</v>
      </c>
      <c r="T177" s="32">
        <v>3</v>
      </c>
      <c r="U177" s="32">
        <v>5</v>
      </c>
      <c r="V177" s="32">
        <v>3</v>
      </c>
      <c r="W177" s="32">
        <v>3</v>
      </c>
      <c r="X177" s="32">
        <v>6</v>
      </c>
      <c r="Y177" s="32">
        <v>1</v>
      </c>
      <c r="Z177" s="32">
        <v>1</v>
      </c>
      <c r="AA177" s="31">
        <v>0</v>
      </c>
      <c r="AB177" s="31">
        <v>0</v>
      </c>
      <c r="AC177" s="31">
        <v>0</v>
      </c>
      <c r="AD177" s="31">
        <v>0</v>
      </c>
      <c r="AE177" s="31">
        <v>0</v>
      </c>
      <c r="AF177" s="31">
        <v>0</v>
      </c>
      <c r="AG177" s="31">
        <v>0</v>
      </c>
      <c r="AH177" s="31">
        <v>0</v>
      </c>
      <c r="AI177" s="31">
        <v>0</v>
      </c>
      <c r="AJ177" s="31">
        <v>0</v>
      </c>
      <c r="AK177" s="31">
        <v>0</v>
      </c>
      <c r="AL177" s="31">
        <v>0</v>
      </c>
      <c r="AM177" s="31">
        <v>0</v>
      </c>
      <c r="AN177" s="31">
        <v>0</v>
      </c>
      <c r="AO177" s="31">
        <v>0</v>
      </c>
      <c r="AP177" s="31">
        <v>0</v>
      </c>
      <c r="AQ177" s="31">
        <v>0</v>
      </c>
      <c r="AR177" s="31">
        <v>0</v>
      </c>
      <c r="AS177" s="31">
        <v>0</v>
      </c>
    </row>
    <row r="178" spans="1:45">
      <c r="A178" s="30" t="s">
        <v>676</v>
      </c>
      <c r="B178" s="30" t="s">
        <v>633</v>
      </c>
      <c r="C178" s="30" t="s">
        <v>677</v>
      </c>
      <c r="D178" s="30" t="s">
        <v>587</v>
      </c>
      <c r="E178" s="30" t="s">
        <v>912</v>
      </c>
      <c r="F178" s="30" t="s">
        <v>88</v>
      </c>
      <c r="G178" s="30" t="s">
        <v>913</v>
      </c>
      <c r="H178" s="30" t="s">
        <v>680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  <c r="AC178" s="31">
        <v>0</v>
      </c>
      <c r="AD178" s="31">
        <v>0</v>
      </c>
      <c r="AE178" s="31">
        <v>0</v>
      </c>
      <c r="AF178" s="31">
        <v>0</v>
      </c>
      <c r="AG178" s="31">
        <v>0</v>
      </c>
      <c r="AH178" s="31">
        <v>0</v>
      </c>
      <c r="AI178" s="31">
        <v>0</v>
      </c>
      <c r="AJ178" s="31">
        <v>0</v>
      </c>
      <c r="AK178" s="31">
        <v>0</v>
      </c>
      <c r="AL178" s="31">
        <v>0</v>
      </c>
      <c r="AM178" s="31">
        <v>0</v>
      </c>
      <c r="AN178" s="32">
        <v>1</v>
      </c>
      <c r="AO178" s="31">
        <v>0</v>
      </c>
      <c r="AP178" s="31">
        <v>0</v>
      </c>
      <c r="AQ178" s="31">
        <v>0</v>
      </c>
      <c r="AR178" s="31">
        <v>0</v>
      </c>
      <c r="AS178" s="31">
        <v>0</v>
      </c>
    </row>
    <row r="179" spans="1:45">
      <c r="A179" s="30" t="s">
        <v>676</v>
      </c>
      <c r="B179" s="30" t="s">
        <v>633</v>
      </c>
      <c r="C179" s="30" t="s">
        <v>677</v>
      </c>
      <c r="D179" s="30" t="s">
        <v>587</v>
      </c>
      <c r="E179" s="30" t="s">
        <v>914</v>
      </c>
      <c r="F179" s="30" t="s">
        <v>88</v>
      </c>
      <c r="G179" s="30" t="s">
        <v>915</v>
      </c>
      <c r="H179" s="30" t="s">
        <v>680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  <c r="AC179" s="31">
        <v>0</v>
      </c>
      <c r="AD179" s="31">
        <v>0</v>
      </c>
      <c r="AE179" s="31">
        <v>0</v>
      </c>
      <c r="AF179" s="31">
        <v>0</v>
      </c>
      <c r="AG179" s="31">
        <v>0</v>
      </c>
      <c r="AH179" s="31">
        <v>0</v>
      </c>
      <c r="AI179" s="31">
        <v>0</v>
      </c>
      <c r="AJ179" s="31">
        <v>0</v>
      </c>
      <c r="AK179" s="31">
        <v>0</v>
      </c>
      <c r="AL179" s="31">
        <v>0</v>
      </c>
      <c r="AM179" s="31">
        <v>0</v>
      </c>
      <c r="AN179" s="32">
        <v>1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</row>
    <row r="180" spans="1:45">
      <c r="A180" s="30" t="s">
        <v>676</v>
      </c>
      <c r="B180" s="30" t="s">
        <v>633</v>
      </c>
      <c r="C180" s="30" t="s">
        <v>677</v>
      </c>
      <c r="D180" s="30" t="s">
        <v>587</v>
      </c>
      <c r="E180" s="30" t="s">
        <v>916</v>
      </c>
      <c r="F180" s="30" t="s">
        <v>104</v>
      </c>
      <c r="G180" s="30" t="s">
        <v>858</v>
      </c>
      <c r="H180" s="30" t="s">
        <v>680</v>
      </c>
      <c r="I180" s="32">
        <v>2</v>
      </c>
      <c r="J180" s="31">
        <v>0</v>
      </c>
      <c r="K180" s="32">
        <v>1</v>
      </c>
      <c r="L180" s="31">
        <v>0</v>
      </c>
      <c r="M180" s="31">
        <v>0</v>
      </c>
      <c r="N180" s="31">
        <v>0</v>
      </c>
      <c r="O180" s="32">
        <v>2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2">
        <v>1</v>
      </c>
      <c r="AB180" s="31">
        <v>0</v>
      </c>
      <c r="AC180" s="31">
        <v>0</v>
      </c>
      <c r="AD180" s="32">
        <v>3</v>
      </c>
      <c r="AE180" s="32">
        <v>1</v>
      </c>
      <c r="AF180" s="31">
        <v>0</v>
      </c>
      <c r="AG180" s="32">
        <v>1</v>
      </c>
      <c r="AH180" s="31">
        <v>0</v>
      </c>
      <c r="AI180" s="32">
        <v>7</v>
      </c>
      <c r="AJ180" s="32">
        <v>3</v>
      </c>
      <c r="AK180" s="31">
        <v>0</v>
      </c>
      <c r="AL180" s="31">
        <v>0</v>
      </c>
      <c r="AM180" s="31">
        <v>0</v>
      </c>
      <c r="AN180" s="31">
        <v>0</v>
      </c>
      <c r="AO180" s="31">
        <v>0</v>
      </c>
      <c r="AP180" s="31">
        <v>0</v>
      </c>
      <c r="AQ180" s="31">
        <v>0</v>
      </c>
      <c r="AR180" s="31">
        <v>0</v>
      </c>
      <c r="AS180" s="31">
        <v>0</v>
      </c>
    </row>
    <row r="181" spans="1:45">
      <c r="A181" s="30" t="s">
        <v>676</v>
      </c>
      <c r="B181" s="30" t="s">
        <v>633</v>
      </c>
      <c r="C181" s="30" t="s">
        <v>677</v>
      </c>
      <c r="D181" s="30" t="s">
        <v>587</v>
      </c>
      <c r="E181" s="30" t="s">
        <v>917</v>
      </c>
      <c r="F181" s="30" t="s">
        <v>104</v>
      </c>
      <c r="G181" s="30" t="s">
        <v>918</v>
      </c>
      <c r="H181" s="30" t="s">
        <v>680</v>
      </c>
      <c r="I181" s="32">
        <v>2</v>
      </c>
      <c r="J181" s="31">
        <v>0</v>
      </c>
      <c r="K181" s="32">
        <v>1</v>
      </c>
      <c r="L181" s="31">
        <v>0</v>
      </c>
      <c r="M181" s="31">
        <v>0</v>
      </c>
      <c r="N181" s="31">
        <v>0</v>
      </c>
      <c r="O181" s="32">
        <v>2</v>
      </c>
      <c r="P181" s="31">
        <v>0</v>
      </c>
      <c r="Q181" s="31">
        <v>0</v>
      </c>
      <c r="R181" s="31"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Z181" s="31">
        <v>0</v>
      </c>
      <c r="AA181" s="32">
        <v>1</v>
      </c>
      <c r="AB181" s="31">
        <v>0</v>
      </c>
      <c r="AC181" s="31">
        <v>0</v>
      </c>
      <c r="AD181" s="32">
        <v>3</v>
      </c>
      <c r="AE181" s="32">
        <v>1</v>
      </c>
      <c r="AF181" s="31">
        <v>0</v>
      </c>
      <c r="AG181" s="32">
        <v>1</v>
      </c>
      <c r="AH181" s="31">
        <v>0</v>
      </c>
      <c r="AI181" s="32">
        <v>7</v>
      </c>
      <c r="AJ181" s="32">
        <v>3</v>
      </c>
      <c r="AK181" s="31">
        <v>0</v>
      </c>
      <c r="AL181" s="31">
        <v>0</v>
      </c>
      <c r="AM181" s="31">
        <v>0</v>
      </c>
      <c r="AN181" s="31">
        <v>0</v>
      </c>
      <c r="AO181" s="31">
        <v>0</v>
      </c>
      <c r="AP181" s="31">
        <v>0</v>
      </c>
      <c r="AQ181" s="31">
        <v>0</v>
      </c>
      <c r="AR181" s="31">
        <v>0</v>
      </c>
      <c r="AS181" s="31">
        <v>0</v>
      </c>
    </row>
    <row r="182" spans="1:45">
      <c r="A182" s="30" t="s">
        <v>676</v>
      </c>
      <c r="B182" s="30" t="s">
        <v>633</v>
      </c>
      <c r="C182" s="30" t="s">
        <v>677</v>
      </c>
      <c r="D182" s="30" t="s">
        <v>587</v>
      </c>
      <c r="E182" s="30" t="s">
        <v>919</v>
      </c>
      <c r="F182" s="30" t="s">
        <v>88</v>
      </c>
      <c r="G182" s="30" t="s">
        <v>920</v>
      </c>
      <c r="H182" s="30" t="s">
        <v>680</v>
      </c>
      <c r="I182" s="32">
        <v>1064</v>
      </c>
      <c r="J182" s="32">
        <v>695.15470000000005</v>
      </c>
      <c r="K182" s="32">
        <v>797</v>
      </c>
      <c r="L182" s="32">
        <v>1069</v>
      </c>
      <c r="M182" s="32">
        <v>1032</v>
      </c>
      <c r="N182" s="32">
        <v>1040</v>
      </c>
      <c r="O182" s="32">
        <v>1408</v>
      </c>
      <c r="P182" s="32">
        <v>905</v>
      </c>
      <c r="Q182" s="32">
        <v>1125</v>
      </c>
      <c r="R182" s="32">
        <v>895</v>
      </c>
      <c r="S182" s="32">
        <v>329</v>
      </c>
      <c r="T182" s="32">
        <v>486</v>
      </c>
      <c r="U182" s="32">
        <v>586</v>
      </c>
      <c r="V182" s="32">
        <v>355</v>
      </c>
      <c r="W182" s="32">
        <v>319</v>
      </c>
      <c r="X182" s="32">
        <v>323</v>
      </c>
      <c r="Y182" s="32">
        <v>487</v>
      </c>
      <c r="Z182" s="32">
        <v>334</v>
      </c>
      <c r="AA182" s="32">
        <v>721.22760000000005</v>
      </c>
      <c r="AB182" s="32">
        <v>384</v>
      </c>
      <c r="AC182" s="32">
        <v>414</v>
      </c>
      <c r="AD182" s="32">
        <v>725</v>
      </c>
      <c r="AE182" s="32">
        <v>288</v>
      </c>
      <c r="AF182" s="32">
        <v>294</v>
      </c>
      <c r="AG182" s="32">
        <v>746</v>
      </c>
      <c r="AH182" s="32">
        <v>603</v>
      </c>
      <c r="AI182" s="32">
        <v>876</v>
      </c>
      <c r="AJ182" s="32">
        <v>867</v>
      </c>
      <c r="AK182" s="32">
        <v>411</v>
      </c>
      <c r="AL182" s="32">
        <v>191</v>
      </c>
      <c r="AM182" s="32">
        <v>193</v>
      </c>
      <c r="AN182" s="32">
        <v>98</v>
      </c>
      <c r="AO182" s="32">
        <v>72</v>
      </c>
      <c r="AP182" s="32">
        <v>109</v>
      </c>
      <c r="AQ182" s="32">
        <v>40</v>
      </c>
      <c r="AR182" s="32">
        <v>26</v>
      </c>
      <c r="AS182" s="32">
        <v>35</v>
      </c>
    </row>
    <row r="183" spans="1:45">
      <c r="A183" s="30" t="s">
        <v>676</v>
      </c>
      <c r="B183" s="30" t="s">
        <v>633</v>
      </c>
      <c r="C183" s="30" t="s">
        <v>677</v>
      </c>
      <c r="D183" s="30" t="s">
        <v>587</v>
      </c>
      <c r="E183" s="30" t="s">
        <v>921</v>
      </c>
      <c r="F183" s="30" t="s">
        <v>88</v>
      </c>
      <c r="G183" s="30" t="s">
        <v>922</v>
      </c>
      <c r="H183" s="30" t="s">
        <v>680</v>
      </c>
      <c r="I183" s="32">
        <v>1064</v>
      </c>
      <c r="J183" s="32">
        <v>695.15470000000005</v>
      </c>
      <c r="K183" s="32">
        <v>797</v>
      </c>
      <c r="L183" s="32">
        <v>1069</v>
      </c>
      <c r="M183" s="32">
        <v>1032</v>
      </c>
      <c r="N183" s="32">
        <v>1040</v>
      </c>
      <c r="O183" s="32">
        <v>1408</v>
      </c>
      <c r="P183" s="32">
        <v>905</v>
      </c>
      <c r="Q183" s="32">
        <v>1125</v>
      </c>
      <c r="R183" s="32">
        <v>895</v>
      </c>
      <c r="S183" s="32">
        <v>329</v>
      </c>
      <c r="T183" s="32">
        <v>486</v>
      </c>
      <c r="U183" s="32">
        <v>586</v>
      </c>
      <c r="V183" s="32">
        <v>355</v>
      </c>
      <c r="W183" s="32">
        <v>319</v>
      </c>
      <c r="X183" s="32">
        <v>323</v>
      </c>
      <c r="Y183" s="32">
        <v>487</v>
      </c>
      <c r="Z183" s="32">
        <v>334</v>
      </c>
      <c r="AA183" s="32">
        <v>721.22760000000005</v>
      </c>
      <c r="AB183" s="32">
        <v>384</v>
      </c>
      <c r="AC183" s="32">
        <v>414</v>
      </c>
      <c r="AD183" s="32">
        <v>725</v>
      </c>
      <c r="AE183" s="32">
        <v>288</v>
      </c>
      <c r="AF183" s="32">
        <v>294</v>
      </c>
      <c r="AG183" s="32">
        <v>746</v>
      </c>
      <c r="AH183" s="32">
        <v>603</v>
      </c>
      <c r="AI183" s="32">
        <v>876</v>
      </c>
      <c r="AJ183" s="32">
        <v>867</v>
      </c>
      <c r="AK183" s="32">
        <v>411</v>
      </c>
      <c r="AL183" s="32">
        <v>191</v>
      </c>
      <c r="AM183" s="32">
        <v>193</v>
      </c>
      <c r="AN183" s="32">
        <v>98</v>
      </c>
      <c r="AO183" s="32">
        <v>72</v>
      </c>
      <c r="AP183" s="32">
        <v>109</v>
      </c>
      <c r="AQ183" s="32">
        <v>40</v>
      </c>
      <c r="AR183" s="32">
        <v>26</v>
      </c>
      <c r="AS183" s="32">
        <v>35</v>
      </c>
    </row>
    <row r="184" spans="1:45">
      <c r="A184" s="30" t="s">
        <v>676</v>
      </c>
      <c r="B184" s="30" t="s">
        <v>633</v>
      </c>
      <c r="C184" s="30" t="s">
        <v>677</v>
      </c>
      <c r="D184" s="30" t="s">
        <v>587</v>
      </c>
      <c r="E184" s="30" t="s">
        <v>923</v>
      </c>
      <c r="F184" s="30" t="s">
        <v>104</v>
      </c>
      <c r="G184" s="30" t="s">
        <v>924</v>
      </c>
      <c r="H184" s="30" t="s">
        <v>680</v>
      </c>
      <c r="I184" s="32">
        <v>3107</v>
      </c>
      <c r="J184" s="32">
        <v>1259</v>
      </c>
      <c r="K184" s="32">
        <v>1291</v>
      </c>
      <c r="L184" s="32">
        <v>1667</v>
      </c>
      <c r="M184" s="32">
        <v>1712</v>
      </c>
      <c r="N184" s="32">
        <v>1653</v>
      </c>
      <c r="O184" s="32">
        <v>2576</v>
      </c>
      <c r="P184" s="32">
        <v>1506</v>
      </c>
      <c r="Q184" s="32">
        <v>1965</v>
      </c>
      <c r="R184" s="32">
        <v>2467</v>
      </c>
      <c r="S184" s="32">
        <v>1243</v>
      </c>
      <c r="T184" s="32">
        <v>1554</v>
      </c>
      <c r="U184" s="32">
        <v>1219.2176999999999</v>
      </c>
      <c r="V184" s="32">
        <v>1010.3946999999999</v>
      </c>
      <c r="W184" s="32">
        <v>913</v>
      </c>
      <c r="X184" s="32">
        <v>1228</v>
      </c>
      <c r="Y184" s="32">
        <v>1012</v>
      </c>
      <c r="Z184" s="32">
        <v>798.81740000000002</v>
      </c>
      <c r="AA184" s="32">
        <v>1790.4748999999999</v>
      </c>
      <c r="AB184" s="32">
        <v>869</v>
      </c>
      <c r="AC184" s="32">
        <v>1065</v>
      </c>
      <c r="AD184" s="32">
        <v>2654</v>
      </c>
      <c r="AE184" s="32">
        <v>1463</v>
      </c>
      <c r="AF184" s="32">
        <v>1099</v>
      </c>
      <c r="AG184" s="32">
        <v>1527</v>
      </c>
      <c r="AH184" s="32">
        <v>875</v>
      </c>
      <c r="AI184" s="32">
        <v>1393</v>
      </c>
      <c r="AJ184" s="32">
        <v>1491</v>
      </c>
      <c r="AK184" s="32">
        <v>1450</v>
      </c>
      <c r="AL184" s="32">
        <v>964</v>
      </c>
      <c r="AM184" s="32">
        <v>1268</v>
      </c>
      <c r="AN184" s="32">
        <v>831</v>
      </c>
      <c r="AO184" s="32">
        <v>499</v>
      </c>
      <c r="AP184" s="32">
        <v>396</v>
      </c>
      <c r="AQ184" s="32">
        <v>143</v>
      </c>
      <c r="AR184" s="32">
        <v>90</v>
      </c>
      <c r="AS184" s="32">
        <v>97</v>
      </c>
    </row>
    <row r="185" spans="1:45">
      <c r="A185" s="30" t="s">
        <v>676</v>
      </c>
      <c r="B185" s="30" t="s">
        <v>633</v>
      </c>
      <c r="C185" s="30" t="s">
        <v>677</v>
      </c>
      <c r="D185" s="30" t="s">
        <v>587</v>
      </c>
      <c r="E185" s="30" t="s">
        <v>925</v>
      </c>
      <c r="F185" s="30" t="s">
        <v>104</v>
      </c>
      <c r="G185" s="30" t="s">
        <v>926</v>
      </c>
      <c r="H185" s="30" t="s">
        <v>680</v>
      </c>
      <c r="I185" s="32">
        <v>3107</v>
      </c>
      <c r="J185" s="32">
        <v>1259</v>
      </c>
      <c r="K185" s="32">
        <v>1291</v>
      </c>
      <c r="L185" s="32">
        <v>1667</v>
      </c>
      <c r="M185" s="32">
        <v>1712</v>
      </c>
      <c r="N185" s="32">
        <v>1653</v>
      </c>
      <c r="O185" s="32">
        <v>2576</v>
      </c>
      <c r="P185" s="32">
        <v>1506</v>
      </c>
      <c r="Q185" s="32">
        <v>1965</v>
      </c>
      <c r="R185" s="32">
        <v>2467</v>
      </c>
      <c r="S185" s="32">
        <v>1243</v>
      </c>
      <c r="T185" s="32">
        <v>1554</v>
      </c>
      <c r="U185" s="32">
        <v>1219.2176999999999</v>
      </c>
      <c r="V185" s="32">
        <v>1010.3946999999999</v>
      </c>
      <c r="W185" s="32">
        <v>913</v>
      </c>
      <c r="X185" s="32">
        <v>1228</v>
      </c>
      <c r="Y185" s="32">
        <v>1012</v>
      </c>
      <c r="Z185" s="32">
        <v>798.81740000000002</v>
      </c>
      <c r="AA185" s="32">
        <v>1790.4748999999999</v>
      </c>
      <c r="AB185" s="32">
        <v>869</v>
      </c>
      <c r="AC185" s="32">
        <v>1065</v>
      </c>
      <c r="AD185" s="32">
        <v>2654</v>
      </c>
      <c r="AE185" s="32">
        <v>1463</v>
      </c>
      <c r="AF185" s="32">
        <v>1099</v>
      </c>
      <c r="AG185" s="32">
        <v>1527</v>
      </c>
      <c r="AH185" s="32">
        <v>875</v>
      </c>
      <c r="AI185" s="32">
        <v>1393</v>
      </c>
      <c r="AJ185" s="32">
        <v>1491</v>
      </c>
      <c r="AK185" s="32">
        <v>1450</v>
      </c>
      <c r="AL185" s="32">
        <v>964</v>
      </c>
      <c r="AM185" s="32">
        <v>1268</v>
      </c>
      <c r="AN185" s="32">
        <v>831</v>
      </c>
      <c r="AO185" s="32">
        <v>499</v>
      </c>
      <c r="AP185" s="32">
        <v>396</v>
      </c>
      <c r="AQ185" s="32">
        <v>143</v>
      </c>
      <c r="AR185" s="32">
        <v>90</v>
      </c>
      <c r="AS185" s="32">
        <v>97</v>
      </c>
    </row>
    <row r="186" spans="1:45">
      <c r="A186" s="30" t="s">
        <v>676</v>
      </c>
      <c r="B186" s="30" t="s">
        <v>633</v>
      </c>
      <c r="C186" s="30" t="s">
        <v>677</v>
      </c>
      <c r="D186" s="30" t="s">
        <v>587</v>
      </c>
      <c r="E186" s="30" t="s">
        <v>927</v>
      </c>
      <c r="F186" s="30" t="s">
        <v>87</v>
      </c>
      <c r="G186" s="30" t="s">
        <v>928</v>
      </c>
      <c r="H186" s="30" t="s">
        <v>680</v>
      </c>
      <c r="I186" s="32">
        <v>736</v>
      </c>
      <c r="J186" s="32">
        <v>398</v>
      </c>
      <c r="K186" s="32">
        <v>394</v>
      </c>
      <c r="L186" s="32">
        <v>556</v>
      </c>
      <c r="M186" s="32">
        <v>642</v>
      </c>
      <c r="N186" s="32">
        <v>717</v>
      </c>
      <c r="O186" s="32">
        <v>995</v>
      </c>
      <c r="P186" s="32">
        <v>612</v>
      </c>
      <c r="Q186" s="32">
        <v>681</v>
      </c>
      <c r="R186" s="32">
        <v>752</v>
      </c>
      <c r="S186" s="32">
        <v>428</v>
      </c>
      <c r="T186" s="32">
        <v>536</v>
      </c>
      <c r="U186" s="32">
        <v>1125</v>
      </c>
      <c r="V186" s="32">
        <v>502.59210000000002</v>
      </c>
      <c r="W186" s="32">
        <v>290</v>
      </c>
      <c r="X186" s="32">
        <v>436</v>
      </c>
      <c r="Y186" s="32">
        <v>539</v>
      </c>
      <c r="Z186" s="32">
        <v>388.68740000000003</v>
      </c>
      <c r="AA186" s="32">
        <v>1068.9136000000001</v>
      </c>
      <c r="AB186" s="32">
        <v>473</v>
      </c>
      <c r="AC186" s="32">
        <v>497</v>
      </c>
      <c r="AD186" s="32">
        <v>1144</v>
      </c>
      <c r="AE186" s="32">
        <v>537</v>
      </c>
      <c r="AF186" s="32">
        <v>1378</v>
      </c>
      <c r="AG186" s="32">
        <v>1283</v>
      </c>
      <c r="AH186" s="32">
        <v>479</v>
      </c>
      <c r="AI186" s="32">
        <v>341</v>
      </c>
      <c r="AJ186" s="32">
        <v>427</v>
      </c>
      <c r="AK186" s="32">
        <v>307</v>
      </c>
      <c r="AL186" s="32">
        <v>113</v>
      </c>
      <c r="AM186" s="32">
        <v>135</v>
      </c>
      <c r="AN186" s="32">
        <v>53</v>
      </c>
      <c r="AO186" s="32">
        <v>51</v>
      </c>
      <c r="AP186" s="32">
        <v>38</v>
      </c>
      <c r="AQ186" s="32">
        <v>23</v>
      </c>
      <c r="AR186" s="32">
        <v>16</v>
      </c>
      <c r="AS186" s="32">
        <v>7</v>
      </c>
    </row>
    <row r="187" spans="1:45">
      <c r="A187" s="30" t="s">
        <v>676</v>
      </c>
      <c r="B187" s="30" t="s">
        <v>633</v>
      </c>
      <c r="C187" s="30" t="s">
        <v>677</v>
      </c>
      <c r="D187" s="30" t="s">
        <v>587</v>
      </c>
      <c r="E187" s="30" t="s">
        <v>929</v>
      </c>
      <c r="F187" s="30" t="s">
        <v>87</v>
      </c>
      <c r="G187" s="30" t="s">
        <v>930</v>
      </c>
      <c r="H187" s="30" t="s">
        <v>680</v>
      </c>
      <c r="I187" s="32">
        <v>736</v>
      </c>
      <c r="J187" s="32">
        <v>398</v>
      </c>
      <c r="K187" s="32">
        <v>394</v>
      </c>
      <c r="L187" s="32">
        <v>556</v>
      </c>
      <c r="M187" s="32">
        <v>642</v>
      </c>
      <c r="N187" s="32">
        <v>717</v>
      </c>
      <c r="O187" s="32">
        <v>995</v>
      </c>
      <c r="P187" s="32">
        <v>612</v>
      </c>
      <c r="Q187" s="32">
        <v>681</v>
      </c>
      <c r="R187" s="32">
        <v>752</v>
      </c>
      <c r="S187" s="32">
        <v>428</v>
      </c>
      <c r="T187" s="32">
        <v>536</v>
      </c>
      <c r="U187" s="32">
        <v>1125</v>
      </c>
      <c r="V187" s="32">
        <v>502.59210000000002</v>
      </c>
      <c r="W187" s="32">
        <v>290</v>
      </c>
      <c r="X187" s="32">
        <v>436</v>
      </c>
      <c r="Y187" s="32">
        <v>539</v>
      </c>
      <c r="Z187" s="32">
        <v>388.68740000000003</v>
      </c>
      <c r="AA187" s="32">
        <v>1068.9136000000001</v>
      </c>
      <c r="AB187" s="32">
        <v>473</v>
      </c>
      <c r="AC187" s="32">
        <v>497</v>
      </c>
      <c r="AD187" s="32">
        <v>1144</v>
      </c>
      <c r="AE187" s="32">
        <v>537</v>
      </c>
      <c r="AF187" s="32">
        <v>1378</v>
      </c>
      <c r="AG187" s="32">
        <v>1283</v>
      </c>
      <c r="AH187" s="32">
        <v>479</v>
      </c>
      <c r="AI187" s="32">
        <v>341</v>
      </c>
      <c r="AJ187" s="32">
        <v>427</v>
      </c>
      <c r="AK187" s="32">
        <v>307</v>
      </c>
      <c r="AL187" s="32">
        <v>113</v>
      </c>
      <c r="AM187" s="32">
        <v>135</v>
      </c>
      <c r="AN187" s="32">
        <v>53</v>
      </c>
      <c r="AO187" s="32">
        <v>51</v>
      </c>
      <c r="AP187" s="32">
        <v>38</v>
      </c>
      <c r="AQ187" s="32">
        <v>23</v>
      </c>
      <c r="AR187" s="32">
        <v>16</v>
      </c>
      <c r="AS187" s="32">
        <v>7</v>
      </c>
    </row>
    <row r="188" spans="1:45">
      <c r="A188" s="30" t="s">
        <v>676</v>
      </c>
      <c r="B188" s="30" t="s">
        <v>633</v>
      </c>
      <c r="C188" s="30" t="s">
        <v>677</v>
      </c>
      <c r="D188" s="30" t="s">
        <v>587</v>
      </c>
      <c r="E188" s="30" t="s">
        <v>931</v>
      </c>
      <c r="F188" s="30" t="s">
        <v>90</v>
      </c>
      <c r="G188" s="30" t="s">
        <v>932</v>
      </c>
      <c r="H188" s="30" t="s">
        <v>680</v>
      </c>
      <c r="I188" s="32">
        <v>305</v>
      </c>
      <c r="J188" s="32">
        <v>225.15469999999999</v>
      </c>
      <c r="K188" s="32">
        <v>213</v>
      </c>
      <c r="L188" s="32">
        <v>282</v>
      </c>
      <c r="M188" s="32">
        <v>287</v>
      </c>
      <c r="N188" s="32">
        <v>268</v>
      </c>
      <c r="O188" s="32">
        <v>499</v>
      </c>
      <c r="P188" s="32">
        <v>384</v>
      </c>
      <c r="Q188" s="32">
        <v>458</v>
      </c>
      <c r="R188" s="32">
        <v>589</v>
      </c>
      <c r="S188" s="32">
        <v>244</v>
      </c>
      <c r="T188" s="32">
        <v>250</v>
      </c>
      <c r="U188" s="32">
        <v>344</v>
      </c>
      <c r="V188" s="32">
        <v>252.3947</v>
      </c>
      <c r="W188" s="32">
        <v>244</v>
      </c>
      <c r="X188" s="32">
        <v>445</v>
      </c>
      <c r="Y188" s="32">
        <v>466</v>
      </c>
      <c r="Z188" s="32">
        <v>383.61099999999999</v>
      </c>
      <c r="AA188" s="32">
        <v>900.57389999999998</v>
      </c>
      <c r="AB188" s="32">
        <v>388</v>
      </c>
      <c r="AC188" s="32">
        <v>453</v>
      </c>
      <c r="AD188" s="32">
        <v>1317</v>
      </c>
      <c r="AE188" s="32">
        <v>697</v>
      </c>
      <c r="AF188" s="32">
        <v>525</v>
      </c>
      <c r="AG188" s="32">
        <v>691</v>
      </c>
      <c r="AH188" s="32">
        <v>280</v>
      </c>
      <c r="AI188" s="32">
        <v>207</v>
      </c>
      <c r="AJ188" s="32">
        <v>254</v>
      </c>
      <c r="AK188" s="32">
        <v>227</v>
      </c>
      <c r="AL188" s="32">
        <v>77</v>
      </c>
      <c r="AM188" s="32">
        <v>48</v>
      </c>
      <c r="AN188" s="32">
        <v>13</v>
      </c>
      <c r="AO188" s="32">
        <v>5</v>
      </c>
      <c r="AP188" s="31">
        <v>0</v>
      </c>
      <c r="AQ188" s="32">
        <v>1</v>
      </c>
      <c r="AR188" s="31">
        <v>0</v>
      </c>
      <c r="AS188" s="31">
        <v>0</v>
      </c>
    </row>
    <row r="189" spans="1:45">
      <c r="A189" s="30" t="s">
        <v>676</v>
      </c>
      <c r="B189" s="30" t="s">
        <v>633</v>
      </c>
      <c r="C189" s="30" t="s">
        <v>677</v>
      </c>
      <c r="D189" s="30" t="s">
        <v>587</v>
      </c>
      <c r="E189" s="30" t="s">
        <v>933</v>
      </c>
      <c r="F189" s="30" t="s">
        <v>90</v>
      </c>
      <c r="G189" s="30" t="s">
        <v>934</v>
      </c>
      <c r="H189" s="30" t="s">
        <v>680</v>
      </c>
      <c r="I189" s="32">
        <v>305</v>
      </c>
      <c r="J189" s="32">
        <v>225.15469999999999</v>
      </c>
      <c r="K189" s="32">
        <v>213</v>
      </c>
      <c r="L189" s="32">
        <v>282</v>
      </c>
      <c r="M189" s="32">
        <v>287</v>
      </c>
      <c r="N189" s="32">
        <v>268</v>
      </c>
      <c r="O189" s="32">
        <v>499</v>
      </c>
      <c r="P189" s="32">
        <v>384</v>
      </c>
      <c r="Q189" s="32">
        <v>458</v>
      </c>
      <c r="R189" s="32">
        <v>589</v>
      </c>
      <c r="S189" s="32">
        <v>244</v>
      </c>
      <c r="T189" s="32">
        <v>250</v>
      </c>
      <c r="U189" s="32">
        <v>344</v>
      </c>
      <c r="V189" s="32">
        <v>252.3947</v>
      </c>
      <c r="W189" s="32">
        <v>244</v>
      </c>
      <c r="X189" s="32">
        <v>445</v>
      </c>
      <c r="Y189" s="32">
        <v>466</v>
      </c>
      <c r="Z189" s="32">
        <v>383.61099999999999</v>
      </c>
      <c r="AA189" s="32">
        <v>900.57389999999998</v>
      </c>
      <c r="AB189" s="32">
        <v>388</v>
      </c>
      <c r="AC189" s="32">
        <v>453</v>
      </c>
      <c r="AD189" s="32">
        <v>1317</v>
      </c>
      <c r="AE189" s="32">
        <v>697</v>
      </c>
      <c r="AF189" s="32">
        <v>525</v>
      </c>
      <c r="AG189" s="32">
        <v>691</v>
      </c>
      <c r="AH189" s="32">
        <v>280</v>
      </c>
      <c r="AI189" s="32">
        <v>207</v>
      </c>
      <c r="AJ189" s="32">
        <v>254</v>
      </c>
      <c r="AK189" s="32">
        <v>227</v>
      </c>
      <c r="AL189" s="32">
        <v>77</v>
      </c>
      <c r="AM189" s="32">
        <v>48</v>
      </c>
      <c r="AN189" s="32">
        <v>13</v>
      </c>
      <c r="AO189" s="32">
        <v>5</v>
      </c>
      <c r="AP189" s="31">
        <v>0</v>
      </c>
      <c r="AQ189" s="32">
        <v>1</v>
      </c>
      <c r="AR189" s="31">
        <v>0</v>
      </c>
      <c r="AS189" s="31">
        <v>0</v>
      </c>
    </row>
    <row r="190" spans="1:45">
      <c r="A190" s="30" t="s">
        <v>676</v>
      </c>
      <c r="B190" s="30" t="s">
        <v>633</v>
      </c>
      <c r="C190" s="30" t="s">
        <v>677</v>
      </c>
      <c r="D190" s="30" t="s">
        <v>587</v>
      </c>
      <c r="E190" s="30" t="s">
        <v>935</v>
      </c>
      <c r="F190" s="30" t="s">
        <v>84</v>
      </c>
      <c r="G190" s="30" t="s">
        <v>936</v>
      </c>
      <c r="H190" s="30" t="s">
        <v>680</v>
      </c>
      <c r="I190" s="32">
        <v>631</v>
      </c>
      <c r="J190" s="32">
        <v>555</v>
      </c>
      <c r="K190" s="32">
        <v>476</v>
      </c>
      <c r="L190" s="32">
        <v>511</v>
      </c>
      <c r="M190" s="32">
        <v>494</v>
      </c>
      <c r="N190" s="32">
        <v>259</v>
      </c>
      <c r="O190" s="32">
        <v>135</v>
      </c>
      <c r="P190" s="32">
        <v>59</v>
      </c>
      <c r="Q190" s="32">
        <v>61</v>
      </c>
      <c r="R190" s="32">
        <v>90</v>
      </c>
      <c r="S190" s="32">
        <v>16</v>
      </c>
      <c r="T190" s="32">
        <v>9</v>
      </c>
      <c r="U190" s="32">
        <v>21</v>
      </c>
      <c r="V190" s="32">
        <v>8</v>
      </c>
      <c r="W190" s="32">
        <v>19</v>
      </c>
      <c r="X190" s="32">
        <v>20</v>
      </c>
      <c r="Y190" s="32">
        <v>4</v>
      </c>
      <c r="Z190" s="32">
        <v>6</v>
      </c>
      <c r="AA190" s="32">
        <v>6</v>
      </c>
      <c r="AB190" s="32">
        <v>5</v>
      </c>
      <c r="AC190" s="32">
        <v>1</v>
      </c>
      <c r="AD190" s="32">
        <v>1</v>
      </c>
      <c r="AE190" s="31">
        <v>0</v>
      </c>
      <c r="AF190" s="32">
        <v>1</v>
      </c>
      <c r="AG190" s="32">
        <v>1</v>
      </c>
      <c r="AH190" s="32">
        <v>1</v>
      </c>
      <c r="AI190" s="31">
        <v>0</v>
      </c>
      <c r="AJ190" s="31">
        <v>0</v>
      </c>
      <c r="AK190" s="31">
        <v>0</v>
      </c>
      <c r="AL190" s="31">
        <v>0</v>
      </c>
      <c r="AM190" s="31">
        <v>0</v>
      </c>
      <c r="AN190" s="31">
        <v>0</v>
      </c>
      <c r="AO190" s="31">
        <v>0</v>
      </c>
      <c r="AP190" s="31">
        <v>0</v>
      </c>
      <c r="AQ190" s="31">
        <v>0</v>
      </c>
      <c r="AR190" s="31">
        <v>0</v>
      </c>
      <c r="AS190" s="31">
        <v>0</v>
      </c>
    </row>
    <row r="191" spans="1:45">
      <c r="A191" s="30" t="s">
        <v>676</v>
      </c>
      <c r="B191" s="30" t="s">
        <v>633</v>
      </c>
      <c r="C191" s="30" t="s">
        <v>677</v>
      </c>
      <c r="D191" s="30" t="s">
        <v>587</v>
      </c>
      <c r="E191" s="30" t="s">
        <v>937</v>
      </c>
      <c r="F191" s="30" t="s">
        <v>84</v>
      </c>
      <c r="G191" s="30" t="s">
        <v>938</v>
      </c>
      <c r="H191" s="30" t="s">
        <v>680</v>
      </c>
      <c r="I191" s="32">
        <v>631</v>
      </c>
      <c r="J191" s="32">
        <v>555</v>
      </c>
      <c r="K191" s="32">
        <v>476</v>
      </c>
      <c r="L191" s="32">
        <v>511</v>
      </c>
      <c r="M191" s="32">
        <v>494</v>
      </c>
      <c r="N191" s="32">
        <v>259</v>
      </c>
      <c r="O191" s="32">
        <v>135</v>
      </c>
      <c r="P191" s="32">
        <v>59</v>
      </c>
      <c r="Q191" s="32">
        <v>61</v>
      </c>
      <c r="R191" s="32">
        <v>90</v>
      </c>
      <c r="S191" s="32">
        <v>16</v>
      </c>
      <c r="T191" s="32">
        <v>9</v>
      </c>
      <c r="U191" s="32">
        <v>21</v>
      </c>
      <c r="V191" s="32">
        <v>8</v>
      </c>
      <c r="W191" s="32">
        <v>19</v>
      </c>
      <c r="X191" s="32">
        <v>20</v>
      </c>
      <c r="Y191" s="32">
        <v>4</v>
      </c>
      <c r="Z191" s="32">
        <v>6</v>
      </c>
      <c r="AA191" s="32">
        <v>6</v>
      </c>
      <c r="AB191" s="32">
        <v>5</v>
      </c>
      <c r="AC191" s="32">
        <v>1</v>
      </c>
      <c r="AD191" s="32">
        <v>1</v>
      </c>
      <c r="AE191" s="31">
        <v>0</v>
      </c>
      <c r="AF191" s="32">
        <v>1</v>
      </c>
      <c r="AG191" s="32">
        <v>1</v>
      </c>
      <c r="AH191" s="32">
        <v>1</v>
      </c>
      <c r="AI191" s="31">
        <v>0</v>
      </c>
      <c r="AJ191" s="31">
        <v>0</v>
      </c>
      <c r="AK191" s="31">
        <v>0</v>
      </c>
      <c r="AL191" s="31">
        <v>0</v>
      </c>
      <c r="AM191" s="31">
        <v>0</v>
      </c>
      <c r="AN191" s="31">
        <v>0</v>
      </c>
      <c r="AO191" s="31">
        <v>0</v>
      </c>
      <c r="AP191" s="31">
        <v>0</v>
      </c>
      <c r="AQ191" s="31">
        <v>0</v>
      </c>
      <c r="AR191" s="31">
        <v>0</v>
      </c>
      <c r="AS191" s="31">
        <v>0</v>
      </c>
    </row>
    <row r="192" spans="1:45">
      <c r="A192" s="30" t="s">
        <v>676</v>
      </c>
      <c r="B192" s="30" t="s">
        <v>633</v>
      </c>
      <c r="C192" s="30" t="s">
        <v>677</v>
      </c>
      <c r="D192" s="30" t="s">
        <v>587</v>
      </c>
      <c r="E192" s="30" t="s">
        <v>939</v>
      </c>
      <c r="F192" s="30" t="s">
        <v>91</v>
      </c>
      <c r="G192" s="30" t="s">
        <v>940</v>
      </c>
      <c r="H192" s="30" t="s">
        <v>680</v>
      </c>
      <c r="I192" s="32">
        <v>418</v>
      </c>
      <c r="J192" s="32">
        <v>307.15469999999999</v>
      </c>
      <c r="K192" s="32">
        <v>280</v>
      </c>
      <c r="L192" s="32">
        <v>303</v>
      </c>
      <c r="M192" s="32">
        <v>326</v>
      </c>
      <c r="N192" s="32">
        <v>324</v>
      </c>
      <c r="O192" s="32">
        <v>533</v>
      </c>
      <c r="P192" s="32">
        <v>411</v>
      </c>
      <c r="Q192" s="32">
        <v>565</v>
      </c>
      <c r="R192" s="32">
        <v>624</v>
      </c>
      <c r="S192" s="32">
        <v>350</v>
      </c>
      <c r="T192" s="32">
        <v>271</v>
      </c>
      <c r="U192" s="32">
        <v>350</v>
      </c>
      <c r="V192" s="32">
        <v>407.3947</v>
      </c>
      <c r="W192" s="32">
        <v>342</v>
      </c>
      <c r="X192" s="32">
        <v>684</v>
      </c>
      <c r="Y192" s="32">
        <v>521</v>
      </c>
      <c r="Z192" s="32">
        <v>293.81060000000002</v>
      </c>
      <c r="AA192" s="32">
        <v>355</v>
      </c>
      <c r="AB192" s="32">
        <v>146</v>
      </c>
      <c r="AC192" s="32">
        <v>103</v>
      </c>
      <c r="AD192" s="32">
        <v>278</v>
      </c>
      <c r="AE192" s="32">
        <v>29</v>
      </c>
      <c r="AF192" s="32">
        <v>33</v>
      </c>
      <c r="AG192" s="32">
        <v>71</v>
      </c>
      <c r="AH192" s="32">
        <v>20</v>
      </c>
      <c r="AI192" s="32">
        <v>38</v>
      </c>
      <c r="AJ192" s="32">
        <v>38</v>
      </c>
      <c r="AK192" s="32">
        <v>28</v>
      </c>
      <c r="AL192" s="32">
        <v>21</v>
      </c>
      <c r="AM192" s="32">
        <v>4</v>
      </c>
      <c r="AN192" s="32">
        <v>10</v>
      </c>
      <c r="AO192" s="32">
        <v>2</v>
      </c>
      <c r="AP192" s="31">
        <v>0</v>
      </c>
      <c r="AQ192" s="32">
        <v>1</v>
      </c>
      <c r="AR192" s="31">
        <v>0</v>
      </c>
      <c r="AS192" s="31">
        <v>0</v>
      </c>
    </row>
    <row r="193" spans="1:45">
      <c r="A193" s="30" t="s">
        <v>676</v>
      </c>
      <c r="B193" s="30" t="s">
        <v>633</v>
      </c>
      <c r="C193" s="30" t="s">
        <v>677</v>
      </c>
      <c r="D193" s="30" t="s">
        <v>587</v>
      </c>
      <c r="E193" s="30" t="s">
        <v>941</v>
      </c>
      <c r="F193" s="30" t="s">
        <v>91</v>
      </c>
      <c r="G193" s="30" t="s">
        <v>942</v>
      </c>
      <c r="H193" s="30" t="s">
        <v>680</v>
      </c>
      <c r="I193" s="32">
        <v>418</v>
      </c>
      <c r="J193" s="32">
        <v>307.15469999999999</v>
      </c>
      <c r="K193" s="32">
        <v>280</v>
      </c>
      <c r="L193" s="32">
        <v>303</v>
      </c>
      <c r="M193" s="32">
        <v>326</v>
      </c>
      <c r="N193" s="32">
        <v>324</v>
      </c>
      <c r="O193" s="32">
        <v>533</v>
      </c>
      <c r="P193" s="32">
        <v>411</v>
      </c>
      <c r="Q193" s="32">
        <v>565</v>
      </c>
      <c r="R193" s="32">
        <v>624</v>
      </c>
      <c r="S193" s="32">
        <v>350</v>
      </c>
      <c r="T193" s="32">
        <v>271</v>
      </c>
      <c r="U193" s="32">
        <v>350</v>
      </c>
      <c r="V193" s="32">
        <v>407.3947</v>
      </c>
      <c r="W193" s="32">
        <v>342</v>
      </c>
      <c r="X193" s="32">
        <v>684</v>
      </c>
      <c r="Y193" s="32">
        <v>521</v>
      </c>
      <c r="Z193" s="32">
        <v>293.81060000000002</v>
      </c>
      <c r="AA193" s="32">
        <v>355</v>
      </c>
      <c r="AB193" s="32">
        <v>146</v>
      </c>
      <c r="AC193" s="32">
        <v>103</v>
      </c>
      <c r="AD193" s="32">
        <v>278</v>
      </c>
      <c r="AE193" s="32">
        <v>29</v>
      </c>
      <c r="AF193" s="32">
        <v>33</v>
      </c>
      <c r="AG193" s="32">
        <v>71</v>
      </c>
      <c r="AH193" s="32">
        <v>20</v>
      </c>
      <c r="AI193" s="32">
        <v>38</v>
      </c>
      <c r="AJ193" s="32">
        <v>38</v>
      </c>
      <c r="AK193" s="32">
        <v>28</v>
      </c>
      <c r="AL193" s="32">
        <v>21</v>
      </c>
      <c r="AM193" s="32">
        <v>4</v>
      </c>
      <c r="AN193" s="32">
        <v>10</v>
      </c>
      <c r="AO193" s="32">
        <v>2</v>
      </c>
      <c r="AP193" s="31">
        <v>0</v>
      </c>
      <c r="AQ193" s="32">
        <v>1</v>
      </c>
      <c r="AR193" s="31">
        <v>0</v>
      </c>
      <c r="AS193" s="31">
        <v>0</v>
      </c>
    </row>
    <row r="194" spans="1:45">
      <c r="A194" s="30" t="s">
        <v>676</v>
      </c>
      <c r="B194" s="30" t="s">
        <v>633</v>
      </c>
      <c r="C194" s="30" t="s">
        <v>677</v>
      </c>
      <c r="D194" s="30" t="s">
        <v>587</v>
      </c>
      <c r="E194" s="30" t="s">
        <v>943</v>
      </c>
      <c r="F194" s="30" t="s">
        <v>88</v>
      </c>
      <c r="G194" s="30" t="s">
        <v>944</v>
      </c>
      <c r="H194" s="30" t="s">
        <v>680</v>
      </c>
      <c r="I194" s="32">
        <v>167</v>
      </c>
      <c r="J194" s="32">
        <v>79</v>
      </c>
      <c r="K194" s="32">
        <v>48</v>
      </c>
      <c r="L194" s="32">
        <v>66</v>
      </c>
      <c r="M194" s="32">
        <v>111</v>
      </c>
      <c r="N194" s="32">
        <v>47</v>
      </c>
      <c r="O194" s="32">
        <v>65</v>
      </c>
      <c r="P194" s="32">
        <v>91</v>
      </c>
      <c r="Q194" s="32">
        <v>67</v>
      </c>
      <c r="R194" s="32">
        <v>199</v>
      </c>
      <c r="S194" s="32">
        <v>438</v>
      </c>
      <c r="T194" s="32">
        <v>205</v>
      </c>
      <c r="U194" s="32">
        <v>171</v>
      </c>
      <c r="V194" s="32">
        <v>119</v>
      </c>
      <c r="W194" s="32">
        <v>58</v>
      </c>
      <c r="X194" s="32">
        <v>62</v>
      </c>
      <c r="Y194" s="32">
        <v>26</v>
      </c>
      <c r="Z194" s="32">
        <v>25.898800000000001</v>
      </c>
      <c r="AA194" s="32">
        <v>47</v>
      </c>
      <c r="AB194" s="32">
        <v>14</v>
      </c>
      <c r="AC194" s="32">
        <v>13</v>
      </c>
      <c r="AD194" s="32">
        <v>8</v>
      </c>
      <c r="AE194" s="32">
        <v>2</v>
      </c>
      <c r="AF194" s="32">
        <v>2</v>
      </c>
      <c r="AG194" s="32">
        <v>1</v>
      </c>
      <c r="AH194" s="31">
        <v>0</v>
      </c>
      <c r="AI194" s="31">
        <v>0</v>
      </c>
      <c r="AJ194" s="31">
        <v>0</v>
      </c>
      <c r="AK194" s="31">
        <v>0</v>
      </c>
      <c r="AL194" s="31">
        <v>0</v>
      </c>
      <c r="AM194" s="31">
        <v>0</v>
      </c>
      <c r="AN194" s="31">
        <v>0</v>
      </c>
      <c r="AO194" s="31">
        <v>0</v>
      </c>
      <c r="AP194" s="31">
        <v>0</v>
      </c>
      <c r="AQ194" s="31">
        <v>0</v>
      </c>
      <c r="AR194" s="31">
        <v>0</v>
      </c>
      <c r="AS194" s="31">
        <v>0</v>
      </c>
    </row>
    <row r="195" spans="1:45">
      <c r="A195" s="30" t="s">
        <v>676</v>
      </c>
      <c r="B195" s="30" t="s">
        <v>633</v>
      </c>
      <c r="C195" s="30" t="s">
        <v>677</v>
      </c>
      <c r="D195" s="30" t="s">
        <v>587</v>
      </c>
      <c r="E195" s="30" t="s">
        <v>945</v>
      </c>
      <c r="F195" s="30" t="s">
        <v>88</v>
      </c>
      <c r="G195" s="30" t="s">
        <v>946</v>
      </c>
      <c r="H195" s="30" t="s">
        <v>680</v>
      </c>
      <c r="I195" s="32">
        <v>167</v>
      </c>
      <c r="J195" s="32">
        <v>79</v>
      </c>
      <c r="K195" s="32">
        <v>48</v>
      </c>
      <c r="L195" s="32">
        <v>66</v>
      </c>
      <c r="M195" s="32">
        <v>111</v>
      </c>
      <c r="N195" s="32">
        <v>47</v>
      </c>
      <c r="O195" s="32">
        <v>65</v>
      </c>
      <c r="P195" s="32">
        <v>91</v>
      </c>
      <c r="Q195" s="32">
        <v>67</v>
      </c>
      <c r="R195" s="32">
        <v>199</v>
      </c>
      <c r="S195" s="32">
        <v>438</v>
      </c>
      <c r="T195" s="32">
        <v>205</v>
      </c>
      <c r="U195" s="32">
        <v>171</v>
      </c>
      <c r="V195" s="32">
        <v>119</v>
      </c>
      <c r="W195" s="32">
        <v>58</v>
      </c>
      <c r="X195" s="32">
        <v>62</v>
      </c>
      <c r="Y195" s="32">
        <v>26</v>
      </c>
      <c r="Z195" s="32">
        <v>25.898800000000001</v>
      </c>
      <c r="AA195" s="32">
        <v>47</v>
      </c>
      <c r="AB195" s="32">
        <v>14</v>
      </c>
      <c r="AC195" s="32">
        <v>13</v>
      </c>
      <c r="AD195" s="32">
        <v>8</v>
      </c>
      <c r="AE195" s="32">
        <v>2</v>
      </c>
      <c r="AF195" s="32">
        <v>2</v>
      </c>
      <c r="AG195" s="32">
        <v>1</v>
      </c>
      <c r="AH195" s="31">
        <v>0</v>
      </c>
      <c r="AI195" s="31">
        <v>0</v>
      </c>
      <c r="AJ195" s="31">
        <v>0</v>
      </c>
      <c r="AK195" s="31">
        <v>0</v>
      </c>
      <c r="AL195" s="31">
        <v>0</v>
      </c>
      <c r="AM195" s="31">
        <v>0</v>
      </c>
      <c r="AN195" s="31">
        <v>0</v>
      </c>
      <c r="AO195" s="31">
        <v>0</v>
      </c>
      <c r="AP195" s="31">
        <v>0</v>
      </c>
      <c r="AQ195" s="31">
        <v>0</v>
      </c>
      <c r="AR195" s="31">
        <v>0</v>
      </c>
      <c r="AS195" s="31">
        <v>0</v>
      </c>
    </row>
    <row r="196" spans="1:45">
      <c r="A196" s="30" t="s">
        <v>676</v>
      </c>
      <c r="B196" s="30" t="s">
        <v>633</v>
      </c>
      <c r="C196" s="30" t="s">
        <v>677</v>
      </c>
      <c r="D196" s="30" t="s">
        <v>587</v>
      </c>
      <c r="E196" s="30" t="s">
        <v>947</v>
      </c>
      <c r="F196" s="30" t="s">
        <v>104</v>
      </c>
      <c r="G196" s="30" t="s">
        <v>948</v>
      </c>
      <c r="H196" s="30" t="s">
        <v>680</v>
      </c>
      <c r="I196" s="32">
        <v>956</v>
      </c>
      <c r="J196" s="32">
        <v>392</v>
      </c>
      <c r="K196" s="32">
        <v>192</v>
      </c>
      <c r="L196" s="32">
        <v>178</v>
      </c>
      <c r="M196" s="32">
        <v>101</v>
      </c>
      <c r="N196" s="32">
        <v>269</v>
      </c>
      <c r="O196" s="32">
        <v>682</v>
      </c>
      <c r="P196" s="32">
        <v>317</v>
      </c>
      <c r="Q196" s="32">
        <v>123</v>
      </c>
      <c r="R196" s="32">
        <v>501</v>
      </c>
      <c r="S196" s="32">
        <v>588</v>
      </c>
      <c r="T196" s="32">
        <v>192</v>
      </c>
      <c r="U196" s="32">
        <v>140</v>
      </c>
      <c r="V196" s="32">
        <v>70</v>
      </c>
      <c r="W196" s="32">
        <v>59</v>
      </c>
      <c r="X196" s="32">
        <v>30</v>
      </c>
      <c r="Y196" s="32">
        <v>15</v>
      </c>
      <c r="Z196" s="32">
        <v>15</v>
      </c>
      <c r="AA196" s="32">
        <v>11</v>
      </c>
      <c r="AB196" s="32">
        <v>12</v>
      </c>
      <c r="AC196" s="32">
        <v>51</v>
      </c>
      <c r="AD196" s="32">
        <v>362</v>
      </c>
      <c r="AE196" s="32">
        <v>220</v>
      </c>
      <c r="AF196" s="32">
        <v>125</v>
      </c>
      <c r="AG196" s="32">
        <v>146</v>
      </c>
      <c r="AH196" s="32">
        <v>78</v>
      </c>
      <c r="AI196" s="32">
        <v>84</v>
      </c>
      <c r="AJ196" s="32">
        <v>82</v>
      </c>
      <c r="AK196" s="32">
        <v>84</v>
      </c>
      <c r="AL196" s="32">
        <v>83</v>
      </c>
      <c r="AM196" s="32">
        <v>74</v>
      </c>
      <c r="AN196" s="32">
        <v>54</v>
      </c>
      <c r="AO196" s="32">
        <v>38</v>
      </c>
      <c r="AP196" s="32">
        <v>50</v>
      </c>
      <c r="AQ196" s="32">
        <v>24</v>
      </c>
      <c r="AR196" s="32">
        <v>11</v>
      </c>
      <c r="AS196" s="32">
        <v>17</v>
      </c>
    </row>
    <row r="197" spans="1:45">
      <c r="A197" s="30" t="s">
        <v>676</v>
      </c>
      <c r="B197" s="30" t="s">
        <v>633</v>
      </c>
      <c r="C197" s="30" t="s">
        <v>677</v>
      </c>
      <c r="D197" s="30" t="s">
        <v>587</v>
      </c>
      <c r="E197" s="30" t="s">
        <v>949</v>
      </c>
      <c r="F197" s="30" t="s">
        <v>104</v>
      </c>
      <c r="G197" s="30" t="s">
        <v>950</v>
      </c>
      <c r="H197" s="30" t="s">
        <v>680</v>
      </c>
      <c r="I197" s="32">
        <v>956</v>
      </c>
      <c r="J197" s="32">
        <v>392</v>
      </c>
      <c r="K197" s="32">
        <v>192</v>
      </c>
      <c r="L197" s="32">
        <v>178</v>
      </c>
      <c r="M197" s="32">
        <v>101</v>
      </c>
      <c r="N197" s="32">
        <v>269</v>
      </c>
      <c r="O197" s="32">
        <v>682</v>
      </c>
      <c r="P197" s="32">
        <v>317</v>
      </c>
      <c r="Q197" s="32">
        <v>123</v>
      </c>
      <c r="R197" s="32">
        <v>501</v>
      </c>
      <c r="S197" s="32">
        <v>588</v>
      </c>
      <c r="T197" s="32">
        <v>192</v>
      </c>
      <c r="U197" s="32">
        <v>140</v>
      </c>
      <c r="V197" s="32">
        <v>70</v>
      </c>
      <c r="W197" s="32">
        <v>59</v>
      </c>
      <c r="X197" s="32">
        <v>30</v>
      </c>
      <c r="Y197" s="32">
        <v>15</v>
      </c>
      <c r="Z197" s="32">
        <v>15</v>
      </c>
      <c r="AA197" s="32">
        <v>11</v>
      </c>
      <c r="AB197" s="32">
        <v>12</v>
      </c>
      <c r="AC197" s="32">
        <v>51</v>
      </c>
      <c r="AD197" s="32">
        <v>362</v>
      </c>
      <c r="AE197" s="32">
        <v>220</v>
      </c>
      <c r="AF197" s="32">
        <v>125</v>
      </c>
      <c r="AG197" s="32">
        <v>146</v>
      </c>
      <c r="AH197" s="32">
        <v>78</v>
      </c>
      <c r="AI197" s="32">
        <v>84</v>
      </c>
      <c r="AJ197" s="32">
        <v>82</v>
      </c>
      <c r="AK197" s="32">
        <v>84</v>
      </c>
      <c r="AL197" s="32">
        <v>83</v>
      </c>
      <c r="AM197" s="32">
        <v>74</v>
      </c>
      <c r="AN197" s="32">
        <v>54</v>
      </c>
      <c r="AO197" s="32">
        <v>38</v>
      </c>
      <c r="AP197" s="32">
        <v>50</v>
      </c>
      <c r="AQ197" s="32">
        <v>24</v>
      </c>
      <c r="AR197" s="32">
        <v>11</v>
      </c>
      <c r="AS197" s="32">
        <v>17</v>
      </c>
    </row>
    <row r="198" spans="1:45">
      <c r="A198" s="30" t="s">
        <v>676</v>
      </c>
      <c r="B198" s="30" t="s">
        <v>633</v>
      </c>
      <c r="C198" s="30" t="s">
        <v>677</v>
      </c>
      <c r="D198" s="30" t="s">
        <v>587</v>
      </c>
      <c r="E198" s="30" t="s">
        <v>951</v>
      </c>
      <c r="F198" s="30" t="s">
        <v>101</v>
      </c>
      <c r="G198" s="30" t="s">
        <v>952</v>
      </c>
      <c r="H198" s="30" t="s">
        <v>680</v>
      </c>
      <c r="I198" s="32">
        <v>324</v>
      </c>
      <c r="J198" s="32">
        <v>220</v>
      </c>
      <c r="K198" s="32">
        <v>193</v>
      </c>
      <c r="L198" s="32">
        <v>291</v>
      </c>
      <c r="M198" s="32">
        <v>260</v>
      </c>
      <c r="N198" s="32">
        <v>152</v>
      </c>
      <c r="O198" s="32">
        <v>234</v>
      </c>
      <c r="P198" s="32">
        <v>231</v>
      </c>
      <c r="Q198" s="32">
        <v>116</v>
      </c>
      <c r="R198" s="32">
        <v>333</v>
      </c>
      <c r="S198" s="32">
        <v>446</v>
      </c>
      <c r="T198" s="32">
        <v>281</v>
      </c>
      <c r="U198" s="32">
        <v>242</v>
      </c>
      <c r="V198" s="32">
        <v>145</v>
      </c>
      <c r="W198" s="32">
        <v>114</v>
      </c>
      <c r="X198" s="32">
        <v>117</v>
      </c>
      <c r="Y198" s="32">
        <v>84</v>
      </c>
      <c r="Z198" s="32">
        <v>56</v>
      </c>
      <c r="AA198" s="32">
        <v>81.196700000000007</v>
      </c>
      <c r="AB198" s="32">
        <v>52</v>
      </c>
      <c r="AC198" s="32">
        <v>51</v>
      </c>
      <c r="AD198" s="32">
        <v>26</v>
      </c>
      <c r="AE198" s="32">
        <v>26</v>
      </c>
      <c r="AF198" s="32">
        <v>12</v>
      </c>
      <c r="AG198" s="32">
        <v>15</v>
      </c>
      <c r="AH198" s="32">
        <v>6</v>
      </c>
      <c r="AI198" s="32">
        <v>11</v>
      </c>
      <c r="AJ198" s="32">
        <v>7</v>
      </c>
      <c r="AK198" s="31">
        <v>0</v>
      </c>
      <c r="AL198" s="32">
        <v>1</v>
      </c>
      <c r="AM198" s="31">
        <v>0</v>
      </c>
      <c r="AN198" s="31">
        <v>0</v>
      </c>
      <c r="AO198" s="31">
        <v>0</v>
      </c>
      <c r="AP198" s="32">
        <v>1</v>
      </c>
      <c r="AQ198" s="32">
        <v>1</v>
      </c>
      <c r="AR198" s="31">
        <v>0</v>
      </c>
      <c r="AS198" s="31">
        <v>0</v>
      </c>
    </row>
    <row r="199" spans="1:45">
      <c r="A199" s="30" t="s">
        <v>676</v>
      </c>
      <c r="B199" s="30" t="s">
        <v>633</v>
      </c>
      <c r="C199" s="30" t="s">
        <v>677</v>
      </c>
      <c r="D199" s="30" t="s">
        <v>587</v>
      </c>
      <c r="E199" s="30" t="s">
        <v>953</v>
      </c>
      <c r="F199" s="30" t="s">
        <v>101</v>
      </c>
      <c r="G199" s="30" t="s">
        <v>954</v>
      </c>
      <c r="H199" s="30" t="s">
        <v>680</v>
      </c>
      <c r="I199" s="32">
        <v>324</v>
      </c>
      <c r="J199" s="32">
        <v>220</v>
      </c>
      <c r="K199" s="32">
        <v>193</v>
      </c>
      <c r="L199" s="32">
        <v>291</v>
      </c>
      <c r="M199" s="32">
        <v>260</v>
      </c>
      <c r="N199" s="32">
        <v>152</v>
      </c>
      <c r="O199" s="32">
        <v>234</v>
      </c>
      <c r="P199" s="32">
        <v>231</v>
      </c>
      <c r="Q199" s="32">
        <v>116</v>
      </c>
      <c r="R199" s="32">
        <v>333</v>
      </c>
      <c r="S199" s="32">
        <v>446</v>
      </c>
      <c r="T199" s="32">
        <v>281</v>
      </c>
      <c r="U199" s="32">
        <v>242</v>
      </c>
      <c r="V199" s="32">
        <v>145</v>
      </c>
      <c r="W199" s="32">
        <v>114</v>
      </c>
      <c r="X199" s="32">
        <v>117</v>
      </c>
      <c r="Y199" s="32">
        <v>84</v>
      </c>
      <c r="Z199" s="32">
        <v>56</v>
      </c>
      <c r="AA199" s="32">
        <v>81.196700000000007</v>
      </c>
      <c r="AB199" s="32">
        <v>52</v>
      </c>
      <c r="AC199" s="32">
        <v>51</v>
      </c>
      <c r="AD199" s="32">
        <v>26</v>
      </c>
      <c r="AE199" s="32">
        <v>26</v>
      </c>
      <c r="AF199" s="32">
        <v>12</v>
      </c>
      <c r="AG199" s="32">
        <v>15</v>
      </c>
      <c r="AH199" s="32">
        <v>6</v>
      </c>
      <c r="AI199" s="32">
        <v>11</v>
      </c>
      <c r="AJ199" s="32">
        <v>7</v>
      </c>
      <c r="AK199" s="31">
        <v>0</v>
      </c>
      <c r="AL199" s="32">
        <v>1</v>
      </c>
      <c r="AM199" s="31">
        <v>0</v>
      </c>
      <c r="AN199" s="31">
        <v>0</v>
      </c>
      <c r="AO199" s="31">
        <v>0</v>
      </c>
      <c r="AP199" s="32">
        <v>1</v>
      </c>
      <c r="AQ199" s="32">
        <v>1</v>
      </c>
      <c r="AR199" s="31">
        <v>0</v>
      </c>
      <c r="AS199" s="31">
        <v>0</v>
      </c>
    </row>
    <row r="200" spans="1:45">
      <c r="A200" s="30" t="s">
        <v>676</v>
      </c>
      <c r="B200" s="30" t="s">
        <v>633</v>
      </c>
      <c r="C200" s="30" t="s">
        <v>677</v>
      </c>
      <c r="D200" s="30" t="s">
        <v>587</v>
      </c>
      <c r="E200" s="30" t="s">
        <v>955</v>
      </c>
      <c r="F200" s="30" t="s">
        <v>91</v>
      </c>
      <c r="G200" s="30" t="s">
        <v>956</v>
      </c>
      <c r="H200" s="30" t="s">
        <v>680</v>
      </c>
      <c r="I200" s="32">
        <v>528</v>
      </c>
      <c r="J200" s="32">
        <v>289.15469999999999</v>
      </c>
      <c r="K200" s="32">
        <v>180</v>
      </c>
      <c r="L200" s="32">
        <v>233</v>
      </c>
      <c r="M200" s="32">
        <v>177</v>
      </c>
      <c r="N200" s="32">
        <v>131</v>
      </c>
      <c r="O200" s="32">
        <v>151</v>
      </c>
      <c r="P200" s="32">
        <v>161</v>
      </c>
      <c r="Q200" s="32">
        <v>59</v>
      </c>
      <c r="R200" s="32">
        <v>66</v>
      </c>
      <c r="S200" s="32">
        <v>39</v>
      </c>
      <c r="T200" s="32">
        <v>31</v>
      </c>
      <c r="U200" s="32">
        <v>31</v>
      </c>
      <c r="V200" s="32">
        <v>15</v>
      </c>
      <c r="W200" s="32">
        <v>14</v>
      </c>
      <c r="X200" s="32">
        <v>23</v>
      </c>
      <c r="Y200" s="32">
        <v>11</v>
      </c>
      <c r="Z200" s="32">
        <v>7</v>
      </c>
      <c r="AA200" s="32">
        <v>26</v>
      </c>
      <c r="AB200" s="32">
        <v>16</v>
      </c>
      <c r="AC200" s="32">
        <v>21</v>
      </c>
      <c r="AD200" s="32">
        <v>19</v>
      </c>
      <c r="AE200" s="32">
        <v>4</v>
      </c>
      <c r="AF200" s="32">
        <v>1</v>
      </c>
      <c r="AG200" s="32">
        <v>4</v>
      </c>
      <c r="AH200" s="31">
        <v>0</v>
      </c>
      <c r="AI200" s="31">
        <v>0</v>
      </c>
      <c r="AJ200" s="32">
        <v>1</v>
      </c>
      <c r="AK200" s="31">
        <v>0</v>
      </c>
      <c r="AL200" s="32">
        <v>2</v>
      </c>
      <c r="AM200" s="31">
        <v>0</v>
      </c>
      <c r="AN200" s="31">
        <v>0</v>
      </c>
      <c r="AO200" s="31">
        <v>0</v>
      </c>
      <c r="AP200" s="31">
        <v>0</v>
      </c>
      <c r="AQ200" s="31">
        <v>0</v>
      </c>
      <c r="AR200" s="31">
        <v>0</v>
      </c>
      <c r="AS200" s="31">
        <v>0</v>
      </c>
    </row>
    <row r="201" spans="1:45">
      <c r="A201" s="30" t="s">
        <v>676</v>
      </c>
      <c r="B201" s="30" t="s">
        <v>633</v>
      </c>
      <c r="C201" s="30" t="s">
        <v>677</v>
      </c>
      <c r="D201" s="30" t="s">
        <v>587</v>
      </c>
      <c r="E201" s="30" t="s">
        <v>957</v>
      </c>
      <c r="F201" s="30" t="s">
        <v>91</v>
      </c>
      <c r="G201" s="30" t="s">
        <v>958</v>
      </c>
      <c r="H201" s="30" t="s">
        <v>680</v>
      </c>
      <c r="I201" s="32">
        <v>528</v>
      </c>
      <c r="J201" s="32">
        <v>289.15469999999999</v>
      </c>
      <c r="K201" s="32">
        <v>180</v>
      </c>
      <c r="L201" s="32">
        <v>233</v>
      </c>
      <c r="M201" s="32">
        <v>177</v>
      </c>
      <c r="N201" s="32">
        <v>131</v>
      </c>
      <c r="O201" s="32">
        <v>151</v>
      </c>
      <c r="P201" s="32">
        <v>161</v>
      </c>
      <c r="Q201" s="32">
        <v>59</v>
      </c>
      <c r="R201" s="32">
        <v>66</v>
      </c>
      <c r="S201" s="32">
        <v>39</v>
      </c>
      <c r="T201" s="32">
        <v>31</v>
      </c>
      <c r="U201" s="32">
        <v>31</v>
      </c>
      <c r="V201" s="32">
        <v>15</v>
      </c>
      <c r="W201" s="32">
        <v>14</v>
      </c>
      <c r="X201" s="32">
        <v>23</v>
      </c>
      <c r="Y201" s="32">
        <v>11</v>
      </c>
      <c r="Z201" s="32">
        <v>7</v>
      </c>
      <c r="AA201" s="32">
        <v>26</v>
      </c>
      <c r="AB201" s="32">
        <v>16</v>
      </c>
      <c r="AC201" s="32">
        <v>21</v>
      </c>
      <c r="AD201" s="32">
        <v>19</v>
      </c>
      <c r="AE201" s="32">
        <v>4</v>
      </c>
      <c r="AF201" s="32">
        <v>1</v>
      </c>
      <c r="AG201" s="32">
        <v>4</v>
      </c>
      <c r="AH201" s="31">
        <v>0</v>
      </c>
      <c r="AI201" s="31">
        <v>0</v>
      </c>
      <c r="AJ201" s="32">
        <v>1</v>
      </c>
      <c r="AK201" s="31">
        <v>0</v>
      </c>
      <c r="AL201" s="32">
        <v>2</v>
      </c>
      <c r="AM201" s="31">
        <v>0</v>
      </c>
      <c r="AN201" s="31">
        <v>0</v>
      </c>
      <c r="AO201" s="31">
        <v>0</v>
      </c>
      <c r="AP201" s="31">
        <v>0</v>
      </c>
      <c r="AQ201" s="31">
        <v>0</v>
      </c>
      <c r="AR201" s="31">
        <v>0</v>
      </c>
      <c r="AS201" s="31">
        <v>0</v>
      </c>
    </row>
    <row r="202" spans="1:45">
      <c r="A202" s="30" t="s">
        <v>676</v>
      </c>
      <c r="B202" s="30" t="s">
        <v>633</v>
      </c>
      <c r="C202" s="30" t="s">
        <v>677</v>
      </c>
      <c r="D202" s="30" t="s">
        <v>587</v>
      </c>
      <c r="E202" s="30" t="s">
        <v>959</v>
      </c>
      <c r="F202" s="30" t="s">
        <v>91</v>
      </c>
      <c r="G202" s="30" t="s">
        <v>960</v>
      </c>
      <c r="H202" s="30" t="s">
        <v>680</v>
      </c>
      <c r="I202" s="32">
        <v>305</v>
      </c>
      <c r="J202" s="32">
        <v>88.154700000000005</v>
      </c>
      <c r="K202" s="32">
        <v>77</v>
      </c>
      <c r="L202" s="32">
        <v>96</v>
      </c>
      <c r="M202" s="32">
        <v>109</v>
      </c>
      <c r="N202" s="32">
        <v>104</v>
      </c>
      <c r="O202" s="32">
        <v>57</v>
      </c>
      <c r="P202" s="32">
        <v>31</v>
      </c>
      <c r="Q202" s="32">
        <v>21</v>
      </c>
      <c r="R202" s="32">
        <v>14</v>
      </c>
      <c r="S202" s="32">
        <v>14</v>
      </c>
      <c r="T202" s="32">
        <v>10</v>
      </c>
      <c r="U202" s="32">
        <v>4</v>
      </c>
      <c r="V202" s="32">
        <v>6</v>
      </c>
      <c r="W202" s="32">
        <v>16</v>
      </c>
      <c r="X202" s="32">
        <v>8</v>
      </c>
      <c r="Y202" s="32">
        <v>3</v>
      </c>
      <c r="Z202" s="32">
        <v>2</v>
      </c>
      <c r="AA202" s="32">
        <v>7.1186999999999996</v>
      </c>
      <c r="AB202" s="32">
        <v>1</v>
      </c>
      <c r="AC202" s="32">
        <v>1</v>
      </c>
      <c r="AD202" s="31">
        <v>0</v>
      </c>
      <c r="AE202" s="31">
        <v>0</v>
      </c>
      <c r="AF202" s="31">
        <v>0</v>
      </c>
      <c r="AG202" s="31">
        <v>0</v>
      </c>
      <c r="AH202" s="31">
        <v>0</v>
      </c>
      <c r="AI202" s="31">
        <v>0</v>
      </c>
      <c r="AJ202" s="31">
        <v>0</v>
      </c>
      <c r="AK202" s="31">
        <v>0</v>
      </c>
      <c r="AL202" s="31">
        <v>0</v>
      </c>
      <c r="AM202" s="31">
        <v>0</v>
      </c>
      <c r="AN202" s="31">
        <v>0</v>
      </c>
      <c r="AO202" s="31">
        <v>0</v>
      </c>
      <c r="AP202" s="31">
        <v>0</v>
      </c>
      <c r="AQ202" s="31">
        <v>0</v>
      </c>
      <c r="AR202" s="31">
        <v>0</v>
      </c>
      <c r="AS202" s="31">
        <v>0</v>
      </c>
    </row>
    <row r="203" spans="1:45">
      <c r="A203" s="30" t="s">
        <v>676</v>
      </c>
      <c r="B203" s="30" t="s">
        <v>633</v>
      </c>
      <c r="C203" s="30" t="s">
        <v>677</v>
      </c>
      <c r="D203" s="30" t="s">
        <v>587</v>
      </c>
      <c r="E203" s="30" t="s">
        <v>961</v>
      </c>
      <c r="F203" s="30" t="s">
        <v>91</v>
      </c>
      <c r="G203" s="30" t="s">
        <v>962</v>
      </c>
      <c r="H203" s="30" t="s">
        <v>680</v>
      </c>
      <c r="I203" s="32">
        <v>305</v>
      </c>
      <c r="J203" s="32">
        <v>88.154700000000005</v>
      </c>
      <c r="K203" s="32">
        <v>77</v>
      </c>
      <c r="L203" s="32">
        <v>96</v>
      </c>
      <c r="M203" s="32">
        <v>109</v>
      </c>
      <c r="N203" s="32">
        <v>104</v>
      </c>
      <c r="O203" s="32">
        <v>57</v>
      </c>
      <c r="P203" s="32">
        <v>31</v>
      </c>
      <c r="Q203" s="32">
        <v>21</v>
      </c>
      <c r="R203" s="32">
        <v>14</v>
      </c>
      <c r="S203" s="32">
        <v>14</v>
      </c>
      <c r="T203" s="32">
        <v>10</v>
      </c>
      <c r="U203" s="32">
        <v>4</v>
      </c>
      <c r="V203" s="32">
        <v>6</v>
      </c>
      <c r="W203" s="32">
        <v>16</v>
      </c>
      <c r="X203" s="32">
        <v>8</v>
      </c>
      <c r="Y203" s="32">
        <v>3</v>
      </c>
      <c r="Z203" s="32">
        <v>2</v>
      </c>
      <c r="AA203" s="32">
        <v>7.1186999999999996</v>
      </c>
      <c r="AB203" s="32">
        <v>1</v>
      </c>
      <c r="AC203" s="32">
        <v>1</v>
      </c>
      <c r="AD203" s="31">
        <v>0</v>
      </c>
      <c r="AE203" s="31">
        <v>0</v>
      </c>
      <c r="AF203" s="31">
        <v>0</v>
      </c>
      <c r="AG203" s="31">
        <v>0</v>
      </c>
      <c r="AH203" s="31">
        <v>0</v>
      </c>
      <c r="AI203" s="31">
        <v>0</v>
      </c>
      <c r="AJ203" s="31">
        <v>0</v>
      </c>
      <c r="AK203" s="31">
        <v>0</v>
      </c>
      <c r="AL203" s="31">
        <v>0</v>
      </c>
      <c r="AM203" s="31">
        <v>0</v>
      </c>
      <c r="AN203" s="31">
        <v>0</v>
      </c>
      <c r="AO203" s="31">
        <v>0</v>
      </c>
      <c r="AP203" s="31">
        <v>0</v>
      </c>
      <c r="AQ203" s="31">
        <v>0</v>
      </c>
      <c r="AR203" s="31">
        <v>0</v>
      </c>
      <c r="AS203" s="31">
        <v>0</v>
      </c>
    </row>
    <row r="204" spans="1:45">
      <c r="A204" s="30" t="s">
        <v>676</v>
      </c>
      <c r="B204" s="30" t="s">
        <v>633</v>
      </c>
      <c r="C204" s="30" t="s">
        <v>677</v>
      </c>
      <c r="D204" s="30" t="s">
        <v>587</v>
      </c>
      <c r="E204" s="30" t="s">
        <v>963</v>
      </c>
      <c r="F204" s="30" t="s">
        <v>94</v>
      </c>
      <c r="G204" s="30" t="s">
        <v>964</v>
      </c>
      <c r="H204" s="30" t="s">
        <v>680</v>
      </c>
      <c r="I204" s="32">
        <v>325</v>
      </c>
      <c r="J204" s="32">
        <v>267</v>
      </c>
      <c r="K204" s="32">
        <v>1078</v>
      </c>
      <c r="L204" s="32">
        <v>1653</v>
      </c>
      <c r="M204" s="32">
        <v>1557</v>
      </c>
      <c r="N204" s="32">
        <v>1887</v>
      </c>
      <c r="O204" s="32">
        <v>3446</v>
      </c>
      <c r="P204" s="32">
        <v>2157</v>
      </c>
      <c r="Q204" s="32">
        <v>2588</v>
      </c>
      <c r="R204" s="32">
        <v>2589</v>
      </c>
      <c r="S204" s="32">
        <v>721</v>
      </c>
      <c r="T204" s="32">
        <v>807</v>
      </c>
      <c r="U204" s="32">
        <v>1134</v>
      </c>
      <c r="V204" s="32">
        <v>898</v>
      </c>
      <c r="W204" s="32">
        <v>639</v>
      </c>
      <c r="X204" s="32">
        <v>1228</v>
      </c>
      <c r="Y204" s="32">
        <v>1401</v>
      </c>
      <c r="Z204" s="32">
        <v>1041.5044</v>
      </c>
      <c r="AA204" s="32">
        <v>2566.6610999999998</v>
      </c>
      <c r="AB204" s="32">
        <v>649</v>
      </c>
      <c r="AC204" s="32">
        <v>392</v>
      </c>
      <c r="AD204" s="32">
        <v>385</v>
      </c>
      <c r="AE204" s="32">
        <v>85</v>
      </c>
      <c r="AF204" s="32">
        <v>44</v>
      </c>
      <c r="AG204" s="32">
        <v>37</v>
      </c>
      <c r="AH204" s="32">
        <v>19</v>
      </c>
      <c r="AI204" s="32">
        <v>4</v>
      </c>
      <c r="AJ204" s="32">
        <v>4</v>
      </c>
      <c r="AK204" s="32">
        <v>5</v>
      </c>
      <c r="AL204" s="32">
        <v>2</v>
      </c>
      <c r="AM204" s="32">
        <v>3</v>
      </c>
      <c r="AN204" s="32">
        <v>4</v>
      </c>
      <c r="AO204" s="32">
        <v>27</v>
      </c>
      <c r="AP204" s="32">
        <v>7</v>
      </c>
      <c r="AQ204" s="32">
        <v>2</v>
      </c>
      <c r="AR204" s="32">
        <v>4</v>
      </c>
      <c r="AS204" s="32">
        <v>6</v>
      </c>
    </row>
    <row r="205" spans="1:45">
      <c r="A205" s="30" t="s">
        <v>676</v>
      </c>
      <c r="B205" s="30" t="s">
        <v>633</v>
      </c>
      <c r="C205" s="30" t="s">
        <v>677</v>
      </c>
      <c r="D205" s="30" t="s">
        <v>587</v>
      </c>
      <c r="E205" s="30" t="s">
        <v>965</v>
      </c>
      <c r="F205" s="30" t="s">
        <v>94</v>
      </c>
      <c r="G205" s="30" t="s">
        <v>966</v>
      </c>
      <c r="H205" s="30" t="s">
        <v>680</v>
      </c>
      <c r="I205" s="32">
        <v>325</v>
      </c>
      <c r="J205" s="32">
        <v>267</v>
      </c>
      <c r="K205" s="32">
        <v>1078</v>
      </c>
      <c r="L205" s="32">
        <v>1653</v>
      </c>
      <c r="M205" s="32">
        <v>1557</v>
      </c>
      <c r="N205" s="32">
        <v>1887</v>
      </c>
      <c r="O205" s="32">
        <v>3446</v>
      </c>
      <c r="P205" s="32">
        <v>2157</v>
      </c>
      <c r="Q205" s="32">
        <v>2588</v>
      </c>
      <c r="R205" s="32">
        <v>2589</v>
      </c>
      <c r="S205" s="32">
        <v>721</v>
      </c>
      <c r="T205" s="32">
        <v>807</v>
      </c>
      <c r="U205" s="32">
        <v>1134</v>
      </c>
      <c r="V205" s="32">
        <v>898</v>
      </c>
      <c r="W205" s="32">
        <v>639</v>
      </c>
      <c r="X205" s="32">
        <v>1228</v>
      </c>
      <c r="Y205" s="32">
        <v>1401</v>
      </c>
      <c r="Z205" s="32">
        <v>1041.5044</v>
      </c>
      <c r="AA205" s="32">
        <v>2566.6610999999998</v>
      </c>
      <c r="AB205" s="32">
        <v>649</v>
      </c>
      <c r="AC205" s="32">
        <v>392</v>
      </c>
      <c r="AD205" s="32">
        <v>385</v>
      </c>
      <c r="AE205" s="32">
        <v>85</v>
      </c>
      <c r="AF205" s="32">
        <v>44</v>
      </c>
      <c r="AG205" s="32">
        <v>37</v>
      </c>
      <c r="AH205" s="32">
        <v>19</v>
      </c>
      <c r="AI205" s="32">
        <v>4</v>
      </c>
      <c r="AJ205" s="32">
        <v>4</v>
      </c>
      <c r="AK205" s="32">
        <v>5</v>
      </c>
      <c r="AL205" s="32">
        <v>2</v>
      </c>
      <c r="AM205" s="32">
        <v>3</v>
      </c>
      <c r="AN205" s="32">
        <v>4</v>
      </c>
      <c r="AO205" s="32">
        <v>27</v>
      </c>
      <c r="AP205" s="32">
        <v>7</v>
      </c>
      <c r="AQ205" s="32">
        <v>2</v>
      </c>
      <c r="AR205" s="32">
        <v>4</v>
      </c>
      <c r="AS205" s="32">
        <v>6</v>
      </c>
    </row>
    <row r="206" spans="1:45">
      <c r="A206" s="30" t="s">
        <v>676</v>
      </c>
      <c r="B206" s="30" t="s">
        <v>633</v>
      </c>
      <c r="C206" s="30" t="s">
        <v>677</v>
      </c>
      <c r="D206" s="30" t="s">
        <v>587</v>
      </c>
      <c r="E206" s="30" t="s">
        <v>967</v>
      </c>
      <c r="F206" s="30" t="s">
        <v>102</v>
      </c>
      <c r="G206" s="30" t="s">
        <v>968</v>
      </c>
      <c r="H206" s="30" t="s">
        <v>680</v>
      </c>
      <c r="I206" s="31">
        <v>0</v>
      </c>
      <c r="J206" s="31">
        <v>0</v>
      </c>
      <c r="K206" s="32">
        <v>21</v>
      </c>
      <c r="L206" s="32">
        <v>160</v>
      </c>
      <c r="M206" s="32">
        <v>134</v>
      </c>
      <c r="N206" s="32">
        <v>132</v>
      </c>
      <c r="O206" s="32">
        <v>187</v>
      </c>
      <c r="P206" s="32">
        <v>65</v>
      </c>
      <c r="Q206" s="32">
        <v>63</v>
      </c>
      <c r="R206" s="32">
        <v>41</v>
      </c>
      <c r="S206" s="32">
        <v>20</v>
      </c>
      <c r="T206" s="32">
        <v>20</v>
      </c>
      <c r="U206" s="32">
        <v>7</v>
      </c>
      <c r="V206" s="32">
        <v>23</v>
      </c>
      <c r="W206" s="32">
        <v>18</v>
      </c>
      <c r="X206" s="32">
        <v>11</v>
      </c>
      <c r="Y206" s="32">
        <v>8</v>
      </c>
      <c r="Z206" s="32">
        <v>5</v>
      </c>
      <c r="AA206" s="32">
        <v>4</v>
      </c>
      <c r="AB206" s="32">
        <v>1</v>
      </c>
      <c r="AC206" s="31">
        <v>0</v>
      </c>
      <c r="AD206" s="31">
        <v>0</v>
      </c>
      <c r="AE206" s="31">
        <v>0</v>
      </c>
      <c r="AF206" s="31">
        <v>0</v>
      </c>
      <c r="AG206" s="31">
        <v>0</v>
      </c>
      <c r="AH206" s="31">
        <v>0</v>
      </c>
      <c r="AI206" s="31">
        <v>0</v>
      </c>
      <c r="AJ206" s="31">
        <v>0</v>
      </c>
      <c r="AK206" s="31">
        <v>0</v>
      </c>
      <c r="AL206" s="31">
        <v>0</v>
      </c>
      <c r="AM206" s="31">
        <v>0</v>
      </c>
      <c r="AN206" s="31">
        <v>0</v>
      </c>
      <c r="AO206" s="31">
        <v>0</v>
      </c>
      <c r="AP206" s="31">
        <v>0</v>
      </c>
      <c r="AQ206" s="31">
        <v>0</v>
      </c>
      <c r="AR206" s="31">
        <v>0</v>
      </c>
      <c r="AS206" s="31">
        <v>0</v>
      </c>
    </row>
    <row r="207" spans="1:45">
      <c r="A207" s="30" t="s">
        <v>676</v>
      </c>
      <c r="B207" s="30" t="s">
        <v>633</v>
      </c>
      <c r="C207" s="30" t="s">
        <v>677</v>
      </c>
      <c r="D207" s="30" t="s">
        <v>587</v>
      </c>
      <c r="E207" s="30" t="s">
        <v>969</v>
      </c>
      <c r="F207" s="30" t="s">
        <v>102</v>
      </c>
      <c r="G207" s="30" t="s">
        <v>970</v>
      </c>
      <c r="H207" s="30" t="s">
        <v>680</v>
      </c>
      <c r="I207" s="31">
        <v>0</v>
      </c>
      <c r="J207" s="31">
        <v>0</v>
      </c>
      <c r="K207" s="32">
        <v>21</v>
      </c>
      <c r="L207" s="32">
        <v>160</v>
      </c>
      <c r="M207" s="32">
        <v>134</v>
      </c>
      <c r="N207" s="32">
        <v>132</v>
      </c>
      <c r="O207" s="32">
        <v>187</v>
      </c>
      <c r="P207" s="32">
        <v>65</v>
      </c>
      <c r="Q207" s="32">
        <v>63</v>
      </c>
      <c r="R207" s="32">
        <v>41</v>
      </c>
      <c r="S207" s="32">
        <v>20</v>
      </c>
      <c r="T207" s="32">
        <v>20</v>
      </c>
      <c r="U207" s="32">
        <v>7</v>
      </c>
      <c r="V207" s="32">
        <v>23</v>
      </c>
      <c r="W207" s="32">
        <v>18</v>
      </c>
      <c r="X207" s="32">
        <v>11</v>
      </c>
      <c r="Y207" s="32">
        <v>8</v>
      </c>
      <c r="Z207" s="32">
        <v>5</v>
      </c>
      <c r="AA207" s="32">
        <v>4</v>
      </c>
      <c r="AB207" s="32">
        <v>1</v>
      </c>
      <c r="AC207" s="31">
        <v>0</v>
      </c>
      <c r="AD207" s="31">
        <v>0</v>
      </c>
      <c r="AE207" s="31">
        <v>0</v>
      </c>
      <c r="AF207" s="31">
        <v>0</v>
      </c>
      <c r="AG207" s="31">
        <v>0</v>
      </c>
      <c r="AH207" s="31">
        <v>0</v>
      </c>
      <c r="AI207" s="31">
        <v>0</v>
      </c>
      <c r="AJ207" s="31">
        <v>0</v>
      </c>
      <c r="AK207" s="31">
        <v>0</v>
      </c>
      <c r="AL207" s="31">
        <v>0</v>
      </c>
      <c r="AM207" s="31">
        <v>0</v>
      </c>
      <c r="AN207" s="31">
        <v>0</v>
      </c>
      <c r="AO207" s="31">
        <v>0</v>
      </c>
      <c r="AP207" s="31">
        <v>0</v>
      </c>
      <c r="AQ207" s="31">
        <v>0</v>
      </c>
      <c r="AR207" s="31">
        <v>0</v>
      </c>
      <c r="AS207" s="31">
        <v>0</v>
      </c>
    </row>
    <row r="208" spans="1:45">
      <c r="A208" s="30" t="s">
        <v>676</v>
      </c>
      <c r="B208" s="30" t="s">
        <v>633</v>
      </c>
      <c r="C208" s="30" t="s">
        <v>677</v>
      </c>
      <c r="D208" s="30" t="s">
        <v>587</v>
      </c>
      <c r="E208" s="30" t="s">
        <v>971</v>
      </c>
      <c r="F208" s="30" t="s">
        <v>104</v>
      </c>
      <c r="G208" s="30" t="s">
        <v>972</v>
      </c>
      <c r="H208" s="30" t="s">
        <v>680</v>
      </c>
      <c r="I208" s="32">
        <v>405</v>
      </c>
      <c r="J208" s="32">
        <v>480</v>
      </c>
      <c r="K208" s="32">
        <v>194</v>
      </c>
      <c r="L208" s="32">
        <v>224</v>
      </c>
      <c r="M208" s="32">
        <v>165</v>
      </c>
      <c r="N208" s="32">
        <v>117</v>
      </c>
      <c r="O208" s="32">
        <v>165</v>
      </c>
      <c r="P208" s="32">
        <v>85</v>
      </c>
      <c r="Q208" s="32">
        <v>25</v>
      </c>
      <c r="R208" s="32">
        <v>68</v>
      </c>
      <c r="S208" s="32">
        <v>29</v>
      </c>
      <c r="T208" s="32">
        <v>18</v>
      </c>
      <c r="U208" s="32">
        <v>16</v>
      </c>
      <c r="V208" s="32">
        <v>12</v>
      </c>
      <c r="W208" s="32">
        <v>3</v>
      </c>
      <c r="X208" s="32">
        <v>9</v>
      </c>
      <c r="Y208" s="32">
        <v>5</v>
      </c>
      <c r="Z208" s="32">
        <v>5</v>
      </c>
      <c r="AA208" s="32">
        <v>15</v>
      </c>
      <c r="AB208" s="32">
        <v>5</v>
      </c>
      <c r="AC208" s="31">
        <v>0</v>
      </c>
      <c r="AD208" s="31">
        <v>0</v>
      </c>
      <c r="AE208" s="31">
        <v>0</v>
      </c>
      <c r="AF208" s="32">
        <v>2</v>
      </c>
      <c r="AG208" s="32">
        <v>1</v>
      </c>
      <c r="AH208" s="31">
        <v>0</v>
      </c>
      <c r="AI208" s="31">
        <v>0</v>
      </c>
      <c r="AJ208" s="31">
        <v>0</v>
      </c>
      <c r="AK208" s="31">
        <v>0</v>
      </c>
      <c r="AL208" s="31">
        <v>0</v>
      </c>
      <c r="AM208" s="31">
        <v>0</v>
      </c>
      <c r="AN208" s="31">
        <v>0</v>
      </c>
      <c r="AO208" s="31">
        <v>0</v>
      </c>
      <c r="AP208" s="31">
        <v>0</v>
      </c>
      <c r="AQ208" s="32">
        <v>4</v>
      </c>
      <c r="AR208" s="32">
        <v>9</v>
      </c>
      <c r="AS208" s="32">
        <v>19</v>
      </c>
    </row>
    <row r="209" spans="1:45">
      <c r="A209" s="30" t="s">
        <v>676</v>
      </c>
      <c r="B209" s="30" t="s">
        <v>633</v>
      </c>
      <c r="C209" s="30" t="s">
        <v>677</v>
      </c>
      <c r="D209" s="30" t="s">
        <v>587</v>
      </c>
      <c r="E209" s="30" t="s">
        <v>973</v>
      </c>
      <c r="F209" s="30" t="s">
        <v>104</v>
      </c>
      <c r="G209" s="30" t="s">
        <v>974</v>
      </c>
      <c r="H209" s="30" t="s">
        <v>680</v>
      </c>
      <c r="I209" s="32">
        <v>405</v>
      </c>
      <c r="J209" s="32">
        <v>480</v>
      </c>
      <c r="K209" s="32">
        <v>194</v>
      </c>
      <c r="L209" s="32">
        <v>224</v>
      </c>
      <c r="M209" s="32">
        <v>165</v>
      </c>
      <c r="N209" s="32">
        <v>117</v>
      </c>
      <c r="O209" s="32">
        <v>165</v>
      </c>
      <c r="P209" s="32">
        <v>85</v>
      </c>
      <c r="Q209" s="32">
        <v>25</v>
      </c>
      <c r="R209" s="32">
        <v>68</v>
      </c>
      <c r="S209" s="32">
        <v>29</v>
      </c>
      <c r="T209" s="32">
        <v>18</v>
      </c>
      <c r="U209" s="32">
        <v>16</v>
      </c>
      <c r="V209" s="32">
        <v>12</v>
      </c>
      <c r="W209" s="32">
        <v>3</v>
      </c>
      <c r="X209" s="32">
        <v>9</v>
      </c>
      <c r="Y209" s="32">
        <v>5</v>
      </c>
      <c r="Z209" s="32">
        <v>5</v>
      </c>
      <c r="AA209" s="32">
        <v>15</v>
      </c>
      <c r="AB209" s="32">
        <v>5</v>
      </c>
      <c r="AC209" s="31">
        <v>0</v>
      </c>
      <c r="AD209" s="31">
        <v>0</v>
      </c>
      <c r="AE209" s="31">
        <v>0</v>
      </c>
      <c r="AF209" s="32">
        <v>2</v>
      </c>
      <c r="AG209" s="32">
        <v>1</v>
      </c>
      <c r="AH209" s="31">
        <v>0</v>
      </c>
      <c r="AI209" s="31">
        <v>0</v>
      </c>
      <c r="AJ209" s="31">
        <v>0</v>
      </c>
      <c r="AK209" s="31">
        <v>0</v>
      </c>
      <c r="AL209" s="31">
        <v>0</v>
      </c>
      <c r="AM209" s="31">
        <v>0</v>
      </c>
      <c r="AN209" s="31">
        <v>0</v>
      </c>
      <c r="AO209" s="31">
        <v>0</v>
      </c>
      <c r="AP209" s="31">
        <v>0</v>
      </c>
      <c r="AQ209" s="32">
        <v>4</v>
      </c>
      <c r="AR209" s="32">
        <v>9</v>
      </c>
      <c r="AS209" s="32">
        <v>19</v>
      </c>
    </row>
    <row r="210" spans="1:45">
      <c r="A210" s="30" t="s">
        <v>676</v>
      </c>
      <c r="B210" s="30" t="s">
        <v>633</v>
      </c>
      <c r="C210" s="30" t="s">
        <v>677</v>
      </c>
      <c r="D210" s="30" t="s">
        <v>587</v>
      </c>
      <c r="E210" s="30" t="s">
        <v>975</v>
      </c>
      <c r="F210" s="30" t="s">
        <v>94</v>
      </c>
      <c r="G210" s="30" t="s">
        <v>976</v>
      </c>
      <c r="H210" s="30" t="s">
        <v>680</v>
      </c>
      <c r="I210" s="32">
        <v>244</v>
      </c>
      <c r="J210" s="32">
        <v>114</v>
      </c>
      <c r="K210" s="32">
        <v>55</v>
      </c>
      <c r="L210" s="32">
        <v>262</v>
      </c>
      <c r="M210" s="32">
        <v>419</v>
      </c>
      <c r="N210" s="32">
        <v>451</v>
      </c>
      <c r="O210" s="32">
        <v>706</v>
      </c>
      <c r="P210" s="32">
        <v>570</v>
      </c>
      <c r="Q210" s="32">
        <v>592</v>
      </c>
      <c r="R210" s="32">
        <v>836</v>
      </c>
      <c r="S210" s="32">
        <v>383</v>
      </c>
      <c r="T210" s="32">
        <v>325</v>
      </c>
      <c r="U210" s="32">
        <v>468</v>
      </c>
      <c r="V210" s="32">
        <v>260</v>
      </c>
      <c r="W210" s="32">
        <v>281</v>
      </c>
      <c r="X210" s="32">
        <v>279</v>
      </c>
      <c r="Y210" s="32">
        <v>232</v>
      </c>
      <c r="Z210" s="32">
        <v>278.65870000000001</v>
      </c>
      <c r="AA210" s="32">
        <v>516.37180000000001</v>
      </c>
      <c r="AB210" s="32">
        <v>378</v>
      </c>
      <c r="AC210" s="32">
        <v>477</v>
      </c>
      <c r="AD210" s="32">
        <v>761</v>
      </c>
      <c r="AE210" s="32">
        <v>678</v>
      </c>
      <c r="AF210" s="32">
        <v>891</v>
      </c>
      <c r="AG210" s="32">
        <v>877</v>
      </c>
      <c r="AH210" s="32">
        <v>601</v>
      </c>
      <c r="AI210" s="32">
        <v>326</v>
      </c>
      <c r="AJ210" s="32">
        <v>759</v>
      </c>
      <c r="AK210" s="32">
        <v>507</v>
      </c>
      <c r="AL210" s="32">
        <v>600</v>
      </c>
      <c r="AM210" s="32">
        <v>618</v>
      </c>
      <c r="AN210" s="32">
        <v>845</v>
      </c>
      <c r="AO210" s="32">
        <v>611</v>
      </c>
      <c r="AP210" s="32">
        <v>1142</v>
      </c>
      <c r="AQ210" s="32">
        <v>518</v>
      </c>
      <c r="AR210" s="32">
        <v>620</v>
      </c>
      <c r="AS210" s="32">
        <v>1008</v>
      </c>
    </row>
    <row r="211" spans="1:45">
      <c r="A211" s="30" t="s">
        <v>676</v>
      </c>
      <c r="B211" s="30" t="s">
        <v>633</v>
      </c>
      <c r="C211" s="30" t="s">
        <v>677</v>
      </c>
      <c r="D211" s="30" t="s">
        <v>587</v>
      </c>
      <c r="E211" s="30" t="s">
        <v>977</v>
      </c>
      <c r="F211" s="30" t="s">
        <v>94</v>
      </c>
      <c r="G211" s="30" t="s">
        <v>978</v>
      </c>
      <c r="H211" s="30" t="s">
        <v>680</v>
      </c>
      <c r="I211" s="32">
        <v>244</v>
      </c>
      <c r="J211" s="32">
        <v>114</v>
      </c>
      <c r="K211" s="32">
        <v>55</v>
      </c>
      <c r="L211" s="32">
        <v>262</v>
      </c>
      <c r="M211" s="32">
        <v>419</v>
      </c>
      <c r="N211" s="32">
        <v>451</v>
      </c>
      <c r="O211" s="32">
        <v>706</v>
      </c>
      <c r="P211" s="32">
        <v>570</v>
      </c>
      <c r="Q211" s="32">
        <v>592</v>
      </c>
      <c r="R211" s="32">
        <v>836</v>
      </c>
      <c r="S211" s="32">
        <v>383</v>
      </c>
      <c r="T211" s="32">
        <v>325</v>
      </c>
      <c r="U211" s="32">
        <v>468</v>
      </c>
      <c r="V211" s="32">
        <v>260</v>
      </c>
      <c r="W211" s="32">
        <v>281</v>
      </c>
      <c r="X211" s="32">
        <v>279</v>
      </c>
      <c r="Y211" s="32">
        <v>232</v>
      </c>
      <c r="Z211" s="32">
        <v>278.65870000000001</v>
      </c>
      <c r="AA211" s="32">
        <v>516.37180000000001</v>
      </c>
      <c r="AB211" s="32">
        <v>378</v>
      </c>
      <c r="AC211" s="32">
        <v>477</v>
      </c>
      <c r="AD211" s="32">
        <v>761</v>
      </c>
      <c r="AE211" s="32">
        <v>678</v>
      </c>
      <c r="AF211" s="32">
        <v>891</v>
      </c>
      <c r="AG211" s="32">
        <v>877</v>
      </c>
      <c r="AH211" s="32">
        <v>601</v>
      </c>
      <c r="AI211" s="32">
        <v>326</v>
      </c>
      <c r="AJ211" s="32">
        <v>759</v>
      </c>
      <c r="AK211" s="32">
        <v>507</v>
      </c>
      <c r="AL211" s="32">
        <v>600</v>
      </c>
      <c r="AM211" s="32">
        <v>618</v>
      </c>
      <c r="AN211" s="32">
        <v>845</v>
      </c>
      <c r="AO211" s="32">
        <v>611</v>
      </c>
      <c r="AP211" s="32">
        <v>1142</v>
      </c>
      <c r="AQ211" s="32">
        <v>518</v>
      </c>
      <c r="AR211" s="32">
        <v>620</v>
      </c>
      <c r="AS211" s="32">
        <v>1008</v>
      </c>
    </row>
    <row r="212" spans="1:45">
      <c r="A212" s="30" t="s">
        <v>676</v>
      </c>
      <c r="B212" s="30" t="s">
        <v>633</v>
      </c>
      <c r="C212" s="30" t="s">
        <v>677</v>
      </c>
      <c r="D212" s="30" t="s">
        <v>587</v>
      </c>
      <c r="E212" s="30" t="s">
        <v>979</v>
      </c>
      <c r="F212" s="30" t="s">
        <v>101</v>
      </c>
      <c r="G212" s="30" t="s">
        <v>980</v>
      </c>
      <c r="H212" s="30" t="s">
        <v>680</v>
      </c>
      <c r="I212" s="32">
        <v>175</v>
      </c>
      <c r="J212" s="32">
        <v>229</v>
      </c>
      <c r="K212" s="32">
        <v>81</v>
      </c>
      <c r="L212" s="32">
        <v>86</v>
      </c>
      <c r="M212" s="32">
        <v>69</v>
      </c>
      <c r="N212" s="32">
        <v>58</v>
      </c>
      <c r="O212" s="32">
        <v>82</v>
      </c>
      <c r="P212" s="32">
        <v>41</v>
      </c>
      <c r="Q212" s="32">
        <v>12</v>
      </c>
      <c r="R212" s="32">
        <v>40</v>
      </c>
      <c r="S212" s="32">
        <v>2</v>
      </c>
      <c r="T212" s="32">
        <v>2</v>
      </c>
      <c r="U212" s="32">
        <v>4</v>
      </c>
      <c r="V212" s="32">
        <v>5</v>
      </c>
      <c r="W212" s="32">
        <v>3</v>
      </c>
      <c r="X212" s="32">
        <v>1</v>
      </c>
      <c r="Y212" s="32">
        <v>1</v>
      </c>
      <c r="Z212" s="32">
        <v>3</v>
      </c>
      <c r="AA212" s="32">
        <v>1</v>
      </c>
      <c r="AB212" s="31">
        <v>0</v>
      </c>
      <c r="AC212" s="31">
        <v>0</v>
      </c>
      <c r="AD212" s="31">
        <v>0</v>
      </c>
      <c r="AE212" s="32">
        <v>1</v>
      </c>
      <c r="AF212" s="31">
        <v>0</v>
      </c>
      <c r="AG212" s="31">
        <v>0</v>
      </c>
      <c r="AH212" s="31">
        <v>0</v>
      </c>
      <c r="AI212" s="31">
        <v>0</v>
      </c>
      <c r="AJ212" s="31">
        <v>0</v>
      </c>
      <c r="AK212" s="31">
        <v>0</v>
      </c>
      <c r="AL212" s="31">
        <v>0</v>
      </c>
      <c r="AM212" s="31">
        <v>0</v>
      </c>
      <c r="AN212" s="31">
        <v>0</v>
      </c>
      <c r="AO212" s="31">
        <v>0</v>
      </c>
      <c r="AP212" s="31">
        <v>0</v>
      </c>
      <c r="AQ212" s="31">
        <v>0</v>
      </c>
      <c r="AR212" s="31">
        <v>0</v>
      </c>
      <c r="AS212" s="31">
        <v>0</v>
      </c>
    </row>
    <row r="213" spans="1:45">
      <c r="A213" s="30" t="s">
        <v>676</v>
      </c>
      <c r="B213" s="30" t="s">
        <v>633</v>
      </c>
      <c r="C213" s="30" t="s">
        <v>677</v>
      </c>
      <c r="D213" s="30" t="s">
        <v>587</v>
      </c>
      <c r="E213" s="30" t="s">
        <v>981</v>
      </c>
      <c r="F213" s="30" t="s">
        <v>101</v>
      </c>
      <c r="G213" s="30" t="s">
        <v>982</v>
      </c>
      <c r="H213" s="30" t="s">
        <v>680</v>
      </c>
      <c r="I213" s="32">
        <v>175</v>
      </c>
      <c r="J213" s="32">
        <v>229</v>
      </c>
      <c r="K213" s="32">
        <v>81</v>
      </c>
      <c r="L213" s="32">
        <v>86</v>
      </c>
      <c r="M213" s="32">
        <v>69</v>
      </c>
      <c r="N213" s="32">
        <v>58</v>
      </c>
      <c r="O213" s="32">
        <v>82</v>
      </c>
      <c r="P213" s="32">
        <v>41</v>
      </c>
      <c r="Q213" s="32">
        <v>12</v>
      </c>
      <c r="R213" s="32">
        <v>40</v>
      </c>
      <c r="S213" s="32">
        <v>2</v>
      </c>
      <c r="T213" s="32">
        <v>2</v>
      </c>
      <c r="U213" s="32">
        <v>4</v>
      </c>
      <c r="V213" s="32">
        <v>5</v>
      </c>
      <c r="W213" s="32">
        <v>3</v>
      </c>
      <c r="X213" s="32">
        <v>1</v>
      </c>
      <c r="Y213" s="32">
        <v>1</v>
      </c>
      <c r="Z213" s="32">
        <v>3</v>
      </c>
      <c r="AA213" s="32">
        <v>1</v>
      </c>
      <c r="AB213" s="31">
        <v>0</v>
      </c>
      <c r="AC213" s="31">
        <v>0</v>
      </c>
      <c r="AD213" s="31">
        <v>0</v>
      </c>
      <c r="AE213" s="32">
        <v>1</v>
      </c>
      <c r="AF213" s="31">
        <v>0</v>
      </c>
      <c r="AG213" s="31">
        <v>0</v>
      </c>
      <c r="AH213" s="31">
        <v>0</v>
      </c>
      <c r="AI213" s="31">
        <v>0</v>
      </c>
      <c r="AJ213" s="31">
        <v>0</v>
      </c>
      <c r="AK213" s="31">
        <v>0</v>
      </c>
      <c r="AL213" s="31">
        <v>0</v>
      </c>
      <c r="AM213" s="31">
        <v>0</v>
      </c>
      <c r="AN213" s="31">
        <v>0</v>
      </c>
      <c r="AO213" s="31">
        <v>0</v>
      </c>
      <c r="AP213" s="31">
        <v>0</v>
      </c>
      <c r="AQ213" s="31">
        <v>0</v>
      </c>
      <c r="AR213" s="31">
        <v>0</v>
      </c>
      <c r="AS213" s="31">
        <v>0</v>
      </c>
    </row>
    <row r="214" spans="1:45">
      <c r="A214" s="30" t="s">
        <v>676</v>
      </c>
      <c r="B214" s="30" t="s">
        <v>633</v>
      </c>
      <c r="C214" s="30" t="s">
        <v>677</v>
      </c>
      <c r="D214" s="30" t="s">
        <v>587</v>
      </c>
      <c r="E214" s="30" t="s">
        <v>983</v>
      </c>
      <c r="F214" s="30" t="s">
        <v>84</v>
      </c>
      <c r="G214" s="30" t="s">
        <v>984</v>
      </c>
      <c r="H214" s="30" t="s">
        <v>680</v>
      </c>
      <c r="I214" s="32">
        <v>174</v>
      </c>
      <c r="J214" s="32">
        <v>135</v>
      </c>
      <c r="K214" s="32">
        <v>85</v>
      </c>
      <c r="L214" s="32">
        <v>94</v>
      </c>
      <c r="M214" s="32">
        <v>88</v>
      </c>
      <c r="N214" s="32">
        <v>106</v>
      </c>
      <c r="O214" s="32">
        <v>118</v>
      </c>
      <c r="P214" s="32">
        <v>16</v>
      </c>
      <c r="Q214" s="32">
        <v>5</v>
      </c>
      <c r="R214" s="32">
        <v>13</v>
      </c>
      <c r="S214" s="31">
        <v>0</v>
      </c>
      <c r="T214" s="32">
        <v>2</v>
      </c>
      <c r="U214" s="31">
        <v>0</v>
      </c>
      <c r="V214" s="31">
        <v>0</v>
      </c>
      <c r="W214" s="31">
        <v>0</v>
      </c>
      <c r="X214" s="32">
        <v>1</v>
      </c>
      <c r="Y214" s="31">
        <v>0</v>
      </c>
      <c r="Z214" s="31">
        <v>0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31">
        <v>0</v>
      </c>
      <c r="AG214" s="31">
        <v>0</v>
      </c>
      <c r="AH214" s="31">
        <v>0</v>
      </c>
      <c r="AI214" s="31">
        <v>0</v>
      </c>
      <c r="AJ214" s="31">
        <v>0</v>
      </c>
      <c r="AK214" s="31">
        <v>0</v>
      </c>
      <c r="AL214" s="31">
        <v>0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</row>
    <row r="215" spans="1:45">
      <c r="A215" s="30" t="s">
        <v>676</v>
      </c>
      <c r="B215" s="30" t="s">
        <v>633</v>
      </c>
      <c r="C215" s="30" t="s">
        <v>677</v>
      </c>
      <c r="D215" s="30" t="s">
        <v>587</v>
      </c>
      <c r="E215" s="30" t="s">
        <v>985</v>
      </c>
      <c r="F215" s="30" t="s">
        <v>84</v>
      </c>
      <c r="G215" s="30" t="s">
        <v>986</v>
      </c>
      <c r="H215" s="30" t="s">
        <v>680</v>
      </c>
      <c r="I215" s="32">
        <v>174</v>
      </c>
      <c r="J215" s="32">
        <v>135</v>
      </c>
      <c r="K215" s="32">
        <v>85</v>
      </c>
      <c r="L215" s="32">
        <v>94</v>
      </c>
      <c r="M215" s="32">
        <v>88</v>
      </c>
      <c r="N215" s="32">
        <v>106</v>
      </c>
      <c r="O215" s="32">
        <v>118</v>
      </c>
      <c r="P215" s="32">
        <v>16</v>
      </c>
      <c r="Q215" s="32">
        <v>5</v>
      </c>
      <c r="R215" s="32">
        <v>13</v>
      </c>
      <c r="S215" s="31">
        <v>0</v>
      </c>
      <c r="T215" s="32">
        <v>2</v>
      </c>
      <c r="U215" s="31">
        <v>0</v>
      </c>
      <c r="V215" s="31">
        <v>0</v>
      </c>
      <c r="W215" s="31">
        <v>0</v>
      </c>
      <c r="X215" s="32">
        <v>1</v>
      </c>
      <c r="Y215" s="31">
        <v>0</v>
      </c>
      <c r="Z215" s="31">
        <v>0</v>
      </c>
      <c r="AA215" s="31">
        <v>0</v>
      </c>
      <c r="AB215" s="31">
        <v>0</v>
      </c>
      <c r="AC215" s="31">
        <v>0</v>
      </c>
      <c r="AD215" s="31">
        <v>0</v>
      </c>
      <c r="AE215" s="31">
        <v>0</v>
      </c>
      <c r="AF215" s="31">
        <v>0</v>
      </c>
      <c r="AG215" s="31">
        <v>0</v>
      </c>
      <c r="AH215" s="31">
        <v>0</v>
      </c>
      <c r="AI215" s="31">
        <v>0</v>
      </c>
      <c r="AJ215" s="31">
        <v>0</v>
      </c>
      <c r="AK215" s="31">
        <v>0</v>
      </c>
      <c r="AL215" s="31">
        <v>0</v>
      </c>
      <c r="AM215" s="31">
        <v>0</v>
      </c>
      <c r="AN215" s="31">
        <v>0</v>
      </c>
      <c r="AO215" s="31">
        <v>0</v>
      </c>
      <c r="AP215" s="31">
        <v>0</v>
      </c>
      <c r="AQ215" s="31">
        <v>0</v>
      </c>
      <c r="AR215" s="31">
        <v>0</v>
      </c>
      <c r="AS215" s="31">
        <v>0</v>
      </c>
    </row>
    <row r="216" spans="1:45">
      <c r="A216" s="30" t="s">
        <v>676</v>
      </c>
      <c r="B216" s="30" t="s">
        <v>633</v>
      </c>
      <c r="C216" s="30" t="s">
        <v>677</v>
      </c>
      <c r="D216" s="30" t="s">
        <v>587</v>
      </c>
      <c r="E216" s="30" t="s">
        <v>987</v>
      </c>
      <c r="F216" s="30" t="s">
        <v>88</v>
      </c>
      <c r="G216" s="30" t="s">
        <v>988</v>
      </c>
      <c r="H216" s="30" t="s">
        <v>680</v>
      </c>
      <c r="I216" s="32">
        <v>133</v>
      </c>
      <c r="J216" s="32">
        <v>92</v>
      </c>
      <c r="K216" s="32">
        <v>52</v>
      </c>
      <c r="L216" s="32">
        <v>67</v>
      </c>
      <c r="M216" s="32">
        <v>64</v>
      </c>
      <c r="N216" s="32">
        <v>43</v>
      </c>
      <c r="O216" s="32">
        <v>69</v>
      </c>
      <c r="P216" s="32">
        <v>30</v>
      </c>
      <c r="Q216" s="32">
        <v>7</v>
      </c>
      <c r="R216" s="32">
        <v>13</v>
      </c>
      <c r="S216" s="32">
        <v>5</v>
      </c>
      <c r="T216" s="32">
        <v>2</v>
      </c>
      <c r="U216" s="32">
        <v>1</v>
      </c>
      <c r="V216" s="32">
        <v>3</v>
      </c>
      <c r="W216" s="32">
        <v>3</v>
      </c>
      <c r="X216" s="32">
        <v>1</v>
      </c>
      <c r="Y216" s="31">
        <v>0</v>
      </c>
      <c r="Z216" s="31">
        <v>0</v>
      </c>
      <c r="AA216" s="32">
        <v>1</v>
      </c>
      <c r="AB216" s="32">
        <v>2</v>
      </c>
      <c r="AC216" s="31">
        <v>0</v>
      </c>
      <c r="AD216" s="31">
        <v>0</v>
      </c>
      <c r="AE216" s="32">
        <v>1</v>
      </c>
      <c r="AF216" s="31">
        <v>0</v>
      </c>
      <c r="AG216" s="31">
        <v>0</v>
      </c>
      <c r="AH216" s="31">
        <v>0</v>
      </c>
      <c r="AI216" s="31">
        <v>0</v>
      </c>
      <c r="AJ216" s="31">
        <v>0</v>
      </c>
      <c r="AK216" s="31">
        <v>0</v>
      </c>
      <c r="AL216" s="31">
        <v>0</v>
      </c>
      <c r="AM216" s="31">
        <v>0</v>
      </c>
      <c r="AN216" s="32">
        <v>1</v>
      </c>
      <c r="AO216" s="31">
        <v>0</v>
      </c>
      <c r="AP216" s="31">
        <v>0</v>
      </c>
      <c r="AQ216" s="31">
        <v>0</v>
      </c>
      <c r="AR216" s="31">
        <v>0</v>
      </c>
      <c r="AS216" s="31">
        <v>0</v>
      </c>
    </row>
    <row r="217" spans="1:45">
      <c r="A217" s="30" t="s">
        <v>676</v>
      </c>
      <c r="B217" s="30" t="s">
        <v>633</v>
      </c>
      <c r="C217" s="30" t="s">
        <v>677</v>
      </c>
      <c r="D217" s="30" t="s">
        <v>587</v>
      </c>
      <c r="E217" s="30" t="s">
        <v>989</v>
      </c>
      <c r="F217" s="30" t="s">
        <v>88</v>
      </c>
      <c r="G217" s="30" t="s">
        <v>990</v>
      </c>
      <c r="H217" s="30" t="s">
        <v>680</v>
      </c>
      <c r="I217" s="32">
        <v>133</v>
      </c>
      <c r="J217" s="32">
        <v>92</v>
      </c>
      <c r="K217" s="32">
        <v>52</v>
      </c>
      <c r="L217" s="32">
        <v>67</v>
      </c>
      <c r="M217" s="32">
        <v>64</v>
      </c>
      <c r="N217" s="32">
        <v>43</v>
      </c>
      <c r="O217" s="32">
        <v>69</v>
      </c>
      <c r="P217" s="32">
        <v>30</v>
      </c>
      <c r="Q217" s="32">
        <v>7</v>
      </c>
      <c r="R217" s="32">
        <v>13</v>
      </c>
      <c r="S217" s="32">
        <v>5</v>
      </c>
      <c r="T217" s="32">
        <v>2</v>
      </c>
      <c r="U217" s="32">
        <v>1</v>
      </c>
      <c r="V217" s="32">
        <v>3</v>
      </c>
      <c r="W217" s="32">
        <v>3</v>
      </c>
      <c r="X217" s="32">
        <v>1</v>
      </c>
      <c r="Y217" s="31">
        <v>0</v>
      </c>
      <c r="Z217" s="31">
        <v>0</v>
      </c>
      <c r="AA217" s="32">
        <v>1</v>
      </c>
      <c r="AB217" s="32">
        <v>2</v>
      </c>
      <c r="AC217" s="31">
        <v>0</v>
      </c>
      <c r="AD217" s="31">
        <v>0</v>
      </c>
      <c r="AE217" s="32">
        <v>1</v>
      </c>
      <c r="AF217" s="31">
        <v>0</v>
      </c>
      <c r="AG217" s="31">
        <v>0</v>
      </c>
      <c r="AH217" s="31">
        <v>0</v>
      </c>
      <c r="AI217" s="31">
        <v>0</v>
      </c>
      <c r="AJ217" s="31">
        <v>0</v>
      </c>
      <c r="AK217" s="31">
        <v>0</v>
      </c>
      <c r="AL217" s="31">
        <v>0</v>
      </c>
      <c r="AM217" s="31">
        <v>0</v>
      </c>
      <c r="AN217" s="32">
        <v>1</v>
      </c>
      <c r="AO217" s="31">
        <v>0</v>
      </c>
      <c r="AP217" s="31">
        <v>0</v>
      </c>
      <c r="AQ217" s="31">
        <v>0</v>
      </c>
      <c r="AR217" s="31">
        <v>0</v>
      </c>
      <c r="AS217" s="31">
        <v>0</v>
      </c>
    </row>
    <row r="218" spans="1:45">
      <c r="A218" s="30" t="s">
        <v>676</v>
      </c>
      <c r="B218" s="30" t="s">
        <v>633</v>
      </c>
      <c r="C218" s="30" t="s">
        <v>677</v>
      </c>
      <c r="D218" s="30" t="s">
        <v>587</v>
      </c>
      <c r="E218" s="30" t="s">
        <v>991</v>
      </c>
      <c r="F218" s="30" t="s">
        <v>104</v>
      </c>
      <c r="G218" s="30" t="s">
        <v>992</v>
      </c>
      <c r="H218" s="30" t="s">
        <v>680</v>
      </c>
      <c r="I218" s="32">
        <v>21</v>
      </c>
      <c r="J218" s="32">
        <v>18</v>
      </c>
      <c r="K218" s="32">
        <v>2</v>
      </c>
      <c r="L218" s="32">
        <v>7</v>
      </c>
      <c r="M218" s="32">
        <v>1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  <c r="AC218" s="31">
        <v>0</v>
      </c>
      <c r="AD218" s="31">
        <v>0</v>
      </c>
      <c r="AE218" s="31">
        <v>0</v>
      </c>
      <c r="AF218" s="31">
        <v>0</v>
      </c>
      <c r="AG218" s="31">
        <v>0</v>
      </c>
      <c r="AH218" s="31">
        <v>0</v>
      </c>
      <c r="AI218" s="31">
        <v>0</v>
      </c>
      <c r="AJ218" s="31">
        <v>0</v>
      </c>
      <c r="AK218" s="31">
        <v>0</v>
      </c>
      <c r="AL218" s="31">
        <v>0</v>
      </c>
      <c r="AM218" s="31">
        <v>0</v>
      </c>
      <c r="AN218" s="31">
        <v>0</v>
      </c>
      <c r="AO218" s="31">
        <v>0</v>
      </c>
      <c r="AP218" s="31">
        <v>0</v>
      </c>
      <c r="AQ218" s="31">
        <v>0</v>
      </c>
      <c r="AR218" s="31">
        <v>0</v>
      </c>
      <c r="AS218" s="31">
        <v>0</v>
      </c>
    </row>
    <row r="219" spans="1:45">
      <c r="A219" s="30" t="s">
        <v>676</v>
      </c>
      <c r="B219" s="30" t="s">
        <v>633</v>
      </c>
      <c r="C219" s="30" t="s">
        <v>677</v>
      </c>
      <c r="D219" s="30" t="s">
        <v>587</v>
      </c>
      <c r="E219" s="30" t="s">
        <v>993</v>
      </c>
      <c r="F219" s="30" t="s">
        <v>104</v>
      </c>
      <c r="G219" s="30" t="s">
        <v>994</v>
      </c>
      <c r="H219" s="30" t="s">
        <v>680</v>
      </c>
      <c r="I219" s="32">
        <v>21</v>
      </c>
      <c r="J219" s="32">
        <v>18</v>
      </c>
      <c r="K219" s="32">
        <v>2</v>
      </c>
      <c r="L219" s="32">
        <v>7</v>
      </c>
      <c r="M219" s="32">
        <v>1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  <c r="AC219" s="31">
        <v>0</v>
      </c>
      <c r="AD219" s="31">
        <v>0</v>
      </c>
      <c r="AE219" s="31">
        <v>0</v>
      </c>
      <c r="AF219" s="31">
        <v>0</v>
      </c>
      <c r="AG219" s="31">
        <v>0</v>
      </c>
      <c r="AH219" s="31">
        <v>0</v>
      </c>
      <c r="AI219" s="31">
        <v>0</v>
      </c>
      <c r="AJ219" s="31">
        <v>0</v>
      </c>
      <c r="AK219" s="31">
        <v>0</v>
      </c>
      <c r="AL219" s="31">
        <v>0</v>
      </c>
      <c r="AM219" s="31">
        <v>0</v>
      </c>
      <c r="AN219" s="31">
        <v>0</v>
      </c>
      <c r="AO219" s="31">
        <v>0</v>
      </c>
      <c r="AP219" s="31">
        <v>0</v>
      </c>
      <c r="AQ219" s="31">
        <v>0</v>
      </c>
      <c r="AR219" s="31">
        <v>0</v>
      </c>
      <c r="AS219" s="31">
        <v>0</v>
      </c>
    </row>
    <row r="220" spans="1:45">
      <c r="A220" s="30" t="s">
        <v>676</v>
      </c>
      <c r="B220" s="30" t="s">
        <v>633</v>
      </c>
      <c r="C220" s="30" t="s">
        <v>677</v>
      </c>
      <c r="D220" s="30" t="s">
        <v>587</v>
      </c>
      <c r="E220" s="30" t="s">
        <v>995</v>
      </c>
      <c r="F220" s="30" t="s">
        <v>101</v>
      </c>
      <c r="G220" s="30" t="s">
        <v>996</v>
      </c>
      <c r="H220" s="30" t="s">
        <v>680</v>
      </c>
      <c r="I220" s="32">
        <v>811</v>
      </c>
      <c r="J220" s="32">
        <v>180</v>
      </c>
      <c r="K220" s="32">
        <v>125</v>
      </c>
      <c r="L220" s="32">
        <v>148</v>
      </c>
      <c r="M220" s="32">
        <v>165</v>
      </c>
      <c r="N220" s="32">
        <v>121</v>
      </c>
      <c r="O220" s="32">
        <v>85</v>
      </c>
      <c r="P220" s="32">
        <v>33</v>
      </c>
      <c r="Q220" s="32">
        <v>36</v>
      </c>
      <c r="R220" s="32">
        <v>17</v>
      </c>
      <c r="S220" s="32">
        <v>5</v>
      </c>
      <c r="T220" s="32">
        <v>9</v>
      </c>
      <c r="U220" s="32">
        <v>1</v>
      </c>
      <c r="V220" s="32">
        <v>2</v>
      </c>
      <c r="W220" s="32">
        <v>6</v>
      </c>
      <c r="X220" s="32">
        <v>6</v>
      </c>
      <c r="Y220" s="32">
        <v>6</v>
      </c>
      <c r="Z220" s="32">
        <v>1</v>
      </c>
      <c r="AA220" s="32">
        <v>2</v>
      </c>
      <c r="AB220" s="31">
        <v>0</v>
      </c>
      <c r="AC220" s="31">
        <v>0</v>
      </c>
      <c r="AD220" s="31">
        <v>0</v>
      </c>
      <c r="AE220" s="32">
        <v>3</v>
      </c>
      <c r="AF220" s="31">
        <v>0</v>
      </c>
      <c r="AG220" s="31">
        <v>0</v>
      </c>
      <c r="AH220" s="31">
        <v>0</v>
      </c>
      <c r="AI220" s="31">
        <v>0</v>
      </c>
      <c r="AJ220" s="31">
        <v>0</v>
      </c>
      <c r="AK220" s="31">
        <v>0</v>
      </c>
      <c r="AL220" s="31">
        <v>0</v>
      </c>
      <c r="AM220" s="31">
        <v>0</v>
      </c>
      <c r="AN220" s="31">
        <v>0</v>
      </c>
      <c r="AO220" s="31">
        <v>0</v>
      </c>
      <c r="AP220" s="31">
        <v>0</v>
      </c>
      <c r="AQ220" s="31">
        <v>0</v>
      </c>
      <c r="AR220" s="31">
        <v>0</v>
      </c>
      <c r="AS220" s="31">
        <v>0</v>
      </c>
    </row>
    <row r="221" spans="1:45">
      <c r="A221" s="30" t="s">
        <v>676</v>
      </c>
      <c r="B221" s="30" t="s">
        <v>633</v>
      </c>
      <c r="C221" s="30" t="s">
        <v>677</v>
      </c>
      <c r="D221" s="30" t="s">
        <v>587</v>
      </c>
      <c r="E221" s="30" t="s">
        <v>997</v>
      </c>
      <c r="F221" s="30" t="s">
        <v>101</v>
      </c>
      <c r="G221" s="30" t="s">
        <v>998</v>
      </c>
      <c r="H221" s="30" t="s">
        <v>680</v>
      </c>
      <c r="I221" s="32">
        <v>811</v>
      </c>
      <c r="J221" s="32">
        <v>180</v>
      </c>
      <c r="K221" s="32">
        <v>125</v>
      </c>
      <c r="L221" s="32">
        <v>148</v>
      </c>
      <c r="M221" s="32">
        <v>165</v>
      </c>
      <c r="N221" s="32">
        <v>121</v>
      </c>
      <c r="O221" s="32">
        <v>85</v>
      </c>
      <c r="P221" s="32">
        <v>33</v>
      </c>
      <c r="Q221" s="32">
        <v>36</v>
      </c>
      <c r="R221" s="32">
        <v>17</v>
      </c>
      <c r="S221" s="32">
        <v>5</v>
      </c>
      <c r="T221" s="32">
        <v>9</v>
      </c>
      <c r="U221" s="32">
        <v>1</v>
      </c>
      <c r="V221" s="32">
        <v>2</v>
      </c>
      <c r="W221" s="32">
        <v>6</v>
      </c>
      <c r="X221" s="32">
        <v>6</v>
      </c>
      <c r="Y221" s="32">
        <v>6</v>
      </c>
      <c r="Z221" s="32">
        <v>1</v>
      </c>
      <c r="AA221" s="32">
        <v>2</v>
      </c>
      <c r="AB221" s="31">
        <v>0</v>
      </c>
      <c r="AC221" s="31">
        <v>0</v>
      </c>
      <c r="AD221" s="31">
        <v>0</v>
      </c>
      <c r="AE221" s="32">
        <v>3</v>
      </c>
      <c r="AF221" s="31">
        <v>0</v>
      </c>
      <c r="AG221" s="31">
        <v>0</v>
      </c>
      <c r="AH221" s="31">
        <v>0</v>
      </c>
      <c r="AI221" s="31">
        <v>0</v>
      </c>
      <c r="AJ221" s="31">
        <v>0</v>
      </c>
      <c r="AK221" s="31">
        <v>0</v>
      </c>
      <c r="AL221" s="31">
        <v>0</v>
      </c>
      <c r="AM221" s="31">
        <v>0</v>
      </c>
      <c r="AN221" s="31">
        <v>0</v>
      </c>
      <c r="AO221" s="31">
        <v>0</v>
      </c>
      <c r="AP221" s="31">
        <v>0</v>
      </c>
      <c r="AQ221" s="31">
        <v>0</v>
      </c>
      <c r="AR221" s="31">
        <v>0</v>
      </c>
      <c r="AS221" s="31">
        <v>0</v>
      </c>
    </row>
    <row r="222" spans="1:45">
      <c r="A222" s="30" t="s">
        <v>676</v>
      </c>
      <c r="B222" s="30" t="s">
        <v>633</v>
      </c>
      <c r="C222" s="30" t="s">
        <v>677</v>
      </c>
      <c r="D222" s="30" t="s">
        <v>587</v>
      </c>
      <c r="E222" s="30" t="s">
        <v>999</v>
      </c>
      <c r="F222" s="30" t="s">
        <v>88</v>
      </c>
      <c r="G222" s="30" t="s">
        <v>1000</v>
      </c>
      <c r="H222" s="30" t="s">
        <v>680</v>
      </c>
      <c r="I222" s="32">
        <v>194</v>
      </c>
      <c r="J222" s="32">
        <v>99</v>
      </c>
      <c r="K222" s="32">
        <v>96</v>
      </c>
      <c r="L222" s="32">
        <v>211</v>
      </c>
      <c r="M222" s="32">
        <v>292</v>
      </c>
      <c r="N222" s="32">
        <v>368</v>
      </c>
      <c r="O222" s="32">
        <v>376</v>
      </c>
      <c r="P222" s="32">
        <v>300</v>
      </c>
      <c r="Q222" s="32">
        <v>264</v>
      </c>
      <c r="R222" s="32">
        <v>394</v>
      </c>
      <c r="S222" s="32">
        <v>197</v>
      </c>
      <c r="T222" s="32">
        <v>191</v>
      </c>
      <c r="U222" s="32">
        <v>180</v>
      </c>
      <c r="V222" s="32">
        <v>141</v>
      </c>
      <c r="W222" s="32">
        <v>158</v>
      </c>
      <c r="X222" s="32">
        <v>244</v>
      </c>
      <c r="Y222" s="32">
        <v>180</v>
      </c>
      <c r="Z222" s="32">
        <v>192.83789999999999</v>
      </c>
      <c r="AA222" s="32">
        <v>256.13720000000001</v>
      </c>
      <c r="AB222" s="32">
        <v>193</v>
      </c>
      <c r="AC222" s="32">
        <v>241</v>
      </c>
      <c r="AD222" s="32">
        <v>384</v>
      </c>
      <c r="AE222" s="32">
        <v>434</v>
      </c>
      <c r="AF222" s="32">
        <v>442</v>
      </c>
      <c r="AG222" s="32">
        <v>437</v>
      </c>
      <c r="AH222" s="32">
        <v>194</v>
      </c>
      <c r="AI222" s="32">
        <v>263</v>
      </c>
      <c r="AJ222" s="32">
        <v>557</v>
      </c>
      <c r="AK222" s="32">
        <v>488</v>
      </c>
      <c r="AL222" s="32">
        <v>571</v>
      </c>
      <c r="AM222" s="32">
        <v>569</v>
      </c>
      <c r="AN222" s="32">
        <v>557</v>
      </c>
      <c r="AO222" s="32">
        <v>550</v>
      </c>
      <c r="AP222" s="32">
        <v>868</v>
      </c>
      <c r="AQ222" s="32">
        <v>481</v>
      </c>
      <c r="AR222" s="32">
        <v>575</v>
      </c>
      <c r="AS222" s="32">
        <v>1044</v>
      </c>
    </row>
    <row r="223" spans="1:45">
      <c r="A223" s="30" t="s">
        <v>676</v>
      </c>
      <c r="B223" s="30" t="s">
        <v>633</v>
      </c>
      <c r="C223" s="30" t="s">
        <v>677</v>
      </c>
      <c r="D223" s="30" t="s">
        <v>587</v>
      </c>
      <c r="E223" s="30" t="s">
        <v>1001</v>
      </c>
      <c r="F223" s="30" t="s">
        <v>88</v>
      </c>
      <c r="G223" s="30" t="s">
        <v>1002</v>
      </c>
      <c r="H223" s="30" t="s">
        <v>680</v>
      </c>
      <c r="I223" s="32">
        <v>194</v>
      </c>
      <c r="J223" s="32">
        <v>99</v>
      </c>
      <c r="K223" s="32">
        <v>96</v>
      </c>
      <c r="L223" s="32">
        <v>211</v>
      </c>
      <c r="M223" s="32">
        <v>292</v>
      </c>
      <c r="N223" s="32">
        <v>368</v>
      </c>
      <c r="O223" s="32">
        <v>376</v>
      </c>
      <c r="P223" s="32">
        <v>300</v>
      </c>
      <c r="Q223" s="32">
        <v>264</v>
      </c>
      <c r="R223" s="32">
        <v>394</v>
      </c>
      <c r="S223" s="32">
        <v>197</v>
      </c>
      <c r="T223" s="32">
        <v>191</v>
      </c>
      <c r="U223" s="32">
        <v>180</v>
      </c>
      <c r="V223" s="32">
        <v>141</v>
      </c>
      <c r="W223" s="32">
        <v>158</v>
      </c>
      <c r="X223" s="32">
        <v>244</v>
      </c>
      <c r="Y223" s="32">
        <v>180</v>
      </c>
      <c r="Z223" s="32">
        <v>192.83789999999999</v>
      </c>
      <c r="AA223" s="32">
        <v>256.13720000000001</v>
      </c>
      <c r="AB223" s="32">
        <v>193</v>
      </c>
      <c r="AC223" s="32">
        <v>241</v>
      </c>
      <c r="AD223" s="32">
        <v>384</v>
      </c>
      <c r="AE223" s="32">
        <v>434</v>
      </c>
      <c r="AF223" s="32">
        <v>442</v>
      </c>
      <c r="AG223" s="32">
        <v>437</v>
      </c>
      <c r="AH223" s="32">
        <v>194</v>
      </c>
      <c r="AI223" s="32">
        <v>263</v>
      </c>
      <c r="AJ223" s="32">
        <v>557</v>
      </c>
      <c r="AK223" s="32">
        <v>488</v>
      </c>
      <c r="AL223" s="32">
        <v>571</v>
      </c>
      <c r="AM223" s="32">
        <v>569</v>
      </c>
      <c r="AN223" s="32">
        <v>557</v>
      </c>
      <c r="AO223" s="32">
        <v>550</v>
      </c>
      <c r="AP223" s="32">
        <v>868</v>
      </c>
      <c r="AQ223" s="32">
        <v>481</v>
      </c>
      <c r="AR223" s="32">
        <v>575</v>
      </c>
      <c r="AS223" s="32">
        <v>1044</v>
      </c>
    </row>
    <row r="224" spans="1:45">
      <c r="A224" s="30" t="s">
        <v>676</v>
      </c>
      <c r="B224" s="30" t="s">
        <v>633</v>
      </c>
      <c r="C224" s="30" t="s">
        <v>677</v>
      </c>
      <c r="D224" s="30" t="s">
        <v>587</v>
      </c>
      <c r="E224" s="30" t="s">
        <v>1003</v>
      </c>
      <c r="F224" s="30" t="s">
        <v>101</v>
      </c>
      <c r="G224" s="30" t="s">
        <v>1004</v>
      </c>
      <c r="H224" s="30" t="s">
        <v>680</v>
      </c>
      <c r="I224" s="32">
        <v>108</v>
      </c>
      <c r="J224" s="32">
        <v>53</v>
      </c>
      <c r="K224" s="32">
        <v>63</v>
      </c>
      <c r="L224" s="32">
        <v>171</v>
      </c>
      <c r="M224" s="32">
        <v>259</v>
      </c>
      <c r="N224" s="32">
        <v>331</v>
      </c>
      <c r="O224" s="32">
        <v>351</v>
      </c>
      <c r="P224" s="32">
        <v>235</v>
      </c>
      <c r="Q224" s="32">
        <v>182</v>
      </c>
      <c r="R224" s="32">
        <v>172</v>
      </c>
      <c r="S224" s="32">
        <v>129</v>
      </c>
      <c r="T224" s="32">
        <v>112</v>
      </c>
      <c r="U224" s="32">
        <v>183</v>
      </c>
      <c r="V224" s="32">
        <v>104</v>
      </c>
      <c r="W224" s="32">
        <v>93</v>
      </c>
      <c r="X224" s="32">
        <v>119</v>
      </c>
      <c r="Y224" s="32">
        <v>88</v>
      </c>
      <c r="Z224" s="32">
        <v>111</v>
      </c>
      <c r="AA224" s="32">
        <v>151</v>
      </c>
      <c r="AB224" s="32">
        <v>132</v>
      </c>
      <c r="AC224" s="32">
        <v>141</v>
      </c>
      <c r="AD224" s="32">
        <v>257</v>
      </c>
      <c r="AE224" s="32">
        <v>323</v>
      </c>
      <c r="AF224" s="32">
        <v>373</v>
      </c>
      <c r="AG224" s="32">
        <v>253</v>
      </c>
      <c r="AH224" s="32">
        <v>326</v>
      </c>
      <c r="AI224" s="32">
        <v>376</v>
      </c>
      <c r="AJ224" s="32">
        <v>249</v>
      </c>
      <c r="AK224" s="32">
        <v>87</v>
      </c>
      <c r="AL224" s="32">
        <v>59</v>
      </c>
      <c r="AM224" s="32">
        <v>38</v>
      </c>
      <c r="AN224" s="32">
        <v>15</v>
      </c>
      <c r="AO224" s="32">
        <v>6</v>
      </c>
      <c r="AP224" s="32">
        <v>8</v>
      </c>
      <c r="AQ224" s="32">
        <v>1</v>
      </c>
      <c r="AR224" s="31">
        <v>0</v>
      </c>
      <c r="AS224" s="31">
        <v>0</v>
      </c>
    </row>
    <row r="225" spans="1:45">
      <c r="A225" s="30" t="s">
        <v>676</v>
      </c>
      <c r="B225" s="30" t="s">
        <v>633</v>
      </c>
      <c r="C225" s="30" t="s">
        <v>677</v>
      </c>
      <c r="D225" s="30" t="s">
        <v>587</v>
      </c>
      <c r="E225" s="30" t="s">
        <v>1005</v>
      </c>
      <c r="F225" s="30" t="s">
        <v>101</v>
      </c>
      <c r="G225" s="30" t="s">
        <v>1006</v>
      </c>
      <c r="H225" s="30" t="s">
        <v>680</v>
      </c>
      <c r="I225" s="32">
        <v>108</v>
      </c>
      <c r="J225" s="32">
        <v>53</v>
      </c>
      <c r="K225" s="32">
        <v>63</v>
      </c>
      <c r="L225" s="32">
        <v>171</v>
      </c>
      <c r="M225" s="32">
        <v>259</v>
      </c>
      <c r="N225" s="32">
        <v>331</v>
      </c>
      <c r="O225" s="32">
        <v>351</v>
      </c>
      <c r="P225" s="32">
        <v>235</v>
      </c>
      <c r="Q225" s="32">
        <v>182</v>
      </c>
      <c r="R225" s="32">
        <v>172</v>
      </c>
      <c r="S225" s="32">
        <v>129</v>
      </c>
      <c r="T225" s="32">
        <v>112</v>
      </c>
      <c r="U225" s="32">
        <v>183</v>
      </c>
      <c r="V225" s="32">
        <v>104</v>
      </c>
      <c r="W225" s="32">
        <v>93</v>
      </c>
      <c r="X225" s="32">
        <v>119</v>
      </c>
      <c r="Y225" s="32">
        <v>88</v>
      </c>
      <c r="Z225" s="32">
        <v>111</v>
      </c>
      <c r="AA225" s="32">
        <v>151</v>
      </c>
      <c r="AB225" s="32">
        <v>132</v>
      </c>
      <c r="AC225" s="32">
        <v>141</v>
      </c>
      <c r="AD225" s="32">
        <v>257</v>
      </c>
      <c r="AE225" s="32">
        <v>323</v>
      </c>
      <c r="AF225" s="32">
        <v>373</v>
      </c>
      <c r="AG225" s="32">
        <v>253</v>
      </c>
      <c r="AH225" s="32">
        <v>326</v>
      </c>
      <c r="AI225" s="32">
        <v>376</v>
      </c>
      <c r="AJ225" s="32">
        <v>249</v>
      </c>
      <c r="AK225" s="32">
        <v>87</v>
      </c>
      <c r="AL225" s="32">
        <v>59</v>
      </c>
      <c r="AM225" s="32">
        <v>38</v>
      </c>
      <c r="AN225" s="32">
        <v>15</v>
      </c>
      <c r="AO225" s="32">
        <v>6</v>
      </c>
      <c r="AP225" s="32">
        <v>8</v>
      </c>
      <c r="AQ225" s="32">
        <v>1</v>
      </c>
      <c r="AR225" s="31">
        <v>0</v>
      </c>
      <c r="AS225" s="31">
        <v>0</v>
      </c>
    </row>
    <row r="226" spans="1:45">
      <c r="A226" s="30" t="s">
        <v>676</v>
      </c>
      <c r="B226" s="30" t="s">
        <v>633</v>
      </c>
      <c r="C226" s="30" t="s">
        <v>677</v>
      </c>
      <c r="D226" s="30" t="s">
        <v>587</v>
      </c>
      <c r="E226" s="30" t="s">
        <v>1007</v>
      </c>
      <c r="F226" s="30" t="s">
        <v>104</v>
      </c>
      <c r="G226" s="30" t="s">
        <v>1008</v>
      </c>
      <c r="H226" s="30" t="s">
        <v>680</v>
      </c>
      <c r="I226" s="32">
        <v>188</v>
      </c>
      <c r="J226" s="32">
        <v>145</v>
      </c>
      <c r="K226" s="32">
        <v>139</v>
      </c>
      <c r="L226" s="32">
        <v>361</v>
      </c>
      <c r="M226" s="32">
        <v>531</v>
      </c>
      <c r="N226" s="32">
        <v>604</v>
      </c>
      <c r="O226" s="32">
        <v>597</v>
      </c>
      <c r="P226" s="32">
        <v>383</v>
      </c>
      <c r="Q226" s="32">
        <v>346</v>
      </c>
      <c r="R226" s="32">
        <v>505</v>
      </c>
      <c r="S226" s="32">
        <v>314</v>
      </c>
      <c r="T226" s="32">
        <v>232</v>
      </c>
      <c r="U226" s="32">
        <v>297</v>
      </c>
      <c r="V226" s="32">
        <v>184</v>
      </c>
      <c r="W226" s="32">
        <v>178</v>
      </c>
      <c r="X226" s="32">
        <v>205</v>
      </c>
      <c r="Y226" s="32">
        <v>184</v>
      </c>
      <c r="Z226" s="32">
        <v>238.82669999999999</v>
      </c>
      <c r="AA226" s="32">
        <v>414.8997</v>
      </c>
      <c r="AB226" s="32">
        <v>308</v>
      </c>
      <c r="AC226" s="32">
        <v>306</v>
      </c>
      <c r="AD226" s="32">
        <v>442</v>
      </c>
      <c r="AE226" s="32">
        <v>663</v>
      </c>
      <c r="AF226" s="32">
        <v>618</v>
      </c>
      <c r="AG226" s="32">
        <v>565</v>
      </c>
      <c r="AH226" s="32">
        <v>174</v>
      </c>
      <c r="AI226" s="32">
        <v>344</v>
      </c>
      <c r="AJ226" s="32">
        <v>755</v>
      </c>
      <c r="AK226" s="32">
        <v>503</v>
      </c>
      <c r="AL226" s="32">
        <v>503</v>
      </c>
      <c r="AM226" s="32">
        <v>814</v>
      </c>
      <c r="AN226" s="32">
        <v>364</v>
      </c>
      <c r="AO226" s="32">
        <v>550</v>
      </c>
      <c r="AP226" s="32">
        <v>594</v>
      </c>
      <c r="AQ226" s="32">
        <v>400</v>
      </c>
      <c r="AR226" s="32">
        <v>273</v>
      </c>
      <c r="AS226" s="32">
        <v>542</v>
      </c>
    </row>
    <row r="227" spans="1:45">
      <c r="A227" s="30" t="s">
        <v>676</v>
      </c>
      <c r="B227" s="30" t="s">
        <v>633</v>
      </c>
      <c r="C227" s="30" t="s">
        <v>677</v>
      </c>
      <c r="D227" s="30" t="s">
        <v>587</v>
      </c>
      <c r="E227" s="30" t="s">
        <v>1009</v>
      </c>
      <c r="F227" s="30" t="s">
        <v>104</v>
      </c>
      <c r="G227" s="30" t="s">
        <v>1010</v>
      </c>
      <c r="H227" s="30" t="s">
        <v>680</v>
      </c>
      <c r="I227" s="32">
        <v>188</v>
      </c>
      <c r="J227" s="32">
        <v>145</v>
      </c>
      <c r="K227" s="32">
        <v>139</v>
      </c>
      <c r="L227" s="32">
        <v>361</v>
      </c>
      <c r="M227" s="32">
        <v>531</v>
      </c>
      <c r="N227" s="32">
        <v>604</v>
      </c>
      <c r="O227" s="32">
        <v>597</v>
      </c>
      <c r="P227" s="32">
        <v>383</v>
      </c>
      <c r="Q227" s="32">
        <v>346</v>
      </c>
      <c r="R227" s="32">
        <v>505</v>
      </c>
      <c r="S227" s="32">
        <v>314</v>
      </c>
      <c r="T227" s="32">
        <v>232</v>
      </c>
      <c r="U227" s="32">
        <v>297</v>
      </c>
      <c r="V227" s="32">
        <v>184</v>
      </c>
      <c r="W227" s="32">
        <v>178</v>
      </c>
      <c r="X227" s="32">
        <v>205</v>
      </c>
      <c r="Y227" s="32">
        <v>184</v>
      </c>
      <c r="Z227" s="32">
        <v>238.82669999999999</v>
      </c>
      <c r="AA227" s="32">
        <v>414.8997</v>
      </c>
      <c r="AB227" s="32">
        <v>308</v>
      </c>
      <c r="AC227" s="32">
        <v>306</v>
      </c>
      <c r="AD227" s="32">
        <v>442</v>
      </c>
      <c r="AE227" s="32">
        <v>663</v>
      </c>
      <c r="AF227" s="32">
        <v>618</v>
      </c>
      <c r="AG227" s="32">
        <v>565</v>
      </c>
      <c r="AH227" s="32">
        <v>174</v>
      </c>
      <c r="AI227" s="32">
        <v>344</v>
      </c>
      <c r="AJ227" s="32">
        <v>755</v>
      </c>
      <c r="AK227" s="32">
        <v>503</v>
      </c>
      <c r="AL227" s="32">
        <v>503</v>
      </c>
      <c r="AM227" s="32">
        <v>814</v>
      </c>
      <c r="AN227" s="32">
        <v>364</v>
      </c>
      <c r="AO227" s="32">
        <v>550</v>
      </c>
      <c r="AP227" s="32">
        <v>594</v>
      </c>
      <c r="AQ227" s="32">
        <v>400</v>
      </c>
      <c r="AR227" s="32">
        <v>273</v>
      </c>
      <c r="AS227" s="32">
        <v>542</v>
      </c>
    </row>
    <row r="228" spans="1:45">
      <c r="A228" s="30" t="s">
        <v>676</v>
      </c>
      <c r="B228" s="30" t="s">
        <v>633</v>
      </c>
      <c r="C228" s="30" t="s">
        <v>677</v>
      </c>
      <c r="D228" s="30" t="s">
        <v>587</v>
      </c>
      <c r="E228" s="30" t="s">
        <v>1011</v>
      </c>
      <c r="F228" s="30" t="s">
        <v>94</v>
      </c>
      <c r="G228" s="30" t="s">
        <v>1012</v>
      </c>
      <c r="H228" s="30" t="s">
        <v>680</v>
      </c>
      <c r="I228" s="32">
        <v>470</v>
      </c>
      <c r="J228" s="32">
        <v>261</v>
      </c>
      <c r="K228" s="32">
        <v>129</v>
      </c>
      <c r="L228" s="32">
        <v>49</v>
      </c>
      <c r="M228" s="32">
        <v>16</v>
      </c>
      <c r="N228" s="32">
        <v>42</v>
      </c>
      <c r="O228" s="32">
        <v>359</v>
      </c>
      <c r="P228" s="32">
        <v>157</v>
      </c>
      <c r="Q228" s="32">
        <v>55</v>
      </c>
      <c r="R228" s="32">
        <v>257</v>
      </c>
      <c r="S228" s="32">
        <v>463</v>
      </c>
      <c r="T228" s="32">
        <v>94</v>
      </c>
      <c r="U228" s="32">
        <v>53.217700000000001</v>
      </c>
      <c r="V228" s="32">
        <v>27</v>
      </c>
      <c r="W228" s="32">
        <v>14</v>
      </c>
      <c r="X228" s="32">
        <v>8</v>
      </c>
      <c r="Y228" s="31">
        <v>0</v>
      </c>
      <c r="Z228" s="32">
        <v>1</v>
      </c>
      <c r="AA228" s="32">
        <v>3</v>
      </c>
      <c r="AB228" s="32">
        <v>2</v>
      </c>
      <c r="AC228" s="32">
        <v>105</v>
      </c>
      <c r="AD228" s="32">
        <v>694</v>
      </c>
      <c r="AE228" s="32">
        <v>257</v>
      </c>
      <c r="AF228" s="32">
        <v>73</v>
      </c>
      <c r="AG228" s="32">
        <v>74</v>
      </c>
      <c r="AH228" s="32">
        <v>30</v>
      </c>
      <c r="AI228" s="32">
        <v>40</v>
      </c>
      <c r="AJ228" s="32">
        <v>32</v>
      </c>
      <c r="AK228" s="32">
        <v>18</v>
      </c>
      <c r="AL228" s="32">
        <v>25</v>
      </c>
      <c r="AM228" s="32">
        <v>53</v>
      </c>
      <c r="AN228" s="32">
        <v>1</v>
      </c>
      <c r="AO228" s="32">
        <v>1</v>
      </c>
      <c r="AP228" s="32">
        <v>4</v>
      </c>
      <c r="AQ228" s="32">
        <v>4</v>
      </c>
      <c r="AR228" s="32">
        <v>1</v>
      </c>
      <c r="AS228" s="32">
        <v>4</v>
      </c>
    </row>
    <row r="229" spans="1:45">
      <c r="A229" s="30" t="s">
        <v>676</v>
      </c>
      <c r="B229" s="30" t="s">
        <v>633</v>
      </c>
      <c r="C229" s="30" t="s">
        <v>677</v>
      </c>
      <c r="D229" s="30" t="s">
        <v>587</v>
      </c>
      <c r="E229" s="30" t="s">
        <v>1013</v>
      </c>
      <c r="F229" s="30" t="s">
        <v>94</v>
      </c>
      <c r="G229" s="30" t="s">
        <v>1014</v>
      </c>
      <c r="H229" s="30" t="s">
        <v>680</v>
      </c>
      <c r="I229" s="32">
        <v>470</v>
      </c>
      <c r="J229" s="32">
        <v>261</v>
      </c>
      <c r="K229" s="32">
        <v>129</v>
      </c>
      <c r="L229" s="32">
        <v>49</v>
      </c>
      <c r="M229" s="32">
        <v>16</v>
      </c>
      <c r="N229" s="32">
        <v>42</v>
      </c>
      <c r="O229" s="32">
        <v>359</v>
      </c>
      <c r="P229" s="32">
        <v>157</v>
      </c>
      <c r="Q229" s="32">
        <v>55</v>
      </c>
      <c r="R229" s="32">
        <v>257</v>
      </c>
      <c r="S229" s="32">
        <v>463</v>
      </c>
      <c r="T229" s="32">
        <v>94</v>
      </c>
      <c r="U229" s="32">
        <v>53.217700000000001</v>
      </c>
      <c r="V229" s="32">
        <v>27</v>
      </c>
      <c r="W229" s="32">
        <v>14</v>
      </c>
      <c r="X229" s="32">
        <v>8</v>
      </c>
      <c r="Y229" s="31">
        <v>0</v>
      </c>
      <c r="Z229" s="32">
        <v>1</v>
      </c>
      <c r="AA229" s="32">
        <v>3</v>
      </c>
      <c r="AB229" s="32">
        <v>2</v>
      </c>
      <c r="AC229" s="32">
        <v>105</v>
      </c>
      <c r="AD229" s="32">
        <v>694</v>
      </c>
      <c r="AE229" s="32">
        <v>257</v>
      </c>
      <c r="AF229" s="32">
        <v>73</v>
      </c>
      <c r="AG229" s="32">
        <v>74</v>
      </c>
      <c r="AH229" s="32">
        <v>30</v>
      </c>
      <c r="AI229" s="32">
        <v>40</v>
      </c>
      <c r="AJ229" s="32">
        <v>32</v>
      </c>
      <c r="AK229" s="32">
        <v>18</v>
      </c>
      <c r="AL229" s="32">
        <v>25</v>
      </c>
      <c r="AM229" s="32">
        <v>53</v>
      </c>
      <c r="AN229" s="32">
        <v>1</v>
      </c>
      <c r="AO229" s="32">
        <v>1</v>
      </c>
      <c r="AP229" s="32">
        <v>4</v>
      </c>
      <c r="AQ229" s="32">
        <v>4</v>
      </c>
      <c r="AR229" s="32">
        <v>1</v>
      </c>
      <c r="AS229" s="32">
        <v>4</v>
      </c>
    </row>
    <row r="230" spans="1:45">
      <c r="A230" s="30" t="s">
        <v>676</v>
      </c>
      <c r="B230" s="30" t="s">
        <v>633</v>
      </c>
      <c r="C230" s="30" t="s">
        <v>677</v>
      </c>
      <c r="D230" s="30" t="s">
        <v>587</v>
      </c>
      <c r="E230" s="30" t="s">
        <v>1015</v>
      </c>
      <c r="F230" s="30" t="s">
        <v>88</v>
      </c>
      <c r="G230" s="30" t="s">
        <v>1016</v>
      </c>
      <c r="H230" s="30" t="s">
        <v>680</v>
      </c>
      <c r="I230" s="32">
        <v>396</v>
      </c>
      <c r="J230" s="32">
        <v>146</v>
      </c>
      <c r="K230" s="32">
        <v>44</v>
      </c>
      <c r="L230" s="32">
        <v>66</v>
      </c>
      <c r="M230" s="32">
        <v>23</v>
      </c>
      <c r="N230" s="32">
        <v>30</v>
      </c>
      <c r="O230" s="32">
        <v>13</v>
      </c>
      <c r="P230" s="32">
        <v>1</v>
      </c>
      <c r="Q230" s="32">
        <v>6</v>
      </c>
      <c r="R230" s="32">
        <v>6</v>
      </c>
      <c r="S230" s="31">
        <v>0</v>
      </c>
      <c r="T230" s="32">
        <v>9</v>
      </c>
      <c r="U230" s="32">
        <v>2</v>
      </c>
      <c r="V230" s="32">
        <v>2</v>
      </c>
      <c r="W230" s="32">
        <v>1</v>
      </c>
      <c r="X230" s="32">
        <v>2</v>
      </c>
      <c r="Y230" s="31">
        <v>0</v>
      </c>
      <c r="Z230" s="31">
        <v>0</v>
      </c>
      <c r="AA230" s="31">
        <v>0</v>
      </c>
      <c r="AB230" s="32">
        <v>1</v>
      </c>
      <c r="AC230" s="31">
        <v>0</v>
      </c>
      <c r="AD230" s="32">
        <v>1</v>
      </c>
      <c r="AE230" s="31">
        <v>0</v>
      </c>
      <c r="AF230" s="31">
        <v>0</v>
      </c>
      <c r="AG230" s="31">
        <v>0</v>
      </c>
      <c r="AH230" s="31">
        <v>0</v>
      </c>
      <c r="AI230" s="31">
        <v>0</v>
      </c>
      <c r="AJ230" s="31">
        <v>0</v>
      </c>
      <c r="AK230" s="31">
        <v>0</v>
      </c>
      <c r="AL230" s="31">
        <v>0</v>
      </c>
      <c r="AM230" s="31">
        <v>0</v>
      </c>
      <c r="AN230" s="31">
        <v>0</v>
      </c>
      <c r="AO230" s="31">
        <v>0</v>
      </c>
      <c r="AP230" s="31">
        <v>0</v>
      </c>
      <c r="AQ230" s="31">
        <v>0</v>
      </c>
      <c r="AR230" s="31">
        <v>0</v>
      </c>
      <c r="AS230" s="31">
        <v>0</v>
      </c>
    </row>
    <row r="231" spans="1:45">
      <c r="A231" s="30" t="s">
        <v>676</v>
      </c>
      <c r="B231" s="30" t="s">
        <v>633</v>
      </c>
      <c r="C231" s="30" t="s">
        <v>677</v>
      </c>
      <c r="D231" s="30" t="s">
        <v>587</v>
      </c>
      <c r="E231" s="30" t="s">
        <v>1017</v>
      </c>
      <c r="F231" s="30" t="s">
        <v>88</v>
      </c>
      <c r="G231" s="30" t="s">
        <v>1018</v>
      </c>
      <c r="H231" s="30" t="s">
        <v>680</v>
      </c>
      <c r="I231" s="32">
        <v>396</v>
      </c>
      <c r="J231" s="32">
        <v>146</v>
      </c>
      <c r="K231" s="32">
        <v>44</v>
      </c>
      <c r="L231" s="32">
        <v>66</v>
      </c>
      <c r="M231" s="32">
        <v>23</v>
      </c>
      <c r="N231" s="32">
        <v>30</v>
      </c>
      <c r="O231" s="32">
        <v>13</v>
      </c>
      <c r="P231" s="32">
        <v>1</v>
      </c>
      <c r="Q231" s="32">
        <v>6</v>
      </c>
      <c r="R231" s="32">
        <v>6</v>
      </c>
      <c r="S231" s="31">
        <v>0</v>
      </c>
      <c r="T231" s="32">
        <v>9</v>
      </c>
      <c r="U231" s="32">
        <v>2</v>
      </c>
      <c r="V231" s="32">
        <v>2</v>
      </c>
      <c r="W231" s="32">
        <v>1</v>
      </c>
      <c r="X231" s="32">
        <v>2</v>
      </c>
      <c r="Y231" s="31">
        <v>0</v>
      </c>
      <c r="Z231" s="31">
        <v>0</v>
      </c>
      <c r="AA231" s="31">
        <v>0</v>
      </c>
      <c r="AB231" s="32">
        <v>1</v>
      </c>
      <c r="AC231" s="31">
        <v>0</v>
      </c>
      <c r="AD231" s="32">
        <v>1</v>
      </c>
      <c r="AE231" s="31">
        <v>0</v>
      </c>
      <c r="AF231" s="31">
        <v>0</v>
      </c>
      <c r="AG231" s="31">
        <v>0</v>
      </c>
      <c r="AH231" s="31">
        <v>0</v>
      </c>
      <c r="AI231" s="31">
        <v>0</v>
      </c>
      <c r="AJ231" s="31">
        <v>0</v>
      </c>
      <c r="AK231" s="31">
        <v>0</v>
      </c>
      <c r="AL231" s="31">
        <v>0</v>
      </c>
      <c r="AM231" s="31">
        <v>0</v>
      </c>
      <c r="AN231" s="31">
        <v>0</v>
      </c>
      <c r="AO231" s="31">
        <v>0</v>
      </c>
      <c r="AP231" s="31">
        <v>0</v>
      </c>
      <c r="AQ231" s="31">
        <v>0</v>
      </c>
      <c r="AR231" s="31">
        <v>0</v>
      </c>
      <c r="AS231" s="31">
        <v>0</v>
      </c>
    </row>
    <row r="232" spans="1:45">
      <c r="A232" s="30" t="s">
        <v>676</v>
      </c>
      <c r="B232" s="30" t="s">
        <v>633</v>
      </c>
      <c r="C232" s="30" t="s">
        <v>677</v>
      </c>
      <c r="D232" s="30" t="s">
        <v>587</v>
      </c>
      <c r="E232" s="30" t="s">
        <v>1019</v>
      </c>
      <c r="F232" s="30" t="s">
        <v>84</v>
      </c>
      <c r="G232" s="30" t="s">
        <v>1020</v>
      </c>
      <c r="H232" s="30" t="s">
        <v>680</v>
      </c>
      <c r="I232" s="31">
        <v>0</v>
      </c>
      <c r="J232" s="31">
        <v>0</v>
      </c>
      <c r="K232" s="31">
        <v>0</v>
      </c>
      <c r="L232" s="31">
        <v>0</v>
      </c>
      <c r="M232" s="31">
        <v>0</v>
      </c>
      <c r="N232" s="32">
        <v>146</v>
      </c>
      <c r="O232" s="32">
        <v>363</v>
      </c>
      <c r="P232" s="32">
        <v>300</v>
      </c>
      <c r="Q232" s="32">
        <v>269</v>
      </c>
      <c r="R232" s="32">
        <v>297</v>
      </c>
      <c r="S232" s="32">
        <v>190</v>
      </c>
      <c r="T232" s="32">
        <v>189</v>
      </c>
      <c r="U232" s="32">
        <v>177</v>
      </c>
      <c r="V232" s="32">
        <v>192</v>
      </c>
      <c r="W232" s="32">
        <v>113</v>
      </c>
      <c r="X232" s="32">
        <v>148</v>
      </c>
      <c r="Y232" s="32">
        <v>289</v>
      </c>
      <c r="Z232" s="32">
        <v>145</v>
      </c>
      <c r="AA232" s="32">
        <v>431</v>
      </c>
      <c r="AB232" s="32">
        <v>131</v>
      </c>
      <c r="AC232" s="32">
        <v>82</v>
      </c>
      <c r="AD232" s="32">
        <v>134</v>
      </c>
      <c r="AE232" s="32">
        <v>44</v>
      </c>
      <c r="AF232" s="32">
        <v>15</v>
      </c>
      <c r="AG232" s="32">
        <v>23</v>
      </c>
      <c r="AH232" s="32">
        <v>6</v>
      </c>
      <c r="AI232" s="32">
        <v>5</v>
      </c>
      <c r="AJ232" s="32">
        <v>9</v>
      </c>
      <c r="AK232" s="32">
        <v>3</v>
      </c>
      <c r="AL232" s="32">
        <v>1</v>
      </c>
      <c r="AM232" s="31">
        <v>0</v>
      </c>
      <c r="AN232" s="31">
        <v>0</v>
      </c>
      <c r="AO232" s="31">
        <v>0</v>
      </c>
      <c r="AP232" s="31">
        <v>0</v>
      </c>
      <c r="AQ232" s="31">
        <v>0</v>
      </c>
      <c r="AR232" s="31">
        <v>0</v>
      </c>
      <c r="AS232" s="31">
        <v>0</v>
      </c>
    </row>
    <row r="233" spans="1:45">
      <c r="A233" s="30" t="s">
        <v>676</v>
      </c>
      <c r="B233" s="30" t="s">
        <v>633</v>
      </c>
      <c r="C233" s="30" t="s">
        <v>677</v>
      </c>
      <c r="D233" s="30" t="s">
        <v>587</v>
      </c>
      <c r="E233" s="30" t="s">
        <v>1021</v>
      </c>
      <c r="F233" s="30" t="s">
        <v>84</v>
      </c>
      <c r="G233" s="30" t="s">
        <v>1022</v>
      </c>
      <c r="H233" s="30" t="s">
        <v>680</v>
      </c>
      <c r="I233" s="31">
        <v>0</v>
      </c>
      <c r="J233" s="31">
        <v>0</v>
      </c>
      <c r="K233" s="31">
        <v>0</v>
      </c>
      <c r="L233" s="31">
        <v>0</v>
      </c>
      <c r="M233" s="31">
        <v>0</v>
      </c>
      <c r="N233" s="32">
        <v>146</v>
      </c>
      <c r="O233" s="32">
        <v>363</v>
      </c>
      <c r="P233" s="32">
        <v>300</v>
      </c>
      <c r="Q233" s="32">
        <v>269</v>
      </c>
      <c r="R233" s="32">
        <v>297</v>
      </c>
      <c r="S233" s="32">
        <v>190</v>
      </c>
      <c r="T233" s="32">
        <v>189</v>
      </c>
      <c r="U233" s="32">
        <v>177</v>
      </c>
      <c r="V233" s="32">
        <v>192</v>
      </c>
      <c r="W233" s="32">
        <v>113</v>
      </c>
      <c r="X233" s="32">
        <v>148</v>
      </c>
      <c r="Y233" s="32">
        <v>289</v>
      </c>
      <c r="Z233" s="32">
        <v>145</v>
      </c>
      <c r="AA233" s="32">
        <v>431</v>
      </c>
      <c r="AB233" s="32">
        <v>131</v>
      </c>
      <c r="AC233" s="32">
        <v>82</v>
      </c>
      <c r="AD233" s="32">
        <v>134</v>
      </c>
      <c r="AE233" s="32">
        <v>44</v>
      </c>
      <c r="AF233" s="32">
        <v>15</v>
      </c>
      <c r="AG233" s="32">
        <v>23</v>
      </c>
      <c r="AH233" s="32">
        <v>6</v>
      </c>
      <c r="AI233" s="32">
        <v>5</v>
      </c>
      <c r="AJ233" s="32">
        <v>9</v>
      </c>
      <c r="AK233" s="32">
        <v>3</v>
      </c>
      <c r="AL233" s="32">
        <v>1</v>
      </c>
      <c r="AM233" s="31">
        <v>0</v>
      </c>
      <c r="AN233" s="31">
        <v>0</v>
      </c>
      <c r="AO233" s="31">
        <v>0</v>
      </c>
      <c r="AP233" s="31">
        <v>0</v>
      </c>
      <c r="AQ233" s="31">
        <v>0</v>
      </c>
      <c r="AR233" s="31">
        <v>0</v>
      </c>
      <c r="AS233" s="31">
        <v>0</v>
      </c>
    </row>
    <row r="234" spans="1:45">
      <c r="A234" s="30" t="s">
        <v>676</v>
      </c>
      <c r="B234" s="30" t="s">
        <v>633</v>
      </c>
      <c r="C234" s="30" t="s">
        <v>677</v>
      </c>
      <c r="D234" s="30" t="s">
        <v>587</v>
      </c>
      <c r="E234" s="30" t="s">
        <v>1023</v>
      </c>
      <c r="F234" s="30" t="s">
        <v>93</v>
      </c>
      <c r="G234" s="30" t="s">
        <v>1024</v>
      </c>
      <c r="H234" s="30" t="s">
        <v>680</v>
      </c>
      <c r="I234" s="31">
        <v>0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2">
        <v>12</v>
      </c>
      <c r="V234" s="32">
        <v>141</v>
      </c>
      <c r="W234" s="32">
        <v>83</v>
      </c>
      <c r="X234" s="32">
        <v>156</v>
      </c>
      <c r="Y234" s="32">
        <v>81</v>
      </c>
      <c r="Z234" s="32">
        <v>74</v>
      </c>
      <c r="AA234" s="32">
        <v>58</v>
      </c>
      <c r="AB234" s="32">
        <v>37</v>
      </c>
      <c r="AC234" s="32">
        <v>63</v>
      </c>
      <c r="AD234" s="32">
        <v>39</v>
      </c>
      <c r="AE234" s="32">
        <v>23</v>
      </c>
      <c r="AF234" s="32">
        <v>24</v>
      </c>
      <c r="AG234" s="32">
        <v>31</v>
      </c>
      <c r="AH234" s="32">
        <v>7</v>
      </c>
      <c r="AI234" s="32">
        <v>10</v>
      </c>
      <c r="AJ234" s="32">
        <v>13</v>
      </c>
      <c r="AK234" s="32">
        <v>2</v>
      </c>
      <c r="AL234" s="32">
        <v>3</v>
      </c>
      <c r="AM234" s="32">
        <v>2</v>
      </c>
      <c r="AN234" s="32">
        <v>4</v>
      </c>
      <c r="AO234" s="32">
        <v>1</v>
      </c>
      <c r="AP234" s="31">
        <v>0</v>
      </c>
      <c r="AQ234" s="31">
        <v>0</v>
      </c>
      <c r="AR234" s="31">
        <v>0</v>
      </c>
      <c r="AS234" s="32">
        <v>1</v>
      </c>
    </row>
    <row r="235" spans="1:45">
      <c r="A235" s="30" t="s">
        <v>676</v>
      </c>
      <c r="B235" s="30" t="s">
        <v>633</v>
      </c>
      <c r="C235" s="30" t="s">
        <v>677</v>
      </c>
      <c r="D235" s="30" t="s">
        <v>587</v>
      </c>
      <c r="E235" s="30" t="s">
        <v>1025</v>
      </c>
      <c r="F235" s="30" t="s">
        <v>93</v>
      </c>
      <c r="G235" s="30" t="s">
        <v>1026</v>
      </c>
      <c r="H235" s="30" t="s">
        <v>680</v>
      </c>
      <c r="I235" s="31">
        <v>0</v>
      </c>
      <c r="J235" s="31">
        <v>0</v>
      </c>
      <c r="K235" s="31">
        <v>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2">
        <v>12</v>
      </c>
      <c r="V235" s="32">
        <v>141</v>
      </c>
      <c r="W235" s="32">
        <v>83</v>
      </c>
      <c r="X235" s="32">
        <v>156</v>
      </c>
      <c r="Y235" s="32">
        <v>81</v>
      </c>
      <c r="Z235" s="32">
        <v>74</v>
      </c>
      <c r="AA235" s="32">
        <v>58</v>
      </c>
      <c r="AB235" s="32">
        <v>37</v>
      </c>
      <c r="AC235" s="32">
        <v>63</v>
      </c>
      <c r="AD235" s="32">
        <v>39</v>
      </c>
      <c r="AE235" s="32">
        <v>23</v>
      </c>
      <c r="AF235" s="32">
        <v>24</v>
      </c>
      <c r="AG235" s="32">
        <v>31</v>
      </c>
      <c r="AH235" s="32">
        <v>7</v>
      </c>
      <c r="AI235" s="32">
        <v>10</v>
      </c>
      <c r="AJ235" s="32">
        <v>13</v>
      </c>
      <c r="AK235" s="32">
        <v>2</v>
      </c>
      <c r="AL235" s="32">
        <v>3</v>
      </c>
      <c r="AM235" s="32">
        <v>2</v>
      </c>
      <c r="AN235" s="32">
        <v>4</v>
      </c>
      <c r="AO235" s="32">
        <v>1</v>
      </c>
      <c r="AP235" s="31">
        <v>0</v>
      </c>
      <c r="AQ235" s="31">
        <v>0</v>
      </c>
      <c r="AR235" s="31">
        <v>0</v>
      </c>
      <c r="AS235" s="32">
        <v>1</v>
      </c>
    </row>
    <row r="236" spans="1:45">
      <c r="A236" s="30" t="s">
        <v>676</v>
      </c>
      <c r="B236" s="30" t="s">
        <v>633</v>
      </c>
      <c r="C236" s="30" t="s">
        <v>677</v>
      </c>
      <c r="D236" s="30" t="s">
        <v>587</v>
      </c>
      <c r="E236" s="30" t="s">
        <v>1027</v>
      </c>
      <c r="F236" s="30" t="s">
        <v>93</v>
      </c>
      <c r="G236" s="30" t="s">
        <v>1028</v>
      </c>
      <c r="H236" s="30" t="s">
        <v>680</v>
      </c>
      <c r="I236" s="31">
        <v>0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0</v>
      </c>
      <c r="AC236" s="31">
        <v>0</v>
      </c>
      <c r="AD236" s="31">
        <v>0</v>
      </c>
      <c r="AE236" s="32">
        <v>1</v>
      </c>
      <c r="AF236" s="32">
        <v>48</v>
      </c>
      <c r="AG236" s="32">
        <v>1120</v>
      </c>
      <c r="AH236" s="32">
        <v>832</v>
      </c>
      <c r="AI236" s="32">
        <v>762</v>
      </c>
      <c r="AJ236" s="32">
        <v>941</v>
      </c>
      <c r="AK236" s="32">
        <v>916</v>
      </c>
      <c r="AL236" s="32">
        <v>553</v>
      </c>
      <c r="AM236" s="32">
        <v>642</v>
      </c>
      <c r="AN236" s="32">
        <v>534</v>
      </c>
      <c r="AO236" s="32">
        <v>570</v>
      </c>
      <c r="AP236" s="32">
        <v>687</v>
      </c>
      <c r="AQ236" s="32">
        <v>514</v>
      </c>
      <c r="AR236" s="32">
        <v>459</v>
      </c>
      <c r="AS236" s="32">
        <v>753</v>
      </c>
    </row>
    <row r="237" spans="1:45">
      <c r="A237" s="30" t="s">
        <v>676</v>
      </c>
      <c r="B237" s="30" t="s">
        <v>633</v>
      </c>
      <c r="C237" s="30" t="s">
        <v>677</v>
      </c>
      <c r="D237" s="30" t="s">
        <v>587</v>
      </c>
      <c r="E237" s="30" t="s">
        <v>1029</v>
      </c>
      <c r="F237" s="30" t="s">
        <v>93</v>
      </c>
      <c r="G237" s="30" t="s">
        <v>1030</v>
      </c>
      <c r="H237" s="30" t="s">
        <v>680</v>
      </c>
      <c r="I237" s="31">
        <v>0</v>
      </c>
      <c r="J237" s="31">
        <v>0</v>
      </c>
      <c r="K237" s="31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0</v>
      </c>
      <c r="AC237" s="31">
        <v>0</v>
      </c>
      <c r="AD237" s="31">
        <v>0</v>
      </c>
      <c r="AE237" s="32">
        <v>1</v>
      </c>
      <c r="AF237" s="32">
        <v>48</v>
      </c>
      <c r="AG237" s="32">
        <v>1120</v>
      </c>
      <c r="AH237" s="32">
        <v>832</v>
      </c>
      <c r="AI237" s="32">
        <v>762</v>
      </c>
      <c r="AJ237" s="32">
        <v>941</v>
      </c>
      <c r="AK237" s="32">
        <v>916</v>
      </c>
      <c r="AL237" s="32">
        <v>553</v>
      </c>
      <c r="AM237" s="32">
        <v>642</v>
      </c>
      <c r="AN237" s="32">
        <v>534</v>
      </c>
      <c r="AO237" s="32">
        <v>570</v>
      </c>
      <c r="AP237" s="32">
        <v>687</v>
      </c>
      <c r="AQ237" s="32">
        <v>514</v>
      </c>
      <c r="AR237" s="32">
        <v>459</v>
      </c>
      <c r="AS237" s="32">
        <v>753</v>
      </c>
    </row>
    <row r="238" spans="1:45">
      <c r="A238" s="30" t="s">
        <v>676</v>
      </c>
      <c r="B238" s="30" t="s">
        <v>633</v>
      </c>
      <c r="C238" s="30" t="s">
        <v>677</v>
      </c>
      <c r="D238" s="30" t="s">
        <v>587</v>
      </c>
      <c r="E238" s="30" t="s">
        <v>1031</v>
      </c>
      <c r="F238" s="30" t="s">
        <v>93</v>
      </c>
      <c r="G238" s="30" t="s">
        <v>1032</v>
      </c>
      <c r="H238" s="30" t="s">
        <v>680</v>
      </c>
      <c r="I238" s="31">
        <v>0</v>
      </c>
      <c r="J238" s="31">
        <v>0</v>
      </c>
      <c r="K238" s="31">
        <v>0</v>
      </c>
      <c r="L238" s="31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2">
        <v>204</v>
      </c>
      <c r="X238" s="32">
        <v>264</v>
      </c>
      <c r="Y238" s="32">
        <v>252</v>
      </c>
      <c r="Z238" s="32">
        <v>296</v>
      </c>
      <c r="AA238" s="32">
        <v>470</v>
      </c>
      <c r="AB238" s="32">
        <v>427</v>
      </c>
      <c r="AC238" s="32">
        <v>349</v>
      </c>
      <c r="AD238" s="32">
        <v>157</v>
      </c>
      <c r="AE238" s="32">
        <v>130</v>
      </c>
      <c r="AF238" s="32">
        <v>25</v>
      </c>
      <c r="AG238" s="32">
        <v>18</v>
      </c>
      <c r="AH238" s="32">
        <v>7</v>
      </c>
      <c r="AI238" s="32">
        <v>3</v>
      </c>
      <c r="AJ238" s="32">
        <v>66</v>
      </c>
      <c r="AK238" s="32">
        <v>48</v>
      </c>
      <c r="AL238" s="32">
        <v>338</v>
      </c>
      <c r="AM238" s="32">
        <v>668</v>
      </c>
      <c r="AN238" s="32">
        <v>654</v>
      </c>
      <c r="AO238" s="32">
        <v>706</v>
      </c>
      <c r="AP238" s="32">
        <v>832</v>
      </c>
      <c r="AQ238" s="32">
        <v>774</v>
      </c>
      <c r="AR238" s="32">
        <v>748</v>
      </c>
      <c r="AS238" s="32">
        <v>1100</v>
      </c>
    </row>
    <row r="239" spans="1:45">
      <c r="A239" s="30" t="s">
        <v>676</v>
      </c>
      <c r="B239" s="30" t="s">
        <v>633</v>
      </c>
      <c r="C239" s="30" t="s">
        <v>677</v>
      </c>
      <c r="D239" s="30" t="s">
        <v>587</v>
      </c>
      <c r="E239" s="30" t="s">
        <v>1033</v>
      </c>
      <c r="F239" s="30" t="s">
        <v>93</v>
      </c>
      <c r="G239" s="30" t="s">
        <v>1034</v>
      </c>
      <c r="H239" s="30" t="s">
        <v>680</v>
      </c>
      <c r="I239" s="31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2">
        <v>204</v>
      </c>
      <c r="X239" s="32">
        <v>264</v>
      </c>
      <c r="Y239" s="32">
        <v>252</v>
      </c>
      <c r="Z239" s="32">
        <v>296</v>
      </c>
      <c r="AA239" s="32">
        <v>470</v>
      </c>
      <c r="AB239" s="32">
        <v>427</v>
      </c>
      <c r="AC239" s="32">
        <v>349</v>
      </c>
      <c r="AD239" s="32">
        <v>157</v>
      </c>
      <c r="AE239" s="32">
        <v>130</v>
      </c>
      <c r="AF239" s="32">
        <v>25</v>
      </c>
      <c r="AG239" s="32">
        <v>18</v>
      </c>
      <c r="AH239" s="32">
        <v>7</v>
      </c>
      <c r="AI239" s="32">
        <v>3</v>
      </c>
      <c r="AJ239" s="32">
        <v>66</v>
      </c>
      <c r="AK239" s="32">
        <v>48</v>
      </c>
      <c r="AL239" s="32">
        <v>338</v>
      </c>
      <c r="AM239" s="32">
        <v>668</v>
      </c>
      <c r="AN239" s="32">
        <v>654</v>
      </c>
      <c r="AO239" s="32">
        <v>706</v>
      </c>
      <c r="AP239" s="32">
        <v>832</v>
      </c>
      <c r="AQ239" s="32">
        <v>774</v>
      </c>
      <c r="AR239" s="32">
        <v>748</v>
      </c>
      <c r="AS239" s="32">
        <v>1100</v>
      </c>
    </row>
    <row r="240" spans="1:45">
      <c r="A240" s="30" t="s">
        <v>676</v>
      </c>
      <c r="B240" s="30" t="s">
        <v>633</v>
      </c>
      <c r="C240" s="30" t="s">
        <v>677</v>
      </c>
      <c r="D240" s="30" t="s">
        <v>587</v>
      </c>
      <c r="E240" s="30" t="s">
        <v>1035</v>
      </c>
      <c r="F240" s="30" t="s">
        <v>93</v>
      </c>
      <c r="G240" s="30" t="s">
        <v>1036</v>
      </c>
      <c r="H240" s="30" t="s">
        <v>680</v>
      </c>
      <c r="I240" s="31">
        <v>0</v>
      </c>
      <c r="J240" s="31">
        <v>0</v>
      </c>
      <c r="K240" s="31">
        <v>0</v>
      </c>
      <c r="L240" s="31">
        <v>0</v>
      </c>
      <c r="M240" s="31">
        <v>0</v>
      </c>
      <c r="N240" s="31">
        <v>0</v>
      </c>
      <c r="O240" s="31">
        <v>0</v>
      </c>
      <c r="P240" s="31">
        <v>0</v>
      </c>
      <c r="Q240" s="31">
        <v>0</v>
      </c>
      <c r="R240" s="31">
        <v>0</v>
      </c>
      <c r="S240" s="31">
        <v>0</v>
      </c>
      <c r="T240" s="31">
        <v>0</v>
      </c>
      <c r="U240" s="31">
        <v>0</v>
      </c>
      <c r="V240" s="31">
        <v>0</v>
      </c>
      <c r="W240" s="31">
        <v>0</v>
      </c>
      <c r="X240" s="31">
        <v>0</v>
      </c>
      <c r="Y240" s="31">
        <v>0</v>
      </c>
      <c r="Z240" s="31">
        <v>0</v>
      </c>
      <c r="AA240" s="31">
        <v>0</v>
      </c>
      <c r="AB240" s="31">
        <v>0</v>
      </c>
      <c r="AC240" s="31">
        <v>0</v>
      </c>
      <c r="AD240" s="32">
        <v>166</v>
      </c>
      <c r="AE240" s="32">
        <v>176</v>
      </c>
      <c r="AF240" s="32">
        <v>63</v>
      </c>
      <c r="AG240" s="32">
        <v>33</v>
      </c>
      <c r="AH240" s="32">
        <v>11</v>
      </c>
      <c r="AI240" s="32">
        <v>5</v>
      </c>
      <c r="AJ240" s="32">
        <v>7</v>
      </c>
      <c r="AK240" s="32">
        <v>10</v>
      </c>
      <c r="AL240" s="32">
        <v>5</v>
      </c>
      <c r="AM240" s="32">
        <v>5</v>
      </c>
      <c r="AN240" s="32">
        <v>6</v>
      </c>
      <c r="AO240" s="32">
        <v>1</v>
      </c>
      <c r="AP240" s="32">
        <v>4</v>
      </c>
      <c r="AQ240" s="32">
        <v>2</v>
      </c>
      <c r="AR240" s="32">
        <v>2</v>
      </c>
      <c r="AS240" s="32">
        <v>2</v>
      </c>
    </row>
    <row r="241" spans="1:45">
      <c r="A241" s="30" t="s">
        <v>676</v>
      </c>
      <c r="B241" s="30" t="s">
        <v>633</v>
      </c>
      <c r="C241" s="30" t="s">
        <v>677</v>
      </c>
      <c r="D241" s="30" t="s">
        <v>587</v>
      </c>
      <c r="E241" s="30" t="s">
        <v>1037</v>
      </c>
      <c r="F241" s="30" t="s">
        <v>93</v>
      </c>
      <c r="G241" s="30" t="s">
        <v>1038</v>
      </c>
      <c r="H241" s="30" t="s">
        <v>680</v>
      </c>
      <c r="I241" s="31">
        <v>0</v>
      </c>
      <c r="J241" s="31">
        <v>0</v>
      </c>
      <c r="K241" s="31">
        <v>0</v>
      </c>
      <c r="L241" s="31">
        <v>0</v>
      </c>
      <c r="M241" s="31">
        <v>0</v>
      </c>
      <c r="N241" s="31">
        <v>0</v>
      </c>
      <c r="O241" s="31">
        <v>0</v>
      </c>
      <c r="P241" s="31">
        <v>0</v>
      </c>
      <c r="Q241" s="31">
        <v>0</v>
      </c>
      <c r="R241" s="31">
        <v>0</v>
      </c>
      <c r="S241" s="31">
        <v>0</v>
      </c>
      <c r="T241" s="31">
        <v>0</v>
      </c>
      <c r="U241" s="31">
        <v>0</v>
      </c>
      <c r="V241" s="31">
        <v>0</v>
      </c>
      <c r="W241" s="31">
        <v>0</v>
      </c>
      <c r="X241" s="31">
        <v>0</v>
      </c>
      <c r="Y241" s="31">
        <v>0</v>
      </c>
      <c r="Z241" s="31">
        <v>0</v>
      </c>
      <c r="AA241" s="31">
        <v>0</v>
      </c>
      <c r="AB241" s="31">
        <v>0</v>
      </c>
      <c r="AC241" s="31">
        <v>0</v>
      </c>
      <c r="AD241" s="32">
        <v>166</v>
      </c>
      <c r="AE241" s="32">
        <v>176</v>
      </c>
      <c r="AF241" s="32">
        <v>63</v>
      </c>
      <c r="AG241" s="32">
        <v>33</v>
      </c>
      <c r="AH241" s="32">
        <v>11</v>
      </c>
      <c r="AI241" s="32">
        <v>5</v>
      </c>
      <c r="AJ241" s="32">
        <v>7</v>
      </c>
      <c r="AK241" s="32">
        <v>10</v>
      </c>
      <c r="AL241" s="32">
        <v>5</v>
      </c>
      <c r="AM241" s="32">
        <v>5</v>
      </c>
      <c r="AN241" s="32">
        <v>6</v>
      </c>
      <c r="AO241" s="32">
        <v>1</v>
      </c>
      <c r="AP241" s="32">
        <v>4</v>
      </c>
      <c r="AQ241" s="32">
        <v>2</v>
      </c>
      <c r="AR241" s="32">
        <v>2</v>
      </c>
      <c r="AS241" s="32">
        <v>2</v>
      </c>
    </row>
    <row r="242" spans="1:45">
      <c r="A242" s="30" t="s">
        <v>676</v>
      </c>
      <c r="B242" s="30" t="s">
        <v>633</v>
      </c>
      <c r="C242" s="30" t="s">
        <v>677</v>
      </c>
      <c r="D242" s="30" t="s">
        <v>587</v>
      </c>
      <c r="E242" s="30" t="s">
        <v>1039</v>
      </c>
      <c r="F242" s="30" t="s">
        <v>94</v>
      </c>
      <c r="G242" s="30" t="s">
        <v>1040</v>
      </c>
      <c r="H242" s="30" t="s">
        <v>680</v>
      </c>
      <c r="I242" s="31">
        <v>0</v>
      </c>
      <c r="J242" s="31">
        <v>0</v>
      </c>
      <c r="K242" s="31">
        <v>0</v>
      </c>
      <c r="L242" s="31">
        <v>0</v>
      </c>
      <c r="M242" s="31">
        <v>0</v>
      </c>
      <c r="N242" s="31">
        <v>0</v>
      </c>
      <c r="O242" s="31">
        <v>0</v>
      </c>
      <c r="P242" s="31">
        <v>0</v>
      </c>
      <c r="Q242" s="31">
        <v>0</v>
      </c>
      <c r="R242" s="31">
        <v>0</v>
      </c>
      <c r="S242" s="31">
        <v>0</v>
      </c>
      <c r="T242" s="31">
        <v>0</v>
      </c>
      <c r="U242" s="31">
        <v>0</v>
      </c>
      <c r="V242" s="31">
        <v>0</v>
      </c>
      <c r="W242" s="31">
        <v>0</v>
      </c>
      <c r="X242" s="31">
        <v>0</v>
      </c>
      <c r="Y242" s="31">
        <v>0</v>
      </c>
      <c r="Z242" s="31">
        <v>0</v>
      </c>
      <c r="AA242" s="31">
        <v>0</v>
      </c>
      <c r="AB242" s="31">
        <v>0</v>
      </c>
      <c r="AC242" s="31">
        <v>0</v>
      </c>
      <c r="AD242" s="31">
        <v>0</v>
      </c>
      <c r="AE242" s="31">
        <v>0</v>
      </c>
      <c r="AF242" s="31">
        <v>0</v>
      </c>
      <c r="AG242" s="31">
        <v>0</v>
      </c>
      <c r="AH242" s="32">
        <v>566</v>
      </c>
      <c r="AI242" s="32">
        <v>860</v>
      </c>
      <c r="AJ242" s="32">
        <v>812</v>
      </c>
      <c r="AK242" s="32">
        <v>1020</v>
      </c>
      <c r="AL242" s="32">
        <v>829</v>
      </c>
      <c r="AM242" s="32">
        <v>1162</v>
      </c>
      <c r="AN242" s="32">
        <v>1095</v>
      </c>
      <c r="AO242" s="32">
        <v>1135</v>
      </c>
      <c r="AP242" s="32">
        <v>1531</v>
      </c>
      <c r="AQ242" s="32">
        <v>1066</v>
      </c>
      <c r="AR242" s="32">
        <v>1083</v>
      </c>
      <c r="AS242" s="32">
        <v>1123</v>
      </c>
    </row>
    <row r="243" spans="1:45">
      <c r="A243" s="30" t="s">
        <v>676</v>
      </c>
      <c r="B243" s="30" t="s">
        <v>633</v>
      </c>
      <c r="C243" s="30" t="s">
        <v>677</v>
      </c>
      <c r="D243" s="30" t="s">
        <v>587</v>
      </c>
      <c r="E243" s="30" t="s">
        <v>1041</v>
      </c>
      <c r="F243" s="30" t="s">
        <v>94</v>
      </c>
      <c r="G243" s="30" t="s">
        <v>1042</v>
      </c>
      <c r="H243" s="30" t="s">
        <v>680</v>
      </c>
      <c r="I243" s="31">
        <v>0</v>
      </c>
      <c r="J243" s="31">
        <v>0</v>
      </c>
      <c r="K243" s="31">
        <v>0</v>
      </c>
      <c r="L243" s="31">
        <v>0</v>
      </c>
      <c r="M243" s="31">
        <v>0</v>
      </c>
      <c r="N243" s="31">
        <v>0</v>
      </c>
      <c r="O243" s="31">
        <v>0</v>
      </c>
      <c r="P243" s="31">
        <v>0</v>
      </c>
      <c r="Q243" s="31">
        <v>0</v>
      </c>
      <c r="R243" s="31">
        <v>0</v>
      </c>
      <c r="S243" s="31">
        <v>0</v>
      </c>
      <c r="T243" s="31">
        <v>0</v>
      </c>
      <c r="U243" s="31">
        <v>0</v>
      </c>
      <c r="V243" s="31">
        <v>0</v>
      </c>
      <c r="W243" s="31">
        <v>0</v>
      </c>
      <c r="X243" s="31">
        <v>0</v>
      </c>
      <c r="Y243" s="31">
        <v>0</v>
      </c>
      <c r="Z243" s="31">
        <v>0</v>
      </c>
      <c r="AA243" s="31">
        <v>0</v>
      </c>
      <c r="AB243" s="31">
        <v>0</v>
      </c>
      <c r="AC243" s="31">
        <v>0</v>
      </c>
      <c r="AD243" s="31">
        <v>0</v>
      </c>
      <c r="AE243" s="31">
        <v>0</v>
      </c>
      <c r="AF243" s="31">
        <v>0</v>
      </c>
      <c r="AG243" s="31">
        <v>0</v>
      </c>
      <c r="AH243" s="32">
        <v>566</v>
      </c>
      <c r="AI243" s="32">
        <v>860</v>
      </c>
      <c r="AJ243" s="32">
        <v>812</v>
      </c>
      <c r="AK243" s="32">
        <v>1020</v>
      </c>
      <c r="AL243" s="32">
        <v>829</v>
      </c>
      <c r="AM243" s="32">
        <v>1162</v>
      </c>
      <c r="AN243" s="32">
        <v>1095</v>
      </c>
      <c r="AO243" s="32">
        <v>1135</v>
      </c>
      <c r="AP243" s="32">
        <v>1531</v>
      </c>
      <c r="AQ243" s="32">
        <v>1066</v>
      </c>
      <c r="AR243" s="32">
        <v>1083</v>
      </c>
      <c r="AS243" s="32">
        <v>1123</v>
      </c>
    </row>
    <row r="244" spans="1:45">
      <c r="A244" s="30" t="s">
        <v>676</v>
      </c>
      <c r="B244" s="30" t="s">
        <v>633</v>
      </c>
      <c r="C244" s="30" t="s">
        <v>677</v>
      </c>
      <c r="D244" s="30" t="s">
        <v>587</v>
      </c>
      <c r="E244" s="30" t="s">
        <v>1043</v>
      </c>
      <c r="F244" s="30" t="s">
        <v>94</v>
      </c>
      <c r="G244" s="30" t="s">
        <v>1044</v>
      </c>
      <c r="H244" s="30" t="s">
        <v>680</v>
      </c>
      <c r="I244" s="31">
        <v>0</v>
      </c>
      <c r="J244" s="31">
        <v>0</v>
      </c>
      <c r="K244" s="31">
        <v>0</v>
      </c>
      <c r="L244" s="31">
        <v>0</v>
      </c>
      <c r="M244" s="31">
        <v>0</v>
      </c>
      <c r="N244" s="31">
        <v>0</v>
      </c>
      <c r="O244" s="31">
        <v>0</v>
      </c>
      <c r="P244" s="31">
        <v>0</v>
      </c>
      <c r="Q244" s="31">
        <v>0</v>
      </c>
      <c r="R244" s="31">
        <v>0</v>
      </c>
      <c r="S244" s="31">
        <v>0</v>
      </c>
      <c r="T244" s="31">
        <v>0</v>
      </c>
      <c r="U244" s="31">
        <v>0</v>
      </c>
      <c r="V244" s="31">
        <v>0</v>
      </c>
      <c r="W244" s="31">
        <v>0</v>
      </c>
      <c r="X244" s="31">
        <v>0</v>
      </c>
      <c r="Y244" s="31">
        <v>0</v>
      </c>
      <c r="Z244" s="31">
        <v>0</v>
      </c>
      <c r="AA244" s="31">
        <v>0</v>
      </c>
      <c r="AB244" s="31">
        <v>0</v>
      </c>
      <c r="AC244" s="31">
        <v>0</v>
      </c>
      <c r="AD244" s="31">
        <v>0</v>
      </c>
      <c r="AE244" s="31">
        <v>0</v>
      </c>
      <c r="AF244" s="32">
        <v>19</v>
      </c>
      <c r="AG244" s="32">
        <v>236</v>
      </c>
      <c r="AH244" s="32">
        <v>315</v>
      </c>
      <c r="AI244" s="32">
        <v>123</v>
      </c>
      <c r="AJ244" s="32">
        <v>113</v>
      </c>
      <c r="AK244" s="32">
        <v>44</v>
      </c>
      <c r="AL244" s="32">
        <v>20</v>
      </c>
      <c r="AM244" s="32">
        <v>33</v>
      </c>
      <c r="AN244" s="32">
        <v>17</v>
      </c>
      <c r="AO244" s="32">
        <v>13</v>
      </c>
      <c r="AP244" s="32">
        <v>17</v>
      </c>
      <c r="AQ244" s="32">
        <v>13</v>
      </c>
      <c r="AR244" s="32">
        <v>6</v>
      </c>
      <c r="AS244" s="32">
        <v>7</v>
      </c>
    </row>
    <row r="245" spans="1:45">
      <c r="A245" s="30" t="s">
        <v>676</v>
      </c>
      <c r="B245" s="30" t="s">
        <v>633</v>
      </c>
      <c r="C245" s="30" t="s">
        <v>677</v>
      </c>
      <c r="D245" s="30" t="s">
        <v>587</v>
      </c>
      <c r="E245" s="30" t="s">
        <v>1045</v>
      </c>
      <c r="F245" s="30" t="s">
        <v>92</v>
      </c>
      <c r="G245" s="30" t="s">
        <v>1046</v>
      </c>
      <c r="H245" s="30" t="s">
        <v>680</v>
      </c>
      <c r="I245" s="31">
        <v>0</v>
      </c>
      <c r="J245" s="31">
        <v>0</v>
      </c>
      <c r="K245" s="31">
        <v>0</v>
      </c>
      <c r="L245" s="31">
        <v>0</v>
      </c>
      <c r="M245" s="31">
        <v>0</v>
      </c>
      <c r="N245" s="31">
        <v>0</v>
      </c>
      <c r="O245" s="31">
        <v>0</v>
      </c>
      <c r="P245" s="31">
        <v>0</v>
      </c>
      <c r="Q245" s="31">
        <v>0</v>
      </c>
      <c r="R245" s="31">
        <v>0</v>
      </c>
      <c r="S245" s="31">
        <v>0</v>
      </c>
      <c r="T245" s="31">
        <v>0</v>
      </c>
      <c r="U245" s="31">
        <v>0</v>
      </c>
      <c r="V245" s="31">
        <v>0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0</v>
      </c>
      <c r="AC245" s="31">
        <v>0</v>
      </c>
      <c r="AD245" s="31">
        <v>0</v>
      </c>
      <c r="AE245" s="31">
        <v>0</v>
      </c>
      <c r="AF245" s="31">
        <v>0</v>
      </c>
      <c r="AG245" s="31">
        <v>0</v>
      </c>
      <c r="AH245" s="31">
        <v>0</v>
      </c>
      <c r="AI245" s="32">
        <v>262</v>
      </c>
      <c r="AJ245" s="32">
        <v>546</v>
      </c>
      <c r="AK245" s="32">
        <v>587</v>
      </c>
      <c r="AL245" s="32">
        <v>599</v>
      </c>
      <c r="AM245" s="32">
        <v>849</v>
      </c>
      <c r="AN245" s="32">
        <v>893</v>
      </c>
      <c r="AO245" s="32">
        <v>958</v>
      </c>
      <c r="AP245" s="32">
        <v>1549</v>
      </c>
      <c r="AQ245" s="32">
        <v>1229</v>
      </c>
      <c r="AR245" s="32">
        <v>980</v>
      </c>
      <c r="AS245" s="32">
        <v>1352</v>
      </c>
    </row>
    <row r="246" spans="1:45">
      <c r="A246" s="30" t="s">
        <v>676</v>
      </c>
      <c r="B246" s="30" t="s">
        <v>633</v>
      </c>
      <c r="C246" s="30" t="s">
        <v>677</v>
      </c>
      <c r="D246" s="30" t="s">
        <v>587</v>
      </c>
      <c r="E246" s="30" t="s">
        <v>1047</v>
      </c>
      <c r="F246" s="30" t="s">
        <v>92</v>
      </c>
      <c r="G246" s="30" t="s">
        <v>1048</v>
      </c>
      <c r="H246" s="30" t="s">
        <v>680</v>
      </c>
      <c r="I246" s="31">
        <v>0</v>
      </c>
      <c r="J246" s="31">
        <v>0</v>
      </c>
      <c r="K246" s="31">
        <v>0</v>
      </c>
      <c r="L246" s="31">
        <v>0</v>
      </c>
      <c r="M246" s="31">
        <v>0</v>
      </c>
      <c r="N246" s="31">
        <v>0</v>
      </c>
      <c r="O246" s="31">
        <v>0</v>
      </c>
      <c r="P246" s="31">
        <v>0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0</v>
      </c>
      <c r="AC246" s="31">
        <v>0</v>
      </c>
      <c r="AD246" s="31">
        <v>0</v>
      </c>
      <c r="AE246" s="31">
        <v>0</v>
      </c>
      <c r="AF246" s="31">
        <v>0</v>
      </c>
      <c r="AG246" s="31">
        <v>0</v>
      </c>
      <c r="AH246" s="31">
        <v>0</v>
      </c>
      <c r="AI246" s="32">
        <v>262</v>
      </c>
      <c r="AJ246" s="32">
        <v>546</v>
      </c>
      <c r="AK246" s="32">
        <v>587</v>
      </c>
      <c r="AL246" s="32">
        <v>599</v>
      </c>
      <c r="AM246" s="32">
        <v>849</v>
      </c>
      <c r="AN246" s="32">
        <v>893</v>
      </c>
      <c r="AO246" s="32">
        <v>958</v>
      </c>
      <c r="AP246" s="32">
        <v>1549</v>
      </c>
      <c r="AQ246" s="32">
        <v>1229</v>
      </c>
      <c r="AR246" s="32">
        <v>980</v>
      </c>
      <c r="AS246" s="32">
        <v>1352</v>
      </c>
    </row>
    <row r="247" spans="1:45">
      <c r="A247" s="30" t="s">
        <v>676</v>
      </c>
      <c r="B247" s="30" t="s">
        <v>633</v>
      </c>
      <c r="C247" s="30" t="s">
        <v>677</v>
      </c>
      <c r="D247" s="30" t="s">
        <v>587</v>
      </c>
      <c r="E247" s="30" t="s">
        <v>1049</v>
      </c>
      <c r="F247" s="30" t="s">
        <v>88</v>
      </c>
      <c r="G247" s="30" t="s">
        <v>1050</v>
      </c>
      <c r="H247" s="30" t="s">
        <v>680</v>
      </c>
      <c r="I247" s="31">
        <v>0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0</v>
      </c>
      <c r="Z247" s="31">
        <v>0</v>
      </c>
      <c r="AA247" s="31">
        <v>0</v>
      </c>
      <c r="AB247" s="31">
        <v>0</v>
      </c>
      <c r="AC247" s="31">
        <v>0</v>
      </c>
      <c r="AD247" s="31">
        <v>0</v>
      </c>
      <c r="AE247" s="31">
        <v>0</v>
      </c>
      <c r="AF247" s="31">
        <v>0</v>
      </c>
      <c r="AG247" s="31">
        <v>0</v>
      </c>
      <c r="AH247" s="31">
        <v>0</v>
      </c>
      <c r="AI247" s="31">
        <v>0</v>
      </c>
      <c r="AJ247" s="31">
        <v>0</v>
      </c>
      <c r="AK247" s="31">
        <v>0</v>
      </c>
      <c r="AL247" s="31">
        <v>0</v>
      </c>
      <c r="AM247" s="32">
        <v>390</v>
      </c>
      <c r="AN247" s="32">
        <v>601</v>
      </c>
      <c r="AO247" s="32">
        <v>838</v>
      </c>
      <c r="AP247" s="32">
        <v>1113</v>
      </c>
      <c r="AQ247" s="32">
        <v>695</v>
      </c>
      <c r="AR247" s="32">
        <v>729</v>
      </c>
      <c r="AS247" s="32">
        <v>925</v>
      </c>
    </row>
    <row r="248" spans="1:45">
      <c r="A248" s="30" t="s">
        <v>676</v>
      </c>
      <c r="B248" s="30" t="s">
        <v>633</v>
      </c>
      <c r="C248" s="30" t="s">
        <v>677</v>
      </c>
      <c r="D248" s="30" t="s">
        <v>587</v>
      </c>
      <c r="E248" s="30" t="s">
        <v>1051</v>
      </c>
      <c r="F248" s="30" t="s">
        <v>88</v>
      </c>
      <c r="G248" s="30" t="s">
        <v>1052</v>
      </c>
      <c r="H248" s="30" t="s">
        <v>680</v>
      </c>
      <c r="I248" s="31">
        <v>0</v>
      </c>
      <c r="J248" s="31">
        <v>0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1">
        <v>0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0</v>
      </c>
      <c r="AA248" s="31">
        <v>0</v>
      </c>
      <c r="AB248" s="31">
        <v>0</v>
      </c>
      <c r="AC248" s="31">
        <v>0</v>
      </c>
      <c r="AD248" s="31">
        <v>0</v>
      </c>
      <c r="AE248" s="31">
        <v>0</v>
      </c>
      <c r="AF248" s="31">
        <v>0</v>
      </c>
      <c r="AG248" s="31">
        <v>0</v>
      </c>
      <c r="AH248" s="31">
        <v>0</v>
      </c>
      <c r="AI248" s="31">
        <v>0</v>
      </c>
      <c r="AJ248" s="31">
        <v>0</v>
      </c>
      <c r="AK248" s="31">
        <v>0</v>
      </c>
      <c r="AL248" s="31">
        <v>0</v>
      </c>
      <c r="AM248" s="32">
        <v>390</v>
      </c>
      <c r="AN248" s="32">
        <v>601</v>
      </c>
      <c r="AO248" s="32">
        <v>838</v>
      </c>
      <c r="AP248" s="32">
        <v>1113</v>
      </c>
      <c r="AQ248" s="32">
        <v>695</v>
      </c>
      <c r="AR248" s="32">
        <v>729</v>
      </c>
      <c r="AS248" s="32">
        <v>925</v>
      </c>
    </row>
    <row r="249" spans="1:45">
      <c r="A249" s="30" t="s">
        <v>676</v>
      </c>
      <c r="B249" s="30" t="s">
        <v>633</v>
      </c>
      <c r="C249" s="30" t="s">
        <v>677</v>
      </c>
      <c r="D249" s="30" t="s">
        <v>587</v>
      </c>
      <c r="E249" s="30" t="s">
        <v>1053</v>
      </c>
      <c r="F249" s="30" t="s">
        <v>92</v>
      </c>
      <c r="G249" s="30" t="s">
        <v>1054</v>
      </c>
      <c r="H249" s="30" t="s">
        <v>680</v>
      </c>
      <c r="I249" s="31">
        <v>0</v>
      </c>
      <c r="J249" s="31">
        <v>0</v>
      </c>
      <c r="K249" s="31">
        <v>0</v>
      </c>
      <c r="L249" s="31">
        <v>0</v>
      </c>
      <c r="M249" s="31">
        <v>0</v>
      </c>
      <c r="N249" s="31">
        <v>0</v>
      </c>
      <c r="O249" s="31">
        <v>0</v>
      </c>
      <c r="P249" s="31">
        <v>0</v>
      </c>
      <c r="Q249" s="31">
        <v>0</v>
      </c>
      <c r="R249" s="31">
        <v>0</v>
      </c>
      <c r="S249" s="31">
        <v>0</v>
      </c>
      <c r="T249" s="31">
        <v>0</v>
      </c>
      <c r="U249" s="31">
        <v>0</v>
      </c>
      <c r="V249" s="31">
        <v>0</v>
      </c>
      <c r="W249" s="31">
        <v>0</v>
      </c>
      <c r="X249" s="31">
        <v>0</v>
      </c>
      <c r="Y249" s="31">
        <v>0</v>
      </c>
      <c r="Z249" s="31">
        <v>0</v>
      </c>
      <c r="AA249" s="31">
        <v>0</v>
      </c>
      <c r="AB249" s="31">
        <v>0</v>
      </c>
      <c r="AC249" s="31">
        <v>0</v>
      </c>
      <c r="AD249" s="31">
        <v>0</v>
      </c>
      <c r="AE249" s="31">
        <v>0</v>
      </c>
      <c r="AF249" s="31">
        <v>0</v>
      </c>
      <c r="AG249" s="31">
        <v>0</v>
      </c>
      <c r="AH249" s="31">
        <v>0</v>
      </c>
      <c r="AI249" s="32">
        <v>62</v>
      </c>
      <c r="AJ249" s="32">
        <v>614</v>
      </c>
      <c r="AK249" s="32">
        <v>981</v>
      </c>
      <c r="AL249" s="32">
        <v>869</v>
      </c>
      <c r="AM249" s="32">
        <v>557</v>
      </c>
      <c r="AN249" s="32">
        <v>284</v>
      </c>
      <c r="AO249" s="32">
        <v>701</v>
      </c>
      <c r="AP249" s="32">
        <v>1246</v>
      </c>
      <c r="AQ249" s="32">
        <v>828</v>
      </c>
      <c r="AR249" s="32">
        <v>768</v>
      </c>
      <c r="AS249" s="32">
        <v>1083</v>
      </c>
    </row>
    <row r="250" spans="1:45">
      <c r="A250" s="30" t="s">
        <v>676</v>
      </c>
      <c r="B250" s="30" t="s">
        <v>633</v>
      </c>
      <c r="C250" s="30" t="s">
        <v>677</v>
      </c>
      <c r="D250" s="30" t="s">
        <v>587</v>
      </c>
      <c r="E250" s="30" t="s">
        <v>1055</v>
      </c>
      <c r="F250" s="30" t="s">
        <v>92</v>
      </c>
      <c r="G250" s="30" t="s">
        <v>1056</v>
      </c>
      <c r="H250" s="30" t="s">
        <v>680</v>
      </c>
      <c r="I250" s="31">
        <v>0</v>
      </c>
      <c r="J250" s="31">
        <v>0</v>
      </c>
      <c r="K250" s="31">
        <v>0</v>
      </c>
      <c r="L250" s="31">
        <v>0</v>
      </c>
      <c r="M250" s="31">
        <v>0</v>
      </c>
      <c r="N250" s="31">
        <v>0</v>
      </c>
      <c r="O250" s="31">
        <v>0</v>
      </c>
      <c r="P250" s="31">
        <v>0</v>
      </c>
      <c r="Q250" s="31">
        <v>0</v>
      </c>
      <c r="R250" s="31">
        <v>0</v>
      </c>
      <c r="S250" s="31">
        <v>0</v>
      </c>
      <c r="T250" s="31">
        <v>0</v>
      </c>
      <c r="U250" s="31">
        <v>0</v>
      </c>
      <c r="V250" s="31">
        <v>0</v>
      </c>
      <c r="W250" s="31">
        <v>0</v>
      </c>
      <c r="X250" s="31">
        <v>0</v>
      </c>
      <c r="Y250" s="31">
        <v>0</v>
      </c>
      <c r="Z250" s="31">
        <v>0</v>
      </c>
      <c r="AA250" s="31">
        <v>0</v>
      </c>
      <c r="AB250" s="31">
        <v>0</v>
      </c>
      <c r="AC250" s="31">
        <v>0</v>
      </c>
      <c r="AD250" s="31">
        <v>0</v>
      </c>
      <c r="AE250" s="31">
        <v>0</v>
      </c>
      <c r="AF250" s="31">
        <v>0</v>
      </c>
      <c r="AG250" s="31">
        <v>0</v>
      </c>
      <c r="AH250" s="31">
        <v>0</v>
      </c>
      <c r="AI250" s="32">
        <v>62</v>
      </c>
      <c r="AJ250" s="32">
        <v>614</v>
      </c>
      <c r="AK250" s="32">
        <v>981</v>
      </c>
      <c r="AL250" s="32">
        <v>869</v>
      </c>
      <c r="AM250" s="32">
        <v>557</v>
      </c>
      <c r="AN250" s="32">
        <v>284</v>
      </c>
      <c r="AO250" s="32">
        <v>701</v>
      </c>
      <c r="AP250" s="32">
        <v>1246</v>
      </c>
      <c r="AQ250" s="32">
        <v>828</v>
      </c>
      <c r="AR250" s="32">
        <v>768</v>
      </c>
      <c r="AS250" s="32">
        <v>1083</v>
      </c>
    </row>
    <row r="251" spans="1:45">
      <c r="A251" s="30" t="s">
        <v>676</v>
      </c>
      <c r="B251" s="30" t="s">
        <v>633</v>
      </c>
      <c r="C251" s="30" t="s">
        <v>677</v>
      </c>
      <c r="D251" s="30" t="s">
        <v>587</v>
      </c>
      <c r="E251" s="30" t="s">
        <v>1057</v>
      </c>
      <c r="F251" s="30" t="s">
        <v>104</v>
      </c>
      <c r="G251" s="30" t="s">
        <v>1058</v>
      </c>
      <c r="H251" s="30" t="s">
        <v>680</v>
      </c>
      <c r="I251" s="31">
        <v>0</v>
      </c>
      <c r="J251" s="31">
        <v>0</v>
      </c>
      <c r="K251" s="31">
        <v>0</v>
      </c>
      <c r="L251" s="31"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0</v>
      </c>
      <c r="Z251" s="31">
        <v>0</v>
      </c>
      <c r="AA251" s="31">
        <v>0</v>
      </c>
      <c r="AB251" s="31">
        <v>0</v>
      </c>
      <c r="AC251" s="31">
        <v>0</v>
      </c>
      <c r="AD251" s="31">
        <v>0</v>
      </c>
      <c r="AE251" s="31">
        <v>0</v>
      </c>
      <c r="AF251" s="31">
        <v>0</v>
      </c>
      <c r="AG251" s="31">
        <v>0</v>
      </c>
      <c r="AH251" s="31">
        <v>0</v>
      </c>
      <c r="AI251" s="31">
        <v>0</v>
      </c>
      <c r="AJ251" s="31">
        <v>0</v>
      </c>
      <c r="AK251" s="31">
        <v>0</v>
      </c>
      <c r="AL251" s="31">
        <v>0</v>
      </c>
      <c r="AM251" s="31">
        <v>0</v>
      </c>
      <c r="AN251" s="32">
        <v>23</v>
      </c>
      <c r="AO251" s="32">
        <v>335</v>
      </c>
      <c r="AP251" s="32">
        <v>1065</v>
      </c>
      <c r="AQ251" s="32">
        <v>346</v>
      </c>
      <c r="AR251" s="32">
        <v>611</v>
      </c>
      <c r="AS251" s="32">
        <v>917</v>
      </c>
    </row>
    <row r="252" spans="1:45">
      <c r="A252" s="30" t="s">
        <v>676</v>
      </c>
      <c r="B252" s="30" t="s">
        <v>633</v>
      </c>
      <c r="C252" s="30" t="s">
        <v>677</v>
      </c>
      <c r="D252" s="30" t="s">
        <v>587</v>
      </c>
      <c r="E252" s="30" t="s">
        <v>1059</v>
      </c>
      <c r="F252" s="30" t="s">
        <v>104</v>
      </c>
      <c r="G252" s="30" t="s">
        <v>1060</v>
      </c>
      <c r="H252" s="30" t="s">
        <v>680</v>
      </c>
      <c r="I252" s="31">
        <v>0</v>
      </c>
      <c r="J252" s="31">
        <v>0</v>
      </c>
      <c r="K252" s="31">
        <v>0</v>
      </c>
      <c r="L252" s="31"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0</v>
      </c>
      <c r="AC252" s="31">
        <v>0</v>
      </c>
      <c r="AD252" s="31">
        <v>0</v>
      </c>
      <c r="AE252" s="31">
        <v>0</v>
      </c>
      <c r="AF252" s="31">
        <v>0</v>
      </c>
      <c r="AG252" s="31">
        <v>0</v>
      </c>
      <c r="AH252" s="31">
        <v>0</v>
      </c>
      <c r="AI252" s="31">
        <v>0</v>
      </c>
      <c r="AJ252" s="31">
        <v>0</v>
      </c>
      <c r="AK252" s="31">
        <v>0</v>
      </c>
      <c r="AL252" s="31">
        <v>0</v>
      </c>
      <c r="AM252" s="31">
        <v>0</v>
      </c>
      <c r="AN252" s="32">
        <v>23</v>
      </c>
      <c r="AO252" s="32">
        <v>335</v>
      </c>
      <c r="AP252" s="32">
        <v>1065</v>
      </c>
      <c r="AQ252" s="32">
        <v>346</v>
      </c>
      <c r="AR252" s="32">
        <v>611</v>
      </c>
      <c r="AS252" s="32">
        <v>917</v>
      </c>
    </row>
    <row r="253" spans="1:45">
      <c r="A253" s="30" t="s">
        <v>676</v>
      </c>
      <c r="B253" s="30" t="s">
        <v>633</v>
      </c>
      <c r="C253" s="30" t="s">
        <v>677</v>
      </c>
      <c r="D253" s="30" t="s">
        <v>587</v>
      </c>
      <c r="E253" s="30" t="s">
        <v>1061</v>
      </c>
      <c r="F253" s="30" t="s">
        <v>103</v>
      </c>
      <c r="G253" s="30" t="s">
        <v>1062</v>
      </c>
      <c r="H253" s="30" t="s">
        <v>680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  <c r="AC253" s="31">
        <v>0</v>
      </c>
      <c r="AD253" s="31">
        <v>0</v>
      </c>
      <c r="AE253" s="31">
        <v>0</v>
      </c>
      <c r="AF253" s="31">
        <v>0</v>
      </c>
      <c r="AG253" s="31">
        <v>0</v>
      </c>
      <c r="AH253" s="31">
        <v>0</v>
      </c>
      <c r="AI253" s="31">
        <v>0</v>
      </c>
      <c r="AJ253" s="31">
        <v>0</v>
      </c>
      <c r="AK253" s="31">
        <v>0</v>
      </c>
      <c r="AL253" s="31">
        <v>0</v>
      </c>
      <c r="AM253" s="32">
        <v>1</v>
      </c>
      <c r="AN253" s="31">
        <v>0</v>
      </c>
      <c r="AO253" s="32">
        <v>1</v>
      </c>
      <c r="AP253" s="31">
        <v>0</v>
      </c>
      <c r="AQ253" s="32">
        <v>3</v>
      </c>
      <c r="AR253" s="32">
        <v>1</v>
      </c>
      <c r="AS253" s="32">
        <v>2</v>
      </c>
    </row>
    <row r="254" spans="1:45">
      <c r="A254" s="30" t="s">
        <v>676</v>
      </c>
      <c r="B254" s="30" t="s">
        <v>633</v>
      </c>
      <c r="C254" s="30" t="s">
        <v>677</v>
      </c>
      <c r="D254" s="30" t="s">
        <v>587</v>
      </c>
      <c r="E254" s="30" t="s">
        <v>1063</v>
      </c>
      <c r="F254" s="30" t="s">
        <v>88</v>
      </c>
      <c r="G254" s="30" t="s">
        <v>1064</v>
      </c>
      <c r="H254" s="30" t="s">
        <v>680</v>
      </c>
      <c r="I254" s="31">
        <v>0</v>
      </c>
      <c r="J254" s="31">
        <v>0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2">
        <v>208.1842</v>
      </c>
      <c r="W254" s="32">
        <v>157</v>
      </c>
      <c r="X254" s="32">
        <v>340</v>
      </c>
      <c r="Y254" s="32">
        <v>227</v>
      </c>
      <c r="Z254" s="32">
        <v>252</v>
      </c>
      <c r="AA254" s="32">
        <v>414</v>
      </c>
      <c r="AB254" s="32">
        <v>201</v>
      </c>
      <c r="AC254" s="32">
        <v>85</v>
      </c>
      <c r="AD254" s="32">
        <v>39</v>
      </c>
      <c r="AE254" s="32">
        <v>17</v>
      </c>
      <c r="AF254" s="32">
        <v>9</v>
      </c>
      <c r="AG254" s="32">
        <v>26</v>
      </c>
      <c r="AH254" s="32">
        <v>4</v>
      </c>
      <c r="AI254" s="32">
        <v>93</v>
      </c>
      <c r="AJ254" s="32">
        <v>177</v>
      </c>
      <c r="AK254" s="32">
        <v>0</v>
      </c>
      <c r="AL254" s="31">
        <v>0</v>
      </c>
      <c r="AM254" s="31">
        <v>0</v>
      </c>
      <c r="AN254" s="31">
        <v>0</v>
      </c>
      <c r="AO254" s="31">
        <v>0</v>
      </c>
      <c r="AP254" s="31">
        <v>0</v>
      </c>
      <c r="AQ254" s="31">
        <v>0</v>
      </c>
      <c r="AR254" s="31">
        <v>0</v>
      </c>
      <c r="AS254" s="31">
        <v>0</v>
      </c>
    </row>
    <row r="255" spans="1:45">
      <c r="A255" s="30" t="s">
        <v>676</v>
      </c>
      <c r="B255" s="30" t="s">
        <v>633</v>
      </c>
      <c r="C255" s="30" t="s">
        <v>677</v>
      </c>
      <c r="D255" s="30" t="s">
        <v>587</v>
      </c>
      <c r="E255" s="30" t="s">
        <v>1065</v>
      </c>
      <c r="F255" s="30" t="s">
        <v>88</v>
      </c>
      <c r="G255" s="30" t="s">
        <v>1066</v>
      </c>
      <c r="H255" s="30" t="s">
        <v>680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2">
        <v>208.1842</v>
      </c>
      <c r="W255" s="32">
        <v>157</v>
      </c>
      <c r="X255" s="32">
        <v>340</v>
      </c>
      <c r="Y255" s="32">
        <v>227</v>
      </c>
      <c r="Z255" s="32">
        <v>252</v>
      </c>
      <c r="AA255" s="32">
        <v>414</v>
      </c>
      <c r="AB255" s="32">
        <v>201</v>
      </c>
      <c r="AC255" s="32">
        <v>85</v>
      </c>
      <c r="AD255" s="32">
        <v>39</v>
      </c>
      <c r="AE255" s="32">
        <v>17</v>
      </c>
      <c r="AF255" s="32">
        <v>9</v>
      </c>
      <c r="AG255" s="32">
        <v>26</v>
      </c>
      <c r="AH255" s="32">
        <v>4</v>
      </c>
      <c r="AI255" s="32">
        <v>93</v>
      </c>
      <c r="AJ255" s="32">
        <v>177</v>
      </c>
      <c r="AK255" s="32">
        <v>0</v>
      </c>
      <c r="AL255" s="31">
        <v>0</v>
      </c>
      <c r="AM255" s="31">
        <v>0</v>
      </c>
      <c r="AN255" s="31">
        <v>0</v>
      </c>
      <c r="AO255" s="31">
        <v>0</v>
      </c>
      <c r="AP255" s="31">
        <v>0</v>
      </c>
      <c r="AQ255" s="31">
        <v>0</v>
      </c>
      <c r="AR255" s="31">
        <v>0</v>
      </c>
      <c r="AS255" s="31">
        <v>0</v>
      </c>
    </row>
    <row r="256" spans="1:45">
      <c r="A256" s="30" t="s">
        <v>676</v>
      </c>
      <c r="B256" s="30" t="s">
        <v>633</v>
      </c>
      <c r="C256" s="30" t="s">
        <v>677</v>
      </c>
      <c r="D256" s="30" t="s">
        <v>587</v>
      </c>
      <c r="E256" s="30" t="s">
        <v>1067</v>
      </c>
      <c r="F256" s="30" t="s">
        <v>88</v>
      </c>
      <c r="G256" s="30" t="s">
        <v>1068</v>
      </c>
      <c r="H256" s="30" t="s">
        <v>680</v>
      </c>
      <c r="I256" s="31">
        <v>0</v>
      </c>
      <c r="J256" s="31">
        <v>0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0</v>
      </c>
      <c r="AC256" s="31">
        <v>0</v>
      </c>
      <c r="AD256" s="31">
        <v>0</v>
      </c>
      <c r="AE256" s="31">
        <v>0</v>
      </c>
      <c r="AF256" s="31">
        <v>0</v>
      </c>
      <c r="AG256" s="31">
        <v>0</v>
      </c>
      <c r="AH256" s="31">
        <v>0</v>
      </c>
      <c r="AI256" s="31">
        <v>0</v>
      </c>
      <c r="AJ256" s="31">
        <v>0</v>
      </c>
      <c r="AK256" s="31">
        <v>0</v>
      </c>
      <c r="AL256" s="31">
        <v>0</v>
      </c>
      <c r="AM256" s="31">
        <v>0</v>
      </c>
      <c r="AN256" s="31">
        <v>0</v>
      </c>
      <c r="AO256" s="31">
        <v>0</v>
      </c>
      <c r="AP256" s="31">
        <v>0</v>
      </c>
      <c r="AQ256" s="32">
        <v>1</v>
      </c>
      <c r="AR256" s="31">
        <v>0</v>
      </c>
      <c r="AS256" s="31">
        <v>0</v>
      </c>
    </row>
    <row r="257" spans="1:45">
      <c r="A257" s="30" t="s">
        <v>676</v>
      </c>
      <c r="B257" s="30" t="s">
        <v>633</v>
      </c>
      <c r="C257" s="30" t="s">
        <v>677</v>
      </c>
      <c r="D257" s="30" t="s">
        <v>587</v>
      </c>
      <c r="E257" s="30" t="s">
        <v>1069</v>
      </c>
      <c r="F257" s="30" t="s">
        <v>104</v>
      </c>
      <c r="G257" s="30" t="s">
        <v>272</v>
      </c>
      <c r="H257" s="30" t="s">
        <v>680</v>
      </c>
      <c r="I257" s="31">
        <v>0</v>
      </c>
      <c r="J257" s="31">
        <v>0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2">
        <v>1</v>
      </c>
      <c r="Q257" s="32">
        <v>1</v>
      </c>
      <c r="R257" s="31">
        <v>0</v>
      </c>
      <c r="S257" s="31">
        <v>0</v>
      </c>
      <c r="T257" s="31">
        <v>0</v>
      </c>
      <c r="U257" s="32">
        <v>2</v>
      </c>
      <c r="V257" s="31">
        <v>0</v>
      </c>
      <c r="W257" s="32">
        <v>2</v>
      </c>
      <c r="X257" s="32">
        <v>2</v>
      </c>
      <c r="Y257" s="32">
        <v>7</v>
      </c>
      <c r="Z257" s="32">
        <v>8</v>
      </c>
      <c r="AA257" s="32">
        <v>6</v>
      </c>
      <c r="AB257" s="32">
        <v>4</v>
      </c>
      <c r="AC257" s="32">
        <v>5</v>
      </c>
      <c r="AD257" s="32">
        <v>3</v>
      </c>
      <c r="AE257" s="32">
        <v>4</v>
      </c>
      <c r="AF257" s="32">
        <v>4</v>
      </c>
      <c r="AG257" s="32">
        <v>4</v>
      </c>
      <c r="AH257" s="32">
        <v>1</v>
      </c>
      <c r="AI257" s="31">
        <v>0</v>
      </c>
      <c r="AJ257" s="31">
        <v>0</v>
      </c>
      <c r="AK257" s="32">
        <v>7</v>
      </c>
      <c r="AL257" s="31">
        <v>0</v>
      </c>
      <c r="AM257" s="31">
        <v>0</v>
      </c>
      <c r="AN257" s="31">
        <v>0</v>
      </c>
      <c r="AO257" s="31">
        <v>0</v>
      </c>
      <c r="AP257" s="31">
        <v>0</v>
      </c>
      <c r="AQ257" s="31">
        <v>0</v>
      </c>
      <c r="AR257" s="31">
        <v>0</v>
      </c>
      <c r="AS257" s="31">
        <v>0</v>
      </c>
    </row>
    <row r="258" spans="1:45">
      <c r="A258" s="30" t="s">
        <v>676</v>
      </c>
      <c r="B258" s="30" t="s">
        <v>633</v>
      </c>
      <c r="C258" s="30" t="s">
        <v>677</v>
      </c>
      <c r="D258" s="30" t="s">
        <v>587</v>
      </c>
      <c r="E258" s="30" t="s">
        <v>1070</v>
      </c>
      <c r="F258" s="30" t="s">
        <v>88</v>
      </c>
      <c r="G258" s="30" t="s">
        <v>1071</v>
      </c>
      <c r="H258" s="30" t="s">
        <v>680</v>
      </c>
      <c r="I258" s="32">
        <v>97</v>
      </c>
      <c r="J258" s="32">
        <v>72</v>
      </c>
      <c r="K258" s="32">
        <v>66</v>
      </c>
      <c r="L258" s="32">
        <v>112</v>
      </c>
      <c r="M258" s="32">
        <v>84</v>
      </c>
      <c r="N258" s="32">
        <v>84</v>
      </c>
      <c r="O258" s="32">
        <v>190</v>
      </c>
      <c r="P258" s="32">
        <v>148</v>
      </c>
      <c r="Q258" s="32">
        <v>116</v>
      </c>
      <c r="R258" s="32">
        <v>160</v>
      </c>
      <c r="S258" s="32">
        <v>111</v>
      </c>
      <c r="T258" s="32">
        <v>97</v>
      </c>
      <c r="U258" s="32">
        <v>111</v>
      </c>
      <c r="V258" s="32">
        <v>73.592100000000002</v>
      </c>
      <c r="W258" s="32">
        <v>71</v>
      </c>
      <c r="X258" s="32">
        <v>117</v>
      </c>
      <c r="Y258" s="32">
        <v>110</v>
      </c>
      <c r="Z258" s="32">
        <v>118</v>
      </c>
      <c r="AA258" s="32">
        <v>191</v>
      </c>
      <c r="AB258" s="32">
        <v>168</v>
      </c>
      <c r="AC258" s="32">
        <v>154</v>
      </c>
      <c r="AD258" s="32">
        <v>172</v>
      </c>
      <c r="AE258" s="32">
        <v>88</v>
      </c>
      <c r="AF258" s="32">
        <v>89</v>
      </c>
      <c r="AG258" s="32">
        <v>165</v>
      </c>
      <c r="AH258" s="32">
        <v>61</v>
      </c>
      <c r="AI258" s="31">
        <v>0</v>
      </c>
      <c r="AJ258" s="31">
        <v>0</v>
      </c>
      <c r="AK258" s="31">
        <v>0</v>
      </c>
      <c r="AL258" s="31">
        <v>0</v>
      </c>
      <c r="AM258" s="32">
        <v>4</v>
      </c>
      <c r="AN258" s="31">
        <v>0</v>
      </c>
      <c r="AO258" s="31">
        <v>0</v>
      </c>
      <c r="AP258" s="31">
        <v>0</v>
      </c>
      <c r="AQ258" s="31">
        <v>0</v>
      </c>
      <c r="AR258" s="31">
        <v>0</v>
      </c>
      <c r="AS258" s="31">
        <v>0</v>
      </c>
    </row>
    <row r="259" spans="1:45">
      <c r="A259" s="30" t="s">
        <v>676</v>
      </c>
      <c r="B259" s="30" t="s">
        <v>633</v>
      </c>
      <c r="C259" s="30" t="s">
        <v>677</v>
      </c>
      <c r="D259" s="30" t="s">
        <v>587</v>
      </c>
      <c r="E259" s="30" t="s">
        <v>1072</v>
      </c>
      <c r="F259" s="30" t="s">
        <v>104</v>
      </c>
      <c r="G259" s="30" t="s">
        <v>576</v>
      </c>
      <c r="H259" s="30" t="s">
        <v>680</v>
      </c>
      <c r="I259" s="31">
        <v>0</v>
      </c>
      <c r="J259" s="31">
        <v>0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2">
        <v>1</v>
      </c>
      <c r="Q259" s="32">
        <v>1</v>
      </c>
      <c r="R259" s="31">
        <v>0</v>
      </c>
      <c r="S259" s="31">
        <v>0</v>
      </c>
      <c r="T259" s="32">
        <v>1</v>
      </c>
      <c r="U259" s="32">
        <v>2</v>
      </c>
      <c r="V259" s="31">
        <v>0</v>
      </c>
      <c r="W259" s="32">
        <v>2</v>
      </c>
      <c r="X259" s="31">
        <v>0</v>
      </c>
      <c r="Y259" s="32">
        <v>2</v>
      </c>
      <c r="Z259" s="32">
        <v>3</v>
      </c>
      <c r="AA259" s="32">
        <v>1</v>
      </c>
      <c r="AB259" s="32">
        <v>3</v>
      </c>
      <c r="AC259" s="32">
        <v>1</v>
      </c>
      <c r="AD259" s="32">
        <v>1</v>
      </c>
      <c r="AE259" s="32">
        <v>4</v>
      </c>
      <c r="AF259" s="31">
        <v>0</v>
      </c>
      <c r="AG259" s="32">
        <v>2</v>
      </c>
      <c r="AH259" s="32">
        <v>4</v>
      </c>
      <c r="AI259" s="31">
        <v>0</v>
      </c>
      <c r="AJ259" s="31">
        <v>0</v>
      </c>
      <c r="AK259" s="31">
        <v>0</v>
      </c>
      <c r="AL259" s="31">
        <v>0</v>
      </c>
      <c r="AM259" s="32">
        <v>14</v>
      </c>
      <c r="AN259" s="31">
        <v>0</v>
      </c>
      <c r="AO259" s="31">
        <v>0</v>
      </c>
      <c r="AP259" s="31">
        <v>0</v>
      </c>
      <c r="AQ259" s="31">
        <v>0</v>
      </c>
      <c r="AR259" s="31">
        <v>0</v>
      </c>
      <c r="AS259" s="31">
        <v>0</v>
      </c>
    </row>
    <row r="260" spans="1:45">
      <c r="A260" s="30" t="s">
        <v>676</v>
      </c>
      <c r="B260" s="30" t="s">
        <v>633</v>
      </c>
      <c r="C260" s="30" t="s">
        <v>677</v>
      </c>
      <c r="D260" s="30" t="s">
        <v>587</v>
      </c>
      <c r="E260" s="30" t="s">
        <v>1073</v>
      </c>
      <c r="F260" s="30" t="s">
        <v>104</v>
      </c>
      <c r="G260" s="30" t="s">
        <v>1074</v>
      </c>
      <c r="H260" s="30" t="s">
        <v>680</v>
      </c>
      <c r="I260" s="32">
        <v>34</v>
      </c>
      <c r="J260" s="32">
        <v>16</v>
      </c>
      <c r="K260" s="32">
        <v>20</v>
      </c>
      <c r="L260" s="32">
        <v>24</v>
      </c>
      <c r="M260" s="32">
        <v>19</v>
      </c>
      <c r="N260" s="32">
        <v>17</v>
      </c>
      <c r="O260" s="32">
        <v>22</v>
      </c>
      <c r="P260" s="32">
        <v>16</v>
      </c>
      <c r="Q260" s="32">
        <v>10</v>
      </c>
      <c r="R260" s="32">
        <v>5</v>
      </c>
      <c r="S260" s="32">
        <v>5</v>
      </c>
      <c r="T260" s="32">
        <v>6</v>
      </c>
      <c r="U260" s="32">
        <v>1</v>
      </c>
      <c r="V260" s="32">
        <v>3</v>
      </c>
      <c r="W260" s="32">
        <v>1</v>
      </c>
      <c r="X260" s="32">
        <v>1</v>
      </c>
      <c r="Y260" s="32">
        <v>3</v>
      </c>
      <c r="Z260" s="32">
        <v>2</v>
      </c>
      <c r="AA260" s="32">
        <v>7</v>
      </c>
      <c r="AB260" s="31">
        <v>0</v>
      </c>
      <c r="AC260" s="32">
        <v>1</v>
      </c>
      <c r="AD260" s="32">
        <v>1</v>
      </c>
      <c r="AE260" s="32">
        <v>2</v>
      </c>
      <c r="AF260" s="31">
        <v>0</v>
      </c>
      <c r="AG260" s="31">
        <v>0</v>
      </c>
      <c r="AH260" s="32">
        <v>1</v>
      </c>
      <c r="AI260" s="31">
        <v>0</v>
      </c>
      <c r="AJ260" s="31">
        <v>0</v>
      </c>
      <c r="AK260" s="31">
        <v>0</v>
      </c>
      <c r="AL260" s="31">
        <v>0</v>
      </c>
      <c r="AM260" s="31">
        <v>0</v>
      </c>
      <c r="AN260" s="31">
        <v>0</v>
      </c>
      <c r="AO260" s="31">
        <v>0</v>
      </c>
      <c r="AP260" s="31">
        <v>0</v>
      </c>
      <c r="AQ260" s="31">
        <v>0</v>
      </c>
      <c r="AR260" s="31">
        <v>0</v>
      </c>
      <c r="AS260" s="31">
        <v>0</v>
      </c>
    </row>
    <row r="261" spans="1:45">
      <c r="A261" s="30" t="s">
        <v>676</v>
      </c>
      <c r="B261" s="30" t="s">
        <v>633</v>
      </c>
      <c r="C261" s="30" t="s">
        <v>677</v>
      </c>
      <c r="D261" s="30" t="s">
        <v>587</v>
      </c>
      <c r="E261" s="30" t="s">
        <v>1075</v>
      </c>
      <c r="F261" s="30" t="s">
        <v>86</v>
      </c>
      <c r="G261" s="30" t="s">
        <v>273</v>
      </c>
      <c r="H261" s="30" t="s">
        <v>680</v>
      </c>
      <c r="I261" s="32">
        <v>223</v>
      </c>
      <c r="J261" s="32">
        <v>152</v>
      </c>
      <c r="K261" s="32">
        <v>142</v>
      </c>
      <c r="L261" s="32">
        <v>136</v>
      </c>
      <c r="M261" s="32">
        <v>70</v>
      </c>
      <c r="N261" s="32">
        <v>63</v>
      </c>
      <c r="O261" s="32">
        <v>59</v>
      </c>
      <c r="P261" s="32">
        <v>41</v>
      </c>
      <c r="Q261" s="32">
        <v>25</v>
      </c>
      <c r="R261" s="32">
        <v>21</v>
      </c>
      <c r="S261" s="32">
        <v>14</v>
      </c>
      <c r="T261" s="32">
        <v>8</v>
      </c>
      <c r="U261" s="32">
        <v>5</v>
      </c>
      <c r="V261" s="32">
        <v>8</v>
      </c>
      <c r="W261" s="32">
        <v>2</v>
      </c>
      <c r="X261" s="32">
        <v>8</v>
      </c>
      <c r="Y261" s="32">
        <v>7</v>
      </c>
      <c r="Z261" s="32">
        <v>8</v>
      </c>
      <c r="AA261" s="32">
        <v>11</v>
      </c>
      <c r="AB261" s="32">
        <v>2</v>
      </c>
      <c r="AC261" s="31">
        <v>0</v>
      </c>
      <c r="AD261" s="31">
        <v>0</v>
      </c>
      <c r="AE261" s="32">
        <v>2</v>
      </c>
      <c r="AF261" s="31">
        <v>0</v>
      </c>
      <c r="AG261" s="31">
        <v>0</v>
      </c>
      <c r="AH261" s="32">
        <v>1</v>
      </c>
      <c r="AI261" s="31">
        <v>0</v>
      </c>
      <c r="AJ261" s="31">
        <v>0</v>
      </c>
      <c r="AK261" s="31">
        <v>0</v>
      </c>
      <c r="AL261" s="31">
        <v>0</v>
      </c>
      <c r="AM261" s="31">
        <v>0</v>
      </c>
      <c r="AN261" s="31">
        <v>0</v>
      </c>
      <c r="AO261" s="31">
        <v>0</v>
      </c>
      <c r="AP261" s="31">
        <v>0</v>
      </c>
      <c r="AQ261" s="31">
        <v>0</v>
      </c>
      <c r="AR261" s="31">
        <v>0</v>
      </c>
      <c r="AS261" s="31">
        <v>0</v>
      </c>
    </row>
    <row r="262" spans="1:45">
      <c r="A262" s="30" t="s">
        <v>676</v>
      </c>
      <c r="B262" s="30" t="s">
        <v>633</v>
      </c>
      <c r="C262" s="30" t="s">
        <v>677</v>
      </c>
      <c r="D262" s="30" t="s">
        <v>587</v>
      </c>
      <c r="E262" s="30" t="s">
        <v>1076</v>
      </c>
      <c r="F262" s="30" t="s">
        <v>86</v>
      </c>
      <c r="G262" s="30" t="s">
        <v>274</v>
      </c>
      <c r="H262" s="30" t="s">
        <v>680</v>
      </c>
      <c r="I262" s="32">
        <v>163</v>
      </c>
      <c r="J262" s="32">
        <v>94</v>
      </c>
      <c r="K262" s="32">
        <v>78</v>
      </c>
      <c r="L262" s="32">
        <v>50</v>
      </c>
      <c r="M262" s="32">
        <v>41</v>
      </c>
      <c r="N262" s="32">
        <v>24</v>
      </c>
      <c r="O262" s="32">
        <v>21</v>
      </c>
      <c r="P262" s="32">
        <v>25</v>
      </c>
      <c r="Q262" s="32">
        <v>7</v>
      </c>
      <c r="R262" s="32">
        <v>4</v>
      </c>
      <c r="S262" s="32">
        <v>2</v>
      </c>
      <c r="T262" s="32">
        <v>1</v>
      </c>
      <c r="U262" s="32">
        <v>1</v>
      </c>
      <c r="V262" s="32">
        <v>2</v>
      </c>
      <c r="W262" s="32">
        <v>3</v>
      </c>
      <c r="X262" s="32">
        <v>4</v>
      </c>
      <c r="Y262" s="32">
        <v>2</v>
      </c>
      <c r="Z262" s="32">
        <v>4</v>
      </c>
      <c r="AA262" s="32">
        <v>5</v>
      </c>
      <c r="AB262" s="32">
        <v>2</v>
      </c>
      <c r="AC262" s="32">
        <v>2</v>
      </c>
      <c r="AD262" s="32">
        <v>1</v>
      </c>
      <c r="AE262" s="31">
        <v>0</v>
      </c>
      <c r="AF262" s="31">
        <v>0</v>
      </c>
      <c r="AG262" s="32">
        <v>1</v>
      </c>
      <c r="AH262" s="32">
        <v>1</v>
      </c>
      <c r="AI262" s="31">
        <v>0</v>
      </c>
      <c r="AJ262" s="31">
        <v>0</v>
      </c>
      <c r="AK262" s="31">
        <v>0</v>
      </c>
      <c r="AL262" s="31">
        <v>0</v>
      </c>
      <c r="AM262" s="31">
        <v>0</v>
      </c>
      <c r="AN262" s="31">
        <v>0</v>
      </c>
      <c r="AO262" s="31">
        <v>0</v>
      </c>
      <c r="AP262" s="31">
        <v>0</v>
      </c>
      <c r="AQ262" s="31">
        <v>0</v>
      </c>
      <c r="AR262" s="31">
        <v>0</v>
      </c>
      <c r="AS262" s="31">
        <v>0</v>
      </c>
    </row>
    <row r="263" spans="1:45">
      <c r="A263" s="30" t="s">
        <v>676</v>
      </c>
      <c r="B263" s="30" t="s">
        <v>633</v>
      </c>
      <c r="C263" s="30" t="s">
        <v>677</v>
      </c>
      <c r="D263" s="30" t="s">
        <v>587</v>
      </c>
      <c r="E263" s="30" t="s">
        <v>1077</v>
      </c>
      <c r="F263" s="30" t="s">
        <v>100</v>
      </c>
      <c r="G263" s="30" t="s">
        <v>275</v>
      </c>
      <c r="H263" s="30" t="s">
        <v>680</v>
      </c>
      <c r="I263" s="32">
        <v>65</v>
      </c>
      <c r="J263" s="32">
        <v>31</v>
      </c>
      <c r="K263" s="32">
        <v>48</v>
      </c>
      <c r="L263" s="32">
        <v>75</v>
      </c>
      <c r="M263" s="32">
        <v>48</v>
      </c>
      <c r="N263" s="32">
        <v>39</v>
      </c>
      <c r="O263" s="32">
        <v>36</v>
      </c>
      <c r="P263" s="32">
        <v>21</v>
      </c>
      <c r="Q263" s="32">
        <v>16</v>
      </c>
      <c r="R263" s="32">
        <v>19</v>
      </c>
      <c r="S263" s="32">
        <v>14</v>
      </c>
      <c r="T263" s="32">
        <v>4</v>
      </c>
      <c r="U263" s="32">
        <v>8</v>
      </c>
      <c r="V263" s="32">
        <v>5</v>
      </c>
      <c r="W263" s="32">
        <v>18</v>
      </c>
      <c r="X263" s="32">
        <v>2</v>
      </c>
      <c r="Y263" s="32">
        <v>7</v>
      </c>
      <c r="Z263" s="32">
        <v>1</v>
      </c>
      <c r="AA263" s="32">
        <v>2</v>
      </c>
      <c r="AB263" s="32">
        <v>2</v>
      </c>
      <c r="AC263" s="32">
        <v>1</v>
      </c>
      <c r="AD263" s="32">
        <v>1</v>
      </c>
      <c r="AE263" s="32">
        <v>1</v>
      </c>
      <c r="AF263" s="32">
        <v>2</v>
      </c>
      <c r="AG263" s="32">
        <v>1</v>
      </c>
      <c r="AH263" s="31">
        <v>0</v>
      </c>
      <c r="AI263" s="31">
        <v>0</v>
      </c>
      <c r="AJ263" s="31">
        <v>0</v>
      </c>
      <c r="AK263" s="31">
        <v>0</v>
      </c>
      <c r="AL263" s="31">
        <v>0</v>
      </c>
      <c r="AM263" s="31">
        <v>0</v>
      </c>
      <c r="AN263" s="31">
        <v>0</v>
      </c>
      <c r="AO263" s="31">
        <v>0</v>
      </c>
      <c r="AP263" s="31">
        <v>0</v>
      </c>
      <c r="AQ263" s="31">
        <v>0</v>
      </c>
      <c r="AR263" s="32">
        <v>1</v>
      </c>
      <c r="AS263" s="31">
        <v>0</v>
      </c>
    </row>
    <row r="264" spans="1:45">
      <c r="A264" s="30" t="s">
        <v>676</v>
      </c>
      <c r="B264" s="30" t="s">
        <v>633</v>
      </c>
      <c r="C264" s="30" t="s">
        <v>677</v>
      </c>
      <c r="D264" s="30" t="s">
        <v>587</v>
      </c>
      <c r="E264" s="30" t="s">
        <v>1078</v>
      </c>
      <c r="F264" s="30" t="s">
        <v>103</v>
      </c>
      <c r="G264" s="30" t="s">
        <v>276</v>
      </c>
      <c r="H264" s="30" t="s">
        <v>680</v>
      </c>
      <c r="I264" s="32">
        <v>102</v>
      </c>
      <c r="J264" s="32">
        <v>75</v>
      </c>
      <c r="K264" s="32">
        <v>115</v>
      </c>
      <c r="L264" s="32">
        <v>144</v>
      </c>
      <c r="M264" s="32">
        <v>57</v>
      </c>
      <c r="N264" s="32">
        <v>84</v>
      </c>
      <c r="O264" s="32">
        <v>116</v>
      </c>
      <c r="P264" s="32">
        <v>136</v>
      </c>
      <c r="Q264" s="32">
        <v>77</v>
      </c>
      <c r="R264" s="32">
        <v>93</v>
      </c>
      <c r="S264" s="32">
        <v>83</v>
      </c>
      <c r="T264" s="32">
        <v>51</v>
      </c>
      <c r="U264" s="32">
        <v>75</v>
      </c>
      <c r="V264" s="32">
        <v>49</v>
      </c>
      <c r="W264" s="32">
        <v>62</v>
      </c>
      <c r="X264" s="32">
        <v>70</v>
      </c>
      <c r="Y264" s="32">
        <v>52</v>
      </c>
      <c r="Z264" s="32">
        <v>45</v>
      </c>
      <c r="AA264" s="32">
        <v>52</v>
      </c>
      <c r="AB264" s="32">
        <v>72</v>
      </c>
      <c r="AC264" s="32">
        <v>68</v>
      </c>
      <c r="AD264" s="32">
        <v>53</v>
      </c>
      <c r="AE264" s="32">
        <v>40</v>
      </c>
      <c r="AF264" s="32">
        <v>24</v>
      </c>
      <c r="AG264" s="32">
        <v>32</v>
      </c>
      <c r="AH264" s="32">
        <v>38</v>
      </c>
      <c r="AI264" s="32">
        <v>39</v>
      </c>
      <c r="AJ264" s="32">
        <v>26</v>
      </c>
      <c r="AK264" s="32">
        <v>14</v>
      </c>
      <c r="AL264" s="32">
        <v>11</v>
      </c>
      <c r="AM264" s="32">
        <v>12</v>
      </c>
      <c r="AN264" s="32">
        <v>7</v>
      </c>
      <c r="AO264" s="32">
        <v>4</v>
      </c>
      <c r="AP264" s="31">
        <v>0</v>
      </c>
      <c r="AQ264" s="32">
        <v>1</v>
      </c>
      <c r="AR264" s="32">
        <v>1</v>
      </c>
      <c r="AS264" s="32">
        <v>5</v>
      </c>
    </row>
    <row r="265" spans="1:45">
      <c r="A265" s="30" t="s">
        <v>676</v>
      </c>
      <c r="B265" s="30" t="s">
        <v>633</v>
      </c>
      <c r="C265" s="30" t="s">
        <v>677</v>
      </c>
      <c r="D265" s="30" t="s">
        <v>587</v>
      </c>
      <c r="E265" s="30" t="s">
        <v>1079</v>
      </c>
      <c r="F265" s="30" t="s">
        <v>99</v>
      </c>
      <c r="G265" s="30" t="s">
        <v>277</v>
      </c>
      <c r="H265" s="30" t="s">
        <v>680</v>
      </c>
      <c r="I265" s="32">
        <v>113</v>
      </c>
      <c r="J265" s="32">
        <v>67</v>
      </c>
      <c r="K265" s="32">
        <v>62</v>
      </c>
      <c r="L265" s="32">
        <v>106</v>
      </c>
      <c r="M265" s="32">
        <v>59</v>
      </c>
      <c r="N265" s="32">
        <v>60</v>
      </c>
      <c r="O265" s="32">
        <v>130</v>
      </c>
      <c r="P265" s="32">
        <v>102</v>
      </c>
      <c r="Q265" s="32">
        <v>86</v>
      </c>
      <c r="R265" s="32">
        <v>108</v>
      </c>
      <c r="S265" s="32">
        <v>64</v>
      </c>
      <c r="T265" s="32">
        <v>78</v>
      </c>
      <c r="U265" s="32">
        <v>73</v>
      </c>
      <c r="V265" s="32">
        <v>47</v>
      </c>
      <c r="W265" s="32">
        <v>55</v>
      </c>
      <c r="X265" s="32">
        <v>57</v>
      </c>
      <c r="Y265" s="32">
        <v>46</v>
      </c>
      <c r="Z265" s="32">
        <v>48</v>
      </c>
      <c r="AA265" s="32">
        <v>114</v>
      </c>
      <c r="AB265" s="32">
        <v>74</v>
      </c>
      <c r="AC265" s="32">
        <v>77</v>
      </c>
      <c r="AD265" s="32">
        <v>64</v>
      </c>
      <c r="AE265" s="32">
        <v>42</v>
      </c>
      <c r="AF265" s="32">
        <v>43</v>
      </c>
      <c r="AG265" s="32">
        <v>76</v>
      </c>
      <c r="AH265" s="32">
        <v>30</v>
      </c>
      <c r="AI265" s="32">
        <v>45</v>
      </c>
      <c r="AJ265" s="32">
        <v>67</v>
      </c>
      <c r="AK265" s="32">
        <v>37</v>
      </c>
      <c r="AL265" s="32">
        <v>37</v>
      </c>
      <c r="AM265" s="32">
        <v>31</v>
      </c>
      <c r="AN265" s="32">
        <v>25</v>
      </c>
      <c r="AO265" s="32">
        <v>9</v>
      </c>
      <c r="AP265" s="32">
        <v>17</v>
      </c>
      <c r="AQ265" s="32">
        <v>1</v>
      </c>
      <c r="AR265" s="32">
        <v>1</v>
      </c>
      <c r="AS265" s="31">
        <v>0</v>
      </c>
    </row>
    <row r="266" spans="1:45">
      <c r="A266" s="30" t="s">
        <v>676</v>
      </c>
      <c r="B266" s="30" t="s">
        <v>633</v>
      </c>
      <c r="C266" s="30" t="s">
        <v>677</v>
      </c>
      <c r="D266" s="30" t="s">
        <v>587</v>
      </c>
      <c r="E266" s="30" t="s">
        <v>1080</v>
      </c>
      <c r="F266" s="30" t="s">
        <v>87</v>
      </c>
      <c r="G266" s="30" t="s">
        <v>278</v>
      </c>
      <c r="H266" s="30" t="s">
        <v>680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2">
        <v>1</v>
      </c>
      <c r="P266" s="32">
        <v>1</v>
      </c>
      <c r="Q266" s="31">
        <v>0</v>
      </c>
      <c r="R266" s="32">
        <v>2</v>
      </c>
      <c r="S266" s="31">
        <v>0</v>
      </c>
      <c r="T266" s="31">
        <v>0</v>
      </c>
      <c r="U266" s="32">
        <v>2</v>
      </c>
      <c r="V266" s="32">
        <v>3</v>
      </c>
      <c r="W266" s="32">
        <v>1</v>
      </c>
      <c r="X266" s="32">
        <v>2</v>
      </c>
      <c r="Y266" s="32">
        <v>1</v>
      </c>
      <c r="Z266" s="32">
        <v>1</v>
      </c>
      <c r="AA266" s="32">
        <v>3</v>
      </c>
      <c r="AB266" s="32">
        <v>1</v>
      </c>
      <c r="AC266" s="32">
        <v>2</v>
      </c>
      <c r="AD266" s="32">
        <v>1</v>
      </c>
      <c r="AE266" s="31">
        <v>0</v>
      </c>
      <c r="AF266" s="31">
        <v>0</v>
      </c>
      <c r="AG266" s="31">
        <v>0</v>
      </c>
      <c r="AH266" s="31">
        <v>0</v>
      </c>
      <c r="AI266" s="31">
        <v>0</v>
      </c>
      <c r="AJ266" s="31">
        <v>0</v>
      </c>
      <c r="AK266" s="31">
        <v>0</v>
      </c>
      <c r="AL266" s="31">
        <v>0</v>
      </c>
      <c r="AM266" s="31">
        <v>0</v>
      </c>
      <c r="AN266" s="31">
        <v>0</v>
      </c>
      <c r="AO266" s="31">
        <v>0</v>
      </c>
      <c r="AP266" s="31">
        <v>0</v>
      </c>
      <c r="AQ266" s="31">
        <v>0</v>
      </c>
      <c r="AR266" s="31">
        <v>0</v>
      </c>
      <c r="AS266" s="31">
        <v>0</v>
      </c>
    </row>
    <row r="267" spans="1:45">
      <c r="A267" s="30" t="s">
        <v>676</v>
      </c>
      <c r="B267" s="30" t="s">
        <v>633</v>
      </c>
      <c r="C267" s="30" t="s">
        <v>677</v>
      </c>
      <c r="D267" s="30" t="s">
        <v>587</v>
      </c>
      <c r="E267" s="30" t="s">
        <v>1080</v>
      </c>
      <c r="F267" s="30" t="s">
        <v>98</v>
      </c>
      <c r="G267" s="30" t="s">
        <v>1081</v>
      </c>
      <c r="H267" s="30" t="s">
        <v>680</v>
      </c>
      <c r="I267" s="31">
        <v>0</v>
      </c>
      <c r="J267" s="31">
        <v>0</v>
      </c>
      <c r="K267" s="31">
        <v>0</v>
      </c>
      <c r="L267" s="31">
        <v>0</v>
      </c>
      <c r="M267" s="31">
        <v>0</v>
      </c>
      <c r="N267" s="31">
        <v>0</v>
      </c>
      <c r="O267" s="31">
        <v>0</v>
      </c>
      <c r="P267" s="31">
        <v>0</v>
      </c>
      <c r="Q267" s="31">
        <v>0</v>
      </c>
      <c r="R267" s="31">
        <v>0</v>
      </c>
      <c r="S267" s="31">
        <v>0</v>
      </c>
      <c r="T267" s="31">
        <v>0</v>
      </c>
      <c r="U267" s="32">
        <v>1</v>
      </c>
      <c r="V267" s="31">
        <v>0</v>
      </c>
      <c r="W267" s="31">
        <v>0</v>
      </c>
      <c r="X267" s="31">
        <v>0</v>
      </c>
      <c r="Y267" s="31">
        <v>0</v>
      </c>
      <c r="Z267" s="31">
        <v>0</v>
      </c>
      <c r="AA267" s="31">
        <v>0</v>
      </c>
      <c r="AB267" s="31">
        <v>0</v>
      </c>
      <c r="AC267" s="31">
        <v>0</v>
      </c>
      <c r="AD267" s="32">
        <v>1</v>
      </c>
      <c r="AE267" s="31">
        <v>0</v>
      </c>
      <c r="AF267" s="31">
        <v>0</v>
      </c>
      <c r="AG267" s="31">
        <v>0</v>
      </c>
      <c r="AH267" s="31">
        <v>0</v>
      </c>
      <c r="AI267" s="32">
        <v>1</v>
      </c>
      <c r="AJ267" s="31">
        <v>0</v>
      </c>
      <c r="AK267" s="31">
        <v>0</v>
      </c>
      <c r="AL267" s="32">
        <v>2</v>
      </c>
      <c r="AM267" s="31">
        <v>0</v>
      </c>
      <c r="AN267" s="31">
        <v>0</v>
      </c>
      <c r="AO267" s="31">
        <v>0</v>
      </c>
      <c r="AP267" s="31">
        <v>0</v>
      </c>
      <c r="AQ267" s="31">
        <v>0</v>
      </c>
      <c r="AR267" s="31">
        <v>0</v>
      </c>
      <c r="AS267" s="31">
        <v>0</v>
      </c>
    </row>
    <row r="268" spans="1:45">
      <c r="A268" s="30" t="s">
        <v>676</v>
      </c>
      <c r="B268" s="30" t="s">
        <v>633</v>
      </c>
      <c r="C268" s="30" t="s">
        <v>677</v>
      </c>
      <c r="D268" s="30" t="s">
        <v>587</v>
      </c>
      <c r="E268" s="30" t="s">
        <v>1082</v>
      </c>
      <c r="F268" s="30" t="s">
        <v>87</v>
      </c>
      <c r="G268" s="30" t="s">
        <v>279</v>
      </c>
      <c r="H268" s="30" t="s">
        <v>680</v>
      </c>
      <c r="I268" s="32">
        <v>203</v>
      </c>
      <c r="J268" s="32">
        <v>157</v>
      </c>
      <c r="K268" s="32">
        <v>201</v>
      </c>
      <c r="L268" s="32">
        <v>224</v>
      </c>
      <c r="M268" s="32">
        <v>176</v>
      </c>
      <c r="N268" s="32">
        <v>217</v>
      </c>
      <c r="O268" s="32">
        <v>336</v>
      </c>
      <c r="P268" s="32">
        <v>306</v>
      </c>
      <c r="Q268" s="32">
        <v>200</v>
      </c>
      <c r="R268" s="32">
        <v>318</v>
      </c>
      <c r="S268" s="32">
        <v>211</v>
      </c>
      <c r="T268" s="32">
        <v>190</v>
      </c>
      <c r="U268" s="32">
        <v>303</v>
      </c>
      <c r="V268" s="32">
        <v>153.19739999999999</v>
      </c>
      <c r="W268" s="32">
        <v>243</v>
      </c>
      <c r="X268" s="32">
        <v>204</v>
      </c>
      <c r="Y268" s="32">
        <v>201</v>
      </c>
      <c r="Z268" s="32">
        <v>192</v>
      </c>
      <c r="AA268" s="32">
        <v>289.68729999999999</v>
      </c>
      <c r="AB268" s="32">
        <v>182</v>
      </c>
      <c r="AC268" s="32">
        <v>217</v>
      </c>
      <c r="AD268" s="32">
        <v>188</v>
      </c>
      <c r="AE268" s="32">
        <v>38</v>
      </c>
      <c r="AF268" s="32">
        <v>24</v>
      </c>
      <c r="AG268" s="32">
        <v>22</v>
      </c>
      <c r="AH268" s="32">
        <v>8</v>
      </c>
      <c r="AI268" s="32">
        <v>5</v>
      </c>
      <c r="AJ268" s="32">
        <v>5</v>
      </c>
      <c r="AK268" s="32">
        <v>6</v>
      </c>
      <c r="AL268" s="32">
        <v>1</v>
      </c>
      <c r="AM268" s="32">
        <v>1</v>
      </c>
      <c r="AN268" s="32">
        <v>12</v>
      </c>
      <c r="AO268" s="32">
        <v>3</v>
      </c>
      <c r="AP268" s="32">
        <v>2</v>
      </c>
      <c r="AQ268" s="32">
        <v>2</v>
      </c>
      <c r="AR268" s="31">
        <v>0</v>
      </c>
      <c r="AS268" s="31">
        <v>0</v>
      </c>
    </row>
    <row r="269" spans="1:45">
      <c r="A269" s="30" t="s">
        <v>676</v>
      </c>
      <c r="B269" s="30" t="s">
        <v>633</v>
      </c>
      <c r="C269" s="30" t="s">
        <v>677</v>
      </c>
      <c r="D269" s="30" t="s">
        <v>587</v>
      </c>
      <c r="E269" s="30" t="s">
        <v>1082</v>
      </c>
      <c r="F269" s="30" t="s">
        <v>98</v>
      </c>
      <c r="G269" s="30" t="s">
        <v>1083</v>
      </c>
      <c r="H269" s="30" t="s">
        <v>680</v>
      </c>
      <c r="I269" s="31">
        <v>0</v>
      </c>
      <c r="J269" s="31">
        <v>0</v>
      </c>
      <c r="K269" s="31">
        <v>0</v>
      </c>
      <c r="L269" s="31">
        <v>0</v>
      </c>
      <c r="M269" s="31">
        <v>0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2">
        <v>1</v>
      </c>
      <c r="Y269" s="31">
        <v>0</v>
      </c>
      <c r="Z269" s="31">
        <v>0</v>
      </c>
      <c r="AA269" s="32">
        <v>2</v>
      </c>
      <c r="AB269" s="31">
        <v>0</v>
      </c>
      <c r="AC269" s="32">
        <v>3</v>
      </c>
      <c r="AD269" s="32">
        <v>14</v>
      </c>
      <c r="AE269" s="32">
        <v>3</v>
      </c>
      <c r="AF269" s="31">
        <v>0</v>
      </c>
      <c r="AG269" s="31">
        <v>0</v>
      </c>
      <c r="AH269" s="31">
        <v>0</v>
      </c>
      <c r="AI269" s="31">
        <v>0</v>
      </c>
      <c r="AJ269" s="31">
        <v>0</v>
      </c>
      <c r="AK269" s="31">
        <v>0</v>
      </c>
      <c r="AL269" s="31">
        <v>0</v>
      </c>
      <c r="AM269" s="31">
        <v>0</v>
      </c>
      <c r="AN269" s="31">
        <v>0</v>
      </c>
      <c r="AO269" s="31">
        <v>0</v>
      </c>
      <c r="AP269" s="31">
        <v>0</v>
      </c>
      <c r="AQ269" s="31">
        <v>0</v>
      </c>
      <c r="AR269" s="31">
        <v>0</v>
      </c>
      <c r="AS269" s="31">
        <v>0</v>
      </c>
    </row>
    <row r="270" spans="1:45">
      <c r="A270" s="30" t="s">
        <v>676</v>
      </c>
      <c r="B270" s="30" t="s">
        <v>633</v>
      </c>
      <c r="C270" s="30" t="s">
        <v>677</v>
      </c>
      <c r="D270" s="30" t="s">
        <v>587</v>
      </c>
      <c r="E270" s="30" t="s">
        <v>1084</v>
      </c>
      <c r="F270" s="30" t="s">
        <v>98</v>
      </c>
      <c r="G270" s="30" t="s">
        <v>1085</v>
      </c>
      <c r="H270" s="30" t="s">
        <v>680</v>
      </c>
      <c r="I270" s="31">
        <v>0</v>
      </c>
      <c r="J270" s="31">
        <v>0</v>
      </c>
      <c r="K270" s="31">
        <v>0</v>
      </c>
      <c r="L270" s="31">
        <v>0</v>
      </c>
      <c r="M270" s="31">
        <v>0</v>
      </c>
      <c r="N270" s="31">
        <v>0</v>
      </c>
      <c r="O270" s="31">
        <v>0</v>
      </c>
      <c r="P270" s="31">
        <v>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1">
        <v>0</v>
      </c>
      <c r="AC270" s="31">
        <v>0</v>
      </c>
      <c r="AD270" s="31">
        <v>0</v>
      </c>
      <c r="AE270" s="31">
        <v>0</v>
      </c>
      <c r="AF270" s="31">
        <v>0</v>
      </c>
      <c r="AG270" s="31">
        <v>0</v>
      </c>
      <c r="AH270" s="31">
        <v>0</v>
      </c>
      <c r="AI270" s="31">
        <v>0</v>
      </c>
      <c r="AJ270" s="31">
        <v>0</v>
      </c>
      <c r="AK270" s="31">
        <v>0</v>
      </c>
      <c r="AL270" s="31">
        <v>0</v>
      </c>
      <c r="AM270" s="31">
        <v>0</v>
      </c>
      <c r="AN270" s="32">
        <v>1</v>
      </c>
      <c r="AO270" s="32">
        <v>1</v>
      </c>
      <c r="AP270" s="31">
        <v>0</v>
      </c>
      <c r="AQ270" s="32">
        <v>3</v>
      </c>
      <c r="AR270" s="31">
        <v>0</v>
      </c>
      <c r="AS270" s="31">
        <v>0</v>
      </c>
    </row>
    <row r="271" spans="1:45">
      <c r="A271" s="30" t="s">
        <v>676</v>
      </c>
      <c r="B271" s="30" t="s">
        <v>633</v>
      </c>
      <c r="C271" s="30" t="s">
        <v>677</v>
      </c>
      <c r="D271" s="30" t="s">
        <v>587</v>
      </c>
      <c r="E271" s="30" t="s">
        <v>1086</v>
      </c>
      <c r="F271" s="30" t="s">
        <v>625</v>
      </c>
      <c r="G271" s="30" t="s">
        <v>1087</v>
      </c>
      <c r="H271" s="30" t="s">
        <v>680</v>
      </c>
      <c r="I271" s="31">
        <v>0</v>
      </c>
      <c r="J271" s="31">
        <v>0</v>
      </c>
      <c r="K271" s="32">
        <v>1</v>
      </c>
      <c r="L271" s="31">
        <v>0</v>
      </c>
      <c r="M271" s="31">
        <v>0</v>
      </c>
      <c r="N271" s="31">
        <v>0</v>
      </c>
      <c r="O271" s="31">
        <v>0</v>
      </c>
      <c r="P271" s="31">
        <v>0</v>
      </c>
      <c r="Q271" s="31">
        <v>0</v>
      </c>
      <c r="R271" s="31">
        <v>0</v>
      </c>
      <c r="S271" s="31">
        <v>0</v>
      </c>
      <c r="T271" s="31">
        <v>0</v>
      </c>
      <c r="U271" s="31">
        <v>0</v>
      </c>
      <c r="V271" s="31">
        <v>0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1">
        <v>0</v>
      </c>
      <c r="AC271" s="31">
        <v>0</v>
      </c>
      <c r="AD271" s="31">
        <v>0</v>
      </c>
      <c r="AE271" s="31">
        <v>0</v>
      </c>
      <c r="AF271" s="31">
        <v>0</v>
      </c>
      <c r="AG271" s="31">
        <v>0</v>
      </c>
      <c r="AH271" s="31">
        <v>0</v>
      </c>
      <c r="AI271" s="31">
        <v>0</v>
      </c>
      <c r="AJ271" s="31">
        <v>0</v>
      </c>
      <c r="AK271" s="31">
        <v>0</v>
      </c>
      <c r="AL271" s="31">
        <v>0</v>
      </c>
      <c r="AM271" s="31">
        <v>0</v>
      </c>
      <c r="AN271" s="31">
        <v>0</v>
      </c>
      <c r="AO271" s="31">
        <v>0</v>
      </c>
      <c r="AP271" s="31">
        <v>0</v>
      </c>
      <c r="AQ271" s="31">
        <v>0</v>
      </c>
      <c r="AR271" s="31">
        <v>0</v>
      </c>
      <c r="AS271" s="31">
        <v>0</v>
      </c>
    </row>
    <row r="272" spans="1:45">
      <c r="A272" s="30" t="s">
        <v>676</v>
      </c>
      <c r="B272" s="30" t="s">
        <v>633</v>
      </c>
      <c r="C272" s="30" t="s">
        <v>677</v>
      </c>
      <c r="D272" s="30" t="s">
        <v>587</v>
      </c>
      <c r="E272" s="30" t="s">
        <v>1088</v>
      </c>
      <c r="F272" s="30" t="s">
        <v>88</v>
      </c>
      <c r="G272" s="30" t="s">
        <v>156</v>
      </c>
      <c r="H272" s="30" t="s">
        <v>680</v>
      </c>
      <c r="I272" s="31">
        <v>0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0</v>
      </c>
      <c r="AC272" s="31">
        <v>0</v>
      </c>
      <c r="AD272" s="31">
        <v>0</v>
      </c>
      <c r="AE272" s="31">
        <v>0</v>
      </c>
      <c r="AF272" s="31">
        <v>0</v>
      </c>
      <c r="AG272" s="31">
        <v>0</v>
      </c>
      <c r="AH272" s="31">
        <v>0</v>
      </c>
      <c r="AI272" s="31">
        <v>0</v>
      </c>
      <c r="AJ272" s="31">
        <v>0</v>
      </c>
      <c r="AK272" s="31">
        <v>0</v>
      </c>
      <c r="AL272" s="31">
        <v>0</v>
      </c>
      <c r="AM272" s="31">
        <v>0</v>
      </c>
      <c r="AN272" s="31">
        <v>0</v>
      </c>
      <c r="AO272" s="31">
        <v>0</v>
      </c>
      <c r="AP272" s="31">
        <v>0</v>
      </c>
      <c r="AQ272" s="32">
        <v>1</v>
      </c>
      <c r="AR272" s="31">
        <v>0</v>
      </c>
      <c r="AS272" s="31">
        <v>0</v>
      </c>
    </row>
    <row r="273" spans="1:45">
      <c r="A273" s="30" t="s">
        <v>676</v>
      </c>
      <c r="B273" s="30" t="s">
        <v>633</v>
      </c>
      <c r="C273" s="30" t="s">
        <v>677</v>
      </c>
      <c r="D273" s="30" t="s">
        <v>587</v>
      </c>
      <c r="E273" s="30" t="s">
        <v>1089</v>
      </c>
      <c r="F273" s="30" t="s">
        <v>88</v>
      </c>
      <c r="G273" s="30" t="s">
        <v>161</v>
      </c>
      <c r="H273" s="30" t="s">
        <v>680</v>
      </c>
      <c r="I273" s="31">
        <v>0</v>
      </c>
      <c r="J273" s="31">
        <v>0</v>
      </c>
      <c r="K273" s="31">
        <v>0</v>
      </c>
      <c r="L273" s="31">
        <v>0</v>
      </c>
      <c r="M273" s="32">
        <v>1</v>
      </c>
      <c r="N273" s="31">
        <v>0</v>
      </c>
      <c r="O273" s="31">
        <v>0</v>
      </c>
      <c r="P273" s="32">
        <v>1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2">
        <v>2</v>
      </c>
      <c r="X273" s="31">
        <v>0</v>
      </c>
      <c r="Y273" s="31">
        <v>0</v>
      </c>
      <c r="Z273" s="31">
        <v>0</v>
      </c>
      <c r="AA273" s="31">
        <v>0</v>
      </c>
      <c r="AB273" s="31">
        <v>0</v>
      </c>
      <c r="AC273" s="31">
        <v>0</v>
      </c>
      <c r="AD273" s="31">
        <v>0</v>
      </c>
      <c r="AE273" s="31">
        <v>0</v>
      </c>
      <c r="AF273" s="31">
        <v>0</v>
      </c>
      <c r="AG273" s="31">
        <v>0</v>
      </c>
      <c r="AH273" s="31">
        <v>0</v>
      </c>
      <c r="AI273" s="31">
        <v>0</v>
      </c>
      <c r="AJ273" s="31">
        <v>0</v>
      </c>
      <c r="AK273" s="31">
        <v>0</v>
      </c>
      <c r="AL273" s="31">
        <v>0</v>
      </c>
      <c r="AM273" s="32">
        <v>1</v>
      </c>
      <c r="AN273" s="31">
        <v>0</v>
      </c>
      <c r="AO273" s="32">
        <v>2</v>
      </c>
      <c r="AP273" s="31">
        <v>0</v>
      </c>
      <c r="AQ273" s="31">
        <v>0</v>
      </c>
      <c r="AR273" s="31">
        <v>0</v>
      </c>
      <c r="AS273" s="31">
        <v>0</v>
      </c>
    </row>
    <row r="274" spans="1:45">
      <c r="A274" s="30" t="s">
        <v>676</v>
      </c>
      <c r="B274" s="30" t="s">
        <v>633</v>
      </c>
      <c r="C274" s="30" t="s">
        <v>677</v>
      </c>
      <c r="D274" s="30" t="s">
        <v>587</v>
      </c>
      <c r="E274" s="30" t="s">
        <v>1090</v>
      </c>
      <c r="F274" s="30" t="s">
        <v>104</v>
      </c>
      <c r="G274" s="30" t="s">
        <v>234</v>
      </c>
      <c r="H274" s="30" t="s">
        <v>680</v>
      </c>
      <c r="I274" s="31">
        <v>0</v>
      </c>
      <c r="J274" s="32">
        <v>2</v>
      </c>
      <c r="K274" s="32">
        <v>1</v>
      </c>
      <c r="L274" s="31">
        <v>0</v>
      </c>
      <c r="M274" s="31">
        <v>0</v>
      </c>
      <c r="N274" s="32">
        <v>1</v>
      </c>
      <c r="O274" s="32">
        <v>1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0</v>
      </c>
      <c r="AC274" s="31">
        <v>0</v>
      </c>
      <c r="AD274" s="31">
        <v>0</v>
      </c>
      <c r="AE274" s="31">
        <v>0</v>
      </c>
      <c r="AF274" s="31">
        <v>0</v>
      </c>
      <c r="AG274" s="31">
        <v>0</v>
      </c>
      <c r="AH274" s="31">
        <v>0</v>
      </c>
      <c r="AI274" s="31">
        <v>0</v>
      </c>
      <c r="AJ274" s="31">
        <v>0</v>
      </c>
      <c r="AK274" s="31">
        <v>0</v>
      </c>
      <c r="AL274" s="31">
        <v>0</v>
      </c>
      <c r="AM274" s="32">
        <v>1</v>
      </c>
      <c r="AN274" s="32">
        <v>2</v>
      </c>
      <c r="AO274" s="32">
        <v>1</v>
      </c>
      <c r="AP274" s="31">
        <v>0</v>
      </c>
      <c r="AQ274" s="31">
        <v>0</v>
      </c>
      <c r="AR274" s="31">
        <v>0</v>
      </c>
      <c r="AS274" s="31">
        <v>0</v>
      </c>
    </row>
    <row r="275" spans="1:45">
      <c r="A275" s="30" t="s">
        <v>676</v>
      </c>
      <c r="B275" s="30" t="s">
        <v>633</v>
      </c>
      <c r="C275" s="30" t="s">
        <v>677</v>
      </c>
      <c r="D275" s="30" t="s">
        <v>587</v>
      </c>
      <c r="E275" s="30" t="s">
        <v>1091</v>
      </c>
      <c r="F275" s="30" t="s">
        <v>104</v>
      </c>
      <c r="G275" s="30" t="s">
        <v>158</v>
      </c>
      <c r="H275" s="30" t="s">
        <v>680</v>
      </c>
      <c r="I275" s="31">
        <v>0</v>
      </c>
      <c r="J275" s="31">
        <v>0</v>
      </c>
      <c r="K275" s="31">
        <v>0</v>
      </c>
      <c r="L275" s="31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  <c r="AC275" s="31">
        <v>0</v>
      </c>
      <c r="AD275" s="31">
        <v>0</v>
      </c>
      <c r="AE275" s="31">
        <v>0</v>
      </c>
      <c r="AF275" s="31">
        <v>0</v>
      </c>
      <c r="AG275" s="31">
        <v>0</v>
      </c>
      <c r="AH275" s="31">
        <v>0</v>
      </c>
      <c r="AI275" s="31">
        <v>0</v>
      </c>
      <c r="AJ275" s="31">
        <v>0</v>
      </c>
      <c r="AK275" s="31">
        <v>0</v>
      </c>
      <c r="AL275" s="31">
        <v>0</v>
      </c>
      <c r="AM275" s="31">
        <v>0</v>
      </c>
      <c r="AN275" s="32">
        <v>1</v>
      </c>
      <c r="AO275" s="31">
        <v>0</v>
      </c>
      <c r="AP275" s="32">
        <v>1</v>
      </c>
      <c r="AQ275" s="31">
        <v>0</v>
      </c>
      <c r="AR275" s="31">
        <v>0</v>
      </c>
      <c r="AS275" s="31">
        <v>0</v>
      </c>
    </row>
    <row r="276" spans="1:45">
      <c r="A276" s="30" t="s">
        <v>676</v>
      </c>
      <c r="B276" s="30" t="s">
        <v>633</v>
      </c>
      <c r="C276" s="30" t="s">
        <v>677</v>
      </c>
      <c r="D276" s="30" t="s">
        <v>587</v>
      </c>
      <c r="E276" s="30" t="s">
        <v>1092</v>
      </c>
      <c r="F276" s="30" t="s">
        <v>104</v>
      </c>
      <c r="G276" s="30" t="s">
        <v>1093</v>
      </c>
      <c r="H276" s="30" t="s">
        <v>680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  <c r="AC276" s="31">
        <v>0</v>
      </c>
      <c r="AD276" s="31">
        <v>0</v>
      </c>
      <c r="AE276" s="31">
        <v>0</v>
      </c>
      <c r="AF276" s="31">
        <v>0</v>
      </c>
      <c r="AG276" s="31">
        <v>0</v>
      </c>
      <c r="AH276" s="31">
        <v>0</v>
      </c>
      <c r="AI276" s="31">
        <v>0</v>
      </c>
      <c r="AJ276" s="31">
        <v>0</v>
      </c>
      <c r="AK276" s="31">
        <v>0</v>
      </c>
      <c r="AL276" s="31">
        <v>0</v>
      </c>
      <c r="AM276" s="31">
        <v>0</v>
      </c>
      <c r="AN276" s="32">
        <v>1</v>
      </c>
      <c r="AO276" s="31">
        <v>0</v>
      </c>
      <c r="AP276" s="31">
        <v>0</v>
      </c>
      <c r="AQ276" s="32">
        <v>1</v>
      </c>
      <c r="AR276" s="31">
        <v>0</v>
      </c>
      <c r="AS276" s="31">
        <v>0</v>
      </c>
    </row>
    <row r="277" spans="1:45">
      <c r="A277" s="30" t="s">
        <v>676</v>
      </c>
      <c r="B277" s="30" t="s">
        <v>633</v>
      </c>
      <c r="C277" s="30" t="s">
        <v>677</v>
      </c>
      <c r="D277" s="30" t="s">
        <v>587</v>
      </c>
      <c r="E277" s="30" t="s">
        <v>1094</v>
      </c>
      <c r="F277" s="30" t="s">
        <v>105</v>
      </c>
      <c r="G277" s="30" t="s">
        <v>280</v>
      </c>
      <c r="H277" s="30" t="s">
        <v>680</v>
      </c>
      <c r="I277" s="32">
        <v>73</v>
      </c>
      <c r="J277" s="32">
        <v>49</v>
      </c>
      <c r="K277" s="32">
        <v>68</v>
      </c>
      <c r="L277" s="32">
        <v>89</v>
      </c>
      <c r="M277" s="32">
        <v>61</v>
      </c>
      <c r="N277" s="32">
        <v>69</v>
      </c>
      <c r="O277" s="32">
        <v>101</v>
      </c>
      <c r="P277" s="32">
        <v>99</v>
      </c>
      <c r="Q277" s="32">
        <v>52</v>
      </c>
      <c r="R277" s="32">
        <v>24</v>
      </c>
      <c r="S277" s="32">
        <v>10</v>
      </c>
      <c r="T277" s="32">
        <v>10</v>
      </c>
      <c r="U277" s="32">
        <v>16</v>
      </c>
      <c r="V277" s="32">
        <v>5</v>
      </c>
      <c r="W277" s="32">
        <v>7</v>
      </c>
      <c r="X277" s="32">
        <v>5</v>
      </c>
      <c r="Y277" s="32">
        <v>4</v>
      </c>
      <c r="Z277" s="32">
        <v>1</v>
      </c>
      <c r="AA277" s="31">
        <v>0</v>
      </c>
      <c r="AB277" s="31">
        <v>0</v>
      </c>
      <c r="AC277" s="31">
        <v>0</v>
      </c>
      <c r="AD277" s="31">
        <v>0</v>
      </c>
      <c r="AE277" s="31">
        <v>0</v>
      </c>
      <c r="AF277" s="31">
        <v>0</v>
      </c>
      <c r="AG277" s="31">
        <v>0</v>
      </c>
      <c r="AH277" s="31">
        <v>0</v>
      </c>
      <c r="AI277" s="31">
        <v>0</v>
      </c>
      <c r="AJ277" s="31">
        <v>0</v>
      </c>
      <c r="AK277" s="31">
        <v>0</v>
      </c>
      <c r="AL277" s="31">
        <v>0</v>
      </c>
      <c r="AM277" s="31">
        <v>0</v>
      </c>
      <c r="AN277" s="31">
        <v>0</v>
      </c>
      <c r="AO277" s="31">
        <v>0</v>
      </c>
      <c r="AP277" s="31">
        <v>0</v>
      </c>
      <c r="AQ277" s="31">
        <v>0</v>
      </c>
      <c r="AR277" s="31">
        <v>0</v>
      </c>
      <c r="AS277" s="31">
        <v>0</v>
      </c>
    </row>
    <row r="278" spans="1:45">
      <c r="A278" s="30" t="s">
        <v>676</v>
      </c>
      <c r="B278" s="30" t="s">
        <v>633</v>
      </c>
      <c r="C278" s="30" t="s">
        <v>677</v>
      </c>
      <c r="D278" s="30" t="s">
        <v>587</v>
      </c>
      <c r="E278" s="30" t="s">
        <v>1095</v>
      </c>
      <c r="F278" s="30" t="s">
        <v>104</v>
      </c>
      <c r="G278" s="30" t="s">
        <v>281</v>
      </c>
      <c r="H278" s="30" t="s">
        <v>680</v>
      </c>
      <c r="I278" s="32">
        <v>142</v>
      </c>
      <c r="J278" s="32">
        <v>131</v>
      </c>
      <c r="K278" s="32">
        <v>144.9999</v>
      </c>
      <c r="L278" s="32">
        <v>201</v>
      </c>
      <c r="M278" s="32">
        <v>154.33330000000001</v>
      </c>
      <c r="N278" s="32">
        <v>149.33330000000001</v>
      </c>
      <c r="O278" s="32">
        <v>171</v>
      </c>
      <c r="P278" s="32">
        <v>157</v>
      </c>
      <c r="Q278" s="32">
        <v>107</v>
      </c>
      <c r="R278" s="32">
        <v>100</v>
      </c>
      <c r="S278" s="32">
        <v>81</v>
      </c>
      <c r="T278" s="32">
        <v>59</v>
      </c>
      <c r="U278" s="32">
        <v>91.333100000000002</v>
      </c>
      <c r="V278" s="32">
        <v>60.789499999999997</v>
      </c>
      <c r="W278" s="32">
        <v>85.999799999999993</v>
      </c>
      <c r="X278" s="32">
        <v>80</v>
      </c>
      <c r="Y278" s="32">
        <v>101</v>
      </c>
      <c r="Z278" s="32">
        <v>76.999899999999997</v>
      </c>
      <c r="AA278" s="32">
        <v>139.66659999999999</v>
      </c>
      <c r="AB278" s="32">
        <v>105</v>
      </c>
      <c r="AC278" s="32">
        <v>74</v>
      </c>
      <c r="AD278" s="32">
        <v>85</v>
      </c>
      <c r="AE278" s="32">
        <v>61</v>
      </c>
      <c r="AF278" s="32">
        <v>42</v>
      </c>
      <c r="AG278" s="32">
        <v>63</v>
      </c>
      <c r="AH278" s="32">
        <v>7</v>
      </c>
      <c r="AI278" s="32">
        <v>2</v>
      </c>
      <c r="AJ278" s="31">
        <v>0</v>
      </c>
      <c r="AK278" s="31">
        <v>0</v>
      </c>
      <c r="AL278" s="31">
        <v>0</v>
      </c>
      <c r="AM278" s="31">
        <v>0</v>
      </c>
      <c r="AN278" s="31">
        <v>0</v>
      </c>
      <c r="AO278" s="31">
        <v>0</v>
      </c>
      <c r="AP278" s="31">
        <v>0</v>
      </c>
      <c r="AQ278" s="31">
        <v>0</v>
      </c>
      <c r="AR278" s="31">
        <v>0</v>
      </c>
      <c r="AS278" s="31">
        <v>0</v>
      </c>
    </row>
    <row r="279" spans="1:45">
      <c r="A279" s="30" t="s">
        <v>676</v>
      </c>
      <c r="B279" s="30" t="s">
        <v>633</v>
      </c>
      <c r="C279" s="30" t="s">
        <v>677</v>
      </c>
      <c r="D279" s="30" t="s">
        <v>1096</v>
      </c>
      <c r="E279" s="30" t="s">
        <v>1097</v>
      </c>
      <c r="F279" s="30" t="s">
        <v>283</v>
      </c>
      <c r="G279" s="30" t="s">
        <v>1098</v>
      </c>
      <c r="H279" s="30" t="s">
        <v>680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  <c r="AC279" s="31">
        <v>0</v>
      </c>
      <c r="AD279" s="31">
        <v>0</v>
      </c>
      <c r="AE279" s="31">
        <v>0</v>
      </c>
      <c r="AF279" s="31">
        <v>0</v>
      </c>
      <c r="AG279" s="32">
        <v>1</v>
      </c>
      <c r="AH279" s="31">
        <v>0</v>
      </c>
      <c r="AI279" s="31">
        <v>0</v>
      </c>
      <c r="AJ279" s="31">
        <v>0</v>
      </c>
      <c r="AK279" s="31">
        <v>0</v>
      </c>
      <c r="AL279" s="31">
        <v>0</v>
      </c>
      <c r="AM279" s="31">
        <v>0</v>
      </c>
      <c r="AN279" s="31">
        <v>0</v>
      </c>
      <c r="AO279" s="31">
        <v>0</v>
      </c>
      <c r="AP279" s="31">
        <v>0</v>
      </c>
      <c r="AQ279" s="31">
        <v>0</v>
      </c>
      <c r="AR279" s="31">
        <v>0</v>
      </c>
      <c r="AS279" s="31">
        <v>0</v>
      </c>
    </row>
    <row r="280" spans="1:45">
      <c r="A280" s="30" t="s">
        <v>676</v>
      </c>
      <c r="B280" s="30" t="s">
        <v>633</v>
      </c>
      <c r="C280" s="30" t="s">
        <v>677</v>
      </c>
      <c r="D280" s="30" t="s">
        <v>1096</v>
      </c>
      <c r="E280" s="30" t="s">
        <v>1099</v>
      </c>
      <c r="F280" s="30" t="s">
        <v>1100</v>
      </c>
      <c r="G280" s="30" t="s">
        <v>1101</v>
      </c>
      <c r="H280" s="30" t="s">
        <v>680</v>
      </c>
      <c r="I280" s="32">
        <v>2</v>
      </c>
      <c r="J280" s="32">
        <v>1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  <c r="AC280" s="31">
        <v>0</v>
      </c>
      <c r="AD280" s="31">
        <v>0</v>
      </c>
      <c r="AE280" s="31">
        <v>0</v>
      </c>
      <c r="AF280" s="31">
        <v>0</v>
      </c>
      <c r="AG280" s="31">
        <v>0</v>
      </c>
      <c r="AH280" s="31">
        <v>0</v>
      </c>
      <c r="AI280" s="31">
        <v>0</v>
      </c>
      <c r="AJ280" s="31">
        <v>0</v>
      </c>
      <c r="AK280" s="31">
        <v>0</v>
      </c>
      <c r="AL280" s="31">
        <v>0</v>
      </c>
      <c r="AM280" s="31">
        <v>0</v>
      </c>
      <c r="AN280" s="31">
        <v>0</v>
      </c>
      <c r="AO280" s="31">
        <v>0</v>
      </c>
      <c r="AP280" s="31">
        <v>0</v>
      </c>
      <c r="AQ280" s="31">
        <v>0</v>
      </c>
      <c r="AR280" s="31">
        <v>0</v>
      </c>
      <c r="AS280" s="31">
        <v>0</v>
      </c>
    </row>
    <row r="281" spans="1:45">
      <c r="A281" s="30" t="s">
        <v>676</v>
      </c>
      <c r="B281" s="30" t="s">
        <v>633</v>
      </c>
      <c r="C281" s="30" t="s">
        <v>677</v>
      </c>
      <c r="D281" s="30" t="s">
        <v>1096</v>
      </c>
      <c r="E281" s="30" t="s">
        <v>1102</v>
      </c>
      <c r="F281" s="30" t="s">
        <v>1100</v>
      </c>
      <c r="G281" s="30" t="s">
        <v>1103</v>
      </c>
      <c r="H281" s="30" t="s">
        <v>680</v>
      </c>
      <c r="I281" s="32">
        <v>1</v>
      </c>
      <c r="J281" s="32">
        <v>1</v>
      </c>
      <c r="K281" s="32">
        <v>2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0</v>
      </c>
      <c r="AC281" s="31">
        <v>0</v>
      </c>
      <c r="AD281" s="31">
        <v>0</v>
      </c>
      <c r="AE281" s="31">
        <v>0</v>
      </c>
      <c r="AF281" s="31">
        <v>0</v>
      </c>
      <c r="AG281" s="31">
        <v>0</v>
      </c>
      <c r="AH281" s="31">
        <v>0</v>
      </c>
      <c r="AI281" s="31">
        <v>0</v>
      </c>
      <c r="AJ281" s="31">
        <v>0</v>
      </c>
      <c r="AK281" s="31">
        <v>0</v>
      </c>
      <c r="AL281" s="31">
        <v>0</v>
      </c>
      <c r="AM281" s="31">
        <v>0</v>
      </c>
      <c r="AN281" s="31">
        <v>0</v>
      </c>
      <c r="AO281" s="31">
        <v>0</v>
      </c>
      <c r="AP281" s="31">
        <v>0</v>
      </c>
      <c r="AQ281" s="31">
        <v>0</v>
      </c>
      <c r="AR281" s="31">
        <v>0</v>
      </c>
      <c r="AS281" s="31">
        <v>0</v>
      </c>
    </row>
    <row r="282" spans="1:45">
      <c r="A282" s="30" t="s">
        <v>676</v>
      </c>
      <c r="B282" s="30" t="s">
        <v>633</v>
      </c>
      <c r="C282" s="30" t="s">
        <v>677</v>
      </c>
      <c r="D282" s="30" t="s">
        <v>1096</v>
      </c>
      <c r="E282" s="30" t="s">
        <v>1104</v>
      </c>
      <c r="F282" s="30" t="s">
        <v>283</v>
      </c>
      <c r="G282" s="30" t="s">
        <v>284</v>
      </c>
      <c r="H282" s="30" t="s">
        <v>680</v>
      </c>
      <c r="I282" s="32">
        <v>140</v>
      </c>
      <c r="J282" s="32">
        <v>97</v>
      </c>
      <c r="K282" s="32">
        <v>100</v>
      </c>
      <c r="L282" s="32">
        <v>64</v>
      </c>
      <c r="M282" s="32">
        <v>41</v>
      </c>
      <c r="N282" s="32">
        <v>21</v>
      </c>
      <c r="O282" s="32">
        <v>15</v>
      </c>
      <c r="P282" s="32">
        <v>7</v>
      </c>
      <c r="Q282" s="32">
        <v>11</v>
      </c>
      <c r="R282" s="32">
        <v>8</v>
      </c>
      <c r="S282" s="32">
        <v>1</v>
      </c>
      <c r="T282" s="32">
        <v>1</v>
      </c>
      <c r="U282" s="31">
        <v>0</v>
      </c>
      <c r="V282" s="32">
        <v>1</v>
      </c>
      <c r="W282" s="31">
        <v>0</v>
      </c>
      <c r="X282" s="32">
        <v>5</v>
      </c>
      <c r="Y282" s="32">
        <v>1</v>
      </c>
      <c r="Z282" s="31">
        <v>0</v>
      </c>
      <c r="AA282" s="32">
        <v>3</v>
      </c>
      <c r="AB282" s="32">
        <v>3</v>
      </c>
      <c r="AC282" s="31">
        <v>0</v>
      </c>
      <c r="AD282" s="32">
        <v>1</v>
      </c>
      <c r="AE282" s="31">
        <v>0</v>
      </c>
      <c r="AF282" s="32">
        <v>1</v>
      </c>
      <c r="AG282" s="31">
        <v>0</v>
      </c>
      <c r="AH282" s="31">
        <v>0</v>
      </c>
      <c r="AI282" s="31">
        <v>0</v>
      </c>
      <c r="AJ282" s="31">
        <v>0</v>
      </c>
      <c r="AK282" s="31">
        <v>0</v>
      </c>
      <c r="AL282" s="31">
        <v>0</v>
      </c>
      <c r="AM282" s="31">
        <v>0</v>
      </c>
      <c r="AN282" s="31">
        <v>0</v>
      </c>
      <c r="AO282" s="31">
        <v>0</v>
      </c>
      <c r="AP282" s="31">
        <v>0</v>
      </c>
      <c r="AQ282" s="31">
        <v>0</v>
      </c>
      <c r="AR282" s="31">
        <v>0</v>
      </c>
      <c r="AS282" s="31">
        <v>0</v>
      </c>
    </row>
    <row r="283" spans="1:45">
      <c r="A283" s="30" t="s">
        <v>676</v>
      </c>
      <c r="B283" s="30" t="s">
        <v>633</v>
      </c>
      <c r="C283" s="30" t="s">
        <v>677</v>
      </c>
      <c r="D283" s="30" t="s">
        <v>1096</v>
      </c>
      <c r="E283" s="30" t="s">
        <v>1105</v>
      </c>
      <c r="F283" s="30" t="s">
        <v>283</v>
      </c>
      <c r="G283" s="30" t="s">
        <v>285</v>
      </c>
      <c r="H283" s="30" t="s">
        <v>680</v>
      </c>
      <c r="I283" s="32">
        <v>95</v>
      </c>
      <c r="J283" s="32">
        <v>48.154699999999998</v>
      </c>
      <c r="K283" s="32">
        <v>26</v>
      </c>
      <c r="L283" s="32">
        <v>39</v>
      </c>
      <c r="M283" s="32">
        <v>21</v>
      </c>
      <c r="N283" s="32">
        <v>11</v>
      </c>
      <c r="O283" s="32">
        <v>15</v>
      </c>
      <c r="P283" s="32">
        <v>12</v>
      </c>
      <c r="Q283" s="32">
        <v>19</v>
      </c>
      <c r="R283" s="32">
        <v>10</v>
      </c>
      <c r="S283" s="32">
        <v>2</v>
      </c>
      <c r="T283" s="32">
        <v>5</v>
      </c>
      <c r="U283" s="32">
        <v>3</v>
      </c>
      <c r="V283" s="32">
        <v>2</v>
      </c>
      <c r="W283" s="32">
        <v>3</v>
      </c>
      <c r="X283" s="32">
        <v>2</v>
      </c>
      <c r="Y283" s="31">
        <v>0</v>
      </c>
      <c r="Z283" s="32">
        <v>1</v>
      </c>
      <c r="AA283" s="32">
        <v>1</v>
      </c>
      <c r="AB283" s="32">
        <v>1</v>
      </c>
      <c r="AC283" s="32">
        <v>1</v>
      </c>
      <c r="AD283" s="32">
        <v>1</v>
      </c>
      <c r="AE283" s="31">
        <v>0</v>
      </c>
      <c r="AF283" s="31">
        <v>0</v>
      </c>
      <c r="AG283" s="31">
        <v>0</v>
      </c>
      <c r="AH283" s="31">
        <v>0</v>
      </c>
      <c r="AI283" s="31">
        <v>0</v>
      </c>
      <c r="AJ283" s="31">
        <v>0</v>
      </c>
      <c r="AK283" s="31">
        <v>0</v>
      </c>
      <c r="AL283" s="31">
        <v>0</v>
      </c>
      <c r="AM283" s="31">
        <v>0</v>
      </c>
      <c r="AN283" s="31">
        <v>0</v>
      </c>
      <c r="AO283" s="31">
        <v>0</v>
      </c>
      <c r="AP283" s="31">
        <v>0</v>
      </c>
      <c r="AQ283" s="31">
        <v>0</v>
      </c>
      <c r="AR283" s="31">
        <v>0</v>
      </c>
      <c r="AS283" s="31">
        <v>0</v>
      </c>
    </row>
    <row r="284" spans="1:45">
      <c r="A284" s="30" t="s">
        <v>676</v>
      </c>
      <c r="B284" s="30" t="s">
        <v>633</v>
      </c>
      <c r="C284" s="30" t="s">
        <v>677</v>
      </c>
      <c r="D284" s="30" t="s">
        <v>1096</v>
      </c>
      <c r="E284" s="30" t="s">
        <v>1106</v>
      </c>
      <c r="F284" s="30" t="s">
        <v>286</v>
      </c>
      <c r="G284" s="30" t="s">
        <v>287</v>
      </c>
      <c r="H284" s="30" t="s">
        <v>680</v>
      </c>
      <c r="I284" s="32">
        <v>203</v>
      </c>
      <c r="J284" s="32">
        <v>121</v>
      </c>
      <c r="K284" s="32">
        <v>169</v>
      </c>
      <c r="L284" s="32">
        <v>204</v>
      </c>
      <c r="M284" s="32">
        <v>182</v>
      </c>
      <c r="N284" s="32">
        <v>179</v>
      </c>
      <c r="O284" s="32">
        <v>309</v>
      </c>
      <c r="P284" s="32">
        <v>225</v>
      </c>
      <c r="Q284" s="32">
        <v>143</v>
      </c>
      <c r="R284" s="32">
        <v>189</v>
      </c>
      <c r="S284" s="32">
        <v>146</v>
      </c>
      <c r="T284" s="32">
        <v>109</v>
      </c>
      <c r="U284" s="32">
        <v>173</v>
      </c>
      <c r="V284" s="32">
        <v>129.19739999999999</v>
      </c>
      <c r="W284" s="32">
        <v>147</v>
      </c>
      <c r="X284" s="32">
        <v>163</v>
      </c>
      <c r="Y284" s="32">
        <v>143</v>
      </c>
      <c r="Z284" s="32">
        <v>136</v>
      </c>
      <c r="AA284" s="32">
        <v>246</v>
      </c>
      <c r="AB284" s="32">
        <v>194</v>
      </c>
      <c r="AC284" s="32">
        <v>178</v>
      </c>
      <c r="AD284" s="32">
        <v>236</v>
      </c>
      <c r="AE284" s="32">
        <v>143</v>
      </c>
      <c r="AF284" s="32">
        <v>141</v>
      </c>
      <c r="AG284" s="32">
        <v>179</v>
      </c>
      <c r="AH284" s="32">
        <v>109</v>
      </c>
      <c r="AI284" s="32">
        <v>113</v>
      </c>
      <c r="AJ284" s="32">
        <v>204</v>
      </c>
      <c r="AK284" s="32">
        <v>126</v>
      </c>
      <c r="AL284" s="32">
        <v>86</v>
      </c>
      <c r="AM284" s="32">
        <v>154</v>
      </c>
      <c r="AN284" s="32">
        <v>92</v>
      </c>
      <c r="AO284" s="32">
        <v>124</v>
      </c>
      <c r="AP284" s="32">
        <v>134</v>
      </c>
      <c r="AQ284" s="32">
        <v>94</v>
      </c>
      <c r="AR284" s="32">
        <v>80</v>
      </c>
      <c r="AS284" s="32">
        <v>138</v>
      </c>
    </row>
    <row r="285" spans="1:45">
      <c r="A285" s="30" t="s">
        <v>676</v>
      </c>
      <c r="B285" s="30" t="s">
        <v>633</v>
      </c>
      <c r="C285" s="30" t="s">
        <v>677</v>
      </c>
      <c r="D285" s="30" t="s">
        <v>1096</v>
      </c>
      <c r="E285" s="30" t="s">
        <v>1107</v>
      </c>
      <c r="F285" s="30" t="s">
        <v>286</v>
      </c>
      <c r="G285" s="30" t="s">
        <v>288</v>
      </c>
      <c r="H285" s="30" t="s">
        <v>680</v>
      </c>
      <c r="I285" s="32">
        <v>121</v>
      </c>
      <c r="J285" s="32">
        <v>77</v>
      </c>
      <c r="K285" s="32">
        <v>90</v>
      </c>
      <c r="L285" s="32">
        <v>133</v>
      </c>
      <c r="M285" s="32">
        <v>95</v>
      </c>
      <c r="N285" s="32">
        <v>98</v>
      </c>
      <c r="O285" s="32">
        <v>151</v>
      </c>
      <c r="P285" s="32">
        <v>103</v>
      </c>
      <c r="Q285" s="32">
        <v>56</v>
      </c>
      <c r="R285" s="32">
        <v>103</v>
      </c>
      <c r="S285" s="32">
        <v>62</v>
      </c>
      <c r="T285" s="32">
        <v>64</v>
      </c>
      <c r="U285" s="32">
        <v>78</v>
      </c>
      <c r="V285" s="32">
        <v>61</v>
      </c>
      <c r="W285" s="32">
        <v>85</v>
      </c>
      <c r="X285" s="32">
        <v>87</v>
      </c>
      <c r="Y285" s="32">
        <v>74</v>
      </c>
      <c r="Z285" s="32">
        <v>70</v>
      </c>
      <c r="AA285" s="32">
        <v>118</v>
      </c>
      <c r="AB285" s="32">
        <v>88</v>
      </c>
      <c r="AC285" s="32">
        <v>108</v>
      </c>
      <c r="AD285" s="32">
        <v>106</v>
      </c>
      <c r="AE285" s="32">
        <v>79</v>
      </c>
      <c r="AF285" s="32">
        <v>94</v>
      </c>
      <c r="AG285" s="32">
        <v>79</v>
      </c>
      <c r="AH285" s="32">
        <v>66</v>
      </c>
      <c r="AI285" s="32">
        <v>90</v>
      </c>
      <c r="AJ285" s="32">
        <v>102</v>
      </c>
      <c r="AK285" s="32">
        <v>88</v>
      </c>
      <c r="AL285" s="32">
        <v>71</v>
      </c>
      <c r="AM285" s="32">
        <v>128</v>
      </c>
      <c r="AN285" s="32">
        <v>132</v>
      </c>
      <c r="AO285" s="32">
        <v>115</v>
      </c>
      <c r="AP285" s="32">
        <v>122</v>
      </c>
      <c r="AQ285" s="32">
        <v>81</v>
      </c>
      <c r="AR285" s="32">
        <v>74</v>
      </c>
      <c r="AS285" s="32">
        <v>113</v>
      </c>
    </row>
    <row r="286" spans="1:45">
      <c r="A286" s="30" t="s">
        <v>676</v>
      </c>
      <c r="B286" s="30" t="s">
        <v>633</v>
      </c>
      <c r="C286" s="30" t="s">
        <v>677</v>
      </c>
      <c r="D286" s="30" t="s">
        <v>1096</v>
      </c>
      <c r="E286" s="30" t="s">
        <v>1108</v>
      </c>
      <c r="F286" s="30" t="s">
        <v>283</v>
      </c>
      <c r="G286" s="30" t="s">
        <v>289</v>
      </c>
      <c r="H286" s="30" t="s">
        <v>680</v>
      </c>
      <c r="I286" s="32">
        <v>69</v>
      </c>
      <c r="J286" s="32">
        <v>43</v>
      </c>
      <c r="K286" s="32">
        <v>64</v>
      </c>
      <c r="L286" s="32">
        <v>75</v>
      </c>
      <c r="M286" s="32">
        <v>64</v>
      </c>
      <c r="N286" s="32">
        <v>66</v>
      </c>
      <c r="O286" s="32">
        <v>138</v>
      </c>
      <c r="P286" s="32">
        <v>99</v>
      </c>
      <c r="Q286" s="32">
        <v>87</v>
      </c>
      <c r="R286" s="32">
        <v>91</v>
      </c>
      <c r="S286" s="32">
        <v>60</v>
      </c>
      <c r="T286" s="32">
        <v>54</v>
      </c>
      <c r="U286" s="32">
        <v>64</v>
      </c>
      <c r="V286" s="32">
        <v>53</v>
      </c>
      <c r="W286" s="32">
        <v>45</v>
      </c>
      <c r="X286" s="32">
        <v>65</v>
      </c>
      <c r="Y286" s="32">
        <v>68</v>
      </c>
      <c r="Z286" s="32">
        <v>59</v>
      </c>
      <c r="AA286" s="32">
        <v>135</v>
      </c>
      <c r="AB286" s="32">
        <v>75</v>
      </c>
      <c r="AC286" s="32">
        <v>72</v>
      </c>
      <c r="AD286" s="32">
        <v>80</v>
      </c>
      <c r="AE286" s="32">
        <v>59</v>
      </c>
      <c r="AF286" s="32">
        <v>54</v>
      </c>
      <c r="AG286" s="32">
        <v>66</v>
      </c>
      <c r="AH286" s="32">
        <v>66</v>
      </c>
      <c r="AI286" s="32">
        <v>50</v>
      </c>
      <c r="AJ286" s="32">
        <v>96</v>
      </c>
      <c r="AK286" s="32">
        <v>48</v>
      </c>
      <c r="AL286" s="32">
        <v>63</v>
      </c>
      <c r="AM286" s="32">
        <v>75</v>
      </c>
      <c r="AN286" s="32">
        <v>69</v>
      </c>
      <c r="AO286" s="32">
        <v>70</v>
      </c>
      <c r="AP286" s="32">
        <v>56</v>
      </c>
      <c r="AQ286" s="32">
        <v>40</v>
      </c>
      <c r="AR286" s="32">
        <v>30</v>
      </c>
      <c r="AS286" s="32">
        <v>54</v>
      </c>
    </row>
    <row r="287" spans="1:45">
      <c r="A287" s="30" t="s">
        <v>676</v>
      </c>
      <c r="B287" s="30" t="s">
        <v>633</v>
      </c>
      <c r="C287" s="30" t="s">
        <v>677</v>
      </c>
      <c r="D287" s="30" t="s">
        <v>1096</v>
      </c>
      <c r="E287" s="30" t="s">
        <v>1109</v>
      </c>
      <c r="F287" s="30" t="s">
        <v>283</v>
      </c>
      <c r="G287" s="30" t="s">
        <v>290</v>
      </c>
      <c r="H287" s="30" t="s">
        <v>680</v>
      </c>
      <c r="I287" s="32">
        <v>50</v>
      </c>
      <c r="J287" s="32">
        <v>37</v>
      </c>
      <c r="K287" s="32">
        <v>51</v>
      </c>
      <c r="L287" s="32">
        <v>55</v>
      </c>
      <c r="M287" s="32">
        <v>39</v>
      </c>
      <c r="N287" s="32">
        <v>38</v>
      </c>
      <c r="O287" s="32">
        <v>98</v>
      </c>
      <c r="P287" s="32">
        <v>79</v>
      </c>
      <c r="Q287" s="32">
        <v>64</v>
      </c>
      <c r="R287" s="32">
        <v>59</v>
      </c>
      <c r="S287" s="32">
        <v>39</v>
      </c>
      <c r="T287" s="32">
        <v>23</v>
      </c>
      <c r="U287" s="32">
        <v>34</v>
      </c>
      <c r="V287" s="32">
        <v>37</v>
      </c>
      <c r="W287" s="32">
        <v>35</v>
      </c>
      <c r="X287" s="32">
        <v>39</v>
      </c>
      <c r="Y287" s="32">
        <v>40</v>
      </c>
      <c r="Z287" s="32">
        <v>39</v>
      </c>
      <c r="AA287" s="32">
        <v>96</v>
      </c>
      <c r="AB287" s="32">
        <v>54</v>
      </c>
      <c r="AC287" s="32">
        <v>45</v>
      </c>
      <c r="AD287" s="32">
        <v>61</v>
      </c>
      <c r="AE287" s="32">
        <v>29</v>
      </c>
      <c r="AF287" s="32">
        <v>31</v>
      </c>
      <c r="AG287" s="32">
        <v>51</v>
      </c>
      <c r="AH287" s="32">
        <v>50</v>
      </c>
      <c r="AI287" s="32">
        <v>34</v>
      </c>
      <c r="AJ287" s="32">
        <v>61</v>
      </c>
      <c r="AK287" s="32">
        <v>41</v>
      </c>
      <c r="AL287" s="32">
        <v>32</v>
      </c>
      <c r="AM287" s="32">
        <v>38</v>
      </c>
      <c r="AN287" s="32">
        <v>48</v>
      </c>
      <c r="AO287" s="32">
        <v>44</v>
      </c>
      <c r="AP287" s="32">
        <v>36</v>
      </c>
      <c r="AQ287" s="32">
        <v>26</v>
      </c>
      <c r="AR287" s="32">
        <v>28</v>
      </c>
      <c r="AS287" s="32">
        <v>43</v>
      </c>
    </row>
    <row r="288" spans="1:45">
      <c r="A288" s="30" t="s">
        <v>676</v>
      </c>
      <c r="B288" s="30" t="s">
        <v>633</v>
      </c>
      <c r="C288" s="30" t="s">
        <v>677</v>
      </c>
      <c r="D288" s="30" t="s">
        <v>1096</v>
      </c>
      <c r="E288" s="30" t="s">
        <v>1110</v>
      </c>
      <c r="F288" s="30" t="s">
        <v>283</v>
      </c>
      <c r="G288" s="30" t="s">
        <v>291</v>
      </c>
      <c r="H288" s="30" t="s">
        <v>680</v>
      </c>
      <c r="I288" s="32">
        <v>85</v>
      </c>
      <c r="J288" s="32">
        <v>69</v>
      </c>
      <c r="K288" s="32">
        <v>57</v>
      </c>
      <c r="L288" s="32">
        <v>86</v>
      </c>
      <c r="M288" s="32">
        <v>58</v>
      </c>
      <c r="N288" s="32">
        <v>71</v>
      </c>
      <c r="O288" s="32">
        <v>98</v>
      </c>
      <c r="P288" s="32">
        <v>85</v>
      </c>
      <c r="Q288" s="32">
        <v>85</v>
      </c>
      <c r="R288" s="32">
        <v>73</v>
      </c>
      <c r="S288" s="32">
        <v>40</v>
      </c>
      <c r="T288" s="32">
        <v>45</v>
      </c>
      <c r="U288" s="32">
        <v>73</v>
      </c>
      <c r="V288" s="32">
        <v>58</v>
      </c>
      <c r="W288" s="32">
        <v>56</v>
      </c>
      <c r="X288" s="32">
        <v>67</v>
      </c>
      <c r="Y288" s="32">
        <v>52</v>
      </c>
      <c r="Z288" s="32">
        <v>55</v>
      </c>
      <c r="AA288" s="32">
        <v>124</v>
      </c>
      <c r="AB288" s="32">
        <v>71</v>
      </c>
      <c r="AC288" s="32">
        <v>83</v>
      </c>
      <c r="AD288" s="32">
        <v>71</v>
      </c>
      <c r="AE288" s="32">
        <v>50</v>
      </c>
      <c r="AF288" s="32">
        <v>64</v>
      </c>
      <c r="AG288" s="32">
        <v>61</v>
      </c>
      <c r="AH288" s="32">
        <v>72</v>
      </c>
      <c r="AI288" s="32">
        <v>61</v>
      </c>
      <c r="AJ288" s="32">
        <v>80</v>
      </c>
      <c r="AK288" s="32">
        <v>82</v>
      </c>
      <c r="AL288" s="32">
        <v>63</v>
      </c>
      <c r="AM288" s="32">
        <v>152</v>
      </c>
      <c r="AN288" s="32">
        <v>165</v>
      </c>
      <c r="AO288" s="32">
        <v>66</v>
      </c>
      <c r="AP288" s="32">
        <v>71</v>
      </c>
      <c r="AQ288" s="32">
        <v>60</v>
      </c>
      <c r="AR288" s="32">
        <v>65</v>
      </c>
      <c r="AS288" s="32">
        <v>109</v>
      </c>
    </row>
    <row r="289" spans="1:45">
      <c r="A289" s="30" t="s">
        <v>676</v>
      </c>
      <c r="B289" s="30" t="s">
        <v>633</v>
      </c>
      <c r="C289" s="30" t="s">
        <v>677</v>
      </c>
      <c r="D289" s="30" t="s">
        <v>1096</v>
      </c>
      <c r="E289" s="30" t="s">
        <v>1111</v>
      </c>
      <c r="F289" s="30" t="s">
        <v>283</v>
      </c>
      <c r="G289" s="30" t="s">
        <v>292</v>
      </c>
      <c r="H289" s="30" t="s">
        <v>680</v>
      </c>
      <c r="I289" s="32">
        <v>60</v>
      </c>
      <c r="J289" s="32">
        <v>34</v>
      </c>
      <c r="K289" s="32">
        <v>51</v>
      </c>
      <c r="L289" s="32">
        <v>70</v>
      </c>
      <c r="M289" s="32">
        <v>48</v>
      </c>
      <c r="N289" s="32">
        <v>46</v>
      </c>
      <c r="O289" s="32">
        <v>74</v>
      </c>
      <c r="P289" s="32">
        <v>56</v>
      </c>
      <c r="Q289" s="32">
        <v>59</v>
      </c>
      <c r="R289" s="32">
        <v>60</v>
      </c>
      <c r="S289" s="32">
        <v>31</v>
      </c>
      <c r="T289" s="32">
        <v>31</v>
      </c>
      <c r="U289" s="32">
        <v>46</v>
      </c>
      <c r="V289" s="32">
        <v>32</v>
      </c>
      <c r="W289" s="32">
        <v>36</v>
      </c>
      <c r="X289" s="32">
        <v>57</v>
      </c>
      <c r="Y289" s="32">
        <v>36</v>
      </c>
      <c r="Z289" s="32">
        <v>36</v>
      </c>
      <c r="AA289" s="32">
        <v>89</v>
      </c>
      <c r="AB289" s="32">
        <v>66</v>
      </c>
      <c r="AC289" s="32">
        <v>57</v>
      </c>
      <c r="AD289" s="32">
        <v>41</v>
      </c>
      <c r="AE289" s="32">
        <v>37</v>
      </c>
      <c r="AF289" s="32">
        <v>35</v>
      </c>
      <c r="AG289" s="32">
        <v>49</v>
      </c>
      <c r="AH289" s="32">
        <v>46</v>
      </c>
      <c r="AI289" s="32">
        <v>34</v>
      </c>
      <c r="AJ289" s="32">
        <v>58</v>
      </c>
      <c r="AK289" s="32">
        <v>46</v>
      </c>
      <c r="AL289" s="32">
        <v>37</v>
      </c>
      <c r="AM289" s="32">
        <v>84</v>
      </c>
      <c r="AN289" s="32">
        <v>42</v>
      </c>
      <c r="AO289" s="32">
        <v>36</v>
      </c>
      <c r="AP289" s="32">
        <v>47</v>
      </c>
      <c r="AQ289" s="32">
        <v>33</v>
      </c>
      <c r="AR289" s="32">
        <v>51</v>
      </c>
      <c r="AS289" s="32">
        <v>57</v>
      </c>
    </row>
    <row r="290" spans="1:45">
      <c r="A290" s="30" t="s">
        <v>676</v>
      </c>
      <c r="B290" s="30" t="s">
        <v>633</v>
      </c>
      <c r="C290" s="30" t="s">
        <v>677</v>
      </c>
      <c r="D290" s="30" t="s">
        <v>1096</v>
      </c>
      <c r="E290" s="30" t="s">
        <v>1112</v>
      </c>
      <c r="F290" s="30" t="s">
        <v>283</v>
      </c>
      <c r="G290" s="30" t="s">
        <v>293</v>
      </c>
      <c r="H290" s="30" t="s">
        <v>680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  <c r="AC290" s="31">
        <v>0</v>
      </c>
      <c r="AD290" s="31">
        <v>0</v>
      </c>
      <c r="AE290" s="31">
        <v>0</v>
      </c>
      <c r="AF290" s="31">
        <v>0</v>
      </c>
      <c r="AG290" s="31">
        <v>0</v>
      </c>
      <c r="AH290" s="31">
        <v>0</v>
      </c>
      <c r="AI290" s="31">
        <v>0</v>
      </c>
      <c r="AJ290" s="31">
        <v>0</v>
      </c>
      <c r="AK290" s="31">
        <v>0</v>
      </c>
      <c r="AL290" s="32">
        <v>36</v>
      </c>
      <c r="AM290" s="32">
        <v>69</v>
      </c>
      <c r="AN290" s="32">
        <v>99</v>
      </c>
      <c r="AO290" s="32">
        <v>67</v>
      </c>
      <c r="AP290" s="32">
        <v>63</v>
      </c>
      <c r="AQ290" s="32">
        <v>63</v>
      </c>
      <c r="AR290" s="32">
        <v>64</v>
      </c>
      <c r="AS290" s="32">
        <v>79</v>
      </c>
    </row>
    <row r="291" spans="1:45">
      <c r="A291" s="30" t="s">
        <v>676</v>
      </c>
      <c r="B291" s="30" t="s">
        <v>633</v>
      </c>
      <c r="C291" s="30" t="s">
        <v>677</v>
      </c>
      <c r="D291" s="30" t="s">
        <v>1096</v>
      </c>
      <c r="E291" s="30" t="s">
        <v>1113</v>
      </c>
      <c r="F291" s="30" t="s">
        <v>283</v>
      </c>
      <c r="G291" s="30" t="s">
        <v>294</v>
      </c>
      <c r="H291" s="30" t="s">
        <v>680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  <c r="AC291" s="31">
        <v>0</v>
      </c>
      <c r="AD291" s="31">
        <v>0</v>
      </c>
      <c r="AE291" s="31">
        <v>0</v>
      </c>
      <c r="AF291" s="31">
        <v>0</v>
      </c>
      <c r="AG291" s="31">
        <v>0</v>
      </c>
      <c r="AH291" s="31">
        <v>0</v>
      </c>
      <c r="AI291" s="31">
        <v>0</v>
      </c>
      <c r="AJ291" s="31">
        <v>0</v>
      </c>
      <c r="AK291" s="31">
        <v>0</v>
      </c>
      <c r="AL291" s="32">
        <v>2</v>
      </c>
      <c r="AM291" s="31">
        <v>0</v>
      </c>
      <c r="AN291" s="31">
        <v>0</v>
      </c>
      <c r="AO291" s="32">
        <v>15</v>
      </c>
      <c r="AP291" s="32">
        <v>50</v>
      </c>
      <c r="AQ291" s="32">
        <v>32</v>
      </c>
      <c r="AR291" s="32">
        <v>36</v>
      </c>
      <c r="AS291" s="32">
        <v>70</v>
      </c>
    </row>
    <row r="292" spans="1:45">
      <c r="A292" s="30" t="s">
        <v>676</v>
      </c>
      <c r="B292" s="30" t="s">
        <v>633</v>
      </c>
      <c r="C292" s="30" t="s">
        <v>677</v>
      </c>
      <c r="D292" s="30" t="s">
        <v>1096</v>
      </c>
      <c r="E292" s="30" t="s">
        <v>1114</v>
      </c>
      <c r="F292" s="30" t="s">
        <v>283</v>
      </c>
      <c r="G292" s="30" t="s">
        <v>295</v>
      </c>
      <c r="H292" s="30" t="s">
        <v>680</v>
      </c>
      <c r="I292" s="31">
        <v>0</v>
      </c>
      <c r="J292" s="31">
        <v>0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  <c r="AC292" s="31">
        <v>0</v>
      </c>
      <c r="AD292" s="31">
        <v>0</v>
      </c>
      <c r="AE292" s="31">
        <v>0</v>
      </c>
      <c r="AF292" s="31">
        <v>0</v>
      </c>
      <c r="AG292" s="31">
        <v>0</v>
      </c>
      <c r="AH292" s="31">
        <v>0</v>
      </c>
      <c r="AI292" s="31">
        <v>0</v>
      </c>
      <c r="AJ292" s="31">
        <v>0</v>
      </c>
      <c r="AK292" s="31">
        <v>0</v>
      </c>
      <c r="AL292" s="32">
        <v>32</v>
      </c>
      <c r="AM292" s="32">
        <v>79</v>
      </c>
      <c r="AN292" s="32">
        <v>102</v>
      </c>
      <c r="AO292" s="32">
        <v>82</v>
      </c>
      <c r="AP292" s="32">
        <v>65</v>
      </c>
      <c r="AQ292" s="32">
        <v>47</v>
      </c>
      <c r="AR292" s="32">
        <v>60</v>
      </c>
      <c r="AS292" s="32">
        <v>75</v>
      </c>
    </row>
    <row r="293" spans="1:45">
      <c r="A293" s="30" t="s">
        <v>676</v>
      </c>
      <c r="B293" s="30" t="s">
        <v>633</v>
      </c>
      <c r="C293" s="30" t="s">
        <v>677</v>
      </c>
      <c r="D293" s="30" t="s">
        <v>1096</v>
      </c>
      <c r="E293" s="30" t="s">
        <v>1115</v>
      </c>
      <c r="F293" s="30" t="s">
        <v>283</v>
      </c>
      <c r="G293" s="30" t="s">
        <v>296</v>
      </c>
      <c r="H293" s="30" t="s">
        <v>680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  <c r="AC293" s="31">
        <v>0</v>
      </c>
      <c r="AD293" s="31">
        <v>0</v>
      </c>
      <c r="AE293" s="31">
        <v>0</v>
      </c>
      <c r="AF293" s="31">
        <v>0</v>
      </c>
      <c r="AG293" s="31">
        <v>0</v>
      </c>
      <c r="AH293" s="31">
        <v>0</v>
      </c>
      <c r="AI293" s="31">
        <v>0</v>
      </c>
      <c r="AJ293" s="31">
        <v>0</v>
      </c>
      <c r="AK293" s="31">
        <v>0</v>
      </c>
      <c r="AL293" s="32">
        <v>69</v>
      </c>
      <c r="AM293" s="32">
        <v>147</v>
      </c>
      <c r="AN293" s="32">
        <v>163</v>
      </c>
      <c r="AO293" s="32">
        <v>105</v>
      </c>
      <c r="AP293" s="32">
        <v>57</v>
      </c>
      <c r="AQ293" s="32">
        <v>61</v>
      </c>
      <c r="AR293" s="32">
        <v>52</v>
      </c>
      <c r="AS293" s="32">
        <v>64</v>
      </c>
    </row>
    <row r="294" spans="1:45">
      <c r="A294" s="30" t="s">
        <v>676</v>
      </c>
      <c r="B294" s="30" t="s">
        <v>633</v>
      </c>
      <c r="C294" s="30" t="s">
        <v>677</v>
      </c>
      <c r="D294" s="30" t="s">
        <v>1096</v>
      </c>
      <c r="E294" s="30" t="s">
        <v>1116</v>
      </c>
      <c r="F294" s="30" t="s">
        <v>286</v>
      </c>
      <c r="G294" s="30" t="s">
        <v>1117</v>
      </c>
      <c r="H294" s="30" t="s">
        <v>680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2">
        <v>26</v>
      </c>
      <c r="O294" s="32">
        <v>52</v>
      </c>
      <c r="P294" s="32">
        <v>35</v>
      </c>
      <c r="Q294" s="32">
        <v>41</v>
      </c>
      <c r="R294" s="32">
        <v>34</v>
      </c>
      <c r="S294" s="32">
        <v>30</v>
      </c>
      <c r="T294" s="32">
        <v>12</v>
      </c>
      <c r="U294" s="32">
        <v>9</v>
      </c>
      <c r="V294" s="31">
        <v>0</v>
      </c>
      <c r="W294" s="32">
        <v>1</v>
      </c>
      <c r="X294" s="32">
        <v>2</v>
      </c>
      <c r="Y294" s="31">
        <v>0</v>
      </c>
      <c r="Z294" s="32">
        <v>1</v>
      </c>
      <c r="AA294" s="32">
        <v>2</v>
      </c>
      <c r="AB294" s="31">
        <v>0</v>
      </c>
      <c r="AC294" s="32">
        <v>4</v>
      </c>
      <c r="AD294" s="32">
        <v>93</v>
      </c>
      <c r="AE294" s="32">
        <v>8</v>
      </c>
      <c r="AF294" s="32">
        <v>6</v>
      </c>
      <c r="AG294" s="32">
        <v>34</v>
      </c>
      <c r="AH294" s="32">
        <v>12</v>
      </c>
      <c r="AI294" s="32">
        <v>1</v>
      </c>
      <c r="AJ294" s="32">
        <v>6</v>
      </c>
      <c r="AK294" s="31">
        <v>0</v>
      </c>
      <c r="AL294" s="31">
        <v>0</v>
      </c>
      <c r="AM294" s="31">
        <v>0</v>
      </c>
      <c r="AN294" s="31">
        <v>0</v>
      </c>
      <c r="AO294" s="31">
        <v>0</v>
      </c>
      <c r="AP294" s="31">
        <v>0</v>
      </c>
      <c r="AQ294" s="31">
        <v>0</v>
      </c>
      <c r="AR294" s="31">
        <v>0</v>
      </c>
      <c r="AS294" s="31">
        <v>0</v>
      </c>
    </row>
    <row r="295" spans="1:45">
      <c r="A295" s="30" t="s">
        <v>676</v>
      </c>
      <c r="B295" s="30" t="s">
        <v>633</v>
      </c>
      <c r="C295" s="30" t="s">
        <v>677</v>
      </c>
      <c r="D295" s="30" t="s">
        <v>1096</v>
      </c>
      <c r="E295" s="30" t="s">
        <v>1118</v>
      </c>
      <c r="F295" s="30" t="s">
        <v>286</v>
      </c>
      <c r="G295" s="30" t="s">
        <v>1119</v>
      </c>
      <c r="H295" s="30" t="s">
        <v>680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2">
        <v>26</v>
      </c>
      <c r="O295" s="32">
        <v>52</v>
      </c>
      <c r="P295" s="32">
        <v>35</v>
      </c>
      <c r="Q295" s="32">
        <v>41</v>
      </c>
      <c r="R295" s="32">
        <v>34</v>
      </c>
      <c r="S295" s="32">
        <v>30</v>
      </c>
      <c r="T295" s="32">
        <v>12</v>
      </c>
      <c r="U295" s="32">
        <v>9</v>
      </c>
      <c r="V295" s="31">
        <v>0</v>
      </c>
      <c r="W295" s="32">
        <v>1</v>
      </c>
      <c r="X295" s="32">
        <v>2</v>
      </c>
      <c r="Y295" s="31">
        <v>0</v>
      </c>
      <c r="Z295" s="32">
        <v>1</v>
      </c>
      <c r="AA295" s="32">
        <v>2</v>
      </c>
      <c r="AB295" s="31">
        <v>0</v>
      </c>
      <c r="AC295" s="32">
        <v>4</v>
      </c>
      <c r="AD295" s="32">
        <v>93</v>
      </c>
      <c r="AE295" s="32">
        <v>8</v>
      </c>
      <c r="AF295" s="32">
        <v>6</v>
      </c>
      <c r="AG295" s="32">
        <v>34</v>
      </c>
      <c r="AH295" s="32">
        <v>12</v>
      </c>
      <c r="AI295" s="32">
        <v>1</v>
      </c>
      <c r="AJ295" s="32">
        <v>6</v>
      </c>
      <c r="AK295" s="31">
        <v>0</v>
      </c>
      <c r="AL295" s="31">
        <v>0</v>
      </c>
      <c r="AM295" s="31">
        <v>0</v>
      </c>
      <c r="AN295" s="31">
        <v>0</v>
      </c>
      <c r="AO295" s="31">
        <v>0</v>
      </c>
      <c r="AP295" s="31">
        <v>0</v>
      </c>
      <c r="AQ295" s="31">
        <v>0</v>
      </c>
      <c r="AR295" s="31">
        <v>0</v>
      </c>
      <c r="AS295" s="31">
        <v>0</v>
      </c>
    </row>
    <row r="296" spans="1:45">
      <c r="A296" s="30" t="s">
        <v>676</v>
      </c>
      <c r="B296" s="30" t="s">
        <v>633</v>
      </c>
      <c r="C296" s="30" t="s">
        <v>677</v>
      </c>
      <c r="D296" s="30" t="s">
        <v>1096</v>
      </c>
      <c r="E296" s="30" t="s">
        <v>1120</v>
      </c>
      <c r="F296" s="30" t="s">
        <v>283</v>
      </c>
      <c r="G296" s="30" t="s">
        <v>1121</v>
      </c>
      <c r="H296" s="30" t="s">
        <v>680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2">
        <v>2</v>
      </c>
      <c r="P296" s="32">
        <v>15</v>
      </c>
      <c r="Q296" s="32">
        <v>26</v>
      </c>
      <c r="R296" s="32">
        <v>27</v>
      </c>
      <c r="S296" s="32">
        <v>9</v>
      </c>
      <c r="T296" s="32">
        <v>10</v>
      </c>
      <c r="U296" s="32">
        <v>12</v>
      </c>
      <c r="V296" s="32">
        <v>1</v>
      </c>
      <c r="W296" s="32">
        <v>2</v>
      </c>
      <c r="X296" s="32">
        <v>4</v>
      </c>
      <c r="Y296" s="31">
        <v>0</v>
      </c>
      <c r="Z296" s="32">
        <v>1</v>
      </c>
      <c r="AA296" s="32">
        <v>1</v>
      </c>
      <c r="AB296" s="32">
        <v>2</v>
      </c>
      <c r="AC296" s="32">
        <v>1</v>
      </c>
      <c r="AD296" s="32">
        <v>57</v>
      </c>
      <c r="AE296" s="32">
        <v>37</v>
      </c>
      <c r="AF296" s="32">
        <v>25</v>
      </c>
      <c r="AG296" s="32">
        <v>35</v>
      </c>
      <c r="AH296" s="32">
        <v>29</v>
      </c>
      <c r="AI296" s="32">
        <v>36</v>
      </c>
      <c r="AJ296" s="32">
        <v>99</v>
      </c>
      <c r="AK296" s="32">
        <v>39</v>
      </c>
      <c r="AL296" s="32">
        <v>31</v>
      </c>
      <c r="AM296" s="32">
        <v>60</v>
      </c>
      <c r="AN296" s="32">
        <v>14</v>
      </c>
      <c r="AO296" s="32">
        <v>12</v>
      </c>
      <c r="AP296" s="32">
        <v>35</v>
      </c>
      <c r="AQ296" s="32">
        <v>5</v>
      </c>
      <c r="AR296" s="31">
        <v>0</v>
      </c>
      <c r="AS296" s="32">
        <v>1</v>
      </c>
    </row>
    <row r="297" spans="1:45">
      <c r="A297" s="30" t="s">
        <v>676</v>
      </c>
      <c r="B297" s="30" t="s">
        <v>633</v>
      </c>
      <c r="C297" s="30" t="s">
        <v>677</v>
      </c>
      <c r="D297" s="30" t="s">
        <v>1096</v>
      </c>
      <c r="E297" s="30" t="s">
        <v>1122</v>
      </c>
      <c r="F297" s="30" t="s">
        <v>283</v>
      </c>
      <c r="G297" s="30" t="s">
        <v>1123</v>
      </c>
      <c r="H297" s="30" t="s">
        <v>680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2">
        <v>2</v>
      </c>
      <c r="P297" s="32">
        <v>15</v>
      </c>
      <c r="Q297" s="32">
        <v>26</v>
      </c>
      <c r="R297" s="32">
        <v>27</v>
      </c>
      <c r="S297" s="32">
        <v>9</v>
      </c>
      <c r="T297" s="32">
        <v>10</v>
      </c>
      <c r="U297" s="32">
        <v>12</v>
      </c>
      <c r="V297" s="32">
        <v>1</v>
      </c>
      <c r="W297" s="32">
        <v>2</v>
      </c>
      <c r="X297" s="32">
        <v>4</v>
      </c>
      <c r="Y297" s="31">
        <v>0</v>
      </c>
      <c r="Z297" s="32">
        <v>1</v>
      </c>
      <c r="AA297" s="32">
        <v>1</v>
      </c>
      <c r="AB297" s="32">
        <v>2</v>
      </c>
      <c r="AC297" s="32">
        <v>1</v>
      </c>
      <c r="AD297" s="32">
        <v>57</v>
      </c>
      <c r="AE297" s="32">
        <v>37</v>
      </c>
      <c r="AF297" s="32">
        <v>25</v>
      </c>
      <c r="AG297" s="32">
        <v>35</v>
      </c>
      <c r="AH297" s="32">
        <v>29</v>
      </c>
      <c r="AI297" s="32">
        <v>36</v>
      </c>
      <c r="AJ297" s="32">
        <v>99</v>
      </c>
      <c r="AK297" s="32">
        <v>39</v>
      </c>
      <c r="AL297" s="32">
        <v>31</v>
      </c>
      <c r="AM297" s="32">
        <v>60</v>
      </c>
      <c r="AN297" s="32">
        <v>14</v>
      </c>
      <c r="AO297" s="32">
        <v>12</v>
      </c>
      <c r="AP297" s="32">
        <v>35</v>
      </c>
      <c r="AQ297" s="32">
        <v>5</v>
      </c>
      <c r="AR297" s="31">
        <v>0</v>
      </c>
      <c r="AS297" s="32">
        <v>1</v>
      </c>
    </row>
    <row r="298" spans="1:45">
      <c r="A298" s="30" t="s">
        <v>676</v>
      </c>
      <c r="B298" s="30" t="s">
        <v>633</v>
      </c>
      <c r="C298" s="30" t="s">
        <v>677</v>
      </c>
      <c r="D298" s="30" t="s">
        <v>1096</v>
      </c>
      <c r="E298" s="30" t="s">
        <v>1124</v>
      </c>
      <c r="F298" s="30" t="s">
        <v>283</v>
      </c>
      <c r="G298" s="30" t="s">
        <v>1125</v>
      </c>
      <c r="H298" s="30" t="s">
        <v>680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2">
        <v>9</v>
      </c>
      <c r="P298" s="32">
        <v>18</v>
      </c>
      <c r="Q298" s="32">
        <v>28</v>
      </c>
      <c r="R298" s="32">
        <v>21</v>
      </c>
      <c r="S298" s="32">
        <v>13</v>
      </c>
      <c r="T298" s="32">
        <v>9</v>
      </c>
      <c r="U298" s="32">
        <v>13</v>
      </c>
      <c r="V298" s="32">
        <v>1</v>
      </c>
      <c r="W298" s="32">
        <v>1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  <c r="AC298" s="32">
        <v>6</v>
      </c>
      <c r="AD298" s="32">
        <v>76</v>
      </c>
      <c r="AE298" s="32">
        <v>53</v>
      </c>
      <c r="AF298" s="32">
        <v>43</v>
      </c>
      <c r="AG298" s="32">
        <v>50</v>
      </c>
      <c r="AH298" s="32">
        <v>14</v>
      </c>
      <c r="AI298" s="32">
        <v>15</v>
      </c>
      <c r="AJ298" s="32">
        <v>29</v>
      </c>
      <c r="AK298" s="32">
        <v>3</v>
      </c>
      <c r="AL298" s="31">
        <v>0</v>
      </c>
      <c r="AM298" s="31">
        <v>0</v>
      </c>
      <c r="AN298" s="31">
        <v>0</v>
      </c>
      <c r="AO298" s="31">
        <v>0</v>
      </c>
      <c r="AP298" s="31">
        <v>0</v>
      </c>
      <c r="AQ298" s="31">
        <v>0</v>
      </c>
      <c r="AR298" s="31">
        <v>0</v>
      </c>
      <c r="AS298" s="31">
        <v>0</v>
      </c>
    </row>
    <row r="299" spans="1:45">
      <c r="A299" s="30" t="s">
        <v>676</v>
      </c>
      <c r="B299" s="30" t="s">
        <v>633</v>
      </c>
      <c r="C299" s="30" t="s">
        <v>677</v>
      </c>
      <c r="D299" s="30" t="s">
        <v>1096</v>
      </c>
      <c r="E299" s="30" t="s">
        <v>1126</v>
      </c>
      <c r="F299" s="30" t="s">
        <v>283</v>
      </c>
      <c r="G299" s="30" t="s">
        <v>1127</v>
      </c>
      <c r="H299" s="30" t="s">
        <v>680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2">
        <v>9</v>
      </c>
      <c r="P299" s="32">
        <v>18</v>
      </c>
      <c r="Q299" s="32">
        <v>28</v>
      </c>
      <c r="R299" s="32">
        <v>21</v>
      </c>
      <c r="S299" s="32">
        <v>13</v>
      </c>
      <c r="T299" s="32">
        <v>9</v>
      </c>
      <c r="U299" s="32">
        <v>13</v>
      </c>
      <c r="V299" s="32">
        <v>1</v>
      </c>
      <c r="W299" s="32">
        <v>1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  <c r="AC299" s="32">
        <v>6</v>
      </c>
      <c r="AD299" s="32">
        <v>76</v>
      </c>
      <c r="AE299" s="32">
        <v>53</v>
      </c>
      <c r="AF299" s="32">
        <v>43</v>
      </c>
      <c r="AG299" s="32">
        <v>50</v>
      </c>
      <c r="AH299" s="32">
        <v>14</v>
      </c>
      <c r="AI299" s="32">
        <v>15</v>
      </c>
      <c r="AJ299" s="32">
        <v>29</v>
      </c>
      <c r="AK299" s="32">
        <v>3</v>
      </c>
      <c r="AL299" s="31">
        <v>0</v>
      </c>
      <c r="AM299" s="31">
        <v>0</v>
      </c>
      <c r="AN299" s="31">
        <v>0</v>
      </c>
      <c r="AO299" s="31">
        <v>0</v>
      </c>
      <c r="AP299" s="31">
        <v>0</v>
      </c>
      <c r="AQ299" s="31">
        <v>0</v>
      </c>
      <c r="AR299" s="31">
        <v>0</v>
      </c>
      <c r="AS299" s="31">
        <v>0</v>
      </c>
    </row>
    <row r="300" spans="1:45">
      <c r="A300" s="30" t="s">
        <v>676</v>
      </c>
      <c r="B300" s="30" t="s">
        <v>633</v>
      </c>
      <c r="C300" s="30" t="s">
        <v>677</v>
      </c>
      <c r="D300" s="30" t="s">
        <v>1128</v>
      </c>
      <c r="E300" s="30" t="s">
        <v>1129</v>
      </c>
      <c r="F300" s="30" t="s">
        <v>388</v>
      </c>
      <c r="G300" s="30" t="s">
        <v>389</v>
      </c>
      <c r="H300" s="30" t="s">
        <v>680</v>
      </c>
      <c r="I300" s="32">
        <v>47</v>
      </c>
      <c r="J300" s="32">
        <v>39</v>
      </c>
      <c r="K300" s="32">
        <v>43</v>
      </c>
      <c r="L300" s="32">
        <v>59</v>
      </c>
      <c r="M300" s="32">
        <v>50</v>
      </c>
      <c r="N300" s="32">
        <v>59</v>
      </c>
      <c r="O300" s="32">
        <v>94</v>
      </c>
      <c r="P300" s="32">
        <v>76</v>
      </c>
      <c r="Q300" s="32">
        <v>62</v>
      </c>
      <c r="R300" s="32">
        <v>82</v>
      </c>
      <c r="S300" s="32">
        <v>44</v>
      </c>
      <c r="T300" s="32">
        <v>27</v>
      </c>
      <c r="U300" s="32">
        <v>47</v>
      </c>
      <c r="V300" s="32">
        <v>38</v>
      </c>
      <c r="W300" s="32">
        <v>33</v>
      </c>
      <c r="X300" s="32">
        <v>41</v>
      </c>
      <c r="Y300" s="32">
        <v>43</v>
      </c>
      <c r="Z300" s="32">
        <v>38</v>
      </c>
      <c r="AA300" s="32">
        <v>65</v>
      </c>
      <c r="AB300" s="32">
        <v>60</v>
      </c>
      <c r="AC300" s="32">
        <v>61</v>
      </c>
      <c r="AD300" s="32">
        <v>64</v>
      </c>
      <c r="AE300" s="32">
        <v>59</v>
      </c>
      <c r="AF300" s="32">
        <v>40</v>
      </c>
      <c r="AG300" s="32">
        <v>42</v>
      </c>
      <c r="AH300" s="32">
        <v>26</v>
      </c>
      <c r="AI300" s="32">
        <v>22</v>
      </c>
      <c r="AJ300" s="32">
        <v>42</v>
      </c>
      <c r="AK300" s="32">
        <v>62</v>
      </c>
      <c r="AL300" s="32">
        <v>80</v>
      </c>
      <c r="AM300" s="32">
        <v>95</v>
      </c>
      <c r="AN300" s="32">
        <v>45</v>
      </c>
      <c r="AO300" s="32">
        <v>28</v>
      </c>
      <c r="AP300" s="32">
        <v>22</v>
      </c>
      <c r="AQ300" s="32">
        <v>6</v>
      </c>
      <c r="AR300" s="32">
        <v>3</v>
      </c>
      <c r="AS300" s="32">
        <v>5</v>
      </c>
    </row>
    <row r="301" spans="1:45">
      <c r="A301" s="30" t="s">
        <v>676</v>
      </c>
      <c r="B301" s="30" t="s">
        <v>633</v>
      </c>
      <c r="C301" s="30" t="s">
        <v>677</v>
      </c>
      <c r="D301" s="30" t="s">
        <v>1128</v>
      </c>
      <c r="E301" s="30" t="s">
        <v>1130</v>
      </c>
      <c r="F301" s="30" t="s">
        <v>388</v>
      </c>
      <c r="G301" s="30" t="s">
        <v>1131</v>
      </c>
      <c r="H301" s="30" t="s">
        <v>680</v>
      </c>
      <c r="I301" s="31">
        <v>0</v>
      </c>
      <c r="J301" s="32">
        <v>1</v>
      </c>
      <c r="K301" s="31">
        <v>0</v>
      </c>
      <c r="L301" s="31">
        <v>0</v>
      </c>
      <c r="M301" s="32">
        <v>1</v>
      </c>
      <c r="N301" s="32">
        <v>1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  <c r="AC301" s="31">
        <v>0</v>
      </c>
      <c r="AD301" s="31">
        <v>0</v>
      </c>
      <c r="AE301" s="31">
        <v>0</v>
      </c>
      <c r="AF301" s="31">
        <v>0</v>
      </c>
      <c r="AG301" s="31">
        <v>0</v>
      </c>
      <c r="AH301" s="31">
        <v>0</v>
      </c>
      <c r="AI301" s="31">
        <v>0</v>
      </c>
      <c r="AJ301" s="31">
        <v>0</v>
      </c>
      <c r="AK301" s="31">
        <v>0</v>
      </c>
      <c r="AL301" s="31">
        <v>0</v>
      </c>
      <c r="AM301" s="31">
        <v>0</v>
      </c>
      <c r="AN301" s="31">
        <v>0</v>
      </c>
      <c r="AO301" s="31">
        <v>0</v>
      </c>
      <c r="AP301" s="31">
        <v>0</v>
      </c>
      <c r="AQ301" s="31">
        <v>0</v>
      </c>
      <c r="AR301" s="31">
        <v>0</v>
      </c>
      <c r="AS301" s="31">
        <v>0</v>
      </c>
    </row>
    <row r="302" spans="1:45">
      <c r="A302" s="30" t="s">
        <v>676</v>
      </c>
      <c r="B302" s="30" t="s">
        <v>633</v>
      </c>
      <c r="C302" s="30" t="s">
        <v>677</v>
      </c>
      <c r="D302" s="30" t="s">
        <v>1128</v>
      </c>
      <c r="E302" s="30" t="s">
        <v>1132</v>
      </c>
      <c r="F302" s="30" t="s">
        <v>388</v>
      </c>
      <c r="G302" s="30" t="s">
        <v>390</v>
      </c>
      <c r="H302" s="30" t="s">
        <v>680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2">
        <v>1</v>
      </c>
      <c r="AA302" s="32">
        <v>2</v>
      </c>
      <c r="AB302" s="32">
        <v>1</v>
      </c>
      <c r="AC302" s="32">
        <v>1</v>
      </c>
      <c r="AD302" s="32">
        <v>1</v>
      </c>
      <c r="AE302" s="31">
        <v>0</v>
      </c>
      <c r="AF302" s="31">
        <v>0</v>
      </c>
      <c r="AG302" s="31">
        <v>0</v>
      </c>
      <c r="AH302" s="31">
        <v>0</v>
      </c>
      <c r="AI302" s="31">
        <v>0</v>
      </c>
      <c r="AJ302" s="31">
        <v>0</v>
      </c>
      <c r="AK302" s="31">
        <v>0</v>
      </c>
      <c r="AL302" s="31">
        <v>0</v>
      </c>
      <c r="AM302" s="31">
        <v>0</v>
      </c>
      <c r="AN302" s="31">
        <v>0</v>
      </c>
      <c r="AO302" s="31">
        <v>0</v>
      </c>
      <c r="AP302" s="31">
        <v>0</v>
      </c>
      <c r="AQ302" s="31">
        <v>0</v>
      </c>
      <c r="AR302" s="31">
        <v>0</v>
      </c>
      <c r="AS302" s="31">
        <v>0</v>
      </c>
    </row>
    <row r="303" spans="1:45">
      <c r="A303" s="30" t="s">
        <v>676</v>
      </c>
      <c r="B303" s="30" t="s">
        <v>633</v>
      </c>
      <c r="C303" s="30" t="s">
        <v>677</v>
      </c>
      <c r="D303" s="30" t="s">
        <v>1128</v>
      </c>
      <c r="E303" s="30" t="s">
        <v>1133</v>
      </c>
      <c r="F303" s="30" t="s">
        <v>388</v>
      </c>
      <c r="G303" s="30" t="s">
        <v>391</v>
      </c>
      <c r="H303" s="30" t="s">
        <v>680</v>
      </c>
      <c r="I303" s="31">
        <v>0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2">
        <v>93</v>
      </c>
      <c r="S303" s="32">
        <v>64</v>
      </c>
      <c r="T303" s="32">
        <v>62</v>
      </c>
      <c r="U303" s="32">
        <v>68</v>
      </c>
      <c r="V303" s="32">
        <v>48</v>
      </c>
      <c r="W303" s="32">
        <v>36</v>
      </c>
      <c r="X303" s="32">
        <v>57</v>
      </c>
      <c r="Y303" s="32">
        <v>42</v>
      </c>
      <c r="Z303" s="32">
        <v>42</v>
      </c>
      <c r="AA303" s="32">
        <v>94</v>
      </c>
      <c r="AB303" s="32">
        <v>69</v>
      </c>
      <c r="AC303" s="32">
        <v>93</v>
      </c>
      <c r="AD303" s="32">
        <v>72</v>
      </c>
      <c r="AE303" s="32">
        <v>56</v>
      </c>
      <c r="AF303" s="32">
        <v>54</v>
      </c>
      <c r="AG303" s="32">
        <v>41</v>
      </c>
      <c r="AH303" s="32">
        <v>34</v>
      </c>
      <c r="AI303" s="32">
        <v>22</v>
      </c>
      <c r="AJ303" s="32">
        <v>29</v>
      </c>
      <c r="AK303" s="32">
        <v>15</v>
      </c>
      <c r="AL303" s="32">
        <v>14</v>
      </c>
      <c r="AM303" s="32">
        <v>11</v>
      </c>
      <c r="AN303" s="32">
        <v>8</v>
      </c>
      <c r="AO303" s="32">
        <v>5</v>
      </c>
      <c r="AP303" s="31">
        <v>0</v>
      </c>
      <c r="AQ303" s="32">
        <v>1</v>
      </c>
      <c r="AR303" s="31">
        <v>0</v>
      </c>
      <c r="AS303" s="31">
        <v>0</v>
      </c>
    </row>
    <row r="304" spans="1:45">
      <c r="A304" s="30" t="s">
        <v>676</v>
      </c>
      <c r="B304" s="30" t="s">
        <v>633</v>
      </c>
      <c r="C304" s="30" t="s">
        <v>677</v>
      </c>
      <c r="D304" s="30" t="s">
        <v>1134</v>
      </c>
      <c r="E304" s="30" t="s">
        <v>1135</v>
      </c>
      <c r="F304" s="30" t="s">
        <v>144</v>
      </c>
      <c r="G304" s="30" t="s">
        <v>298</v>
      </c>
      <c r="H304" s="30" t="s">
        <v>680</v>
      </c>
      <c r="I304" s="31">
        <v>0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2">
        <v>20</v>
      </c>
      <c r="V304" s="32">
        <v>170.59209999999999</v>
      </c>
      <c r="W304" s="32">
        <v>248</v>
      </c>
      <c r="X304" s="32">
        <v>239</v>
      </c>
      <c r="Y304" s="32">
        <v>127</v>
      </c>
      <c r="Z304" s="32">
        <v>168.90799999999999</v>
      </c>
      <c r="AA304" s="32">
        <v>313.68279999999999</v>
      </c>
      <c r="AB304" s="32">
        <v>158</v>
      </c>
      <c r="AC304" s="32">
        <v>151</v>
      </c>
      <c r="AD304" s="32">
        <v>142</v>
      </c>
      <c r="AE304" s="32">
        <v>67</v>
      </c>
      <c r="AF304" s="32">
        <v>55</v>
      </c>
      <c r="AG304" s="32">
        <v>90</v>
      </c>
      <c r="AH304" s="32">
        <v>77</v>
      </c>
      <c r="AI304" s="32">
        <v>59</v>
      </c>
      <c r="AJ304" s="32">
        <v>91</v>
      </c>
      <c r="AK304" s="32">
        <v>51</v>
      </c>
      <c r="AL304" s="32">
        <v>144</v>
      </c>
      <c r="AM304" s="32">
        <v>116</v>
      </c>
      <c r="AN304" s="32">
        <v>179</v>
      </c>
      <c r="AO304" s="32">
        <v>114</v>
      </c>
      <c r="AP304" s="32">
        <v>146</v>
      </c>
      <c r="AQ304" s="32">
        <v>75</v>
      </c>
      <c r="AR304" s="32">
        <v>73</v>
      </c>
      <c r="AS304" s="32">
        <v>65</v>
      </c>
    </row>
    <row r="305" spans="1:45">
      <c r="A305" s="30" t="s">
        <v>676</v>
      </c>
      <c r="B305" s="30" t="s">
        <v>633</v>
      </c>
      <c r="C305" s="30" t="s">
        <v>677</v>
      </c>
      <c r="D305" s="30" t="s">
        <v>1134</v>
      </c>
      <c r="E305" s="30" t="s">
        <v>1136</v>
      </c>
      <c r="F305" s="30" t="s">
        <v>1137</v>
      </c>
      <c r="G305" s="30" t="s">
        <v>1138</v>
      </c>
      <c r="H305" s="30" t="s">
        <v>680</v>
      </c>
      <c r="I305" s="31">
        <v>0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0</v>
      </c>
      <c r="AC305" s="31">
        <v>0</v>
      </c>
      <c r="AD305" s="31">
        <v>0</v>
      </c>
      <c r="AE305" s="31">
        <v>0</v>
      </c>
      <c r="AF305" s="31">
        <v>0</v>
      </c>
      <c r="AG305" s="31">
        <v>0</v>
      </c>
      <c r="AH305" s="31">
        <v>0</v>
      </c>
      <c r="AI305" s="31">
        <v>0</v>
      </c>
      <c r="AJ305" s="31">
        <v>0</v>
      </c>
      <c r="AK305" s="31">
        <v>0</v>
      </c>
      <c r="AL305" s="31">
        <v>0</v>
      </c>
      <c r="AM305" s="31">
        <v>0</v>
      </c>
      <c r="AN305" s="31">
        <v>0</v>
      </c>
      <c r="AO305" s="31">
        <v>0</v>
      </c>
      <c r="AP305" s="31">
        <v>0</v>
      </c>
      <c r="AQ305" s="32">
        <v>1</v>
      </c>
      <c r="AR305" s="31">
        <v>0</v>
      </c>
      <c r="AS305" s="31">
        <v>0</v>
      </c>
    </row>
    <row r="306" spans="1:45">
      <c r="A306" s="30" t="s">
        <v>676</v>
      </c>
      <c r="B306" s="30" t="s">
        <v>633</v>
      </c>
      <c r="C306" s="30" t="s">
        <v>677</v>
      </c>
      <c r="D306" s="30" t="s">
        <v>1134</v>
      </c>
      <c r="E306" s="30" t="s">
        <v>1139</v>
      </c>
      <c r="F306" s="30" t="s">
        <v>147</v>
      </c>
      <c r="G306" s="30" t="s">
        <v>1140</v>
      </c>
      <c r="H306" s="30" t="s">
        <v>680</v>
      </c>
      <c r="I306" s="31">
        <v>0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2">
        <v>6</v>
      </c>
      <c r="Z306" s="31">
        <v>0</v>
      </c>
      <c r="AA306" s="31">
        <v>0</v>
      </c>
      <c r="AB306" s="31">
        <v>0</v>
      </c>
      <c r="AC306" s="31">
        <v>0</v>
      </c>
      <c r="AD306" s="31">
        <v>0</v>
      </c>
      <c r="AE306" s="31">
        <v>0</v>
      </c>
      <c r="AF306" s="31">
        <v>0</v>
      </c>
      <c r="AG306" s="31">
        <v>0</v>
      </c>
      <c r="AH306" s="31">
        <v>0</v>
      </c>
      <c r="AI306" s="31">
        <v>0</v>
      </c>
      <c r="AJ306" s="31">
        <v>0</v>
      </c>
      <c r="AK306" s="31">
        <v>0</v>
      </c>
      <c r="AL306" s="31">
        <v>0</v>
      </c>
      <c r="AM306" s="31">
        <v>0</v>
      </c>
      <c r="AN306" s="31">
        <v>0</v>
      </c>
      <c r="AO306" s="31">
        <v>0</v>
      </c>
      <c r="AP306" s="31">
        <v>0</v>
      </c>
      <c r="AQ306" s="31">
        <v>0</v>
      </c>
      <c r="AR306" s="31">
        <v>0</v>
      </c>
      <c r="AS306" s="31">
        <v>0</v>
      </c>
    </row>
    <row r="307" spans="1:45">
      <c r="A307" s="30" t="s">
        <v>676</v>
      </c>
      <c r="B307" s="30" t="s">
        <v>633</v>
      </c>
      <c r="C307" s="30" t="s">
        <v>677</v>
      </c>
      <c r="D307" s="30" t="s">
        <v>1134</v>
      </c>
      <c r="E307" s="30" t="s">
        <v>1141</v>
      </c>
      <c r="F307" s="30" t="s">
        <v>140</v>
      </c>
      <c r="G307" s="30" t="s">
        <v>1142</v>
      </c>
      <c r="H307" s="30" t="s">
        <v>680</v>
      </c>
      <c r="I307" s="32">
        <v>16</v>
      </c>
      <c r="J307" s="32">
        <v>9</v>
      </c>
      <c r="K307" s="32">
        <v>6</v>
      </c>
      <c r="L307" s="32">
        <v>10</v>
      </c>
      <c r="M307" s="32">
        <v>1</v>
      </c>
      <c r="N307" s="32">
        <v>2</v>
      </c>
      <c r="O307" s="32">
        <v>2</v>
      </c>
      <c r="P307" s="32">
        <v>2</v>
      </c>
      <c r="Q307" s="31">
        <v>0</v>
      </c>
      <c r="R307" s="32">
        <v>3</v>
      </c>
      <c r="S307" s="32">
        <v>4</v>
      </c>
      <c r="T307" s="32">
        <v>2</v>
      </c>
      <c r="U307" s="31">
        <v>0</v>
      </c>
      <c r="V307" s="32">
        <v>1</v>
      </c>
      <c r="W307" s="31">
        <v>0</v>
      </c>
      <c r="X307" s="31">
        <v>0</v>
      </c>
      <c r="Y307" s="31">
        <v>0</v>
      </c>
      <c r="Z307" s="31">
        <v>0</v>
      </c>
      <c r="AA307" s="31">
        <v>0</v>
      </c>
      <c r="AB307" s="31">
        <v>0</v>
      </c>
      <c r="AC307" s="32">
        <v>1</v>
      </c>
      <c r="AD307" s="32">
        <v>1</v>
      </c>
      <c r="AE307" s="32">
        <v>19</v>
      </c>
      <c r="AF307" s="32">
        <v>3</v>
      </c>
      <c r="AG307" s="32">
        <v>3</v>
      </c>
      <c r="AH307" s="32">
        <v>1</v>
      </c>
      <c r="AI307" s="32">
        <v>1</v>
      </c>
      <c r="AJ307" s="32">
        <v>1</v>
      </c>
      <c r="AK307" s="32">
        <v>1</v>
      </c>
      <c r="AL307" s="32">
        <v>3</v>
      </c>
      <c r="AM307" s="32">
        <v>3</v>
      </c>
      <c r="AN307" s="32">
        <v>1</v>
      </c>
      <c r="AO307" s="32">
        <v>2</v>
      </c>
      <c r="AP307" s="31">
        <v>0</v>
      </c>
      <c r="AQ307" s="32">
        <v>1</v>
      </c>
      <c r="AR307" s="31">
        <v>0</v>
      </c>
      <c r="AS307" s="31">
        <v>0</v>
      </c>
    </row>
    <row r="308" spans="1:45">
      <c r="A308" s="30" t="s">
        <v>676</v>
      </c>
      <c r="B308" s="30" t="s">
        <v>633</v>
      </c>
      <c r="C308" s="30" t="s">
        <v>677</v>
      </c>
      <c r="D308" s="30" t="s">
        <v>1134</v>
      </c>
      <c r="E308" s="30" t="s">
        <v>1143</v>
      </c>
      <c r="F308" s="30" t="s">
        <v>1144</v>
      </c>
      <c r="G308" s="30" t="s">
        <v>1145</v>
      </c>
      <c r="H308" s="30" t="s">
        <v>680</v>
      </c>
      <c r="I308" s="31">
        <v>0</v>
      </c>
      <c r="J308" s="31">
        <v>0</v>
      </c>
      <c r="K308" s="31">
        <v>0</v>
      </c>
      <c r="L308" s="31">
        <v>0</v>
      </c>
      <c r="M308" s="31">
        <v>0</v>
      </c>
      <c r="N308" s="31">
        <v>0</v>
      </c>
      <c r="O308" s="31">
        <v>0</v>
      </c>
      <c r="P308" s="31">
        <v>0</v>
      </c>
      <c r="Q308" s="32">
        <v>1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0</v>
      </c>
      <c r="AC308" s="31">
        <v>0</v>
      </c>
      <c r="AD308" s="31">
        <v>0</v>
      </c>
      <c r="AE308" s="31">
        <v>0</v>
      </c>
      <c r="AF308" s="31">
        <v>0</v>
      </c>
      <c r="AG308" s="31">
        <v>0</v>
      </c>
      <c r="AH308" s="31">
        <v>0</v>
      </c>
      <c r="AI308" s="31">
        <v>0</v>
      </c>
      <c r="AJ308" s="31">
        <v>0</v>
      </c>
      <c r="AK308" s="31">
        <v>0</v>
      </c>
      <c r="AL308" s="31">
        <v>0</v>
      </c>
      <c r="AM308" s="31">
        <v>0</v>
      </c>
      <c r="AN308" s="31">
        <v>0</v>
      </c>
      <c r="AO308" s="31">
        <v>0</v>
      </c>
      <c r="AP308" s="31">
        <v>0</v>
      </c>
      <c r="AQ308" s="31">
        <v>0</v>
      </c>
      <c r="AR308" s="31">
        <v>0</v>
      </c>
      <c r="AS308" s="31">
        <v>0</v>
      </c>
    </row>
    <row r="309" spans="1:45">
      <c r="A309" s="30" t="s">
        <v>676</v>
      </c>
      <c r="B309" s="30" t="s">
        <v>633</v>
      </c>
      <c r="C309" s="30" t="s">
        <v>677</v>
      </c>
      <c r="D309" s="30" t="s">
        <v>1134</v>
      </c>
      <c r="E309" s="30" t="s">
        <v>1146</v>
      </c>
      <c r="F309" s="30" t="s">
        <v>138</v>
      </c>
      <c r="G309" s="30" t="s">
        <v>303</v>
      </c>
      <c r="H309" s="30" t="s">
        <v>680</v>
      </c>
      <c r="I309" s="31">
        <v>0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2">
        <v>10</v>
      </c>
      <c r="R309" s="32">
        <v>97</v>
      </c>
      <c r="S309" s="32">
        <v>80</v>
      </c>
      <c r="T309" s="32">
        <v>88</v>
      </c>
      <c r="U309" s="32">
        <v>81</v>
      </c>
      <c r="V309" s="32">
        <v>51</v>
      </c>
      <c r="W309" s="32">
        <v>59</v>
      </c>
      <c r="X309" s="32">
        <v>69</v>
      </c>
      <c r="Y309" s="32">
        <v>73</v>
      </c>
      <c r="Z309" s="32">
        <v>69</v>
      </c>
      <c r="AA309" s="32">
        <v>119</v>
      </c>
      <c r="AB309" s="32">
        <v>114</v>
      </c>
      <c r="AC309" s="32">
        <v>127</v>
      </c>
      <c r="AD309" s="32">
        <v>138</v>
      </c>
      <c r="AE309" s="32">
        <v>144</v>
      </c>
      <c r="AF309" s="32">
        <v>126</v>
      </c>
      <c r="AG309" s="32">
        <v>159</v>
      </c>
      <c r="AH309" s="32">
        <v>101</v>
      </c>
      <c r="AI309" s="32">
        <v>107</v>
      </c>
      <c r="AJ309" s="32">
        <v>138</v>
      </c>
      <c r="AK309" s="32">
        <v>96</v>
      </c>
      <c r="AL309" s="32">
        <v>124</v>
      </c>
      <c r="AM309" s="32">
        <v>143</v>
      </c>
      <c r="AN309" s="32">
        <v>125</v>
      </c>
      <c r="AO309" s="32">
        <v>133</v>
      </c>
      <c r="AP309" s="32">
        <v>132</v>
      </c>
      <c r="AQ309" s="32">
        <v>76</v>
      </c>
      <c r="AR309" s="32">
        <v>76</v>
      </c>
      <c r="AS309" s="32">
        <v>102</v>
      </c>
    </row>
    <row r="310" spans="1:45">
      <c r="A310" s="30" t="s">
        <v>676</v>
      </c>
      <c r="B310" s="30" t="s">
        <v>633</v>
      </c>
      <c r="C310" s="30" t="s">
        <v>677</v>
      </c>
      <c r="D310" s="30" t="s">
        <v>1134</v>
      </c>
      <c r="E310" s="30" t="s">
        <v>1147</v>
      </c>
      <c r="F310" s="30" t="s">
        <v>138</v>
      </c>
      <c r="G310" s="30" t="s">
        <v>304</v>
      </c>
      <c r="H310" s="30" t="s">
        <v>680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2">
        <v>3</v>
      </c>
      <c r="R310" s="32">
        <v>78</v>
      </c>
      <c r="S310" s="32">
        <v>64</v>
      </c>
      <c r="T310" s="32">
        <v>70</v>
      </c>
      <c r="U310" s="32">
        <v>72</v>
      </c>
      <c r="V310" s="32">
        <v>43</v>
      </c>
      <c r="W310" s="32">
        <v>56</v>
      </c>
      <c r="X310" s="32">
        <v>52</v>
      </c>
      <c r="Y310" s="32">
        <v>63</v>
      </c>
      <c r="Z310" s="32">
        <v>62</v>
      </c>
      <c r="AA310" s="32">
        <v>86</v>
      </c>
      <c r="AB310" s="32">
        <v>115</v>
      </c>
      <c r="AC310" s="32">
        <v>89</v>
      </c>
      <c r="AD310" s="32">
        <v>139</v>
      </c>
      <c r="AE310" s="32">
        <v>121</v>
      </c>
      <c r="AF310" s="32">
        <v>115</v>
      </c>
      <c r="AG310" s="32">
        <v>156</v>
      </c>
      <c r="AH310" s="32">
        <v>118</v>
      </c>
      <c r="AI310" s="32">
        <v>98</v>
      </c>
      <c r="AJ310" s="32">
        <v>120</v>
      </c>
      <c r="AK310" s="32">
        <v>102</v>
      </c>
      <c r="AL310" s="32">
        <v>138</v>
      </c>
      <c r="AM310" s="32">
        <v>122</v>
      </c>
      <c r="AN310" s="32">
        <v>149</v>
      </c>
      <c r="AO310" s="32">
        <v>131</v>
      </c>
      <c r="AP310" s="32">
        <v>134</v>
      </c>
      <c r="AQ310" s="32">
        <v>79</v>
      </c>
      <c r="AR310" s="32">
        <v>74</v>
      </c>
      <c r="AS310" s="32">
        <v>95</v>
      </c>
    </row>
    <row r="311" spans="1:45">
      <c r="A311" s="30" t="s">
        <v>676</v>
      </c>
      <c r="B311" s="30" t="s">
        <v>633</v>
      </c>
      <c r="C311" s="30" t="s">
        <v>677</v>
      </c>
      <c r="D311" s="30" t="s">
        <v>1134</v>
      </c>
      <c r="E311" s="30" t="s">
        <v>1148</v>
      </c>
      <c r="F311" s="30" t="s">
        <v>138</v>
      </c>
      <c r="G311" s="30" t="s">
        <v>305</v>
      </c>
      <c r="H311" s="30" t="s">
        <v>680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2">
        <v>10</v>
      </c>
      <c r="R311" s="32">
        <v>109</v>
      </c>
      <c r="S311" s="32">
        <v>63</v>
      </c>
      <c r="T311" s="32">
        <v>81</v>
      </c>
      <c r="U311" s="32">
        <v>71</v>
      </c>
      <c r="V311" s="32">
        <v>27</v>
      </c>
      <c r="W311" s="32">
        <v>30</v>
      </c>
      <c r="X311" s="32">
        <v>42</v>
      </c>
      <c r="Y311" s="32">
        <v>31</v>
      </c>
      <c r="Z311" s="32">
        <v>43</v>
      </c>
      <c r="AA311" s="32">
        <v>64</v>
      </c>
      <c r="AB311" s="32">
        <v>45</v>
      </c>
      <c r="AC311" s="32">
        <v>47</v>
      </c>
      <c r="AD311" s="32">
        <v>30</v>
      </c>
      <c r="AE311" s="32">
        <v>21</v>
      </c>
      <c r="AF311" s="32">
        <v>13</v>
      </c>
      <c r="AG311" s="32">
        <v>20</v>
      </c>
      <c r="AH311" s="32">
        <v>15</v>
      </c>
      <c r="AI311" s="32">
        <v>16</v>
      </c>
      <c r="AJ311" s="32">
        <v>20</v>
      </c>
      <c r="AK311" s="32">
        <v>13</v>
      </c>
      <c r="AL311" s="32">
        <v>27</v>
      </c>
      <c r="AM311" s="32">
        <v>45</v>
      </c>
      <c r="AN311" s="32">
        <v>59</v>
      </c>
      <c r="AO311" s="32">
        <v>41</v>
      </c>
      <c r="AP311" s="32">
        <v>37</v>
      </c>
      <c r="AQ311" s="32">
        <v>22</v>
      </c>
      <c r="AR311" s="32">
        <v>15</v>
      </c>
      <c r="AS311" s="32">
        <v>19</v>
      </c>
    </row>
    <row r="312" spans="1:45">
      <c r="A312" s="30" t="s">
        <v>676</v>
      </c>
      <c r="B312" s="30" t="s">
        <v>633</v>
      </c>
      <c r="C312" s="30" t="s">
        <v>677</v>
      </c>
      <c r="D312" s="30" t="s">
        <v>1134</v>
      </c>
      <c r="E312" s="30" t="s">
        <v>1149</v>
      </c>
      <c r="F312" s="30" t="s">
        <v>145</v>
      </c>
      <c r="G312" s="30" t="s">
        <v>306</v>
      </c>
      <c r="H312" s="30" t="s">
        <v>680</v>
      </c>
      <c r="I312" s="32">
        <v>79</v>
      </c>
      <c r="J312" s="32">
        <v>56</v>
      </c>
      <c r="K312" s="32">
        <v>65</v>
      </c>
      <c r="L312" s="32">
        <v>59</v>
      </c>
      <c r="M312" s="32">
        <v>45</v>
      </c>
      <c r="N312" s="32">
        <v>78</v>
      </c>
      <c r="O312" s="32">
        <v>110</v>
      </c>
      <c r="P312" s="32">
        <v>155</v>
      </c>
      <c r="Q312" s="32">
        <v>87</v>
      </c>
      <c r="R312" s="32">
        <v>69</v>
      </c>
      <c r="S312" s="32">
        <v>42</v>
      </c>
      <c r="T312" s="32">
        <v>40</v>
      </c>
      <c r="U312" s="32">
        <v>51</v>
      </c>
      <c r="V312" s="32">
        <v>29.197399999999998</v>
      </c>
      <c r="W312" s="32">
        <v>37</v>
      </c>
      <c r="X312" s="32">
        <v>66</v>
      </c>
      <c r="Y312" s="32">
        <v>36</v>
      </c>
      <c r="Z312" s="32">
        <v>31</v>
      </c>
      <c r="AA312" s="32">
        <v>75</v>
      </c>
      <c r="AB312" s="32">
        <v>75</v>
      </c>
      <c r="AC312" s="32">
        <v>80</v>
      </c>
      <c r="AD312" s="32">
        <v>88</v>
      </c>
      <c r="AE312" s="32">
        <v>56</v>
      </c>
      <c r="AF312" s="32">
        <v>55</v>
      </c>
      <c r="AG312" s="32">
        <v>59</v>
      </c>
      <c r="AH312" s="32">
        <v>62</v>
      </c>
      <c r="AI312" s="32">
        <v>44</v>
      </c>
      <c r="AJ312" s="32">
        <v>52</v>
      </c>
      <c r="AK312" s="32">
        <v>27</v>
      </c>
      <c r="AL312" s="32">
        <v>63</v>
      </c>
      <c r="AM312" s="32">
        <v>49</v>
      </c>
      <c r="AN312" s="32">
        <v>61</v>
      </c>
      <c r="AO312" s="32">
        <v>48</v>
      </c>
      <c r="AP312" s="32">
        <v>40</v>
      </c>
      <c r="AQ312" s="32">
        <v>17</v>
      </c>
      <c r="AR312" s="32">
        <v>31</v>
      </c>
      <c r="AS312" s="32">
        <v>38</v>
      </c>
    </row>
    <row r="313" spans="1:45">
      <c r="A313" s="30" t="s">
        <v>676</v>
      </c>
      <c r="B313" s="30" t="s">
        <v>633</v>
      </c>
      <c r="C313" s="30" t="s">
        <v>677</v>
      </c>
      <c r="D313" s="30" t="s">
        <v>1134</v>
      </c>
      <c r="E313" s="30" t="s">
        <v>1150</v>
      </c>
      <c r="F313" s="30" t="s">
        <v>145</v>
      </c>
      <c r="G313" s="30" t="s">
        <v>307</v>
      </c>
      <c r="H313" s="30" t="s">
        <v>680</v>
      </c>
      <c r="I313" s="32">
        <v>91</v>
      </c>
      <c r="J313" s="32">
        <v>43</v>
      </c>
      <c r="K313" s="32">
        <v>35</v>
      </c>
      <c r="L313" s="32">
        <v>40</v>
      </c>
      <c r="M313" s="32">
        <v>26</v>
      </c>
      <c r="N313" s="32">
        <v>36</v>
      </c>
      <c r="O313" s="32">
        <v>54</v>
      </c>
      <c r="P313" s="32">
        <v>108</v>
      </c>
      <c r="Q313" s="32">
        <v>81</v>
      </c>
      <c r="R313" s="32">
        <v>121</v>
      </c>
      <c r="S313" s="32">
        <v>69</v>
      </c>
      <c r="T313" s="32">
        <v>42</v>
      </c>
      <c r="U313" s="32">
        <v>54</v>
      </c>
      <c r="V313" s="32">
        <v>43.592100000000002</v>
      </c>
      <c r="W313" s="32">
        <v>50</v>
      </c>
      <c r="X313" s="32">
        <v>52</v>
      </c>
      <c r="Y313" s="32">
        <v>39</v>
      </c>
      <c r="Z313" s="32">
        <v>32.871600000000001</v>
      </c>
      <c r="AA313" s="32">
        <v>38</v>
      </c>
      <c r="AB313" s="32">
        <v>25</v>
      </c>
      <c r="AC313" s="32">
        <v>31</v>
      </c>
      <c r="AD313" s="32">
        <v>31</v>
      </c>
      <c r="AE313" s="32">
        <v>12</v>
      </c>
      <c r="AF313" s="32">
        <v>14</v>
      </c>
      <c r="AG313" s="32">
        <v>8</v>
      </c>
      <c r="AH313" s="32">
        <v>15</v>
      </c>
      <c r="AI313" s="32">
        <v>11</v>
      </c>
      <c r="AJ313" s="32">
        <v>7</v>
      </c>
      <c r="AK313" s="32">
        <v>5</v>
      </c>
      <c r="AL313" s="32">
        <v>12</v>
      </c>
      <c r="AM313" s="32">
        <v>3</v>
      </c>
      <c r="AN313" s="32">
        <v>4</v>
      </c>
      <c r="AO313" s="31">
        <v>0</v>
      </c>
      <c r="AP313" s="32">
        <v>3</v>
      </c>
      <c r="AQ313" s="32">
        <v>2</v>
      </c>
      <c r="AR313" s="31">
        <v>0</v>
      </c>
      <c r="AS313" s="32">
        <v>1</v>
      </c>
    </row>
    <row r="314" spans="1:45">
      <c r="A314" s="30" t="s">
        <v>676</v>
      </c>
      <c r="B314" s="30" t="s">
        <v>633</v>
      </c>
      <c r="C314" s="30" t="s">
        <v>677</v>
      </c>
      <c r="D314" s="30" t="s">
        <v>1134</v>
      </c>
      <c r="E314" s="30" t="s">
        <v>1151</v>
      </c>
      <c r="F314" s="30" t="s">
        <v>138</v>
      </c>
      <c r="G314" s="30" t="s">
        <v>308</v>
      </c>
      <c r="H314" s="30" t="s">
        <v>680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2">
        <v>17</v>
      </c>
      <c r="R314" s="32">
        <v>191</v>
      </c>
      <c r="S314" s="32">
        <v>116</v>
      </c>
      <c r="T314" s="32">
        <v>119</v>
      </c>
      <c r="U314" s="32">
        <v>178</v>
      </c>
      <c r="V314" s="32">
        <v>64</v>
      </c>
      <c r="W314" s="32">
        <v>80</v>
      </c>
      <c r="X314" s="32">
        <v>77</v>
      </c>
      <c r="Y314" s="32">
        <v>62</v>
      </c>
      <c r="Z314" s="32">
        <v>81</v>
      </c>
      <c r="AA314" s="32">
        <v>112</v>
      </c>
      <c r="AB314" s="32">
        <v>91</v>
      </c>
      <c r="AC314" s="32">
        <v>114</v>
      </c>
      <c r="AD314" s="32">
        <v>100</v>
      </c>
      <c r="AE314" s="32">
        <v>82</v>
      </c>
      <c r="AF314" s="32">
        <v>86</v>
      </c>
      <c r="AG314" s="32">
        <v>118</v>
      </c>
      <c r="AH314" s="32">
        <v>64</v>
      </c>
      <c r="AI314" s="32">
        <v>78</v>
      </c>
      <c r="AJ314" s="32">
        <v>77</v>
      </c>
      <c r="AK314" s="32">
        <v>77</v>
      </c>
      <c r="AL314" s="32">
        <v>84</v>
      </c>
      <c r="AM314" s="32">
        <v>118</v>
      </c>
      <c r="AN314" s="32">
        <v>131</v>
      </c>
      <c r="AO314" s="32">
        <v>114</v>
      </c>
      <c r="AP314" s="32">
        <v>173</v>
      </c>
      <c r="AQ314" s="32">
        <v>134</v>
      </c>
      <c r="AR314" s="32">
        <v>136</v>
      </c>
      <c r="AS314" s="32">
        <v>109</v>
      </c>
    </row>
    <row r="315" spans="1:45">
      <c r="A315" s="30" t="s">
        <v>676</v>
      </c>
      <c r="B315" s="30" t="s">
        <v>633</v>
      </c>
      <c r="C315" s="30" t="s">
        <v>677</v>
      </c>
      <c r="D315" s="30" t="s">
        <v>1134</v>
      </c>
      <c r="E315" s="30" t="s">
        <v>1152</v>
      </c>
      <c r="F315" s="30" t="s">
        <v>145</v>
      </c>
      <c r="G315" s="30" t="s">
        <v>309</v>
      </c>
      <c r="H315" s="30" t="s">
        <v>680</v>
      </c>
      <c r="I315" s="32">
        <v>186</v>
      </c>
      <c r="J315" s="32">
        <v>261</v>
      </c>
      <c r="K315" s="32">
        <v>185</v>
      </c>
      <c r="L315" s="32">
        <v>181</v>
      </c>
      <c r="M315" s="32">
        <v>109</v>
      </c>
      <c r="N315" s="32">
        <v>147</v>
      </c>
      <c r="O315" s="32">
        <v>188</v>
      </c>
      <c r="P315" s="32">
        <v>144</v>
      </c>
      <c r="Q315" s="32">
        <v>149</v>
      </c>
      <c r="R315" s="32">
        <v>316</v>
      </c>
      <c r="S315" s="32">
        <v>171</v>
      </c>
      <c r="T315" s="32">
        <v>156</v>
      </c>
      <c r="U315" s="32">
        <v>158</v>
      </c>
      <c r="V315" s="32">
        <v>114.5921</v>
      </c>
      <c r="W315" s="32">
        <v>100</v>
      </c>
      <c r="X315" s="32">
        <v>116</v>
      </c>
      <c r="Y315" s="32">
        <v>93</v>
      </c>
      <c r="Z315" s="32">
        <v>85.957400000000007</v>
      </c>
      <c r="AA315" s="32">
        <v>108</v>
      </c>
      <c r="AB315" s="32">
        <v>99</v>
      </c>
      <c r="AC315" s="32">
        <v>88</v>
      </c>
      <c r="AD315" s="32">
        <v>110</v>
      </c>
      <c r="AE315" s="32">
        <v>115</v>
      </c>
      <c r="AF315" s="32">
        <v>119</v>
      </c>
      <c r="AG315" s="32">
        <v>128</v>
      </c>
      <c r="AH315" s="32">
        <v>136</v>
      </c>
      <c r="AI315" s="32">
        <v>106</v>
      </c>
      <c r="AJ315" s="32">
        <v>94</v>
      </c>
      <c r="AK315" s="32">
        <v>149</v>
      </c>
      <c r="AL315" s="32">
        <v>275</v>
      </c>
      <c r="AM315" s="32">
        <v>168</v>
      </c>
      <c r="AN315" s="32">
        <v>131</v>
      </c>
      <c r="AO315" s="32">
        <v>203</v>
      </c>
      <c r="AP315" s="32">
        <v>198</v>
      </c>
      <c r="AQ315" s="32">
        <v>94</v>
      </c>
      <c r="AR315" s="32">
        <v>204</v>
      </c>
      <c r="AS315" s="32">
        <v>244</v>
      </c>
    </row>
    <row r="316" spans="1:45">
      <c r="A316" s="30" t="s">
        <v>676</v>
      </c>
      <c r="B316" s="30" t="s">
        <v>633</v>
      </c>
      <c r="C316" s="30" t="s">
        <v>677</v>
      </c>
      <c r="D316" s="30" t="s">
        <v>1134</v>
      </c>
      <c r="E316" s="30" t="s">
        <v>1153</v>
      </c>
      <c r="F316" s="30" t="s">
        <v>147</v>
      </c>
      <c r="G316" s="30" t="s">
        <v>310</v>
      </c>
      <c r="H316" s="30" t="s">
        <v>680</v>
      </c>
      <c r="I316" s="32">
        <v>399</v>
      </c>
      <c r="J316" s="32">
        <v>306</v>
      </c>
      <c r="K316" s="32">
        <v>413</v>
      </c>
      <c r="L316" s="32">
        <v>477</v>
      </c>
      <c r="M316" s="32">
        <v>424</v>
      </c>
      <c r="N316" s="32">
        <v>416</v>
      </c>
      <c r="O316" s="32">
        <v>533</v>
      </c>
      <c r="P316" s="32">
        <v>817</v>
      </c>
      <c r="Q316" s="32">
        <v>622</v>
      </c>
      <c r="R316" s="32">
        <v>787</v>
      </c>
      <c r="S316" s="32">
        <v>459</v>
      </c>
      <c r="T316" s="32">
        <v>364</v>
      </c>
      <c r="U316" s="32">
        <v>478</v>
      </c>
      <c r="V316" s="32">
        <v>528</v>
      </c>
      <c r="W316" s="32">
        <v>558</v>
      </c>
      <c r="X316" s="32">
        <v>599</v>
      </c>
      <c r="Y316" s="32">
        <v>379</v>
      </c>
      <c r="Z316" s="32">
        <v>433.63139999999999</v>
      </c>
      <c r="AA316" s="32">
        <v>518.50620000000004</v>
      </c>
      <c r="AB316" s="32">
        <v>255</v>
      </c>
      <c r="AC316" s="32">
        <v>168</v>
      </c>
      <c r="AD316" s="32">
        <v>84</v>
      </c>
      <c r="AE316" s="32">
        <v>34</v>
      </c>
      <c r="AF316" s="32">
        <v>19</v>
      </c>
      <c r="AG316" s="32">
        <v>23</v>
      </c>
      <c r="AH316" s="32">
        <v>4</v>
      </c>
      <c r="AI316" s="32">
        <v>13</v>
      </c>
      <c r="AJ316" s="32">
        <v>10</v>
      </c>
      <c r="AK316" s="32">
        <v>24</v>
      </c>
      <c r="AL316" s="32">
        <v>18</v>
      </c>
      <c r="AM316" s="32">
        <v>16</v>
      </c>
      <c r="AN316" s="32">
        <v>11</v>
      </c>
      <c r="AO316" s="31">
        <v>0</v>
      </c>
      <c r="AP316" s="32">
        <v>2</v>
      </c>
      <c r="AQ316" s="31">
        <v>0</v>
      </c>
      <c r="AR316" s="31">
        <v>0</v>
      </c>
      <c r="AS316" s="31">
        <v>0</v>
      </c>
    </row>
    <row r="317" spans="1:45">
      <c r="A317" s="30" t="s">
        <v>676</v>
      </c>
      <c r="B317" s="30" t="s">
        <v>633</v>
      </c>
      <c r="C317" s="30" t="s">
        <v>677</v>
      </c>
      <c r="D317" s="30" t="s">
        <v>1134</v>
      </c>
      <c r="E317" s="30" t="s">
        <v>1154</v>
      </c>
      <c r="F317" s="30" t="s">
        <v>147</v>
      </c>
      <c r="G317" s="30" t="s">
        <v>311</v>
      </c>
      <c r="H317" s="30" t="s">
        <v>680</v>
      </c>
      <c r="I317" s="32">
        <v>466</v>
      </c>
      <c r="J317" s="32">
        <v>323</v>
      </c>
      <c r="K317" s="32">
        <v>431</v>
      </c>
      <c r="L317" s="32">
        <v>425</v>
      </c>
      <c r="M317" s="32">
        <v>460</v>
      </c>
      <c r="N317" s="32">
        <v>453</v>
      </c>
      <c r="O317" s="32">
        <v>567</v>
      </c>
      <c r="P317" s="32">
        <v>653</v>
      </c>
      <c r="Q317" s="32">
        <v>445</v>
      </c>
      <c r="R317" s="32">
        <v>586</v>
      </c>
      <c r="S317" s="32">
        <v>322</v>
      </c>
      <c r="T317" s="32">
        <v>264</v>
      </c>
      <c r="U317" s="32">
        <v>395</v>
      </c>
      <c r="V317" s="32">
        <v>469</v>
      </c>
      <c r="W317" s="32">
        <v>572</v>
      </c>
      <c r="X317" s="32">
        <v>656</v>
      </c>
      <c r="Y317" s="32">
        <v>443</v>
      </c>
      <c r="Z317" s="32">
        <v>461.80270000000002</v>
      </c>
      <c r="AA317" s="32">
        <v>507.11869999999999</v>
      </c>
      <c r="AB317" s="32">
        <v>332</v>
      </c>
      <c r="AC317" s="32">
        <v>276</v>
      </c>
      <c r="AD317" s="32">
        <v>145</v>
      </c>
      <c r="AE317" s="32">
        <v>15</v>
      </c>
      <c r="AF317" s="32">
        <v>15</v>
      </c>
      <c r="AG317" s="32">
        <v>18</v>
      </c>
      <c r="AH317" s="32">
        <v>18</v>
      </c>
      <c r="AI317" s="32">
        <v>17</v>
      </c>
      <c r="AJ317" s="32">
        <v>15</v>
      </c>
      <c r="AK317" s="32">
        <v>8</v>
      </c>
      <c r="AL317" s="32">
        <v>10</v>
      </c>
      <c r="AM317" s="31">
        <v>0</v>
      </c>
      <c r="AN317" s="32">
        <v>5</v>
      </c>
      <c r="AO317" s="32">
        <v>3</v>
      </c>
      <c r="AP317" s="32">
        <v>2</v>
      </c>
      <c r="AQ317" s="32">
        <v>3</v>
      </c>
      <c r="AR317" s="32">
        <v>2</v>
      </c>
      <c r="AS317" s="32">
        <v>1</v>
      </c>
    </row>
    <row r="318" spans="1:45">
      <c r="A318" s="30" t="s">
        <v>676</v>
      </c>
      <c r="B318" s="30" t="s">
        <v>633</v>
      </c>
      <c r="C318" s="30" t="s">
        <v>677</v>
      </c>
      <c r="D318" s="30" t="s">
        <v>1134</v>
      </c>
      <c r="E318" s="30" t="s">
        <v>1155</v>
      </c>
      <c r="F318" s="30" t="s">
        <v>147</v>
      </c>
      <c r="G318" s="30" t="s">
        <v>1156</v>
      </c>
      <c r="H318" s="30" t="s">
        <v>680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2">
        <v>1</v>
      </c>
      <c r="Y318" s="31">
        <v>0</v>
      </c>
      <c r="Z318" s="31">
        <v>0</v>
      </c>
      <c r="AA318" s="31">
        <v>0</v>
      </c>
      <c r="AB318" s="31">
        <v>0</v>
      </c>
      <c r="AC318" s="31">
        <v>0</v>
      </c>
      <c r="AD318" s="31">
        <v>0</v>
      </c>
      <c r="AE318" s="31">
        <v>0</v>
      </c>
      <c r="AF318" s="31">
        <v>0</v>
      </c>
      <c r="AG318" s="31">
        <v>0</v>
      </c>
      <c r="AH318" s="31">
        <v>0</v>
      </c>
      <c r="AI318" s="31">
        <v>0</v>
      </c>
      <c r="AJ318" s="31">
        <v>0</v>
      </c>
      <c r="AK318" s="31">
        <v>0</v>
      </c>
      <c r="AL318" s="31">
        <v>0</v>
      </c>
      <c r="AM318" s="31">
        <v>0</v>
      </c>
      <c r="AN318" s="31">
        <v>0</v>
      </c>
      <c r="AO318" s="31">
        <v>0</v>
      </c>
      <c r="AP318" s="31">
        <v>0</v>
      </c>
      <c r="AQ318" s="31">
        <v>0</v>
      </c>
      <c r="AR318" s="31">
        <v>0</v>
      </c>
      <c r="AS318" s="31">
        <v>0</v>
      </c>
    </row>
    <row r="319" spans="1:45">
      <c r="A319" s="30" t="s">
        <v>676</v>
      </c>
      <c r="B319" s="30" t="s">
        <v>633</v>
      </c>
      <c r="C319" s="30" t="s">
        <v>677</v>
      </c>
      <c r="D319" s="30" t="s">
        <v>1134</v>
      </c>
      <c r="E319" s="30" t="s">
        <v>1157</v>
      </c>
      <c r="F319" s="30" t="s">
        <v>137</v>
      </c>
      <c r="G319" s="30" t="s">
        <v>312</v>
      </c>
      <c r="H319" s="30" t="s">
        <v>680</v>
      </c>
      <c r="I319" s="32">
        <v>568</v>
      </c>
      <c r="J319" s="32">
        <v>427.30939999999998</v>
      </c>
      <c r="K319" s="32">
        <v>492</v>
      </c>
      <c r="L319" s="32">
        <v>530</v>
      </c>
      <c r="M319" s="32">
        <v>543</v>
      </c>
      <c r="N319" s="32">
        <v>443</v>
      </c>
      <c r="O319" s="32">
        <v>609</v>
      </c>
      <c r="P319" s="32">
        <v>1005</v>
      </c>
      <c r="Q319" s="32">
        <v>703</v>
      </c>
      <c r="R319" s="32">
        <v>855</v>
      </c>
      <c r="S319" s="32">
        <v>470</v>
      </c>
      <c r="T319" s="32">
        <v>365</v>
      </c>
      <c r="U319" s="32">
        <v>424.21769999999998</v>
      </c>
      <c r="V319" s="32">
        <v>511</v>
      </c>
      <c r="W319" s="32">
        <v>620</v>
      </c>
      <c r="X319" s="32">
        <v>643</v>
      </c>
      <c r="Y319" s="32">
        <v>414</v>
      </c>
      <c r="Z319" s="32">
        <v>371.755</v>
      </c>
      <c r="AA319" s="32">
        <v>391</v>
      </c>
      <c r="AB319" s="32">
        <v>233</v>
      </c>
      <c r="AC319" s="32">
        <v>153</v>
      </c>
      <c r="AD319" s="32">
        <v>121</v>
      </c>
      <c r="AE319" s="32">
        <v>59</v>
      </c>
      <c r="AF319" s="32">
        <v>42</v>
      </c>
      <c r="AG319" s="32">
        <v>56</v>
      </c>
      <c r="AH319" s="32">
        <v>20</v>
      </c>
      <c r="AI319" s="32">
        <v>5</v>
      </c>
      <c r="AJ319" s="32">
        <v>2</v>
      </c>
      <c r="AK319" s="32">
        <v>3</v>
      </c>
      <c r="AL319" s="32">
        <v>1</v>
      </c>
      <c r="AM319" s="32">
        <v>5</v>
      </c>
      <c r="AN319" s="32">
        <v>7</v>
      </c>
      <c r="AO319" s="32">
        <v>8</v>
      </c>
      <c r="AP319" s="32">
        <v>3</v>
      </c>
      <c r="AQ319" s="32">
        <v>3</v>
      </c>
      <c r="AR319" s="32">
        <v>1</v>
      </c>
      <c r="AS319" s="32">
        <v>6</v>
      </c>
    </row>
    <row r="320" spans="1:45">
      <c r="A320" s="30" t="s">
        <v>676</v>
      </c>
      <c r="B320" s="30" t="s">
        <v>633</v>
      </c>
      <c r="C320" s="30" t="s">
        <v>677</v>
      </c>
      <c r="D320" s="30" t="s">
        <v>1134</v>
      </c>
      <c r="E320" s="30" t="s">
        <v>1158</v>
      </c>
      <c r="F320" s="30" t="s">
        <v>137</v>
      </c>
      <c r="G320" s="30" t="s">
        <v>1159</v>
      </c>
      <c r="H320" s="30" t="s">
        <v>680</v>
      </c>
      <c r="I320" s="31">
        <v>0</v>
      </c>
      <c r="J320" s="31">
        <v>0</v>
      </c>
      <c r="K320" s="31">
        <v>0</v>
      </c>
      <c r="L320" s="31">
        <v>0</v>
      </c>
      <c r="M320" s="31">
        <v>0</v>
      </c>
      <c r="N320" s="31">
        <v>0</v>
      </c>
      <c r="O320" s="31">
        <v>0</v>
      </c>
      <c r="P320" s="31">
        <v>0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31">
        <v>0</v>
      </c>
      <c r="Y320" s="31">
        <v>0</v>
      </c>
      <c r="Z320" s="31">
        <v>0</v>
      </c>
      <c r="AA320" s="31">
        <v>0</v>
      </c>
      <c r="AB320" s="31">
        <v>0</v>
      </c>
      <c r="AC320" s="31">
        <v>0</v>
      </c>
      <c r="AD320" s="31">
        <v>0</v>
      </c>
      <c r="AE320" s="31">
        <v>0</v>
      </c>
      <c r="AF320" s="31">
        <v>0</v>
      </c>
      <c r="AG320" s="31">
        <v>0</v>
      </c>
      <c r="AH320" s="31">
        <v>0</v>
      </c>
      <c r="AI320" s="31">
        <v>0</v>
      </c>
      <c r="AJ320" s="31">
        <v>0</v>
      </c>
      <c r="AK320" s="31">
        <v>0</v>
      </c>
      <c r="AL320" s="31">
        <v>0</v>
      </c>
      <c r="AM320" s="31">
        <v>0</v>
      </c>
      <c r="AN320" s="32">
        <v>2</v>
      </c>
      <c r="AO320" s="32">
        <v>1</v>
      </c>
      <c r="AP320" s="31">
        <v>0</v>
      </c>
      <c r="AQ320" s="31">
        <v>0</v>
      </c>
      <c r="AR320" s="31">
        <v>0</v>
      </c>
      <c r="AS320" s="31">
        <v>0</v>
      </c>
    </row>
    <row r="321" spans="1:45">
      <c r="A321" s="30" t="s">
        <v>676</v>
      </c>
      <c r="B321" s="30" t="s">
        <v>633</v>
      </c>
      <c r="C321" s="30" t="s">
        <v>677</v>
      </c>
      <c r="D321" s="30" t="s">
        <v>1134</v>
      </c>
      <c r="E321" s="30" t="s">
        <v>1160</v>
      </c>
      <c r="F321" s="30" t="s">
        <v>137</v>
      </c>
      <c r="G321" s="30" t="s">
        <v>313</v>
      </c>
      <c r="H321" s="30" t="s">
        <v>680</v>
      </c>
      <c r="I321" s="32">
        <v>568</v>
      </c>
      <c r="J321" s="32">
        <v>419.15469999999999</v>
      </c>
      <c r="K321" s="32">
        <v>576</v>
      </c>
      <c r="L321" s="32">
        <v>572</v>
      </c>
      <c r="M321" s="32">
        <v>519</v>
      </c>
      <c r="N321" s="32">
        <v>561</v>
      </c>
      <c r="O321" s="32">
        <v>706</v>
      </c>
      <c r="P321" s="32">
        <v>1020</v>
      </c>
      <c r="Q321" s="32">
        <v>668</v>
      </c>
      <c r="R321" s="32">
        <v>714</v>
      </c>
      <c r="S321" s="32">
        <v>480</v>
      </c>
      <c r="T321" s="32">
        <v>319</v>
      </c>
      <c r="U321" s="32">
        <v>400</v>
      </c>
      <c r="V321" s="32">
        <v>467</v>
      </c>
      <c r="W321" s="32">
        <v>472</v>
      </c>
      <c r="X321" s="32">
        <v>426</v>
      </c>
      <c r="Y321" s="32">
        <v>196</v>
      </c>
      <c r="Z321" s="32">
        <v>189.94820000000001</v>
      </c>
      <c r="AA321" s="32">
        <v>180</v>
      </c>
      <c r="AB321" s="32">
        <v>136</v>
      </c>
      <c r="AC321" s="32">
        <v>166</v>
      </c>
      <c r="AD321" s="32">
        <v>87</v>
      </c>
      <c r="AE321" s="32">
        <v>31</v>
      </c>
      <c r="AF321" s="32">
        <v>17</v>
      </c>
      <c r="AG321" s="32">
        <v>6</v>
      </c>
      <c r="AH321" s="32">
        <v>4</v>
      </c>
      <c r="AI321" s="32">
        <v>2</v>
      </c>
      <c r="AJ321" s="32">
        <v>4</v>
      </c>
      <c r="AK321" s="31">
        <v>0</v>
      </c>
      <c r="AL321" s="32">
        <v>3</v>
      </c>
      <c r="AM321" s="31">
        <v>0</v>
      </c>
      <c r="AN321" s="32">
        <v>2</v>
      </c>
      <c r="AO321" s="31">
        <v>0</v>
      </c>
      <c r="AP321" s="32">
        <v>1</v>
      </c>
      <c r="AQ321" s="32">
        <v>8</v>
      </c>
      <c r="AR321" s="32">
        <v>1</v>
      </c>
      <c r="AS321" s="31">
        <v>0</v>
      </c>
    </row>
    <row r="322" spans="1:45">
      <c r="A322" s="30" t="s">
        <v>676</v>
      </c>
      <c r="B322" s="30" t="s">
        <v>633</v>
      </c>
      <c r="C322" s="30" t="s">
        <v>677</v>
      </c>
      <c r="D322" s="30" t="s">
        <v>1134</v>
      </c>
      <c r="E322" s="30" t="s">
        <v>1161</v>
      </c>
      <c r="F322" s="30" t="s">
        <v>137</v>
      </c>
      <c r="G322" s="30" t="s">
        <v>1162</v>
      </c>
      <c r="H322" s="30" t="s">
        <v>680</v>
      </c>
      <c r="I322" s="31">
        <v>0</v>
      </c>
      <c r="J322" s="31">
        <v>0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2">
        <v>1</v>
      </c>
      <c r="Y322" s="31">
        <v>0</v>
      </c>
      <c r="Z322" s="31">
        <v>0</v>
      </c>
      <c r="AA322" s="31">
        <v>0</v>
      </c>
      <c r="AB322" s="31">
        <v>0</v>
      </c>
      <c r="AC322" s="31">
        <v>0</v>
      </c>
      <c r="AD322" s="31">
        <v>0</v>
      </c>
      <c r="AE322" s="31">
        <v>0</v>
      </c>
      <c r="AF322" s="31">
        <v>0</v>
      </c>
      <c r="AG322" s="31">
        <v>0</v>
      </c>
      <c r="AH322" s="31">
        <v>0</v>
      </c>
      <c r="AI322" s="31">
        <v>0</v>
      </c>
      <c r="AJ322" s="31">
        <v>0</v>
      </c>
      <c r="AK322" s="31">
        <v>0</v>
      </c>
      <c r="AL322" s="31">
        <v>0</v>
      </c>
      <c r="AM322" s="31">
        <v>0</v>
      </c>
      <c r="AN322" s="31">
        <v>0</v>
      </c>
      <c r="AO322" s="31">
        <v>0</v>
      </c>
      <c r="AP322" s="31">
        <v>0</v>
      </c>
      <c r="AQ322" s="31">
        <v>0</v>
      </c>
      <c r="AR322" s="31">
        <v>0</v>
      </c>
      <c r="AS322" s="31">
        <v>0</v>
      </c>
    </row>
    <row r="323" spans="1:45">
      <c r="A323" s="30" t="s">
        <v>676</v>
      </c>
      <c r="B323" s="30" t="s">
        <v>633</v>
      </c>
      <c r="C323" s="30" t="s">
        <v>677</v>
      </c>
      <c r="D323" s="30" t="s">
        <v>1134</v>
      </c>
      <c r="E323" s="30" t="s">
        <v>1163</v>
      </c>
      <c r="F323" s="30" t="s">
        <v>1164</v>
      </c>
      <c r="G323" s="30" t="s">
        <v>1165</v>
      </c>
      <c r="H323" s="30" t="s">
        <v>680</v>
      </c>
      <c r="I323" s="31">
        <v>0</v>
      </c>
      <c r="J323" s="31">
        <v>0</v>
      </c>
      <c r="K323" s="31">
        <v>0</v>
      </c>
      <c r="L323" s="31">
        <v>0</v>
      </c>
      <c r="M323" s="31">
        <v>0</v>
      </c>
      <c r="N323" s="31">
        <v>0</v>
      </c>
      <c r="O323" s="31">
        <v>0</v>
      </c>
      <c r="P323" s="32">
        <v>1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0</v>
      </c>
      <c r="AC323" s="31">
        <v>0</v>
      </c>
      <c r="AD323" s="31">
        <v>0</v>
      </c>
      <c r="AE323" s="31">
        <v>0</v>
      </c>
      <c r="AF323" s="31">
        <v>0</v>
      </c>
      <c r="AG323" s="31">
        <v>0</v>
      </c>
      <c r="AH323" s="31">
        <v>0</v>
      </c>
      <c r="AI323" s="31">
        <v>0</v>
      </c>
      <c r="AJ323" s="31">
        <v>0</v>
      </c>
      <c r="AK323" s="31">
        <v>0</v>
      </c>
      <c r="AL323" s="31">
        <v>0</v>
      </c>
      <c r="AM323" s="31">
        <v>0</v>
      </c>
      <c r="AN323" s="31">
        <v>0</v>
      </c>
      <c r="AO323" s="31">
        <v>0</v>
      </c>
      <c r="AP323" s="31">
        <v>0</v>
      </c>
      <c r="AQ323" s="31">
        <v>0</v>
      </c>
      <c r="AR323" s="31">
        <v>0</v>
      </c>
      <c r="AS323" s="31">
        <v>0</v>
      </c>
    </row>
    <row r="324" spans="1:45">
      <c r="A324" s="30" t="s">
        <v>676</v>
      </c>
      <c r="B324" s="30" t="s">
        <v>633</v>
      </c>
      <c r="C324" s="30" t="s">
        <v>677</v>
      </c>
      <c r="D324" s="30" t="s">
        <v>1134</v>
      </c>
      <c r="E324" s="30" t="s">
        <v>1166</v>
      </c>
      <c r="F324" s="30" t="s">
        <v>140</v>
      </c>
      <c r="G324" s="30" t="s">
        <v>1167</v>
      </c>
      <c r="H324" s="30" t="s">
        <v>680</v>
      </c>
      <c r="I324" s="32">
        <v>1</v>
      </c>
      <c r="J324" s="32">
        <v>4</v>
      </c>
      <c r="K324" s="32">
        <v>2</v>
      </c>
      <c r="L324" s="32">
        <v>1</v>
      </c>
      <c r="M324" s="32">
        <v>2</v>
      </c>
      <c r="N324" s="32">
        <v>2</v>
      </c>
      <c r="O324" s="32">
        <v>1</v>
      </c>
      <c r="P324" s="31">
        <v>0</v>
      </c>
      <c r="Q324" s="32">
        <v>1</v>
      </c>
      <c r="R324" s="32">
        <v>4</v>
      </c>
      <c r="S324" s="32">
        <v>1</v>
      </c>
      <c r="T324" s="32">
        <v>1</v>
      </c>
      <c r="U324" s="32">
        <v>2</v>
      </c>
      <c r="V324" s="31">
        <v>0</v>
      </c>
      <c r="W324" s="32">
        <v>1</v>
      </c>
      <c r="X324" s="32">
        <v>1</v>
      </c>
      <c r="Y324" s="31">
        <v>0</v>
      </c>
      <c r="Z324" s="31">
        <v>0</v>
      </c>
      <c r="AA324" s="31">
        <v>0</v>
      </c>
      <c r="AB324" s="31">
        <v>0</v>
      </c>
      <c r="AC324" s="31">
        <v>0</v>
      </c>
      <c r="AD324" s="31">
        <v>0</v>
      </c>
      <c r="AE324" s="31">
        <v>0</v>
      </c>
      <c r="AF324" s="31">
        <v>0</v>
      </c>
      <c r="AG324" s="31">
        <v>0</v>
      </c>
      <c r="AH324" s="31">
        <v>0</v>
      </c>
      <c r="AI324" s="32">
        <v>1</v>
      </c>
      <c r="AJ324" s="32">
        <v>2</v>
      </c>
      <c r="AK324" s="32">
        <v>2</v>
      </c>
      <c r="AL324" s="31">
        <v>0</v>
      </c>
      <c r="AM324" s="32">
        <v>1</v>
      </c>
      <c r="AN324" s="32">
        <v>2</v>
      </c>
      <c r="AO324" s="32">
        <v>2</v>
      </c>
      <c r="AP324" s="32">
        <v>2</v>
      </c>
      <c r="AQ324" s="31">
        <v>0</v>
      </c>
      <c r="AR324" s="32">
        <v>1</v>
      </c>
      <c r="AS324" s="31">
        <v>0</v>
      </c>
    </row>
    <row r="325" spans="1:45">
      <c r="A325" s="30" t="s">
        <v>676</v>
      </c>
      <c r="B325" s="30" t="s">
        <v>633</v>
      </c>
      <c r="C325" s="30" t="s">
        <v>677</v>
      </c>
      <c r="D325" s="30" t="s">
        <v>1134</v>
      </c>
      <c r="E325" s="30" t="s">
        <v>1168</v>
      </c>
      <c r="F325" s="30" t="s">
        <v>140</v>
      </c>
      <c r="G325" s="30" t="s">
        <v>1169</v>
      </c>
      <c r="H325" s="30" t="s">
        <v>680</v>
      </c>
      <c r="I325" s="32">
        <v>3</v>
      </c>
      <c r="J325" s="32">
        <v>4</v>
      </c>
      <c r="K325" s="32">
        <v>4</v>
      </c>
      <c r="L325" s="31">
        <v>0</v>
      </c>
      <c r="M325" s="32">
        <v>3</v>
      </c>
      <c r="N325" s="32">
        <v>3</v>
      </c>
      <c r="O325" s="32">
        <v>3</v>
      </c>
      <c r="P325" s="32">
        <v>1</v>
      </c>
      <c r="Q325" s="32">
        <v>2</v>
      </c>
      <c r="R325" s="31">
        <v>0</v>
      </c>
      <c r="S325" s="32">
        <v>1</v>
      </c>
      <c r="T325" s="32">
        <v>5</v>
      </c>
      <c r="U325" s="32">
        <v>4</v>
      </c>
      <c r="V325" s="31">
        <v>0</v>
      </c>
      <c r="W325" s="32">
        <v>2</v>
      </c>
      <c r="X325" s="31">
        <v>0</v>
      </c>
      <c r="Y325" s="31">
        <v>0</v>
      </c>
      <c r="Z325" s="31">
        <v>0</v>
      </c>
      <c r="AA325" s="31">
        <v>0</v>
      </c>
      <c r="AB325" s="31">
        <v>0</v>
      </c>
      <c r="AC325" s="31">
        <v>0</v>
      </c>
      <c r="AD325" s="31">
        <v>0</v>
      </c>
      <c r="AE325" s="31">
        <v>0</v>
      </c>
      <c r="AF325" s="31">
        <v>0</v>
      </c>
      <c r="AG325" s="31">
        <v>0</v>
      </c>
      <c r="AH325" s="31">
        <v>0</v>
      </c>
      <c r="AI325" s="31">
        <v>0</v>
      </c>
      <c r="AJ325" s="31">
        <v>0</v>
      </c>
      <c r="AK325" s="31">
        <v>0</v>
      </c>
      <c r="AL325" s="31">
        <v>0</v>
      </c>
      <c r="AM325" s="31">
        <v>0</v>
      </c>
      <c r="AN325" s="31">
        <v>0</v>
      </c>
      <c r="AO325" s="31">
        <v>0</v>
      </c>
      <c r="AP325" s="31">
        <v>0</v>
      </c>
      <c r="AQ325" s="31">
        <v>0</v>
      </c>
      <c r="AR325" s="32">
        <v>5</v>
      </c>
      <c r="AS325" s="31">
        <v>0</v>
      </c>
    </row>
    <row r="326" spans="1:45">
      <c r="A326" s="30" t="s">
        <v>676</v>
      </c>
      <c r="B326" s="30" t="s">
        <v>633</v>
      </c>
      <c r="C326" s="30" t="s">
        <v>677</v>
      </c>
      <c r="D326" s="30" t="s">
        <v>1134</v>
      </c>
      <c r="E326" s="30" t="s">
        <v>1170</v>
      </c>
      <c r="F326" s="30" t="s">
        <v>139</v>
      </c>
      <c r="G326" s="30" t="s">
        <v>314</v>
      </c>
      <c r="H326" s="30" t="s">
        <v>680</v>
      </c>
      <c r="I326" s="32">
        <v>272</v>
      </c>
      <c r="J326" s="32">
        <v>207.15469999999999</v>
      </c>
      <c r="K326" s="32">
        <v>158</v>
      </c>
      <c r="L326" s="32">
        <v>193</v>
      </c>
      <c r="M326" s="32">
        <v>155</v>
      </c>
      <c r="N326" s="32">
        <v>201</v>
      </c>
      <c r="O326" s="32">
        <v>293</v>
      </c>
      <c r="P326" s="32">
        <v>182</v>
      </c>
      <c r="Q326" s="32">
        <v>163</v>
      </c>
      <c r="R326" s="32">
        <v>199</v>
      </c>
      <c r="S326" s="32">
        <v>141</v>
      </c>
      <c r="T326" s="32">
        <v>110</v>
      </c>
      <c r="U326" s="32">
        <v>133</v>
      </c>
      <c r="V326" s="32">
        <v>112.3947</v>
      </c>
      <c r="W326" s="32">
        <v>102</v>
      </c>
      <c r="X326" s="32">
        <v>136</v>
      </c>
      <c r="Y326" s="32">
        <v>99</v>
      </c>
      <c r="Z326" s="32">
        <v>143</v>
      </c>
      <c r="AA326" s="32">
        <v>185</v>
      </c>
      <c r="AB326" s="32">
        <v>170</v>
      </c>
      <c r="AC326" s="32">
        <v>173</v>
      </c>
      <c r="AD326" s="32">
        <v>270</v>
      </c>
      <c r="AE326" s="32">
        <v>156</v>
      </c>
      <c r="AF326" s="32">
        <v>118</v>
      </c>
      <c r="AG326" s="32">
        <v>183</v>
      </c>
      <c r="AH326" s="32">
        <v>197</v>
      </c>
      <c r="AI326" s="32">
        <v>125</v>
      </c>
      <c r="AJ326" s="32">
        <v>179</v>
      </c>
      <c r="AK326" s="32">
        <v>192</v>
      </c>
      <c r="AL326" s="32">
        <v>313</v>
      </c>
      <c r="AM326" s="32">
        <v>253</v>
      </c>
      <c r="AN326" s="32">
        <v>285</v>
      </c>
      <c r="AO326" s="32">
        <v>241</v>
      </c>
      <c r="AP326" s="32">
        <v>265</v>
      </c>
      <c r="AQ326" s="32">
        <v>166</v>
      </c>
      <c r="AR326" s="32">
        <v>171</v>
      </c>
      <c r="AS326" s="32">
        <v>214</v>
      </c>
    </row>
    <row r="327" spans="1:45">
      <c r="A327" s="30" t="s">
        <v>676</v>
      </c>
      <c r="B327" s="30" t="s">
        <v>633</v>
      </c>
      <c r="C327" s="30" t="s">
        <v>677</v>
      </c>
      <c r="D327" s="30" t="s">
        <v>1134</v>
      </c>
      <c r="E327" s="30" t="s">
        <v>1171</v>
      </c>
      <c r="F327" s="30" t="s">
        <v>139</v>
      </c>
      <c r="G327" s="30" t="s">
        <v>315</v>
      </c>
      <c r="H327" s="30" t="s">
        <v>680</v>
      </c>
      <c r="I327" s="32">
        <v>25</v>
      </c>
      <c r="J327" s="32">
        <v>17</v>
      </c>
      <c r="K327" s="32">
        <v>26</v>
      </c>
      <c r="L327" s="32">
        <v>22</v>
      </c>
      <c r="M327" s="32">
        <v>24</v>
      </c>
      <c r="N327" s="32">
        <v>26</v>
      </c>
      <c r="O327" s="32">
        <v>27</v>
      </c>
      <c r="P327" s="32">
        <v>22</v>
      </c>
      <c r="Q327" s="32">
        <v>28</v>
      </c>
      <c r="R327" s="32">
        <v>30</v>
      </c>
      <c r="S327" s="32">
        <v>19</v>
      </c>
      <c r="T327" s="32">
        <v>14</v>
      </c>
      <c r="U327" s="32">
        <v>19</v>
      </c>
      <c r="V327" s="32">
        <v>11</v>
      </c>
      <c r="W327" s="32">
        <v>12</v>
      </c>
      <c r="X327" s="32">
        <v>19</v>
      </c>
      <c r="Y327" s="32">
        <v>17</v>
      </c>
      <c r="Z327" s="32">
        <v>14</v>
      </c>
      <c r="AA327" s="32">
        <v>31</v>
      </c>
      <c r="AB327" s="32">
        <v>16</v>
      </c>
      <c r="AC327" s="32">
        <v>17</v>
      </c>
      <c r="AD327" s="32">
        <v>34</v>
      </c>
      <c r="AE327" s="32">
        <v>12</v>
      </c>
      <c r="AF327" s="32">
        <v>18</v>
      </c>
      <c r="AG327" s="32">
        <v>15</v>
      </c>
      <c r="AH327" s="32">
        <v>26</v>
      </c>
      <c r="AI327" s="32">
        <v>5</v>
      </c>
      <c r="AJ327" s="32">
        <v>14</v>
      </c>
      <c r="AK327" s="32">
        <v>1</v>
      </c>
      <c r="AL327" s="32">
        <v>2</v>
      </c>
      <c r="AM327" s="32">
        <v>29</v>
      </c>
      <c r="AN327" s="32">
        <v>14</v>
      </c>
      <c r="AO327" s="32">
        <v>14</v>
      </c>
      <c r="AP327" s="32">
        <v>16</v>
      </c>
      <c r="AQ327" s="32">
        <v>8</v>
      </c>
      <c r="AR327" s="32">
        <v>13</v>
      </c>
      <c r="AS327" s="32">
        <v>27</v>
      </c>
    </row>
    <row r="328" spans="1:45">
      <c r="A328" s="30" t="s">
        <v>676</v>
      </c>
      <c r="B328" s="30" t="s">
        <v>633</v>
      </c>
      <c r="C328" s="30" t="s">
        <v>677</v>
      </c>
      <c r="D328" s="30" t="s">
        <v>1134</v>
      </c>
      <c r="E328" s="30" t="s">
        <v>1172</v>
      </c>
      <c r="F328" s="30" t="s">
        <v>139</v>
      </c>
      <c r="G328" s="30" t="s">
        <v>316</v>
      </c>
      <c r="H328" s="30" t="s">
        <v>680</v>
      </c>
      <c r="I328" s="32">
        <v>175</v>
      </c>
      <c r="J328" s="32">
        <v>104</v>
      </c>
      <c r="K328" s="32">
        <v>68</v>
      </c>
      <c r="L328" s="32">
        <v>112</v>
      </c>
      <c r="M328" s="32">
        <v>96</v>
      </c>
      <c r="N328" s="32">
        <v>139</v>
      </c>
      <c r="O328" s="32">
        <v>163</v>
      </c>
      <c r="P328" s="32">
        <v>134</v>
      </c>
      <c r="Q328" s="32">
        <v>119</v>
      </c>
      <c r="R328" s="32">
        <v>147</v>
      </c>
      <c r="S328" s="32">
        <v>67</v>
      </c>
      <c r="T328" s="32">
        <v>70</v>
      </c>
      <c r="U328" s="32">
        <v>72.217699999999994</v>
      </c>
      <c r="V328" s="32">
        <v>50</v>
      </c>
      <c r="W328" s="32">
        <v>66</v>
      </c>
      <c r="X328" s="32">
        <v>97</v>
      </c>
      <c r="Y328" s="32">
        <v>61</v>
      </c>
      <c r="Z328" s="32">
        <v>105</v>
      </c>
      <c r="AA328" s="32">
        <v>168</v>
      </c>
      <c r="AB328" s="32">
        <v>124</v>
      </c>
      <c r="AC328" s="32">
        <v>164</v>
      </c>
      <c r="AD328" s="32">
        <v>270</v>
      </c>
      <c r="AE328" s="32">
        <v>177</v>
      </c>
      <c r="AF328" s="32">
        <v>116</v>
      </c>
      <c r="AG328" s="32">
        <v>173</v>
      </c>
      <c r="AH328" s="32">
        <v>208</v>
      </c>
      <c r="AI328" s="32">
        <v>113</v>
      </c>
      <c r="AJ328" s="32">
        <v>172</v>
      </c>
      <c r="AK328" s="32">
        <v>144</v>
      </c>
      <c r="AL328" s="32">
        <v>274</v>
      </c>
      <c r="AM328" s="32">
        <v>248</v>
      </c>
      <c r="AN328" s="32">
        <v>204</v>
      </c>
      <c r="AO328" s="32">
        <v>217</v>
      </c>
      <c r="AP328" s="32">
        <v>250</v>
      </c>
      <c r="AQ328" s="32">
        <v>189</v>
      </c>
      <c r="AR328" s="32">
        <v>186</v>
      </c>
      <c r="AS328" s="32">
        <v>232</v>
      </c>
    </row>
    <row r="329" spans="1:45">
      <c r="A329" s="30" t="s">
        <v>676</v>
      </c>
      <c r="B329" s="30" t="s">
        <v>633</v>
      </c>
      <c r="C329" s="30" t="s">
        <v>677</v>
      </c>
      <c r="D329" s="30" t="s">
        <v>1134</v>
      </c>
      <c r="E329" s="30" t="s">
        <v>1173</v>
      </c>
      <c r="F329" s="30" t="s">
        <v>139</v>
      </c>
      <c r="G329" s="30" t="s">
        <v>317</v>
      </c>
      <c r="H329" s="30" t="s">
        <v>680</v>
      </c>
      <c r="I329" s="32">
        <v>23</v>
      </c>
      <c r="J329" s="32">
        <v>20</v>
      </c>
      <c r="K329" s="32">
        <v>14</v>
      </c>
      <c r="L329" s="32">
        <v>30</v>
      </c>
      <c r="M329" s="32">
        <v>23</v>
      </c>
      <c r="N329" s="32">
        <v>26</v>
      </c>
      <c r="O329" s="32">
        <v>46</v>
      </c>
      <c r="P329" s="32">
        <v>36</v>
      </c>
      <c r="Q329" s="32">
        <v>34</v>
      </c>
      <c r="R329" s="32">
        <v>40</v>
      </c>
      <c r="S329" s="32">
        <v>23</v>
      </c>
      <c r="T329" s="32">
        <v>19</v>
      </c>
      <c r="U329" s="32">
        <v>34</v>
      </c>
      <c r="V329" s="32">
        <v>32</v>
      </c>
      <c r="W329" s="32">
        <v>25</v>
      </c>
      <c r="X329" s="32">
        <v>46</v>
      </c>
      <c r="Y329" s="32">
        <v>37</v>
      </c>
      <c r="Z329" s="32">
        <v>40.816400000000002</v>
      </c>
      <c r="AA329" s="32">
        <v>33</v>
      </c>
      <c r="AB329" s="32">
        <v>26</v>
      </c>
      <c r="AC329" s="32">
        <v>30</v>
      </c>
      <c r="AD329" s="32">
        <v>55</v>
      </c>
      <c r="AE329" s="32">
        <v>29</v>
      </c>
      <c r="AF329" s="32">
        <v>38</v>
      </c>
      <c r="AG329" s="32">
        <v>52</v>
      </c>
      <c r="AH329" s="32">
        <v>32</v>
      </c>
      <c r="AI329" s="32">
        <v>49</v>
      </c>
      <c r="AJ329" s="32">
        <v>46</v>
      </c>
      <c r="AK329" s="32">
        <v>53</v>
      </c>
      <c r="AL329" s="32">
        <v>66</v>
      </c>
      <c r="AM329" s="32">
        <v>85</v>
      </c>
      <c r="AN329" s="32">
        <v>107</v>
      </c>
      <c r="AO329" s="32">
        <v>57</v>
      </c>
      <c r="AP329" s="32">
        <v>70</v>
      </c>
      <c r="AQ329" s="32">
        <v>31</v>
      </c>
      <c r="AR329" s="32">
        <v>45</v>
      </c>
      <c r="AS329" s="32">
        <v>62</v>
      </c>
    </row>
    <row r="330" spans="1:45">
      <c r="A330" s="30" t="s">
        <v>676</v>
      </c>
      <c r="B330" s="30" t="s">
        <v>633</v>
      </c>
      <c r="C330" s="30" t="s">
        <v>677</v>
      </c>
      <c r="D330" s="30" t="s">
        <v>1134</v>
      </c>
      <c r="E330" s="30" t="s">
        <v>1174</v>
      </c>
      <c r="F330" s="30" t="s">
        <v>139</v>
      </c>
      <c r="G330" s="30" t="s">
        <v>318</v>
      </c>
      <c r="H330" s="30" t="s">
        <v>680</v>
      </c>
      <c r="I330" s="31">
        <v>0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2">
        <v>172</v>
      </c>
      <c r="T330" s="32">
        <v>252</v>
      </c>
      <c r="U330" s="32">
        <v>340</v>
      </c>
      <c r="V330" s="32">
        <v>370.3947</v>
      </c>
      <c r="W330" s="32">
        <v>272</v>
      </c>
      <c r="X330" s="32">
        <v>296</v>
      </c>
      <c r="Y330" s="32">
        <v>131</v>
      </c>
      <c r="Z330" s="32">
        <v>100</v>
      </c>
      <c r="AA330" s="32">
        <v>84</v>
      </c>
      <c r="AB330" s="32">
        <v>41</v>
      </c>
      <c r="AC330" s="32">
        <v>22</v>
      </c>
      <c r="AD330" s="32">
        <v>13</v>
      </c>
      <c r="AE330" s="32">
        <v>2</v>
      </c>
      <c r="AF330" s="31">
        <v>0</v>
      </c>
      <c r="AG330" s="32">
        <v>4</v>
      </c>
      <c r="AH330" s="31">
        <v>0</v>
      </c>
      <c r="AI330" s="32">
        <v>3</v>
      </c>
      <c r="AJ330" s="32">
        <v>3</v>
      </c>
      <c r="AK330" s="32">
        <v>2</v>
      </c>
      <c r="AL330" s="32">
        <v>3</v>
      </c>
      <c r="AM330" s="32">
        <v>5</v>
      </c>
      <c r="AN330" s="32">
        <v>1</v>
      </c>
      <c r="AO330" s="31">
        <v>0</v>
      </c>
      <c r="AP330" s="31">
        <v>0</v>
      </c>
      <c r="AQ330" s="31">
        <v>0</v>
      </c>
      <c r="AR330" s="32">
        <v>1</v>
      </c>
      <c r="AS330" s="32">
        <v>3</v>
      </c>
    </row>
    <row r="331" spans="1:45">
      <c r="A331" s="30" t="s">
        <v>676</v>
      </c>
      <c r="B331" s="30" t="s">
        <v>633</v>
      </c>
      <c r="C331" s="30" t="s">
        <v>677</v>
      </c>
      <c r="D331" s="30" t="s">
        <v>1134</v>
      </c>
      <c r="E331" s="30" t="s">
        <v>1175</v>
      </c>
      <c r="F331" s="30" t="s">
        <v>140</v>
      </c>
      <c r="G331" s="30" t="s">
        <v>319</v>
      </c>
      <c r="H331" s="30" t="s">
        <v>680</v>
      </c>
      <c r="I331" s="31">
        <v>0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2">
        <v>143</v>
      </c>
      <c r="S331" s="32">
        <v>261</v>
      </c>
      <c r="T331" s="32">
        <v>263</v>
      </c>
      <c r="U331" s="32">
        <v>247</v>
      </c>
      <c r="V331" s="32">
        <v>194</v>
      </c>
      <c r="W331" s="32">
        <v>132</v>
      </c>
      <c r="X331" s="32">
        <v>326</v>
      </c>
      <c r="Y331" s="32">
        <v>211</v>
      </c>
      <c r="Z331" s="32">
        <v>202.46449999999999</v>
      </c>
      <c r="AA331" s="32">
        <v>256.37180000000001</v>
      </c>
      <c r="AB331" s="32">
        <v>212</v>
      </c>
      <c r="AC331" s="32">
        <v>158</v>
      </c>
      <c r="AD331" s="32">
        <v>148</v>
      </c>
      <c r="AE331" s="32">
        <v>73</v>
      </c>
      <c r="AF331" s="32">
        <v>60</v>
      </c>
      <c r="AG331" s="32">
        <v>65</v>
      </c>
      <c r="AH331" s="32">
        <v>54</v>
      </c>
      <c r="AI331" s="32">
        <v>50</v>
      </c>
      <c r="AJ331" s="32">
        <v>32</v>
      </c>
      <c r="AK331" s="32">
        <v>20</v>
      </c>
      <c r="AL331" s="32">
        <v>39</v>
      </c>
      <c r="AM331" s="32">
        <v>15</v>
      </c>
      <c r="AN331" s="32">
        <v>15</v>
      </c>
      <c r="AO331" s="32">
        <v>7</v>
      </c>
      <c r="AP331" s="32">
        <v>3</v>
      </c>
      <c r="AQ331" s="32">
        <v>1</v>
      </c>
      <c r="AR331" s="32">
        <v>4</v>
      </c>
      <c r="AS331" s="31">
        <v>0</v>
      </c>
    </row>
    <row r="332" spans="1:45">
      <c r="A332" s="30" t="s">
        <v>676</v>
      </c>
      <c r="B332" s="30" t="s">
        <v>633</v>
      </c>
      <c r="C332" s="30" t="s">
        <v>677</v>
      </c>
      <c r="D332" s="30" t="s">
        <v>1134</v>
      </c>
      <c r="E332" s="30" t="s">
        <v>1176</v>
      </c>
      <c r="F332" s="30" t="s">
        <v>137</v>
      </c>
      <c r="G332" s="30" t="s">
        <v>320</v>
      </c>
      <c r="H332" s="30" t="s">
        <v>680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  <c r="AC332" s="31">
        <v>0</v>
      </c>
      <c r="AD332" s="31">
        <v>0</v>
      </c>
      <c r="AE332" s="31">
        <v>0</v>
      </c>
      <c r="AF332" s="31">
        <v>0</v>
      </c>
      <c r="AG332" s="32">
        <v>149</v>
      </c>
      <c r="AH332" s="32">
        <v>143</v>
      </c>
      <c r="AI332" s="32">
        <v>229</v>
      </c>
      <c r="AJ332" s="32">
        <v>324</v>
      </c>
      <c r="AK332" s="32">
        <v>306</v>
      </c>
      <c r="AL332" s="32">
        <v>452</v>
      </c>
      <c r="AM332" s="32">
        <v>390</v>
      </c>
      <c r="AN332" s="32">
        <v>535</v>
      </c>
      <c r="AO332" s="32">
        <v>443</v>
      </c>
      <c r="AP332" s="32">
        <v>510</v>
      </c>
      <c r="AQ332" s="32">
        <v>256</v>
      </c>
      <c r="AR332" s="32">
        <v>246</v>
      </c>
      <c r="AS332" s="32">
        <v>439</v>
      </c>
    </row>
    <row r="333" spans="1:45">
      <c r="A333" s="30" t="s">
        <v>676</v>
      </c>
      <c r="B333" s="30" t="s">
        <v>633</v>
      </c>
      <c r="C333" s="30" t="s">
        <v>677</v>
      </c>
      <c r="D333" s="30" t="s">
        <v>1134</v>
      </c>
      <c r="E333" s="30" t="s">
        <v>1177</v>
      </c>
      <c r="F333" s="30" t="s">
        <v>142</v>
      </c>
      <c r="G333" s="30" t="s">
        <v>321</v>
      </c>
      <c r="H333" s="30" t="s">
        <v>680</v>
      </c>
      <c r="I333" s="31">
        <v>0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2">
        <v>31</v>
      </c>
      <c r="U333" s="32">
        <v>137</v>
      </c>
      <c r="V333" s="32">
        <v>279.78949999999998</v>
      </c>
      <c r="W333" s="32">
        <v>427</v>
      </c>
      <c r="X333" s="32">
        <v>366</v>
      </c>
      <c r="Y333" s="32">
        <v>183</v>
      </c>
      <c r="Z333" s="32">
        <v>149.5104</v>
      </c>
      <c r="AA333" s="32">
        <v>160.2276</v>
      </c>
      <c r="AB333" s="32">
        <v>84</v>
      </c>
      <c r="AC333" s="32">
        <v>66</v>
      </c>
      <c r="AD333" s="32">
        <v>38</v>
      </c>
      <c r="AE333" s="32">
        <v>13</v>
      </c>
      <c r="AF333" s="32">
        <v>15</v>
      </c>
      <c r="AG333" s="32">
        <v>6</v>
      </c>
      <c r="AH333" s="32">
        <v>4</v>
      </c>
      <c r="AI333" s="32">
        <v>3</v>
      </c>
      <c r="AJ333" s="32">
        <v>6</v>
      </c>
      <c r="AK333" s="32">
        <v>3</v>
      </c>
      <c r="AL333" s="32">
        <v>4</v>
      </c>
      <c r="AM333" s="32">
        <v>1</v>
      </c>
      <c r="AN333" s="32">
        <v>9</v>
      </c>
      <c r="AO333" s="31">
        <v>0</v>
      </c>
      <c r="AP333" s="32">
        <v>3</v>
      </c>
      <c r="AQ333" s="32">
        <v>1</v>
      </c>
      <c r="AR333" s="32">
        <v>8</v>
      </c>
      <c r="AS333" s="31">
        <v>0</v>
      </c>
    </row>
    <row r="334" spans="1:45">
      <c r="A334" s="30" t="s">
        <v>676</v>
      </c>
      <c r="B334" s="30" t="s">
        <v>633</v>
      </c>
      <c r="C334" s="30" t="s">
        <v>677</v>
      </c>
      <c r="D334" s="30" t="s">
        <v>1134</v>
      </c>
      <c r="E334" s="30" t="s">
        <v>1178</v>
      </c>
      <c r="F334" s="30" t="s">
        <v>142</v>
      </c>
      <c r="G334" s="30" t="s">
        <v>322</v>
      </c>
      <c r="H334" s="30" t="s">
        <v>680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2">
        <v>2</v>
      </c>
      <c r="P334" s="32">
        <v>466</v>
      </c>
      <c r="Q334" s="32">
        <v>312</v>
      </c>
      <c r="R334" s="32">
        <v>561</v>
      </c>
      <c r="S334" s="32">
        <v>378</v>
      </c>
      <c r="T334" s="32">
        <v>479</v>
      </c>
      <c r="U334" s="32">
        <v>784.21770000000004</v>
      </c>
      <c r="V334" s="32">
        <v>857.19740000000002</v>
      </c>
      <c r="W334" s="32">
        <v>874</v>
      </c>
      <c r="X334" s="32">
        <v>911</v>
      </c>
      <c r="Y334" s="32">
        <v>588</v>
      </c>
      <c r="Z334" s="32">
        <v>641.53779999999995</v>
      </c>
      <c r="AA334" s="32">
        <v>865.62109999999996</v>
      </c>
      <c r="AB334" s="32">
        <v>684</v>
      </c>
      <c r="AC334" s="32">
        <v>573</v>
      </c>
      <c r="AD334" s="32">
        <v>564</v>
      </c>
      <c r="AE334" s="32">
        <v>425</v>
      </c>
      <c r="AF334" s="32">
        <v>322</v>
      </c>
      <c r="AG334" s="32">
        <v>450</v>
      </c>
      <c r="AH334" s="32">
        <v>283</v>
      </c>
      <c r="AI334" s="32">
        <v>268</v>
      </c>
      <c r="AJ334" s="32">
        <v>230</v>
      </c>
      <c r="AK334" s="32">
        <v>118</v>
      </c>
      <c r="AL334" s="32">
        <v>134</v>
      </c>
      <c r="AM334" s="32">
        <v>75</v>
      </c>
      <c r="AN334" s="32">
        <v>60</v>
      </c>
      <c r="AO334" s="32">
        <v>35</v>
      </c>
      <c r="AP334" s="32">
        <v>37</v>
      </c>
      <c r="AQ334" s="32">
        <v>11</v>
      </c>
      <c r="AR334" s="32">
        <v>16</v>
      </c>
      <c r="AS334" s="32">
        <v>25</v>
      </c>
    </row>
    <row r="335" spans="1:45">
      <c r="A335" s="30" t="s">
        <v>676</v>
      </c>
      <c r="B335" s="30" t="s">
        <v>633</v>
      </c>
      <c r="C335" s="30" t="s">
        <v>677</v>
      </c>
      <c r="D335" s="30" t="s">
        <v>1134</v>
      </c>
      <c r="E335" s="30" t="s">
        <v>1179</v>
      </c>
      <c r="F335" s="30" t="s">
        <v>137</v>
      </c>
      <c r="G335" s="30" t="s">
        <v>323</v>
      </c>
      <c r="H335" s="30" t="s">
        <v>680</v>
      </c>
      <c r="I335" s="31">
        <v>0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2">
        <v>41</v>
      </c>
      <c r="Y335" s="32">
        <v>61</v>
      </c>
      <c r="Z335" s="32">
        <v>64</v>
      </c>
      <c r="AA335" s="32">
        <v>141</v>
      </c>
      <c r="AB335" s="32">
        <v>166</v>
      </c>
      <c r="AC335" s="32">
        <v>153</v>
      </c>
      <c r="AD335" s="32">
        <v>183</v>
      </c>
      <c r="AE335" s="32">
        <v>136</v>
      </c>
      <c r="AF335" s="32">
        <v>111</v>
      </c>
      <c r="AG335" s="32">
        <v>151</v>
      </c>
      <c r="AH335" s="32">
        <v>120</v>
      </c>
      <c r="AI335" s="32">
        <v>130</v>
      </c>
      <c r="AJ335" s="32">
        <v>228</v>
      </c>
      <c r="AK335" s="32">
        <v>247</v>
      </c>
      <c r="AL335" s="32">
        <v>476</v>
      </c>
      <c r="AM335" s="32">
        <v>310</v>
      </c>
      <c r="AN335" s="32">
        <v>292</v>
      </c>
      <c r="AO335" s="32">
        <v>341</v>
      </c>
      <c r="AP335" s="32">
        <v>452</v>
      </c>
      <c r="AQ335" s="32">
        <v>304</v>
      </c>
      <c r="AR335" s="32">
        <v>308</v>
      </c>
      <c r="AS335" s="32">
        <v>399</v>
      </c>
    </row>
    <row r="336" spans="1:45">
      <c r="A336" s="30" t="s">
        <v>676</v>
      </c>
      <c r="B336" s="30" t="s">
        <v>633</v>
      </c>
      <c r="C336" s="30" t="s">
        <v>677</v>
      </c>
      <c r="D336" s="30" t="s">
        <v>1134</v>
      </c>
      <c r="E336" s="30" t="s">
        <v>1180</v>
      </c>
      <c r="F336" s="30" t="s">
        <v>139</v>
      </c>
      <c r="G336" s="30" t="s">
        <v>324</v>
      </c>
      <c r="H336" s="30" t="s">
        <v>680</v>
      </c>
      <c r="I336" s="32">
        <v>495</v>
      </c>
      <c r="J336" s="32">
        <v>441.15469999999999</v>
      </c>
      <c r="K336" s="32">
        <v>457</v>
      </c>
      <c r="L336" s="32">
        <v>505</v>
      </c>
      <c r="M336" s="32">
        <v>492</v>
      </c>
      <c r="N336" s="32">
        <v>591</v>
      </c>
      <c r="O336" s="32">
        <v>792</v>
      </c>
      <c r="P336" s="32">
        <v>831</v>
      </c>
      <c r="Q336" s="32">
        <v>502</v>
      </c>
      <c r="R336" s="32">
        <v>244</v>
      </c>
      <c r="S336" s="32">
        <v>59</v>
      </c>
      <c r="T336" s="32">
        <v>34</v>
      </c>
      <c r="U336" s="32">
        <v>44</v>
      </c>
      <c r="V336" s="32">
        <v>45</v>
      </c>
      <c r="W336" s="32">
        <v>43</v>
      </c>
      <c r="X336" s="32">
        <v>21</v>
      </c>
      <c r="Y336" s="32">
        <v>7</v>
      </c>
      <c r="Z336" s="32">
        <v>8.9664000000000001</v>
      </c>
      <c r="AA336" s="32">
        <v>7</v>
      </c>
      <c r="AB336" s="32">
        <v>8</v>
      </c>
      <c r="AC336" s="32">
        <v>15</v>
      </c>
      <c r="AD336" s="32">
        <v>17</v>
      </c>
      <c r="AE336" s="32">
        <v>17</v>
      </c>
      <c r="AF336" s="32">
        <v>14</v>
      </c>
      <c r="AG336" s="32">
        <v>10</v>
      </c>
      <c r="AH336" s="32">
        <v>9</v>
      </c>
      <c r="AI336" s="32">
        <v>9</v>
      </c>
      <c r="AJ336" s="32">
        <v>5</v>
      </c>
      <c r="AK336" s="32">
        <v>5</v>
      </c>
      <c r="AL336" s="32">
        <v>2</v>
      </c>
      <c r="AM336" s="32">
        <v>1</v>
      </c>
      <c r="AN336" s="32">
        <v>1</v>
      </c>
      <c r="AO336" s="31">
        <v>0</v>
      </c>
      <c r="AP336" s="31">
        <v>0</v>
      </c>
      <c r="AQ336" s="31">
        <v>0</v>
      </c>
      <c r="AR336" s="31">
        <v>0</v>
      </c>
      <c r="AS336" s="31">
        <v>0</v>
      </c>
    </row>
    <row r="337" spans="1:45">
      <c r="A337" s="30" t="s">
        <v>676</v>
      </c>
      <c r="B337" s="30" t="s">
        <v>633</v>
      </c>
      <c r="C337" s="30" t="s">
        <v>677</v>
      </c>
      <c r="D337" s="30" t="s">
        <v>1134</v>
      </c>
      <c r="E337" s="30" t="s">
        <v>1181</v>
      </c>
      <c r="F337" s="30" t="s">
        <v>139</v>
      </c>
      <c r="G337" s="30" t="s">
        <v>325</v>
      </c>
      <c r="H337" s="30" t="s">
        <v>680</v>
      </c>
      <c r="I337" s="32">
        <v>501</v>
      </c>
      <c r="J337" s="32">
        <v>382.15469999999999</v>
      </c>
      <c r="K337" s="32">
        <v>476</v>
      </c>
      <c r="L337" s="32">
        <v>517</v>
      </c>
      <c r="M337" s="32">
        <v>478</v>
      </c>
      <c r="N337" s="32">
        <v>534</v>
      </c>
      <c r="O337" s="32">
        <v>670</v>
      </c>
      <c r="P337" s="32">
        <v>676</v>
      </c>
      <c r="Q337" s="32">
        <v>335</v>
      </c>
      <c r="R337" s="32">
        <v>135</v>
      </c>
      <c r="S337" s="32">
        <v>37</v>
      </c>
      <c r="T337" s="32">
        <v>43</v>
      </c>
      <c r="U337" s="32">
        <v>23</v>
      </c>
      <c r="V337" s="32">
        <v>17</v>
      </c>
      <c r="W337" s="32">
        <v>15</v>
      </c>
      <c r="X337" s="32">
        <v>23</v>
      </c>
      <c r="Y337" s="32">
        <v>13</v>
      </c>
      <c r="Z337" s="32">
        <v>6</v>
      </c>
      <c r="AA337" s="32">
        <v>5</v>
      </c>
      <c r="AB337" s="32">
        <v>3</v>
      </c>
      <c r="AC337" s="32">
        <v>4</v>
      </c>
      <c r="AD337" s="32">
        <v>2</v>
      </c>
      <c r="AE337" s="31">
        <v>0</v>
      </c>
      <c r="AF337" s="32">
        <v>4</v>
      </c>
      <c r="AG337" s="32">
        <v>2</v>
      </c>
      <c r="AH337" s="31">
        <v>0</v>
      </c>
      <c r="AI337" s="31">
        <v>0</v>
      </c>
      <c r="AJ337" s="31">
        <v>0</v>
      </c>
      <c r="AK337" s="32">
        <v>1</v>
      </c>
      <c r="AL337" s="32">
        <v>3</v>
      </c>
      <c r="AM337" s="32">
        <v>2</v>
      </c>
      <c r="AN337" s="31">
        <v>0</v>
      </c>
      <c r="AO337" s="31">
        <v>0</v>
      </c>
      <c r="AP337" s="31">
        <v>0</v>
      </c>
      <c r="AQ337" s="31">
        <v>0</v>
      </c>
      <c r="AR337" s="31">
        <v>0</v>
      </c>
      <c r="AS337" s="31">
        <v>0</v>
      </c>
    </row>
    <row r="338" spans="1:45">
      <c r="A338" s="30" t="s">
        <v>676</v>
      </c>
      <c r="B338" s="30" t="s">
        <v>633</v>
      </c>
      <c r="C338" s="30" t="s">
        <v>677</v>
      </c>
      <c r="D338" s="30" t="s">
        <v>1134</v>
      </c>
      <c r="E338" s="30" t="s">
        <v>1182</v>
      </c>
      <c r="F338" s="30" t="s">
        <v>138</v>
      </c>
      <c r="G338" s="30" t="s">
        <v>326</v>
      </c>
      <c r="H338" s="30" t="s">
        <v>680</v>
      </c>
      <c r="I338" s="32">
        <v>364</v>
      </c>
      <c r="J338" s="32">
        <v>258.15469999999999</v>
      </c>
      <c r="K338" s="32">
        <v>257</v>
      </c>
      <c r="L338" s="32">
        <v>512</v>
      </c>
      <c r="M338" s="32">
        <v>355</v>
      </c>
      <c r="N338" s="32">
        <v>372</v>
      </c>
      <c r="O338" s="32">
        <v>515</v>
      </c>
      <c r="P338" s="32">
        <v>459</v>
      </c>
      <c r="Q338" s="32">
        <v>509</v>
      </c>
      <c r="R338" s="32">
        <v>694</v>
      </c>
      <c r="S338" s="32">
        <v>451</v>
      </c>
      <c r="T338" s="32">
        <v>346</v>
      </c>
      <c r="U338" s="32">
        <v>661</v>
      </c>
      <c r="V338" s="32">
        <v>256.3947</v>
      </c>
      <c r="W338" s="32">
        <v>284</v>
      </c>
      <c r="X338" s="32">
        <v>383</v>
      </c>
      <c r="Y338" s="32">
        <v>265</v>
      </c>
      <c r="Z338" s="32">
        <v>333.70960000000002</v>
      </c>
      <c r="AA338" s="32">
        <v>521.59939999999995</v>
      </c>
      <c r="AB338" s="32">
        <v>419</v>
      </c>
      <c r="AC338" s="32">
        <v>439</v>
      </c>
      <c r="AD338" s="32">
        <v>466</v>
      </c>
      <c r="AE338" s="32">
        <v>361</v>
      </c>
      <c r="AF338" s="32">
        <v>318</v>
      </c>
      <c r="AG338" s="32">
        <v>400</v>
      </c>
      <c r="AH338" s="32">
        <v>318</v>
      </c>
      <c r="AI338" s="32">
        <v>349</v>
      </c>
      <c r="AJ338" s="32">
        <v>443</v>
      </c>
      <c r="AK338" s="32">
        <v>374</v>
      </c>
      <c r="AL338" s="32">
        <v>582</v>
      </c>
      <c r="AM338" s="32">
        <v>544</v>
      </c>
      <c r="AN338" s="32">
        <v>393</v>
      </c>
      <c r="AO338" s="32">
        <v>426</v>
      </c>
      <c r="AP338" s="32">
        <v>637</v>
      </c>
      <c r="AQ338" s="32">
        <v>290</v>
      </c>
      <c r="AR338" s="32">
        <v>272</v>
      </c>
      <c r="AS338" s="32">
        <v>304</v>
      </c>
    </row>
    <row r="339" spans="1:45">
      <c r="A339" s="30" t="s">
        <v>676</v>
      </c>
      <c r="B339" s="30" t="s">
        <v>633</v>
      </c>
      <c r="C339" s="30" t="s">
        <v>677</v>
      </c>
      <c r="D339" s="30" t="s">
        <v>1134</v>
      </c>
      <c r="E339" s="30" t="s">
        <v>1183</v>
      </c>
      <c r="F339" s="30" t="s">
        <v>138</v>
      </c>
      <c r="G339" s="30" t="s">
        <v>327</v>
      </c>
      <c r="H339" s="30" t="s">
        <v>680</v>
      </c>
      <c r="I339" s="32">
        <v>34</v>
      </c>
      <c r="J339" s="32">
        <v>17</v>
      </c>
      <c r="K339" s="32">
        <v>16</v>
      </c>
      <c r="L339" s="32">
        <v>23</v>
      </c>
      <c r="M339" s="32">
        <v>14</v>
      </c>
      <c r="N339" s="32">
        <v>8</v>
      </c>
      <c r="O339" s="32">
        <v>10</v>
      </c>
      <c r="P339" s="32">
        <v>5</v>
      </c>
      <c r="Q339" s="32">
        <v>4</v>
      </c>
      <c r="R339" s="32">
        <v>2</v>
      </c>
      <c r="S339" s="31">
        <v>0</v>
      </c>
      <c r="T339" s="32">
        <v>1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  <c r="AC339" s="31">
        <v>0</v>
      </c>
      <c r="AD339" s="32">
        <v>1</v>
      </c>
      <c r="AE339" s="31">
        <v>0</v>
      </c>
      <c r="AF339" s="31">
        <v>0</v>
      </c>
      <c r="AG339" s="32">
        <v>1</v>
      </c>
      <c r="AH339" s="31">
        <v>0</v>
      </c>
      <c r="AI339" s="31">
        <v>0</v>
      </c>
      <c r="AJ339" s="31">
        <v>0</v>
      </c>
      <c r="AK339" s="31">
        <v>0</v>
      </c>
      <c r="AL339" s="31">
        <v>0</v>
      </c>
      <c r="AM339" s="31">
        <v>0</v>
      </c>
      <c r="AN339" s="31">
        <v>0</v>
      </c>
      <c r="AO339" s="31">
        <v>0</v>
      </c>
      <c r="AP339" s="31">
        <v>0</v>
      </c>
      <c r="AQ339" s="31">
        <v>0</v>
      </c>
      <c r="AR339" s="31">
        <v>0</v>
      </c>
      <c r="AS339" s="31">
        <v>0</v>
      </c>
    </row>
    <row r="340" spans="1:45">
      <c r="A340" s="30" t="s">
        <v>676</v>
      </c>
      <c r="B340" s="30" t="s">
        <v>633</v>
      </c>
      <c r="C340" s="30" t="s">
        <v>677</v>
      </c>
      <c r="D340" s="30" t="s">
        <v>1134</v>
      </c>
      <c r="E340" s="30" t="s">
        <v>1184</v>
      </c>
      <c r="F340" s="30" t="s">
        <v>138</v>
      </c>
      <c r="G340" s="30" t="s">
        <v>328</v>
      </c>
      <c r="H340" s="30" t="s">
        <v>680</v>
      </c>
      <c r="I340" s="32">
        <v>243</v>
      </c>
      <c r="J340" s="32">
        <v>188.30940000000001</v>
      </c>
      <c r="K340" s="32">
        <v>185</v>
      </c>
      <c r="L340" s="32">
        <v>263</v>
      </c>
      <c r="M340" s="32">
        <v>229</v>
      </c>
      <c r="N340" s="32">
        <v>314</v>
      </c>
      <c r="O340" s="32">
        <v>427</v>
      </c>
      <c r="P340" s="32">
        <v>325</v>
      </c>
      <c r="Q340" s="32">
        <v>319</v>
      </c>
      <c r="R340" s="32">
        <v>441</v>
      </c>
      <c r="S340" s="32">
        <v>256</v>
      </c>
      <c r="T340" s="32">
        <v>255</v>
      </c>
      <c r="U340" s="32">
        <v>242</v>
      </c>
      <c r="V340" s="32">
        <v>201.59209999999999</v>
      </c>
      <c r="W340" s="32">
        <v>197</v>
      </c>
      <c r="X340" s="32">
        <v>272</v>
      </c>
      <c r="Y340" s="32">
        <v>188</v>
      </c>
      <c r="Z340" s="32">
        <v>223.89150000000001</v>
      </c>
      <c r="AA340" s="32">
        <v>313.37180000000001</v>
      </c>
      <c r="AB340" s="32">
        <v>245</v>
      </c>
      <c r="AC340" s="32">
        <v>286</v>
      </c>
      <c r="AD340" s="32">
        <v>417</v>
      </c>
      <c r="AE340" s="32">
        <v>214</v>
      </c>
      <c r="AF340" s="32">
        <v>236</v>
      </c>
      <c r="AG340" s="32">
        <v>295</v>
      </c>
      <c r="AH340" s="32">
        <v>214</v>
      </c>
      <c r="AI340" s="32">
        <v>220</v>
      </c>
      <c r="AJ340" s="32">
        <v>402</v>
      </c>
      <c r="AK340" s="32">
        <v>244</v>
      </c>
      <c r="AL340" s="32">
        <v>277</v>
      </c>
      <c r="AM340" s="32">
        <v>396</v>
      </c>
      <c r="AN340" s="32">
        <v>454</v>
      </c>
      <c r="AO340" s="32">
        <v>367</v>
      </c>
      <c r="AP340" s="32">
        <v>482</v>
      </c>
      <c r="AQ340" s="32">
        <v>254</v>
      </c>
      <c r="AR340" s="32">
        <v>241</v>
      </c>
      <c r="AS340" s="32">
        <v>276</v>
      </c>
    </row>
    <row r="341" spans="1:45">
      <c r="A341" s="30" t="s">
        <v>676</v>
      </c>
      <c r="B341" s="30" t="s">
        <v>633</v>
      </c>
      <c r="C341" s="30" t="s">
        <v>677</v>
      </c>
      <c r="D341" s="30" t="s">
        <v>1134</v>
      </c>
      <c r="E341" s="30" t="s">
        <v>1185</v>
      </c>
      <c r="F341" s="30" t="s">
        <v>133</v>
      </c>
      <c r="G341" s="30" t="s">
        <v>329</v>
      </c>
      <c r="H341" s="30" t="s">
        <v>680</v>
      </c>
      <c r="I341" s="32">
        <v>366</v>
      </c>
      <c r="J341" s="32">
        <v>260.15469999999999</v>
      </c>
      <c r="K341" s="32">
        <v>241</v>
      </c>
      <c r="L341" s="32">
        <v>301</v>
      </c>
      <c r="M341" s="32">
        <v>225</v>
      </c>
      <c r="N341" s="32">
        <v>312</v>
      </c>
      <c r="O341" s="32">
        <v>454</v>
      </c>
      <c r="P341" s="32">
        <v>357</v>
      </c>
      <c r="Q341" s="32">
        <v>299.2371</v>
      </c>
      <c r="R341" s="32">
        <v>435</v>
      </c>
      <c r="S341" s="32">
        <v>283</v>
      </c>
      <c r="T341" s="32">
        <v>273</v>
      </c>
      <c r="U341" s="32">
        <v>357</v>
      </c>
      <c r="V341" s="32">
        <v>214.7895</v>
      </c>
      <c r="W341" s="32">
        <v>236</v>
      </c>
      <c r="X341" s="32">
        <v>294</v>
      </c>
      <c r="Y341" s="32">
        <v>254</v>
      </c>
      <c r="Z341" s="32">
        <v>306.53120000000001</v>
      </c>
      <c r="AA341" s="32">
        <v>354.49059999999997</v>
      </c>
      <c r="AB341" s="32">
        <v>283</v>
      </c>
      <c r="AC341" s="32">
        <v>321</v>
      </c>
      <c r="AD341" s="32">
        <v>398</v>
      </c>
      <c r="AE341" s="32">
        <v>272</v>
      </c>
      <c r="AF341" s="32">
        <v>228</v>
      </c>
      <c r="AG341" s="32">
        <v>301</v>
      </c>
      <c r="AH341" s="32">
        <v>296</v>
      </c>
      <c r="AI341" s="32">
        <v>249</v>
      </c>
      <c r="AJ341" s="32">
        <v>294</v>
      </c>
      <c r="AK341" s="32">
        <v>402</v>
      </c>
      <c r="AL341" s="32">
        <v>648</v>
      </c>
      <c r="AM341" s="32">
        <v>465</v>
      </c>
      <c r="AN341" s="32">
        <v>442</v>
      </c>
      <c r="AO341" s="32">
        <v>456</v>
      </c>
      <c r="AP341" s="32">
        <v>507</v>
      </c>
      <c r="AQ341" s="32">
        <v>408</v>
      </c>
      <c r="AR341" s="32">
        <v>440</v>
      </c>
      <c r="AS341" s="32">
        <v>487</v>
      </c>
    </row>
    <row r="342" spans="1:45">
      <c r="A342" s="30" t="s">
        <v>676</v>
      </c>
      <c r="B342" s="30" t="s">
        <v>633</v>
      </c>
      <c r="C342" s="30" t="s">
        <v>677</v>
      </c>
      <c r="D342" s="30" t="s">
        <v>1134</v>
      </c>
      <c r="E342" s="30" t="s">
        <v>1186</v>
      </c>
      <c r="F342" s="30" t="s">
        <v>133</v>
      </c>
      <c r="G342" s="30" t="s">
        <v>330</v>
      </c>
      <c r="H342" s="30" t="s">
        <v>680</v>
      </c>
      <c r="I342" s="32">
        <v>35</v>
      </c>
      <c r="J342" s="32">
        <v>26</v>
      </c>
      <c r="K342" s="32">
        <v>27</v>
      </c>
      <c r="L342" s="32">
        <v>40</v>
      </c>
      <c r="M342" s="32">
        <v>32</v>
      </c>
      <c r="N342" s="32">
        <v>42</v>
      </c>
      <c r="O342" s="32">
        <v>49</v>
      </c>
      <c r="P342" s="32">
        <v>42</v>
      </c>
      <c r="Q342" s="32">
        <v>51</v>
      </c>
      <c r="R342" s="32">
        <v>45</v>
      </c>
      <c r="S342" s="32">
        <v>28</v>
      </c>
      <c r="T342" s="32">
        <v>26</v>
      </c>
      <c r="U342" s="32">
        <v>29</v>
      </c>
      <c r="V342" s="32">
        <v>19</v>
      </c>
      <c r="W342" s="32">
        <v>20</v>
      </c>
      <c r="X342" s="32">
        <v>37</v>
      </c>
      <c r="Y342" s="32">
        <v>33</v>
      </c>
      <c r="Z342" s="32">
        <v>22</v>
      </c>
      <c r="AA342" s="32">
        <v>19</v>
      </c>
      <c r="AB342" s="32">
        <v>26</v>
      </c>
      <c r="AC342" s="32">
        <v>27</v>
      </c>
      <c r="AD342" s="32">
        <v>29</v>
      </c>
      <c r="AE342" s="32">
        <v>25</v>
      </c>
      <c r="AF342" s="32">
        <v>38</v>
      </c>
      <c r="AG342" s="32">
        <v>27</v>
      </c>
      <c r="AH342" s="32">
        <v>29</v>
      </c>
      <c r="AI342" s="32">
        <v>31</v>
      </c>
      <c r="AJ342" s="32">
        <v>42</v>
      </c>
      <c r="AK342" s="32">
        <v>23</v>
      </c>
      <c r="AL342" s="32">
        <v>56</v>
      </c>
      <c r="AM342" s="32">
        <v>47</v>
      </c>
      <c r="AN342" s="32">
        <v>45</v>
      </c>
      <c r="AO342" s="32">
        <v>48</v>
      </c>
      <c r="AP342" s="32">
        <v>63</v>
      </c>
      <c r="AQ342" s="32">
        <v>43</v>
      </c>
      <c r="AR342" s="32">
        <v>35</v>
      </c>
      <c r="AS342" s="32">
        <v>53</v>
      </c>
    </row>
    <row r="343" spans="1:45">
      <c r="A343" s="30" t="s">
        <v>676</v>
      </c>
      <c r="B343" s="30" t="s">
        <v>633</v>
      </c>
      <c r="C343" s="30" t="s">
        <v>677</v>
      </c>
      <c r="D343" s="30" t="s">
        <v>1134</v>
      </c>
      <c r="E343" s="30" t="s">
        <v>1187</v>
      </c>
      <c r="F343" s="30" t="s">
        <v>133</v>
      </c>
      <c r="G343" s="30" t="s">
        <v>331</v>
      </c>
      <c r="H343" s="30" t="s">
        <v>680</v>
      </c>
      <c r="I343" s="32">
        <v>379</v>
      </c>
      <c r="J343" s="32">
        <v>276.30939999999998</v>
      </c>
      <c r="K343" s="32">
        <v>232</v>
      </c>
      <c r="L343" s="32">
        <v>291</v>
      </c>
      <c r="M343" s="32">
        <v>227</v>
      </c>
      <c r="N343" s="32">
        <v>334</v>
      </c>
      <c r="O343" s="32">
        <v>447</v>
      </c>
      <c r="P343" s="32">
        <v>365</v>
      </c>
      <c r="Q343" s="32">
        <v>322</v>
      </c>
      <c r="R343" s="32">
        <v>411</v>
      </c>
      <c r="S343" s="32">
        <v>225</v>
      </c>
      <c r="T343" s="32">
        <v>257</v>
      </c>
      <c r="U343" s="32">
        <v>313</v>
      </c>
      <c r="V343" s="32">
        <v>193.19739999999999</v>
      </c>
      <c r="W343" s="32">
        <v>223</v>
      </c>
      <c r="X343" s="32">
        <v>249</v>
      </c>
      <c r="Y343" s="32">
        <v>194</v>
      </c>
      <c r="Z343" s="32">
        <v>240.7944</v>
      </c>
      <c r="AA343" s="32">
        <v>307.11869999999999</v>
      </c>
      <c r="AB343" s="32">
        <v>260</v>
      </c>
      <c r="AC343" s="32">
        <v>330</v>
      </c>
      <c r="AD343" s="32">
        <v>392</v>
      </c>
      <c r="AE343" s="32">
        <v>291</v>
      </c>
      <c r="AF343" s="32">
        <v>279</v>
      </c>
      <c r="AG343" s="32">
        <v>326</v>
      </c>
      <c r="AH343" s="32">
        <v>330</v>
      </c>
      <c r="AI343" s="32">
        <v>253</v>
      </c>
      <c r="AJ343" s="32">
        <v>298</v>
      </c>
      <c r="AK343" s="32">
        <v>383</v>
      </c>
      <c r="AL343" s="32">
        <v>605</v>
      </c>
      <c r="AM343" s="32">
        <v>422</v>
      </c>
      <c r="AN343" s="32">
        <v>394</v>
      </c>
      <c r="AO343" s="32">
        <v>436</v>
      </c>
      <c r="AP343" s="32">
        <v>479</v>
      </c>
      <c r="AQ343" s="32">
        <v>367</v>
      </c>
      <c r="AR343" s="32">
        <v>395</v>
      </c>
      <c r="AS343" s="32">
        <v>507</v>
      </c>
    </row>
    <row r="344" spans="1:45">
      <c r="A344" s="30" t="s">
        <v>676</v>
      </c>
      <c r="B344" s="30" t="s">
        <v>633</v>
      </c>
      <c r="C344" s="30" t="s">
        <v>677</v>
      </c>
      <c r="D344" s="30" t="s">
        <v>1134</v>
      </c>
      <c r="E344" s="30" t="s">
        <v>1188</v>
      </c>
      <c r="F344" s="30" t="s">
        <v>133</v>
      </c>
      <c r="G344" s="30" t="s">
        <v>1189</v>
      </c>
      <c r="H344" s="30" t="s">
        <v>680</v>
      </c>
      <c r="I344" s="31">
        <v>0</v>
      </c>
      <c r="J344" s="32">
        <v>1</v>
      </c>
      <c r="K344" s="31">
        <v>0</v>
      </c>
      <c r="L344" s="32">
        <v>1</v>
      </c>
      <c r="M344" s="32">
        <v>2</v>
      </c>
      <c r="N344" s="31">
        <v>0</v>
      </c>
      <c r="O344" s="31">
        <v>0</v>
      </c>
      <c r="P344" s="32">
        <v>2</v>
      </c>
      <c r="Q344" s="32">
        <v>4</v>
      </c>
      <c r="R344" s="32">
        <v>1</v>
      </c>
      <c r="S344" s="32">
        <v>1</v>
      </c>
      <c r="T344" s="32">
        <v>1</v>
      </c>
      <c r="U344" s="31">
        <v>0</v>
      </c>
      <c r="V344" s="32">
        <v>1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  <c r="AC344" s="31">
        <v>0</v>
      </c>
      <c r="AD344" s="31">
        <v>0</v>
      </c>
      <c r="AE344" s="31">
        <v>0</v>
      </c>
      <c r="AF344" s="31">
        <v>0</v>
      </c>
      <c r="AG344" s="31">
        <v>0</v>
      </c>
      <c r="AH344" s="31">
        <v>0</v>
      </c>
      <c r="AI344" s="31">
        <v>0</v>
      </c>
      <c r="AJ344" s="31">
        <v>0</v>
      </c>
      <c r="AK344" s="31">
        <v>0</v>
      </c>
      <c r="AL344" s="31">
        <v>0</v>
      </c>
      <c r="AM344" s="31">
        <v>0</v>
      </c>
      <c r="AN344" s="31">
        <v>0</v>
      </c>
      <c r="AO344" s="31">
        <v>0</v>
      </c>
      <c r="AP344" s="31">
        <v>0</v>
      </c>
      <c r="AQ344" s="31">
        <v>0</v>
      </c>
      <c r="AR344" s="31">
        <v>0</v>
      </c>
      <c r="AS344" s="31">
        <v>0</v>
      </c>
    </row>
    <row r="345" spans="1:45">
      <c r="A345" s="30" t="s">
        <v>676</v>
      </c>
      <c r="B345" s="30" t="s">
        <v>633</v>
      </c>
      <c r="C345" s="30" t="s">
        <v>677</v>
      </c>
      <c r="D345" s="30" t="s">
        <v>1134</v>
      </c>
      <c r="E345" s="30" t="s">
        <v>1190</v>
      </c>
      <c r="F345" s="30" t="s">
        <v>133</v>
      </c>
      <c r="G345" s="30" t="s">
        <v>332</v>
      </c>
      <c r="H345" s="30" t="s">
        <v>680</v>
      </c>
      <c r="I345" s="32">
        <v>173</v>
      </c>
      <c r="J345" s="32">
        <v>132</v>
      </c>
      <c r="K345" s="32">
        <v>144</v>
      </c>
      <c r="L345" s="32">
        <v>104</v>
      </c>
      <c r="M345" s="32">
        <v>157</v>
      </c>
      <c r="N345" s="32">
        <v>197</v>
      </c>
      <c r="O345" s="32">
        <v>227</v>
      </c>
      <c r="P345" s="32">
        <v>245</v>
      </c>
      <c r="Q345" s="32">
        <v>175</v>
      </c>
      <c r="R345" s="32">
        <v>282</v>
      </c>
      <c r="S345" s="32">
        <v>138</v>
      </c>
      <c r="T345" s="32">
        <v>144</v>
      </c>
      <c r="U345" s="32">
        <v>179</v>
      </c>
      <c r="V345" s="32">
        <v>90</v>
      </c>
      <c r="W345" s="32">
        <v>66</v>
      </c>
      <c r="X345" s="32">
        <v>262</v>
      </c>
      <c r="Y345" s="32">
        <v>78</v>
      </c>
      <c r="Z345" s="32">
        <v>47.675899999999999</v>
      </c>
      <c r="AA345" s="32">
        <v>27</v>
      </c>
      <c r="AB345" s="32">
        <v>15</v>
      </c>
      <c r="AC345" s="32">
        <v>11</v>
      </c>
      <c r="AD345" s="32">
        <v>5</v>
      </c>
      <c r="AE345" s="32">
        <v>1</v>
      </c>
      <c r="AF345" s="31">
        <v>0</v>
      </c>
      <c r="AG345" s="32">
        <v>1</v>
      </c>
      <c r="AH345" s="31">
        <v>0</v>
      </c>
      <c r="AI345" s="32">
        <v>3</v>
      </c>
      <c r="AJ345" s="32">
        <v>3</v>
      </c>
      <c r="AK345" s="32">
        <v>1</v>
      </c>
      <c r="AL345" s="31">
        <v>0</v>
      </c>
      <c r="AM345" s="31">
        <v>0</v>
      </c>
      <c r="AN345" s="31">
        <v>0</v>
      </c>
      <c r="AO345" s="31">
        <v>0</v>
      </c>
      <c r="AP345" s="31">
        <v>0</v>
      </c>
      <c r="AQ345" s="31">
        <v>0</v>
      </c>
      <c r="AR345" s="31">
        <v>0</v>
      </c>
      <c r="AS345" s="31">
        <v>0</v>
      </c>
    </row>
    <row r="346" spans="1:45">
      <c r="A346" s="30" t="s">
        <v>676</v>
      </c>
      <c r="B346" s="30" t="s">
        <v>633</v>
      </c>
      <c r="C346" s="30" t="s">
        <v>677</v>
      </c>
      <c r="D346" s="30" t="s">
        <v>1134</v>
      </c>
      <c r="E346" s="30" t="s">
        <v>1191</v>
      </c>
      <c r="F346" s="30" t="s">
        <v>133</v>
      </c>
      <c r="G346" s="30" t="s">
        <v>333</v>
      </c>
      <c r="H346" s="30" t="s">
        <v>680</v>
      </c>
      <c r="I346" s="32">
        <v>147</v>
      </c>
      <c r="J346" s="32">
        <v>113</v>
      </c>
      <c r="K346" s="32">
        <v>182</v>
      </c>
      <c r="L346" s="32">
        <v>114</v>
      </c>
      <c r="M346" s="32">
        <v>138</v>
      </c>
      <c r="N346" s="32">
        <v>126</v>
      </c>
      <c r="O346" s="32">
        <v>182</v>
      </c>
      <c r="P346" s="32">
        <v>190</v>
      </c>
      <c r="Q346" s="32">
        <v>139</v>
      </c>
      <c r="R346" s="32">
        <v>234</v>
      </c>
      <c r="S346" s="32">
        <v>129</v>
      </c>
      <c r="T346" s="32">
        <v>74</v>
      </c>
      <c r="U346" s="32">
        <v>82</v>
      </c>
      <c r="V346" s="32">
        <v>51</v>
      </c>
      <c r="W346" s="32">
        <v>63</v>
      </c>
      <c r="X346" s="32">
        <v>243</v>
      </c>
      <c r="Y346" s="32">
        <v>110</v>
      </c>
      <c r="Z346" s="32">
        <v>119.5723</v>
      </c>
      <c r="AA346" s="32">
        <v>120.37179999999999</v>
      </c>
      <c r="AB346" s="32">
        <v>117</v>
      </c>
      <c r="AC346" s="32">
        <v>104</v>
      </c>
      <c r="AD346" s="32">
        <v>52</v>
      </c>
      <c r="AE346" s="32">
        <v>14</v>
      </c>
      <c r="AF346" s="32">
        <v>10</v>
      </c>
      <c r="AG346" s="32">
        <v>35</v>
      </c>
      <c r="AH346" s="32">
        <v>15</v>
      </c>
      <c r="AI346" s="32">
        <v>8</v>
      </c>
      <c r="AJ346" s="32">
        <v>8</v>
      </c>
      <c r="AK346" s="32">
        <v>7</v>
      </c>
      <c r="AL346" s="32">
        <v>10</v>
      </c>
      <c r="AM346" s="32">
        <v>6</v>
      </c>
      <c r="AN346" s="32">
        <v>11</v>
      </c>
      <c r="AO346" s="32">
        <v>1</v>
      </c>
      <c r="AP346" s="32">
        <v>2</v>
      </c>
      <c r="AQ346" s="32">
        <v>2</v>
      </c>
      <c r="AR346" s="31">
        <v>0</v>
      </c>
      <c r="AS346" s="32">
        <v>1</v>
      </c>
    </row>
    <row r="347" spans="1:45">
      <c r="A347" s="30" t="s">
        <v>676</v>
      </c>
      <c r="B347" s="30" t="s">
        <v>633</v>
      </c>
      <c r="C347" s="30" t="s">
        <v>677</v>
      </c>
      <c r="D347" s="30" t="s">
        <v>1134</v>
      </c>
      <c r="E347" s="30" t="s">
        <v>1192</v>
      </c>
      <c r="F347" s="30" t="s">
        <v>138</v>
      </c>
      <c r="G347" s="30" t="s">
        <v>334</v>
      </c>
      <c r="H347" s="30" t="s">
        <v>680</v>
      </c>
      <c r="I347" s="32">
        <v>168</v>
      </c>
      <c r="J347" s="32">
        <v>119</v>
      </c>
      <c r="K347" s="32">
        <v>99</v>
      </c>
      <c r="L347" s="32">
        <v>163</v>
      </c>
      <c r="M347" s="32">
        <v>127</v>
      </c>
      <c r="N347" s="32">
        <v>169</v>
      </c>
      <c r="O347" s="32">
        <v>229</v>
      </c>
      <c r="P347" s="32">
        <v>312</v>
      </c>
      <c r="Q347" s="32">
        <v>185</v>
      </c>
      <c r="R347" s="32">
        <v>275</v>
      </c>
      <c r="S347" s="32">
        <v>153</v>
      </c>
      <c r="T347" s="32">
        <v>160</v>
      </c>
      <c r="U347" s="32">
        <v>203</v>
      </c>
      <c r="V347" s="32">
        <v>101</v>
      </c>
      <c r="W347" s="32">
        <v>106</v>
      </c>
      <c r="X347" s="32">
        <v>127</v>
      </c>
      <c r="Y347" s="32">
        <v>94</v>
      </c>
      <c r="Z347" s="32">
        <v>105.78360000000001</v>
      </c>
      <c r="AA347" s="32">
        <v>180</v>
      </c>
      <c r="AB347" s="32">
        <v>139</v>
      </c>
      <c r="AC347" s="32">
        <v>119</v>
      </c>
      <c r="AD347" s="32">
        <v>135</v>
      </c>
      <c r="AE347" s="32">
        <v>166</v>
      </c>
      <c r="AF347" s="32">
        <v>159</v>
      </c>
      <c r="AG347" s="32">
        <v>155</v>
      </c>
      <c r="AH347" s="32">
        <v>143</v>
      </c>
      <c r="AI347" s="32">
        <v>181</v>
      </c>
      <c r="AJ347" s="32">
        <v>180</v>
      </c>
      <c r="AK347" s="32">
        <v>209</v>
      </c>
      <c r="AL347" s="32">
        <v>274</v>
      </c>
      <c r="AM347" s="32">
        <v>277</v>
      </c>
      <c r="AN347" s="32">
        <v>246</v>
      </c>
      <c r="AO347" s="32">
        <v>260</v>
      </c>
      <c r="AP347" s="32">
        <v>280</v>
      </c>
      <c r="AQ347" s="32">
        <v>203</v>
      </c>
      <c r="AR347" s="32">
        <v>223</v>
      </c>
      <c r="AS347" s="32">
        <v>234</v>
      </c>
    </row>
    <row r="348" spans="1:45">
      <c r="A348" s="30" t="s">
        <v>676</v>
      </c>
      <c r="B348" s="30" t="s">
        <v>633</v>
      </c>
      <c r="C348" s="30" t="s">
        <v>677</v>
      </c>
      <c r="D348" s="30" t="s">
        <v>1134</v>
      </c>
      <c r="E348" s="30" t="s">
        <v>1193</v>
      </c>
      <c r="F348" s="30" t="s">
        <v>138</v>
      </c>
      <c r="G348" s="30" t="s">
        <v>335</v>
      </c>
      <c r="H348" s="30" t="s">
        <v>680</v>
      </c>
      <c r="I348" s="32">
        <v>109</v>
      </c>
      <c r="J348" s="32">
        <v>89</v>
      </c>
      <c r="K348" s="32">
        <v>78</v>
      </c>
      <c r="L348" s="32">
        <v>75</v>
      </c>
      <c r="M348" s="32">
        <v>58</v>
      </c>
      <c r="N348" s="32">
        <v>76</v>
      </c>
      <c r="O348" s="32">
        <v>107</v>
      </c>
      <c r="P348" s="32">
        <v>90</v>
      </c>
      <c r="Q348" s="32">
        <v>99</v>
      </c>
      <c r="R348" s="32">
        <v>86</v>
      </c>
      <c r="S348" s="32">
        <v>56</v>
      </c>
      <c r="T348" s="32">
        <v>55</v>
      </c>
      <c r="U348" s="32">
        <v>48</v>
      </c>
      <c r="V348" s="32">
        <v>29</v>
      </c>
      <c r="W348" s="32">
        <v>28</v>
      </c>
      <c r="X348" s="32">
        <v>36</v>
      </c>
      <c r="Y348" s="32">
        <v>27</v>
      </c>
      <c r="Z348" s="32">
        <v>32</v>
      </c>
      <c r="AA348" s="32">
        <v>29</v>
      </c>
      <c r="AB348" s="32">
        <v>27</v>
      </c>
      <c r="AC348" s="32">
        <v>10</v>
      </c>
      <c r="AD348" s="32">
        <v>5</v>
      </c>
      <c r="AE348" s="31">
        <v>0</v>
      </c>
      <c r="AF348" s="32">
        <v>1</v>
      </c>
      <c r="AG348" s="31">
        <v>0</v>
      </c>
      <c r="AH348" s="31">
        <v>0</v>
      </c>
      <c r="AI348" s="32">
        <v>1</v>
      </c>
      <c r="AJ348" s="31">
        <v>0</v>
      </c>
      <c r="AK348" s="31">
        <v>0</v>
      </c>
      <c r="AL348" s="31">
        <v>0</v>
      </c>
      <c r="AM348" s="31">
        <v>0</v>
      </c>
      <c r="AN348" s="31">
        <v>0</v>
      </c>
      <c r="AO348" s="31">
        <v>0</v>
      </c>
      <c r="AP348" s="31">
        <v>0</v>
      </c>
      <c r="AQ348" s="31">
        <v>0</v>
      </c>
      <c r="AR348" s="31">
        <v>0</v>
      </c>
      <c r="AS348" s="31">
        <v>0</v>
      </c>
    </row>
    <row r="349" spans="1:45">
      <c r="A349" s="30" t="s">
        <v>676</v>
      </c>
      <c r="B349" s="30" t="s">
        <v>633</v>
      </c>
      <c r="C349" s="30" t="s">
        <v>677</v>
      </c>
      <c r="D349" s="30" t="s">
        <v>1134</v>
      </c>
      <c r="E349" s="30" t="s">
        <v>1194</v>
      </c>
      <c r="F349" s="30" t="s">
        <v>138</v>
      </c>
      <c r="G349" s="30" t="s">
        <v>336</v>
      </c>
      <c r="H349" s="30" t="s">
        <v>680</v>
      </c>
      <c r="I349" s="32">
        <v>90</v>
      </c>
      <c r="J349" s="32">
        <v>58</v>
      </c>
      <c r="K349" s="32">
        <v>61</v>
      </c>
      <c r="L349" s="32">
        <v>57</v>
      </c>
      <c r="M349" s="32">
        <v>33</v>
      </c>
      <c r="N349" s="32">
        <v>57</v>
      </c>
      <c r="O349" s="32">
        <v>79</v>
      </c>
      <c r="P349" s="32">
        <v>71</v>
      </c>
      <c r="Q349" s="32">
        <v>68</v>
      </c>
      <c r="R349" s="32">
        <v>70</v>
      </c>
      <c r="S349" s="32">
        <v>48</v>
      </c>
      <c r="T349" s="32">
        <v>38</v>
      </c>
      <c r="U349" s="32">
        <v>54</v>
      </c>
      <c r="V349" s="32">
        <v>37</v>
      </c>
      <c r="W349" s="32">
        <v>31</v>
      </c>
      <c r="X349" s="32">
        <v>50</v>
      </c>
      <c r="Y349" s="32">
        <v>39</v>
      </c>
      <c r="Z349" s="32">
        <v>35</v>
      </c>
      <c r="AA349" s="32">
        <v>42</v>
      </c>
      <c r="AB349" s="32">
        <v>16</v>
      </c>
      <c r="AC349" s="32">
        <v>5</v>
      </c>
      <c r="AD349" s="32">
        <v>2</v>
      </c>
      <c r="AE349" s="32">
        <v>4</v>
      </c>
      <c r="AF349" s="32">
        <v>3</v>
      </c>
      <c r="AG349" s="32">
        <v>3</v>
      </c>
      <c r="AH349" s="32">
        <v>1</v>
      </c>
      <c r="AI349" s="32">
        <v>2</v>
      </c>
      <c r="AJ349" s="32">
        <v>1</v>
      </c>
      <c r="AK349" s="32">
        <v>2</v>
      </c>
      <c r="AL349" s="31">
        <v>0</v>
      </c>
      <c r="AM349" s="32">
        <v>1</v>
      </c>
      <c r="AN349" s="31">
        <v>0</v>
      </c>
      <c r="AO349" s="31">
        <v>0</v>
      </c>
      <c r="AP349" s="31">
        <v>0</v>
      </c>
      <c r="AQ349" s="31">
        <v>0</v>
      </c>
      <c r="AR349" s="31">
        <v>0</v>
      </c>
      <c r="AS349" s="31">
        <v>0</v>
      </c>
    </row>
    <row r="350" spans="1:45">
      <c r="A350" s="30" t="s">
        <v>676</v>
      </c>
      <c r="B350" s="30" t="s">
        <v>633</v>
      </c>
      <c r="C350" s="30" t="s">
        <v>677</v>
      </c>
      <c r="D350" s="30" t="s">
        <v>1134</v>
      </c>
      <c r="E350" s="30" t="s">
        <v>1195</v>
      </c>
      <c r="F350" s="30" t="s">
        <v>138</v>
      </c>
      <c r="G350" s="30" t="s">
        <v>337</v>
      </c>
      <c r="H350" s="30" t="s">
        <v>680</v>
      </c>
      <c r="I350" s="32">
        <v>194</v>
      </c>
      <c r="J350" s="32">
        <v>131</v>
      </c>
      <c r="K350" s="32">
        <v>133</v>
      </c>
      <c r="L350" s="32">
        <v>160</v>
      </c>
      <c r="M350" s="32">
        <v>99</v>
      </c>
      <c r="N350" s="32">
        <v>170</v>
      </c>
      <c r="O350" s="32">
        <v>226</v>
      </c>
      <c r="P350" s="32">
        <v>226</v>
      </c>
      <c r="Q350" s="32">
        <v>206</v>
      </c>
      <c r="R350" s="32">
        <v>229</v>
      </c>
      <c r="S350" s="32">
        <v>147</v>
      </c>
      <c r="T350" s="32">
        <v>96</v>
      </c>
      <c r="U350" s="32">
        <v>122</v>
      </c>
      <c r="V350" s="32">
        <v>91</v>
      </c>
      <c r="W350" s="32">
        <v>68</v>
      </c>
      <c r="X350" s="32">
        <v>70</v>
      </c>
      <c r="Y350" s="32">
        <v>31</v>
      </c>
      <c r="Z350" s="32">
        <v>35.930199999999999</v>
      </c>
      <c r="AA350" s="32">
        <v>61</v>
      </c>
      <c r="AB350" s="32">
        <v>25</v>
      </c>
      <c r="AC350" s="32">
        <v>12</v>
      </c>
      <c r="AD350" s="32">
        <v>9</v>
      </c>
      <c r="AE350" s="32">
        <v>9</v>
      </c>
      <c r="AF350" s="32">
        <v>8</v>
      </c>
      <c r="AG350" s="32">
        <v>6</v>
      </c>
      <c r="AH350" s="32">
        <v>1</v>
      </c>
      <c r="AI350" s="32">
        <v>5</v>
      </c>
      <c r="AJ350" s="32">
        <v>4</v>
      </c>
      <c r="AK350" s="32">
        <v>8</v>
      </c>
      <c r="AL350" s="32">
        <v>4</v>
      </c>
      <c r="AM350" s="32">
        <v>1</v>
      </c>
      <c r="AN350" s="32">
        <v>1</v>
      </c>
      <c r="AO350" s="31">
        <v>0</v>
      </c>
      <c r="AP350" s="31">
        <v>0</v>
      </c>
      <c r="AQ350" s="31">
        <v>0</v>
      </c>
      <c r="AR350" s="31">
        <v>0</v>
      </c>
      <c r="AS350" s="31">
        <v>0</v>
      </c>
    </row>
    <row r="351" spans="1:45">
      <c r="A351" s="30" t="s">
        <v>676</v>
      </c>
      <c r="B351" s="30" t="s">
        <v>633</v>
      </c>
      <c r="C351" s="30" t="s">
        <v>677</v>
      </c>
      <c r="D351" s="30" t="s">
        <v>1134</v>
      </c>
      <c r="E351" s="30" t="s">
        <v>1196</v>
      </c>
      <c r="F351" s="30" t="s">
        <v>138</v>
      </c>
      <c r="G351" s="30" t="s">
        <v>338</v>
      </c>
      <c r="H351" s="30" t="s">
        <v>680</v>
      </c>
      <c r="I351" s="32">
        <v>130</v>
      </c>
      <c r="J351" s="32">
        <v>106</v>
      </c>
      <c r="K351" s="32">
        <v>107</v>
      </c>
      <c r="L351" s="32">
        <v>107</v>
      </c>
      <c r="M351" s="32">
        <v>78</v>
      </c>
      <c r="N351" s="32">
        <v>105</v>
      </c>
      <c r="O351" s="32">
        <v>158</v>
      </c>
      <c r="P351" s="32">
        <v>160</v>
      </c>
      <c r="Q351" s="32">
        <v>113</v>
      </c>
      <c r="R351" s="32">
        <v>152</v>
      </c>
      <c r="S351" s="32">
        <v>102</v>
      </c>
      <c r="T351" s="32">
        <v>87</v>
      </c>
      <c r="U351" s="32">
        <v>112</v>
      </c>
      <c r="V351" s="32">
        <v>83</v>
      </c>
      <c r="W351" s="32">
        <v>74</v>
      </c>
      <c r="X351" s="32">
        <v>100</v>
      </c>
      <c r="Y351" s="32">
        <v>64</v>
      </c>
      <c r="Z351" s="32">
        <v>94.800799999999995</v>
      </c>
      <c r="AA351" s="32">
        <v>81.196700000000007</v>
      </c>
      <c r="AB351" s="32">
        <v>55</v>
      </c>
      <c r="AC351" s="32">
        <v>76</v>
      </c>
      <c r="AD351" s="32">
        <v>86</v>
      </c>
      <c r="AE351" s="32">
        <v>42</v>
      </c>
      <c r="AF351" s="32">
        <v>28</v>
      </c>
      <c r="AG351" s="32">
        <v>50</v>
      </c>
      <c r="AH351" s="32">
        <v>13</v>
      </c>
      <c r="AI351" s="32">
        <v>3</v>
      </c>
      <c r="AJ351" s="32">
        <v>3</v>
      </c>
      <c r="AK351" s="32">
        <v>1</v>
      </c>
      <c r="AL351" s="32">
        <v>2</v>
      </c>
      <c r="AM351" s="32">
        <v>3</v>
      </c>
      <c r="AN351" s="32">
        <v>3</v>
      </c>
      <c r="AO351" s="32">
        <v>6</v>
      </c>
      <c r="AP351" s="32">
        <v>1</v>
      </c>
      <c r="AQ351" s="31">
        <v>0</v>
      </c>
      <c r="AR351" s="31">
        <v>0</v>
      </c>
      <c r="AS351" s="31">
        <v>0</v>
      </c>
    </row>
    <row r="352" spans="1:45">
      <c r="A352" s="30" t="s">
        <v>676</v>
      </c>
      <c r="B352" s="30" t="s">
        <v>633</v>
      </c>
      <c r="C352" s="30" t="s">
        <v>677</v>
      </c>
      <c r="D352" s="30" t="s">
        <v>1134</v>
      </c>
      <c r="E352" s="30" t="s">
        <v>1197</v>
      </c>
      <c r="F352" s="30" t="s">
        <v>138</v>
      </c>
      <c r="G352" s="30" t="s">
        <v>339</v>
      </c>
      <c r="H352" s="30" t="s">
        <v>680</v>
      </c>
      <c r="I352" s="32">
        <v>211</v>
      </c>
      <c r="J352" s="32">
        <v>164</v>
      </c>
      <c r="K352" s="32">
        <v>186</v>
      </c>
      <c r="L352" s="32">
        <v>198</v>
      </c>
      <c r="M352" s="32">
        <v>169</v>
      </c>
      <c r="N352" s="32">
        <v>184</v>
      </c>
      <c r="O352" s="32">
        <v>263</v>
      </c>
      <c r="P352" s="32">
        <v>230</v>
      </c>
      <c r="Q352" s="32">
        <v>214</v>
      </c>
      <c r="R352" s="32">
        <v>276</v>
      </c>
      <c r="S352" s="32">
        <v>222</v>
      </c>
      <c r="T352" s="32">
        <v>203</v>
      </c>
      <c r="U352" s="32">
        <v>235</v>
      </c>
      <c r="V352" s="32">
        <v>208.59209999999999</v>
      </c>
      <c r="W352" s="32">
        <v>184</v>
      </c>
      <c r="X352" s="32">
        <v>293</v>
      </c>
      <c r="Y352" s="32">
        <v>200</v>
      </c>
      <c r="Z352" s="32">
        <v>267.95119999999997</v>
      </c>
      <c r="AA352" s="32">
        <v>392.2276</v>
      </c>
      <c r="AB352" s="32">
        <v>337</v>
      </c>
      <c r="AC352" s="32">
        <v>351</v>
      </c>
      <c r="AD352" s="32">
        <v>362</v>
      </c>
      <c r="AE352" s="32">
        <v>219</v>
      </c>
      <c r="AF352" s="32">
        <v>180</v>
      </c>
      <c r="AG352" s="32">
        <v>269</v>
      </c>
      <c r="AH352" s="32">
        <v>223</v>
      </c>
      <c r="AI352" s="32">
        <v>184</v>
      </c>
      <c r="AJ352" s="32">
        <v>277</v>
      </c>
      <c r="AK352" s="32">
        <v>297</v>
      </c>
      <c r="AL352" s="32">
        <v>308</v>
      </c>
      <c r="AM352" s="32">
        <v>379</v>
      </c>
      <c r="AN352" s="32">
        <v>402</v>
      </c>
      <c r="AO352" s="32">
        <v>337</v>
      </c>
      <c r="AP352" s="32">
        <v>385</v>
      </c>
      <c r="AQ352" s="32">
        <v>236</v>
      </c>
      <c r="AR352" s="32">
        <v>214</v>
      </c>
      <c r="AS352" s="32">
        <v>245</v>
      </c>
    </row>
    <row r="353" spans="1:45">
      <c r="A353" s="30" t="s">
        <v>676</v>
      </c>
      <c r="B353" s="30" t="s">
        <v>633</v>
      </c>
      <c r="C353" s="30" t="s">
        <v>677</v>
      </c>
      <c r="D353" s="30" t="s">
        <v>1134</v>
      </c>
      <c r="E353" s="30" t="s">
        <v>1198</v>
      </c>
      <c r="F353" s="30" t="s">
        <v>138</v>
      </c>
      <c r="G353" s="30" t="s">
        <v>340</v>
      </c>
      <c r="H353" s="30" t="s">
        <v>680</v>
      </c>
      <c r="I353" s="32">
        <v>159</v>
      </c>
      <c r="J353" s="32">
        <v>118</v>
      </c>
      <c r="K353" s="32">
        <v>132</v>
      </c>
      <c r="L353" s="32">
        <v>159</v>
      </c>
      <c r="M353" s="32">
        <v>116</v>
      </c>
      <c r="N353" s="32">
        <v>159</v>
      </c>
      <c r="O353" s="32">
        <v>199</v>
      </c>
      <c r="P353" s="32">
        <v>218</v>
      </c>
      <c r="Q353" s="32">
        <v>178</v>
      </c>
      <c r="R353" s="32">
        <v>225</v>
      </c>
      <c r="S353" s="32">
        <v>202</v>
      </c>
      <c r="T353" s="32">
        <v>162</v>
      </c>
      <c r="U353" s="32">
        <v>167</v>
      </c>
      <c r="V353" s="32">
        <v>144.3947</v>
      </c>
      <c r="W353" s="32">
        <v>136</v>
      </c>
      <c r="X353" s="32">
        <v>220</v>
      </c>
      <c r="Y353" s="32">
        <v>158</v>
      </c>
      <c r="Z353" s="32">
        <v>223.98759999999999</v>
      </c>
      <c r="AA353" s="32">
        <v>309.57389999999998</v>
      </c>
      <c r="AB353" s="32">
        <v>258</v>
      </c>
      <c r="AC353" s="32">
        <v>283</v>
      </c>
      <c r="AD353" s="32">
        <v>306</v>
      </c>
      <c r="AE353" s="32">
        <v>195</v>
      </c>
      <c r="AF353" s="32">
        <v>199</v>
      </c>
      <c r="AG353" s="32">
        <v>247</v>
      </c>
      <c r="AH353" s="32">
        <v>190</v>
      </c>
      <c r="AI353" s="32">
        <v>194</v>
      </c>
      <c r="AJ353" s="32">
        <v>263</v>
      </c>
      <c r="AK353" s="32">
        <v>261</v>
      </c>
      <c r="AL353" s="32">
        <v>280</v>
      </c>
      <c r="AM353" s="32">
        <v>360</v>
      </c>
      <c r="AN353" s="32">
        <v>329</v>
      </c>
      <c r="AO353" s="32">
        <v>288</v>
      </c>
      <c r="AP353" s="32">
        <v>333</v>
      </c>
      <c r="AQ353" s="32">
        <v>211</v>
      </c>
      <c r="AR353" s="32">
        <v>177</v>
      </c>
      <c r="AS353" s="32">
        <v>230</v>
      </c>
    </row>
    <row r="354" spans="1:45">
      <c r="A354" s="30" t="s">
        <v>676</v>
      </c>
      <c r="B354" s="30" t="s">
        <v>633</v>
      </c>
      <c r="C354" s="30" t="s">
        <v>677</v>
      </c>
      <c r="D354" s="30" t="s">
        <v>1134</v>
      </c>
      <c r="E354" s="30" t="s">
        <v>1199</v>
      </c>
      <c r="F354" s="30" t="s">
        <v>138</v>
      </c>
      <c r="G354" s="30" t="s">
        <v>341</v>
      </c>
      <c r="H354" s="30" t="s">
        <v>680</v>
      </c>
      <c r="I354" s="32">
        <v>216</v>
      </c>
      <c r="J354" s="32">
        <v>164</v>
      </c>
      <c r="K354" s="32">
        <v>200</v>
      </c>
      <c r="L354" s="32">
        <v>191</v>
      </c>
      <c r="M354" s="32">
        <v>158</v>
      </c>
      <c r="N354" s="32">
        <v>199</v>
      </c>
      <c r="O354" s="32">
        <v>270</v>
      </c>
      <c r="P354" s="32">
        <v>256</v>
      </c>
      <c r="Q354" s="32">
        <v>199</v>
      </c>
      <c r="R354" s="32">
        <v>262</v>
      </c>
      <c r="S354" s="32">
        <v>213</v>
      </c>
      <c r="T354" s="32">
        <v>208</v>
      </c>
      <c r="U354" s="32">
        <v>227</v>
      </c>
      <c r="V354" s="32">
        <v>151</v>
      </c>
      <c r="W354" s="32">
        <v>165</v>
      </c>
      <c r="X354" s="32">
        <v>252</v>
      </c>
      <c r="Y354" s="32">
        <v>197</v>
      </c>
      <c r="Z354" s="32">
        <v>242.67689999999999</v>
      </c>
      <c r="AA354" s="32">
        <v>346.42430000000002</v>
      </c>
      <c r="AB354" s="32">
        <v>227</v>
      </c>
      <c r="AC354" s="32">
        <v>316</v>
      </c>
      <c r="AD354" s="32">
        <v>301</v>
      </c>
      <c r="AE354" s="32">
        <v>184</v>
      </c>
      <c r="AF354" s="32">
        <v>269</v>
      </c>
      <c r="AG354" s="32">
        <v>310</v>
      </c>
      <c r="AH354" s="32">
        <v>195</v>
      </c>
      <c r="AI354" s="32">
        <v>238</v>
      </c>
      <c r="AJ354" s="32">
        <v>284</v>
      </c>
      <c r="AK354" s="32">
        <v>232</v>
      </c>
      <c r="AL354" s="32">
        <v>220</v>
      </c>
      <c r="AM354" s="32">
        <v>280</v>
      </c>
      <c r="AN354" s="32">
        <v>337</v>
      </c>
      <c r="AO354" s="32">
        <v>287</v>
      </c>
      <c r="AP354" s="32">
        <v>341</v>
      </c>
      <c r="AQ354" s="32">
        <v>247</v>
      </c>
      <c r="AR354" s="32">
        <v>222</v>
      </c>
      <c r="AS354" s="32">
        <v>263</v>
      </c>
    </row>
    <row r="355" spans="1:45">
      <c r="A355" s="30" t="s">
        <v>676</v>
      </c>
      <c r="B355" s="30" t="s">
        <v>633</v>
      </c>
      <c r="C355" s="30" t="s">
        <v>677</v>
      </c>
      <c r="D355" s="30" t="s">
        <v>1134</v>
      </c>
      <c r="E355" s="30" t="s">
        <v>1200</v>
      </c>
      <c r="F355" s="30" t="s">
        <v>138</v>
      </c>
      <c r="G355" s="30" t="s">
        <v>342</v>
      </c>
      <c r="H355" s="30" t="s">
        <v>680</v>
      </c>
      <c r="I355" s="32">
        <v>117</v>
      </c>
      <c r="J355" s="32">
        <v>83</v>
      </c>
      <c r="K355" s="32">
        <v>85</v>
      </c>
      <c r="L355" s="32">
        <v>106</v>
      </c>
      <c r="M355" s="32">
        <v>94</v>
      </c>
      <c r="N355" s="32">
        <v>102</v>
      </c>
      <c r="O355" s="32">
        <v>143</v>
      </c>
      <c r="P355" s="32">
        <v>144</v>
      </c>
      <c r="Q355" s="32">
        <v>125</v>
      </c>
      <c r="R355" s="32">
        <v>146</v>
      </c>
      <c r="S355" s="32">
        <v>109</v>
      </c>
      <c r="T355" s="32">
        <v>119</v>
      </c>
      <c r="U355" s="32">
        <v>134</v>
      </c>
      <c r="V355" s="32">
        <v>90</v>
      </c>
      <c r="W355" s="32">
        <v>101</v>
      </c>
      <c r="X355" s="32">
        <v>104</v>
      </c>
      <c r="Y355" s="32">
        <v>94</v>
      </c>
      <c r="Z355" s="32">
        <v>109.9457</v>
      </c>
      <c r="AA355" s="32">
        <v>208.11869999999999</v>
      </c>
      <c r="AB355" s="32">
        <v>137</v>
      </c>
      <c r="AC355" s="32">
        <v>169</v>
      </c>
      <c r="AD355" s="32">
        <v>177</v>
      </c>
      <c r="AE355" s="32">
        <v>128</v>
      </c>
      <c r="AF355" s="32">
        <v>133</v>
      </c>
      <c r="AG355" s="32">
        <v>144</v>
      </c>
      <c r="AH355" s="32">
        <v>115</v>
      </c>
      <c r="AI355" s="32">
        <v>115</v>
      </c>
      <c r="AJ355" s="32">
        <v>137</v>
      </c>
      <c r="AK355" s="32">
        <v>112</v>
      </c>
      <c r="AL355" s="32">
        <v>129</v>
      </c>
      <c r="AM355" s="32">
        <v>196</v>
      </c>
      <c r="AN355" s="32">
        <v>211</v>
      </c>
      <c r="AO355" s="32">
        <v>201</v>
      </c>
      <c r="AP355" s="32">
        <v>251</v>
      </c>
      <c r="AQ355" s="32">
        <v>155</v>
      </c>
      <c r="AR355" s="32">
        <v>156</v>
      </c>
      <c r="AS355" s="32">
        <v>216</v>
      </c>
    </row>
    <row r="356" spans="1:45">
      <c r="A356" s="30" t="s">
        <v>676</v>
      </c>
      <c r="B356" s="30" t="s">
        <v>633</v>
      </c>
      <c r="C356" s="30" t="s">
        <v>677</v>
      </c>
      <c r="D356" s="30" t="s">
        <v>1134</v>
      </c>
      <c r="E356" s="30" t="s">
        <v>1201</v>
      </c>
      <c r="F356" s="30" t="s">
        <v>138</v>
      </c>
      <c r="G356" s="30" t="s">
        <v>343</v>
      </c>
      <c r="H356" s="30" t="s">
        <v>680</v>
      </c>
      <c r="I356" s="32">
        <v>200</v>
      </c>
      <c r="J356" s="32">
        <v>187.4641</v>
      </c>
      <c r="K356" s="32">
        <v>176</v>
      </c>
      <c r="L356" s="32">
        <v>194</v>
      </c>
      <c r="M356" s="32">
        <v>153</v>
      </c>
      <c r="N356" s="32">
        <v>206</v>
      </c>
      <c r="O356" s="32">
        <v>297</v>
      </c>
      <c r="P356" s="32">
        <v>243</v>
      </c>
      <c r="Q356" s="32">
        <v>238</v>
      </c>
      <c r="R356" s="32">
        <v>270</v>
      </c>
      <c r="S356" s="32">
        <v>202</v>
      </c>
      <c r="T356" s="32">
        <v>184</v>
      </c>
      <c r="U356" s="32">
        <v>234</v>
      </c>
      <c r="V356" s="32">
        <v>162.19739999999999</v>
      </c>
      <c r="W356" s="32">
        <v>179</v>
      </c>
      <c r="X356" s="32">
        <v>268</v>
      </c>
      <c r="Y356" s="32">
        <v>202</v>
      </c>
      <c r="Z356" s="32">
        <v>213.90950000000001</v>
      </c>
      <c r="AA356" s="32">
        <v>315.74970000000002</v>
      </c>
      <c r="AB356" s="32">
        <v>224</v>
      </c>
      <c r="AC356" s="32">
        <v>268</v>
      </c>
      <c r="AD356" s="32">
        <v>242</v>
      </c>
      <c r="AE356" s="32">
        <v>100</v>
      </c>
      <c r="AF356" s="32">
        <v>120</v>
      </c>
      <c r="AG356" s="32">
        <v>180</v>
      </c>
      <c r="AH356" s="32">
        <v>136</v>
      </c>
      <c r="AI356" s="32">
        <v>120</v>
      </c>
      <c r="AJ356" s="32">
        <v>286</v>
      </c>
      <c r="AK356" s="32">
        <v>257</v>
      </c>
      <c r="AL356" s="32">
        <v>285</v>
      </c>
      <c r="AM356" s="32">
        <v>365</v>
      </c>
      <c r="AN356" s="32">
        <v>196</v>
      </c>
      <c r="AO356" s="32">
        <v>157</v>
      </c>
      <c r="AP356" s="32">
        <v>118</v>
      </c>
      <c r="AQ356" s="32">
        <v>76</v>
      </c>
      <c r="AR356" s="32">
        <v>73</v>
      </c>
      <c r="AS356" s="32">
        <v>101</v>
      </c>
    </row>
    <row r="357" spans="1:45">
      <c r="A357" s="30" t="s">
        <v>676</v>
      </c>
      <c r="B357" s="30" t="s">
        <v>633</v>
      </c>
      <c r="C357" s="30" t="s">
        <v>677</v>
      </c>
      <c r="D357" s="30" t="s">
        <v>1134</v>
      </c>
      <c r="E357" s="30" t="s">
        <v>1202</v>
      </c>
      <c r="F357" s="30" t="s">
        <v>138</v>
      </c>
      <c r="G357" s="30" t="s">
        <v>344</v>
      </c>
      <c r="H357" s="30" t="s">
        <v>680</v>
      </c>
      <c r="I357" s="32">
        <v>138</v>
      </c>
      <c r="J357" s="32">
        <v>110</v>
      </c>
      <c r="K357" s="32">
        <v>88</v>
      </c>
      <c r="L357" s="32">
        <v>136</v>
      </c>
      <c r="M357" s="32">
        <v>91</v>
      </c>
      <c r="N357" s="32">
        <v>115</v>
      </c>
      <c r="O357" s="32">
        <v>218</v>
      </c>
      <c r="P357" s="32">
        <v>170</v>
      </c>
      <c r="Q357" s="32">
        <v>163</v>
      </c>
      <c r="R357" s="32">
        <v>207</v>
      </c>
      <c r="S357" s="32">
        <v>134</v>
      </c>
      <c r="T357" s="32">
        <v>109</v>
      </c>
      <c r="U357" s="32">
        <v>135</v>
      </c>
      <c r="V357" s="32">
        <v>94.197400000000002</v>
      </c>
      <c r="W357" s="32">
        <v>113</v>
      </c>
      <c r="X357" s="32">
        <v>155</v>
      </c>
      <c r="Y357" s="32">
        <v>123</v>
      </c>
      <c r="Z357" s="32">
        <v>163.7139</v>
      </c>
      <c r="AA357" s="32">
        <v>259.44979999999998</v>
      </c>
      <c r="AB357" s="32">
        <v>196</v>
      </c>
      <c r="AC357" s="32">
        <v>226</v>
      </c>
      <c r="AD357" s="32">
        <v>160</v>
      </c>
      <c r="AE357" s="32">
        <v>95</v>
      </c>
      <c r="AF357" s="32">
        <v>95</v>
      </c>
      <c r="AG357" s="32">
        <v>161</v>
      </c>
      <c r="AH357" s="32">
        <v>141</v>
      </c>
      <c r="AI357" s="32">
        <v>116</v>
      </c>
      <c r="AJ357" s="32">
        <v>168</v>
      </c>
      <c r="AK357" s="32">
        <v>154</v>
      </c>
      <c r="AL357" s="32">
        <v>150</v>
      </c>
      <c r="AM357" s="32">
        <v>205</v>
      </c>
      <c r="AN357" s="32">
        <v>124</v>
      </c>
      <c r="AO357" s="32">
        <v>123</v>
      </c>
      <c r="AP357" s="32">
        <v>95</v>
      </c>
      <c r="AQ357" s="32">
        <v>70</v>
      </c>
      <c r="AR357" s="32">
        <v>55</v>
      </c>
      <c r="AS357" s="32">
        <v>88</v>
      </c>
    </row>
    <row r="358" spans="1:45">
      <c r="A358" s="30" t="s">
        <v>676</v>
      </c>
      <c r="B358" s="30" t="s">
        <v>633</v>
      </c>
      <c r="C358" s="30" t="s">
        <v>677</v>
      </c>
      <c r="D358" s="30" t="s">
        <v>1134</v>
      </c>
      <c r="E358" s="30" t="s">
        <v>1203</v>
      </c>
      <c r="F358" s="30" t="s">
        <v>138</v>
      </c>
      <c r="G358" s="30" t="s">
        <v>345</v>
      </c>
      <c r="H358" s="30" t="s">
        <v>680</v>
      </c>
      <c r="I358" s="32">
        <v>210</v>
      </c>
      <c r="J358" s="32">
        <v>141</v>
      </c>
      <c r="K358" s="32">
        <v>118</v>
      </c>
      <c r="L358" s="32">
        <v>249</v>
      </c>
      <c r="M358" s="32">
        <v>170</v>
      </c>
      <c r="N358" s="32">
        <v>137</v>
      </c>
      <c r="O358" s="32">
        <v>218</v>
      </c>
      <c r="P358" s="32">
        <v>148</v>
      </c>
      <c r="Q358" s="32">
        <v>129</v>
      </c>
      <c r="R358" s="32">
        <v>120</v>
      </c>
      <c r="S358" s="32">
        <v>79</v>
      </c>
      <c r="T358" s="32">
        <v>73</v>
      </c>
      <c r="U358" s="32">
        <v>108</v>
      </c>
      <c r="V358" s="32">
        <v>81.3947</v>
      </c>
      <c r="W358" s="32">
        <v>73</v>
      </c>
      <c r="X358" s="32">
        <v>112</v>
      </c>
      <c r="Y358" s="32">
        <v>79</v>
      </c>
      <c r="Z358" s="32">
        <v>70</v>
      </c>
      <c r="AA358" s="32">
        <v>130</v>
      </c>
      <c r="AB358" s="32">
        <v>102</v>
      </c>
      <c r="AC358" s="32">
        <v>122</v>
      </c>
      <c r="AD358" s="32">
        <v>137</v>
      </c>
      <c r="AE358" s="32">
        <v>91</v>
      </c>
      <c r="AF358" s="32">
        <v>82</v>
      </c>
      <c r="AG358" s="32">
        <v>113</v>
      </c>
      <c r="AH358" s="32">
        <v>84</v>
      </c>
      <c r="AI358" s="32">
        <v>60</v>
      </c>
      <c r="AJ358" s="32">
        <v>148</v>
      </c>
      <c r="AK358" s="32">
        <v>92</v>
      </c>
      <c r="AL358" s="32">
        <v>145</v>
      </c>
      <c r="AM358" s="32">
        <v>117</v>
      </c>
      <c r="AN358" s="32">
        <v>75</v>
      </c>
      <c r="AO358" s="32">
        <v>38</v>
      </c>
      <c r="AP358" s="32">
        <v>39</v>
      </c>
      <c r="AQ358" s="32">
        <v>11</v>
      </c>
      <c r="AR358" s="32">
        <v>12</v>
      </c>
      <c r="AS358" s="32">
        <v>10</v>
      </c>
    </row>
    <row r="359" spans="1:45">
      <c r="A359" s="30" t="s">
        <v>676</v>
      </c>
      <c r="B359" s="30" t="s">
        <v>633</v>
      </c>
      <c r="C359" s="30" t="s">
        <v>677</v>
      </c>
      <c r="D359" s="30" t="s">
        <v>1134</v>
      </c>
      <c r="E359" s="30" t="s">
        <v>1204</v>
      </c>
      <c r="F359" s="30" t="s">
        <v>142</v>
      </c>
      <c r="G359" s="30" t="s">
        <v>346</v>
      </c>
      <c r="H359" s="30" t="s">
        <v>680</v>
      </c>
      <c r="I359" s="32">
        <v>35</v>
      </c>
      <c r="J359" s="32">
        <v>31</v>
      </c>
      <c r="K359" s="32">
        <v>29</v>
      </c>
      <c r="L359" s="32">
        <v>61</v>
      </c>
      <c r="M359" s="32">
        <v>35</v>
      </c>
      <c r="N359" s="32">
        <v>67</v>
      </c>
      <c r="O359" s="32">
        <v>125</v>
      </c>
      <c r="P359" s="32">
        <v>192</v>
      </c>
      <c r="Q359" s="32">
        <v>82</v>
      </c>
      <c r="R359" s="32">
        <v>70</v>
      </c>
      <c r="S359" s="32">
        <v>36</v>
      </c>
      <c r="T359" s="32">
        <v>37</v>
      </c>
      <c r="U359" s="32">
        <v>30</v>
      </c>
      <c r="V359" s="32">
        <v>26</v>
      </c>
      <c r="W359" s="32">
        <v>28</v>
      </c>
      <c r="X359" s="32">
        <v>35</v>
      </c>
      <c r="Y359" s="32">
        <v>33</v>
      </c>
      <c r="Z359" s="32">
        <v>20</v>
      </c>
      <c r="AA359" s="32">
        <v>68</v>
      </c>
      <c r="AB359" s="32">
        <v>89</v>
      </c>
      <c r="AC359" s="32">
        <v>56</v>
      </c>
      <c r="AD359" s="32">
        <v>68</v>
      </c>
      <c r="AE359" s="32">
        <v>41</v>
      </c>
      <c r="AF359" s="32">
        <v>30</v>
      </c>
      <c r="AG359" s="32">
        <v>57</v>
      </c>
      <c r="AH359" s="32">
        <v>35</v>
      </c>
      <c r="AI359" s="32">
        <v>36</v>
      </c>
      <c r="AJ359" s="32">
        <v>49</v>
      </c>
      <c r="AK359" s="32">
        <v>50</v>
      </c>
      <c r="AL359" s="32">
        <v>65</v>
      </c>
      <c r="AM359" s="32">
        <v>70</v>
      </c>
      <c r="AN359" s="32">
        <v>98</v>
      </c>
      <c r="AO359" s="32">
        <v>88</v>
      </c>
      <c r="AP359" s="32">
        <v>61</v>
      </c>
      <c r="AQ359" s="32">
        <v>33</v>
      </c>
      <c r="AR359" s="32">
        <v>32</v>
      </c>
      <c r="AS359" s="32">
        <v>38</v>
      </c>
    </row>
    <row r="360" spans="1:45">
      <c r="A360" s="30" t="s">
        <v>676</v>
      </c>
      <c r="B360" s="30" t="s">
        <v>633</v>
      </c>
      <c r="C360" s="30" t="s">
        <v>677</v>
      </c>
      <c r="D360" s="30" t="s">
        <v>1134</v>
      </c>
      <c r="E360" s="30" t="s">
        <v>1205</v>
      </c>
      <c r="F360" s="30" t="s">
        <v>142</v>
      </c>
      <c r="G360" s="30" t="s">
        <v>347</v>
      </c>
      <c r="H360" s="30" t="s">
        <v>680</v>
      </c>
      <c r="I360" s="32">
        <v>150</v>
      </c>
      <c r="J360" s="32">
        <v>78</v>
      </c>
      <c r="K360" s="32">
        <v>64</v>
      </c>
      <c r="L360" s="32">
        <v>70</v>
      </c>
      <c r="M360" s="32">
        <v>60</v>
      </c>
      <c r="N360" s="32">
        <v>91</v>
      </c>
      <c r="O360" s="32">
        <v>160</v>
      </c>
      <c r="P360" s="32">
        <v>178</v>
      </c>
      <c r="Q360" s="32">
        <v>91</v>
      </c>
      <c r="R360" s="32">
        <v>106</v>
      </c>
      <c r="S360" s="32">
        <v>57</v>
      </c>
      <c r="T360" s="32">
        <v>66</v>
      </c>
      <c r="U360" s="32">
        <v>73</v>
      </c>
      <c r="V360" s="32">
        <v>50</v>
      </c>
      <c r="W360" s="32">
        <v>61</v>
      </c>
      <c r="X360" s="32">
        <v>73</v>
      </c>
      <c r="Y360" s="32">
        <v>65</v>
      </c>
      <c r="Z360" s="32">
        <v>69</v>
      </c>
      <c r="AA360" s="32">
        <v>114</v>
      </c>
      <c r="AB360" s="32">
        <v>140</v>
      </c>
      <c r="AC360" s="32">
        <v>109</v>
      </c>
      <c r="AD360" s="32">
        <v>113</v>
      </c>
      <c r="AE360" s="32">
        <v>66</v>
      </c>
      <c r="AF360" s="32">
        <v>71</v>
      </c>
      <c r="AG360" s="32">
        <v>99</v>
      </c>
      <c r="AH360" s="32">
        <v>66</v>
      </c>
      <c r="AI360" s="32">
        <v>77</v>
      </c>
      <c r="AJ360" s="32">
        <v>124</v>
      </c>
      <c r="AK360" s="32">
        <v>104</v>
      </c>
      <c r="AL360" s="32">
        <v>119</v>
      </c>
      <c r="AM360" s="32">
        <v>123</v>
      </c>
      <c r="AN360" s="32">
        <v>118</v>
      </c>
      <c r="AO360" s="32">
        <v>131</v>
      </c>
      <c r="AP360" s="32">
        <v>146</v>
      </c>
      <c r="AQ360" s="32">
        <v>82</v>
      </c>
      <c r="AR360" s="32">
        <v>80</v>
      </c>
      <c r="AS360" s="32">
        <v>105</v>
      </c>
    </row>
    <row r="361" spans="1:45">
      <c r="A361" s="30" t="s">
        <v>676</v>
      </c>
      <c r="B361" s="30" t="s">
        <v>633</v>
      </c>
      <c r="C361" s="30" t="s">
        <v>677</v>
      </c>
      <c r="D361" s="30" t="s">
        <v>1134</v>
      </c>
      <c r="E361" s="30" t="s">
        <v>1206</v>
      </c>
      <c r="F361" s="30" t="s">
        <v>142</v>
      </c>
      <c r="G361" s="30" t="s">
        <v>348</v>
      </c>
      <c r="H361" s="30" t="s">
        <v>680</v>
      </c>
      <c r="I361" s="32">
        <v>33</v>
      </c>
      <c r="J361" s="32">
        <v>30</v>
      </c>
      <c r="K361" s="32">
        <v>22</v>
      </c>
      <c r="L361" s="32">
        <v>32</v>
      </c>
      <c r="M361" s="32">
        <v>23</v>
      </c>
      <c r="N361" s="32">
        <v>26</v>
      </c>
      <c r="O361" s="32">
        <v>38</v>
      </c>
      <c r="P361" s="32">
        <v>37</v>
      </c>
      <c r="Q361" s="32">
        <v>30</v>
      </c>
      <c r="R361" s="32">
        <v>36</v>
      </c>
      <c r="S361" s="32">
        <v>20</v>
      </c>
      <c r="T361" s="32">
        <v>22</v>
      </c>
      <c r="U361" s="32">
        <v>23</v>
      </c>
      <c r="V361" s="32">
        <v>13</v>
      </c>
      <c r="W361" s="32">
        <v>15</v>
      </c>
      <c r="X361" s="32">
        <v>28</v>
      </c>
      <c r="Y361" s="32">
        <v>10</v>
      </c>
      <c r="Z361" s="32">
        <v>14</v>
      </c>
      <c r="AA361" s="32">
        <v>31</v>
      </c>
      <c r="AB361" s="32">
        <v>16</v>
      </c>
      <c r="AC361" s="32">
        <v>15</v>
      </c>
      <c r="AD361" s="32">
        <v>48</v>
      </c>
      <c r="AE361" s="32">
        <v>30</v>
      </c>
      <c r="AF361" s="32">
        <v>32</v>
      </c>
      <c r="AG361" s="32">
        <v>24</v>
      </c>
      <c r="AH361" s="32">
        <v>32</v>
      </c>
      <c r="AI361" s="32">
        <v>27</v>
      </c>
      <c r="AJ361" s="32">
        <v>39</v>
      </c>
      <c r="AK361" s="32">
        <v>19</v>
      </c>
      <c r="AL361" s="32">
        <v>32</v>
      </c>
      <c r="AM361" s="32">
        <v>42</v>
      </c>
      <c r="AN361" s="32">
        <v>44</v>
      </c>
      <c r="AO361" s="32">
        <v>33</v>
      </c>
      <c r="AP361" s="32">
        <v>53</v>
      </c>
      <c r="AQ361" s="32">
        <v>41</v>
      </c>
      <c r="AR361" s="32">
        <v>36</v>
      </c>
      <c r="AS361" s="32">
        <v>49</v>
      </c>
    </row>
    <row r="362" spans="1:45">
      <c r="A362" s="30" t="s">
        <v>676</v>
      </c>
      <c r="B362" s="30" t="s">
        <v>633</v>
      </c>
      <c r="C362" s="30" t="s">
        <v>677</v>
      </c>
      <c r="D362" s="30" t="s">
        <v>1134</v>
      </c>
      <c r="E362" s="30" t="s">
        <v>1207</v>
      </c>
      <c r="F362" s="30" t="s">
        <v>142</v>
      </c>
      <c r="G362" s="30" t="s">
        <v>349</v>
      </c>
      <c r="H362" s="30" t="s">
        <v>680</v>
      </c>
      <c r="I362" s="32">
        <v>387</v>
      </c>
      <c r="J362" s="32">
        <v>295.15469999999999</v>
      </c>
      <c r="K362" s="32">
        <v>253</v>
      </c>
      <c r="L362" s="32">
        <v>294</v>
      </c>
      <c r="M362" s="32">
        <v>221</v>
      </c>
      <c r="N362" s="32">
        <v>347</v>
      </c>
      <c r="O362" s="32">
        <v>516</v>
      </c>
      <c r="P362" s="32">
        <v>413</v>
      </c>
      <c r="Q362" s="32">
        <v>357</v>
      </c>
      <c r="R362" s="32">
        <v>458</v>
      </c>
      <c r="S362" s="32">
        <v>269</v>
      </c>
      <c r="T362" s="32">
        <v>248</v>
      </c>
      <c r="U362" s="32">
        <v>276</v>
      </c>
      <c r="V362" s="32">
        <v>203.19739999999999</v>
      </c>
      <c r="W362" s="32">
        <v>211</v>
      </c>
      <c r="X362" s="32">
        <v>272</v>
      </c>
      <c r="Y362" s="32">
        <v>209</v>
      </c>
      <c r="Z362" s="32">
        <v>303.9228</v>
      </c>
      <c r="AA362" s="32">
        <v>410.19670000000002</v>
      </c>
      <c r="AB362" s="32">
        <v>342</v>
      </c>
      <c r="AC362" s="32">
        <v>356</v>
      </c>
      <c r="AD362" s="32">
        <v>506</v>
      </c>
      <c r="AE362" s="32">
        <v>330</v>
      </c>
      <c r="AF362" s="32">
        <v>284</v>
      </c>
      <c r="AG362" s="32">
        <v>313</v>
      </c>
      <c r="AH362" s="32">
        <v>298</v>
      </c>
      <c r="AI362" s="32">
        <v>226</v>
      </c>
      <c r="AJ362" s="32">
        <v>346</v>
      </c>
      <c r="AK362" s="32">
        <v>465</v>
      </c>
      <c r="AL362" s="32">
        <v>648</v>
      </c>
      <c r="AM362" s="32">
        <v>449</v>
      </c>
      <c r="AN362" s="32">
        <v>462</v>
      </c>
      <c r="AO362" s="32">
        <v>471</v>
      </c>
      <c r="AP362" s="32">
        <v>513</v>
      </c>
      <c r="AQ362" s="32">
        <v>417</v>
      </c>
      <c r="AR362" s="32">
        <v>418</v>
      </c>
      <c r="AS362" s="32">
        <v>492</v>
      </c>
    </row>
    <row r="363" spans="1:45">
      <c r="A363" s="30" t="s">
        <v>676</v>
      </c>
      <c r="B363" s="30" t="s">
        <v>633</v>
      </c>
      <c r="C363" s="30" t="s">
        <v>677</v>
      </c>
      <c r="D363" s="30" t="s">
        <v>1134</v>
      </c>
      <c r="E363" s="30" t="s">
        <v>1208</v>
      </c>
      <c r="F363" s="30" t="s">
        <v>142</v>
      </c>
      <c r="G363" s="30" t="s">
        <v>350</v>
      </c>
      <c r="H363" s="30" t="s">
        <v>680</v>
      </c>
      <c r="I363" s="32">
        <v>809</v>
      </c>
      <c r="J363" s="32">
        <v>688</v>
      </c>
      <c r="K363" s="32">
        <v>713</v>
      </c>
      <c r="L363" s="32">
        <v>730</v>
      </c>
      <c r="M363" s="32">
        <v>659</v>
      </c>
      <c r="N363" s="32">
        <v>586</v>
      </c>
      <c r="O363" s="32">
        <v>470</v>
      </c>
      <c r="P363" s="32">
        <v>402</v>
      </c>
      <c r="Q363" s="32">
        <v>175</v>
      </c>
      <c r="R363" s="32">
        <v>94</v>
      </c>
      <c r="S363" s="32">
        <v>18</v>
      </c>
      <c r="T363" s="32">
        <v>13</v>
      </c>
      <c r="U363" s="32">
        <v>13</v>
      </c>
      <c r="V363" s="32">
        <v>11</v>
      </c>
      <c r="W363" s="32">
        <v>11</v>
      </c>
      <c r="X363" s="32">
        <v>9</v>
      </c>
      <c r="Y363" s="32">
        <v>3</v>
      </c>
      <c r="Z363" s="32">
        <v>6</v>
      </c>
      <c r="AA363" s="32">
        <v>9</v>
      </c>
      <c r="AB363" s="32">
        <v>7</v>
      </c>
      <c r="AC363" s="32">
        <v>2</v>
      </c>
      <c r="AD363" s="32">
        <v>2</v>
      </c>
      <c r="AE363" s="32">
        <v>4</v>
      </c>
      <c r="AF363" s="32">
        <v>1</v>
      </c>
      <c r="AG363" s="32">
        <v>2</v>
      </c>
      <c r="AH363" s="31">
        <v>0</v>
      </c>
      <c r="AI363" s="32">
        <v>1</v>
      </c>
      <c r="AJ363" s="31">
        <v>0</v>
      </c>
      <c r="AK363" s="31">
        <v>0</v>
      </c>
      <c r="AL363" s="31">
        <v>0</v>
      </c>
      <c r="AM363" s="31">
        <v>0</v>
      </c>
      <c r="AN363" s="32">
        <v>6</v>
      </c>
      <c r="AO363" s="32">
        <v>2</v>
      </c>
      <c r="AP363" s="32">
        <v>1</v>
      </c>
      <c r="AQ363" s="32">
        <v>1</v>
      </c>
      <c r="AR363" s="32">
        <v>1</v>
      </c>
      <c r="AS363" s="31">
        <v>0</v>
      </c>
    </row>
    <row r="364" spans="1:45">
      <c r="A364" s="30" t="s">
        <v>676</v>
      </c>
      <c r="B364" s="30" t="s">
        <v>633</v>
      </c>
      <c r="C364" s="30" t="s">
        <v>677</v>
      </c>
      <c r="D364" s="30" t="s">
        <v>1134</v>
      </c>
      <c r="E364" s="30" t="s">
        <v>1209</v>
      </c>
      <c r="F364" s="30" t="s">
        <v>142</v>
      </c>
      <c r="G364" s="30" t="s">
        <v>351</v>
      </c>
      <c r="H364" s="30" t="s">
        <v>680</v>
      </c>
      <c r="I364" s="32">
        <v>681</v>
      </c>
      <c r="J364" s="32">
        <v>536</v>
      </c>
      <c r="K364" s="32">
        <v>638</v>
      </c>
      <c r="L364" s="32">
        <v>682</v>
      </c>
      <c r="M364" s="32">
        <v>666</v>
      </c>
      <c r="N364" s="32">
        <v>655</v>
      </c>
      <c r="O364" s="32">
        <v>777</v>
      </c>
      <c r="P364" s="32">
        <v>971</v>
      </c>
      <c r="Q364" s="32">
        <v>710</v>
      </c>
      <c r="R364" s="32">
        <v>887</v>
      </c>
      <c r="S364" s="32">
        <v>491</v>
      </c>
      <c r="T364" s="32">
        <v>378</v>
      </c>
      <c r="U364" s="32">
        <v>394</v>
      </c>
      <c r="V364" s="32">
        <v>251</v>
      </c>
      <c r="W364" s="32">
        <v>158</v>
      </c>
      <c r="X364" s="32">
        <v>164</v>
      </c>
      <c r="Y364" s="32">
        <v>73</v>
      </c>
      <c r="Z364" s="32">
        <v>49</v>
      </c>
      <c r="AA364" s="32">
        <v>46</v>
      </c>
      <c r="AB364" s="32">
        <v>17</v>
      </c>
      <c r="AC364" s="32">
        <v>8</v>
      </c>
      <c r="AD364" s="32">
        <v>18</v>
      </c>
      <c r="AE364" s="32">
        <v>13</v>
      </c>
      <c r="AF364" s="32">
        <v>8</v>
      </c>
      <c r="AG364" s="32">
        <v>8</v>
      </c>
      <c r="AH364" s="32">
        <v>7</v>
      </c>
      <c r="AI364" s="32">
        <v>3</v>
      </c>
      <c r="AJ364" s="32">
        <v>5</v>
      </c>
      <c r="AK364" s="32">
        <v>1</v>
      </c>
      <c r="AL364" s="31">
        <v>0</v>
      </c>
      <c r="AM364" s="32">
        <v>5</v>
      </c>
      <c r="AN364" s="32">
        <v>2</v>
      </c>
      <c r="AO364" s="31">
        <v>0</v>
      </c>
      <c r="AP364" s="31">
        <v>0</v>
      </c>
      <c r="AQ364" s="31">
        <v>0</v>
      </c>
      <c r="AR364" s="32">
        <v>2</v>
      </c>
      <c r="AS364" s="31">
        <v>0</v>
      </c>
    </row>
    <row r="365" spans="1:45">
      <c r="A365" s="30" t="s">
        <v>676</v>
      </c>
      <c r="B365" s="30" t="s">
        <v>633</v>
      </c>
      <c r="C365" s="30" t="s">
        <v>677</v>
      </c>
      <c r="D365" s="30" t="s">
        <v>1134</v>
      </c>
      <c r="E365" s="30" t="s">
        <v>1210</v>
      </c>
      <c r="F365" s="30" t="s">
        <v>142</v>
      </c>
      <c r="G365" s="30" t="s">
        <v>352</v>
      </c>
      <c r="H365" s="30" t="s">
        <v>680</v>
      </c>
      <c r="I365" s="32">
        <v>123</v>
      </c>
      <c r="J365" s="32">
        <v>87</v>
      </c>
      <c r="K365" s="32">
        <v>68</v>
      </c>
      <c r="L365" s="32">
        <v>119</v>
      </c>
      <c r="M365" s="32">
        <v>84</v>
      </c>
      <c r="N365" s="32">
        <v>93</v>
      </c>
      <c r="O365" s="32">
        <v>165</v>
      </c>
      <c r="P365" s="32">
        <v>195</v>
      </c>
      <c r="Q365" s="32">
        <v>124</v>
      </c>
      <c r="R365" s="32">
        <v>205</v>
      </c>
      <c r="S365" s="32">
        <v>114</v>
      </c>
      <c r="T365" s="32">
        <v>99</v>
      </c>
      <c r="U365" s="32">
        <v>134</v>
      </c>
      <c r="V365" s="32">
        <v>107</v>
      </c>
      <c r="W365" s="32">
        <v>94</v>
      </c>
      <c r="X365" s="32">
        <v>52</v>
      </c>
      <c r="Y365" s="32">
        <v>30</v>
      </c>
      <c r="Z365" s="32">
        <v>49</v>
      </c>
      <c r="AA365" s="32">
        <v>77.910499999999999</v>
      </c>
      <c r="AB365" s="32">
        <v>72</v>
      </c>
      <c r="AC365" s="32">
        <v>70</v>
      </c>
      <c r="AD365" s="32">
        <v>171</v>
      </c>
      <c r="AE365" s="32">
        <v>53</v>
      </c>
      <c r="AF365" s="32">
        <v>45</v>
      </c>
      <c r="AG365" s="32">
        <v>89</v>
      </c>
      <c r="AH365" s="32">
        <v>76</v>
      </c>
      <c r="AI365" s="32">
        <v>67</v>
      </c>
      <c r="AJ365" s="32">
        <v>104</v>
      </c>
      <c r="AK365" s="32">
        <v>77</v>
      </c>
      <c r="AL365" s="32">
        <v>78</v>
      </c>
      <c r="AM365" s="32">
        <v>95</v>
      </c>
      <c r="AN365" s="32">
        <v>120</v>
      </c>
      <c r="AO365" s="32">
        <v>50</v>
      </c>
      <c r="AP365" s="32">
        <v>56</v>
      </c>
      <c r="AQ365" s="32">
        <v>45</v>
      </c>
      <c r="AR365" s="32">
        <v>40</v>
      </c>
      <c r="AS365" s="32">
        <v>45</v>
      </c>
    </row>
    <row r="366" spans="1:45">
      <c r="A366" s="30" t="s">
        <v>676</v>
      </c>
      <c r="B366" s="30" t="s">
        <v>633</v>
      </c>
      <c r="C366" s="30" t="s">
        <v>677</v>
      </c>
      <c r="D366" s="30" t="s">
        <v>1134</v>
      </c>
      <c r="E366" s="30" t="s">
        <v>1211</v>
      </c>
      <c r="F366" s="30" t="s">
        <v>142</v>
      </c>
      <c r="G366" s="30" t="s">
        <v>353</v>
      </c>
      <c r="H366" s="30" t="s">
        <v>680</v>
      </c>
      <c r="I366" s="32">
        <v>232</v>
      </c>
      <c r="J366" s="32">
        <v>174</v>
      </c>
      <c r="K366" s="32">
        <v>153</v>
      </c>
      <c r="L366" s="32">
        <v>182</v>
      </c>
      <c r="M366" s="32">
        <v>143</v>
      </c>
      <c r="N366" s="32">
        <v>218</v>
      </c>
      <c r="O366" s="32">
        <v>265</v>
      </c>
      <c r="P366" s="32">
        <v>291</v>
      </c>
      <c r="Q366" s="32">
        <v>209</v>
      </c>
      <c r="R366" s="32">
        <v>318</v>
      </c>
      <c r="S366" s="32">
        <v>188</v>
      </c>
      <c r="T366" s="32">
        <v>177</v>
      </c>
      <c r="U366" s="32">
        <v>219</v>
      </c>
      <c r="V366" s="32">
        <v>141</v>
      </c>
      <c r="W366" s="32">
        <v>127</v>
      </c>
      <c r="X366" s="32">
        <v>189</v>
      </c>
      <c r="Y366" s="32">
        <v>127</v>
      </c>
      <c r="Z366" s="32">
        <v>169.50149999999999</v>
      </c>
      <c r="AA366" s="32">
        <v>258.19670000000002</v>
      </c>
      <c r="AB366" s="32">
        <v>245</v>
      </c>
      <c r="AC366" s="32">
        <v>222</v>
      </c>
      <c r="AD366" s="32">
        <v>450</v>
      </c>
      <c r="AE366" s="32">
        <v>164</v>
      </c>
      <c r="AF366" s="32">
        <v>187</v>
      </c>
      <c r="AG366" s="32">
        <v>233</v>
      </c>
      <c r="AH366" s="32">
        <v>206</v>
      </c>
      <c r="AI366" s="32">
        <v>154</v>
      </c>
      <c r="AJ366" s="32">
        <v>170</v>
      </c>
      <c r="AK366" s="32">
        <v>225</v>
      </c>
      <c r="AL366" s="32">
        <v>334</v>
      </c>
      <c r="AM366" s="32">
        <v>267</v>
      </c>
      <c r="AN366" s="32">
        <v>308</v>
      </c>
      <c r="AO366" s="32">
        <v>337</v>
      </c>
      <c r="AP366" s="32">
        <v>384</v>
      </c>
      <c r="AQ366" s="32">
        <v>308</v>
      </c>
      <c r="AR366" s="32">
        <v>331</v>
      </c>
      <c r="AS366" s="32">
        <v>349</v>
      </c>
    </row>
    <row r="367" spans="1:45">
      <c r="A367" s="30" t="s">
        <v>676</v>
      </c>
      <c r="B367" s="30" t="s">
        <v>633</v>
      </c>
      <c r="C367" s="30" t="s">
        <v>677</v>
      </c>
      <c r="D367" s="30" t="s">
        <v>1134</v>
      </c>
      <c r="E367" s="30" t="s">
        <v>1212</v>
      </c>
      <c r="F367" s="30" t="s">
        <v>132</v>
      </c>
      <c r="G367" s="30" t="s">
        <v>354</v>
      </c>
      <c r="H367" s="30" t="s">
        <v>680</v>
      </c>
      <c r="I367" s="31">
        <v>0</v>
      </c>
      <c r="J367" s="31">
        <v>0</v>
      </c>
      <c r="K367" s="31">
        <v>0</v>
      </c>
      <c r="L367" s="31">
        <v>0</v>
      </c>
      <c r="M367" s="31">
        <v>0</v>
      </c>
      <c r="N367" s="31">
        <v>0</v>
      </c>
      <c r="O367" s="31">
        <v>0</v>
      </c>
      <c r="P367" s="31">
        <v>0</v>
      </c>
      <c r="Q367" s="31">
        <v>0</v>
      </c>
      <c r="R367" s="31">
        <v>0</v>
      </c>
      <c r="S367" s="31">
        <v>0</v>
      </c>
      <c r="T367" s="31">
        <v>0</v>
      </c>
      <c r="U367" s="32">
        <v>63</v>
      </c>
      <c r="V367" s="32">
        <v>193.3947</v>
      </c>
      <c r="W367" s="32">
        <v>290</v>
      </c>
      <c r="X367" s="32">
        <v>409</v>
      </c>
      <c r="Y367" s="32">
        <v>367</v>
      </c>
      <c r="Z367" s="32">
        <v>763.80709999999999</v>
      </c>
      <c r="AA367" s="32">
        <v>1428.6921</v>
      </c>
      <c r="AB367" s="32">
        <v>647</v>
      </c>
      <c r="AC367" s="32">
        <v>647</v>
      </c>
      <c r="AD367" s="32">
        <v>852</v>
      </c>
      <c r="AE367" s="32">
        <v>522</v>
      </c>
      <c r="AF367" s="32">
        <v>459</v>
      </c>
      <c r="AG367" s="32">
        <v>579</v>
      </c>
      <c r="AH367" s="32">
        <v>514</v>
      </c>
      <c r="AI367" s="32">
        <v>404</v>
      </c>
      <c r="AJ367" s="32">
        <v>516</v>
      </c>
      <c r="AK367" s="32">
        <v>830</v>
      </c>
      <c r="AL367" s="32">
        <v>1007</v>
      </c>
      <c r="AM367" s="32">
        <v>742</v>
      </c>
      <c r="AN367" s="32">
        <v>681</v>
      </c>
      <c r="AO367" s="32">
        <v>834</v>
      </c>
      <c r="AP367" s="32">
        <v>953</v>
      </c>
      <c r="AQ367" s="32">
        <v>726</v>
      </c>
      <c r="AR367" s="32">
        <v>795</v>
      </c>
      <c r="AS367" s="32">
        <v>953</v>
      </c>
    </row>
    <row r="368" spans="1:45">
      <c r="A368" s="30" t="s">
        <v>676</v>
      </c>
      <c r="B368" s="30" t="s">
        <v>633</v>
      </c>
      <c r="C368" s="30" t="s">
        <v>677</v>
      </c>
      <c r="D368" s="30" t="s">
        <v>1134</v>
      </c>
      <c r="E368" s="30" t="s">
        <v>1213</v>
      </c>
      <c r="F368" s="30" t="s">
        <v>132</v>
      </c>
      <c r="G368" s="30" t="s">
        <v>355</v>
      </c>
      <c r="H368" s="30" t="s">
        <v>680</v>
      </c>
      <c r="I368" s="31">
        <v>0</v>
      </c>
      <c r="J368" s="31">
        <v>0</v>
      </c>
      <c r="K368" s="31">
        <v>0</v>
      </c>
      <c r="L368" s="31">
        <v>0</v>
      </c>
      <c r="M368" s="31">
        <v>0</v>
      </c>
      <c r="N368" s="31">
        <v>0</v>
      </c>
      <c r="O368" s="31">
        <v>0</v>
      </c>
      <c r="P368" s="31">
        <v>0</v>
      </c>
      <c r="Q368" s="31">
        <v>0</v>
      </c>
      <c r="R368" s="31">
        <v>0</v>
      </c>
      <c r="S368" s="31">
        <v>0</v>
      </c>
      <c r="T368" s="31">
        <v>0</v>
      </c>
      <c r="U368" s="32">
        <v>16</v>
      </c>
      <c r="V368" s="32">
        <v>161</v>
      </c>
      <c r="W368" s="32">
        <v>303</v>
      </c>
      <c r="X368" s="32">
        <v>345</v>
      </c>
      <c r="Y368" s="32">
        <v>214</v>
      </c>
      <c r="Z368" s="32">
        <v>368.0573</v>
      </c>
      <c r="AA368" s="32">
        <v>827.15350000000001</v>
      </c>
      <c r="AB368" s="32">
        <v>259</v>
      </c>
      <c r="AC368" s="32">
        <v>289</v>
      </c>
      <c r="AD368" s="32">
        <v>308</v>
      </c>
      <c r="AE368" s="32">
        <v>177</v>
      </c>
      <c r="AF368" s="32">
        <v>182</v>
      </c>
      <c r="AG368" s="32">
        <v>204</v>
      </c>
      <c r="AH368" s="32">
        <v>154</v>
      </c>
      <c r="AI368" s="32">
        <v>133</v>
      </c>
      <c r="AJ368" s="32">
        <v>150</v>
      </c>
      <c r="AK368" s="32">
        <v>195</v>
      </c>
      <c r="AL368" s="32">
        <v>266</v>
      </c>
      <c r="AM368" s="32">
        <v>255</v>
      </c>
      <c r="AN368" s="32">
        <v>238</v>
      </c>
      <c r="AO368" s="32">
        <v>198</v>
      </c>
      <c r="AP368" s="32">
        <v>231</v>
      </c>
      <c r="AQ368" s="32">
        <v>180</v>
      </c>
      <c r="AR368" s="32">
        <v>149</v>
      </c>
      <c r="AS368" s="32">
        <v>186</v>
      </c>
    </row>
    <row r="369" spans="1:45">
      <c r="A369" s="30" t="s">
        <v>676</v>
      </c>
      <c r="B369" s="30" t="s">
        <v>633</v>
      </c>
      <c r="C369" s="30" t="s">
        <v>677</v>
      </c>
      <c r="D369" s="30" t="s">
        <v>1134</v>
      </c>
      <c r="E369" s="30" t="s">
        <v>1214</v>
      </c>
      <c r="F369" s="30" t="s">
        <v>132</v>
      </c>
      <c r="G369" s="30" t="s">
        <v>356</v>
      </c>
      <c r="H369" s="30" t="s">
        <v>680</v>
      </c>
      <c r="I369" s="31">
        <v>0</v>
      </c>
      <c r="J369" s="31">
        <v>0</v>
      </c>
      <c r="K369" s="31">
        <v>0</v>
      </c>
      <c r="L369" s="31">
        <v>0</v>
      </c>
      <c r="M369" s="31">
        <v>0</v>
      </c>
      <c r="N369" s="31">
        <v>0</v>
      </c>
      <c r="O369" s="31">
        <v>0</v>
      </c>
      <c r="P369" s="31">
        <v>0</v>
      </c>
      <c r="Q369" s="31">
        <v>0</v>
      </c>
      <c r="R369" s="31">
        <v>0</v>
      </c>
      <c r="S369" s="31">
        <v>0</v>
      </c>
      <c r="T369" s="31">
        <v>0</v>
      </c>
      <c r="U369" s="32">
        <v>72</v>
      </c>
      <c r="V369" s="32">
        <v>297.3947</v>
      </c>
      <c r="W369" s="32">
        <v>432</v>
      </c>
      <c r="X369" s="32">
        <v>341</v>
      </c>
      <c r="Y369" s="32">
        <v>220</v>
      </c>
      <c r="Z369" s="32">
        <v>278.91609999999997</v>
      </c>
      <c r="AA369" s="32">
        <v>594.82159999999999</v>
      </c>
      <c r="AB369" s="32">
        <v>280</v>
      </c>
      <c r="AC369" s="32">
        <v>393</v>
      </c>
      <c r="AD369" s="32">
        <v>478</v>
      </c>
      <c r="AE369" s="32">
        <v>200</v>
      </c>
      <c r="AF369" s="32">
        <v>115</v>
      </c>
      <c r="AG369" s="32">
        <v>181</v>
      </c>
      <c r="AH369" s="32">
        <v>114</v>
      </c>
      <c r="AI369" s="32">
        <v>131</v>
      </c>
      <c r="AJ369" s="32">
        <v>214</v>
      </c>
      <c r="AK369" s="32">
        <v>205</v>
      </c>
      <c r="AL369" s="32">
        <v>332</v>
      </c>
      <c r="AM369" s="32">
        <v>350</v>
      </c>
      <c r="AN369" s="32">
        <v>455</v>
      </c>
      <c r="AO369" s="32">
        <v>510</v>
      </c>
      <c r="AP369" s="32">
        <v>488</v>
      </c>
      <c r="AQ369" s="32">
        <v>263</v>
      </c>
      <c r="AR369" s="32">
        <v>224</v>
      </c>
      <c r="AS369" s="32">
        <v>265</v>
      </c>
    </row>
    <row r="370" spans="1:45">
      <c r="A370" s="30" t="s">
        <v>676</v>
      </c>
      <c r="B370" s="30" t="s">
        <v>633</v>
      </c>
      <c r="C370" s="30" t="s">
        <v>677</v>
      </c>
      <c r="D370" s="30" t="s">
        <v>1134</v>
      </c>
      <c r="E370" s="30" t="s">
        <v>1215</v>
      </c>
      <c r="F370" s="30" t="s">
        <v>138</v>
      </c>
      <c r="G370" s="30" t="s">
        <v>357</v>
      </c>
      <c r="H370" s="30" t="s">
        <v>680</v>
      </c>
      <c r="I370" s="31">
        <v>0</v>
      </c>
      <c r="J370" s="31">
        <v>0</v>
      </c>
      <c r="K370" s="31">
        <v>0</v>
      </c>
      <c r="L370" s="31">
        <v>0</v>
      </c>
      <c r="M370" s="31">
        <v>0</v>
      </c>
      <c r="N370" s="31">
        <v>0</v>
      </c>
      <c r="O370" s="31">
        <v>0</v>
      </c>
      <c r="P370" s="31">
        <v>0</v>
      </c>
      <c r="Q370" s="31">
        <v>0</v>
      </c>
      <c r="R370" s="31">
        <v>0</v>
      </c>
      <c r="S370" s="31">
        <v>0</v>
      </c>
      <c r="T370" s="31">
        <v>0</v>
      </c>
      <c r="U370" s="31">
        <v>0</v>
      </c>
      <c r="V370" s="31">
        <v>0</v>
      </c>
      <c r="W370" s="31">
        <v>0</v>
      </c>
      <c r="X370" s="31">
        <v>0</v>
      </c>
      <c r="Y370" s="31">
        <v>0</v>
      </c>
      <c r="Z370" s="31">
        <v>0</v>
      </c>
      <c r="AA370" s="31">
        <v>0</v>
      </c>
      <c r="AB370" s="31">
        <v>0</v>
      </c>
      <c r="AC370" s="31">
        <v>0</v>
      </c>
      <c r="AD370" s="31">
        <v>0</v>
      </c>
      <c r="AE370" s="31">
        <v>0</v>
      </c>
      <c r="AF370" s="31">
        <v>0</v>
      </c>
      <c r="AG370" s="31">
        <v>0</v>
      </c>
      <c r="AH370" s="31">
        <v>0</v>
      </c>
      <c r="AI370" s="31">
        <v>0</v>
      </c>
      <c r="AJ370" s="31">
        <v>0</v>
      </c>
      <c r="AK370" s="31">
        <v>0</v>
      </c>
      <c r="AL370" s="31">
        <v>0</v>
      </c>
      <c r="AM370" s="31">
        <v>0</v>
      </c>
      <c r="AN370" s="31">
        <v>0</v>
      </c>
      <c r="AO370" s="31">
        <v>0</v>
      </c>
      <c r="AP370" s="31">
        <v>0</v>
      </c>
      <c r="AQ370" s="31">
        <v>0</v>
      </c>
      <c r="AR370" s="32">
        <v>14</v>
      </c>
      <c r="AS370" s="32">
        <v>236</v>
      </c>
    </row>
    <row r="371" spans="1:45">
      <c r="A371" s="30" t="s">
        <v>676</v>
      </c>
      <c r="B371" s="30" t="s">
        <v>633</v>
      </c>
      <c r="C371" s="30" t="s">
        <v>677</v>
      </c>
      <c r="D371" s="30" t="s">
        <v>1134</v>
      </c>
      <c r="E371" s="30" t="s">
        <v>1216</v>
      </c>
      <c r="F371" s="30" t="s">
        <v>138</v>
      </c>
      <c r="G371" s="30" t="s">
        <v>358</v>
      </c>
      <c r="H371" s="30" t="s">
        <v>680</v>
      </c>
      <c r="I371" s="31">
        <v>0</v>
      </c>
      <c r="J371" s="31">
        <v>0</v>
      </c>
      <c r="K371" s="31">
        <v>0</v>
      </c>
      <c r="L371" s="31">
        <v>0</v>
      </c>
      <c r="M371" s="31">
        <v>0</v>
      </c>
      <c r="N371" s="31">
        <v>0</v>
      </c>
      <c r="O371" s="31">
        <v>0</v>
      </c>
      <c r="P371" s="31">
        <v>0</v>
      </c>
      <c r="Q371" s="31">
        <v>0</v>
      </c>
      <c r="R371" s="31">
        <v>0</v>
      </c>
      <c r="S371" s="31">
        <v>0</v>
      </c>
      <c r="T371" s="31">
        <v>0</v>
      </c>
      <c r="U371" s="31">
        <v>0</v>
      </c>
      <c r="V371" s="31">
        <v>0</v>
      </c>
      <c r="W371" s="31">
        <v>0</v>
      </c>
      <c r="X371" s="31">
        <v>0</v>
      </c>
      <c r="Y371" s="31">
        <v>0</v>
      </c>
      <c r="Z371" s="31">
        <v>0</v>
      </c>
      <c r="AA371" s="31">
        <v>0</v>
      </c>
      <c r="AB371" s="31">
        <v>0</v>
      </c>
      <c r="AC371" s="31">
        <v>0</v>
      </c>
      <c r="AD371" s="31">
        <v>0</v>
      </c>
      <c r="AE371" s="31">
        <v>0</v>
      </c>
      <c r="AF371" s="31">
        <v>0</v>
      </c>
      <c r="AG371" s="31">
        <v>0</v>
      </c>
      <c r="AH371" s="31">
        <v>0</v>
      </c>
      <c r="AI371" s="31">
        <v>0</v>
      </c>
      <c r="AJ371" s="31">
        <v>0</v>
      </c>
      <c r="AK371" s="31">
        <v>0</v>
      </c>
      <c r="AL371" s="31">
        <v>0</v>
      </c>
      <c r="AM371" s="31">
        <v>0</v>
      </c>
      <c r="AN371" s="31">
        <v>0</v>
      </c>
      <c r="AO371" s="31">
        <v>0</v>
      </c>
      <c r="AP371" s="31">
        <v>0</v>
      </c>
      <c r="AQ371" s="31">
        <v>0</v>
      </c>
      <c r="AR371" s="32">
        <v>10</v>
      </c>
      <c r="AS371" s="32">
        <v>219</v>
      </c>
    </row>
    <row r="372" spans="1:45">
      <c r="A372" s="30" t="s">
        <v>676</v>
      </c>
      <c r="B372" s="30" t="s">
        <v>633</v>
      </c>
      <c r="C372" s="30" t="s">
        <v>677</v>
      </c>
      <c r="D372" s="30" t="s">
        <v>1134</v>
      </c>
      <c r="E372" s="30" t="s">
        <v>1217</v>
      </c>
      <c r="F372" s="30" t="s">
        <v>138</v>
      </c>
      <c r="G372" s="30" t="s">
        <v>359</v>
      </c>
      <c r="H372" s="30" t="s">
        <v>680</v>
      </c>
      <c r="I372" s="31">
        <v>0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0</v>
      </c>
      <c r="AA372" s="31">
        <v>0</v>
      </c>
      <c r="AB372" s="31">
        <v>0</v>
      </c>
      <c r="AC372" s="31">
        <v>0</v>
      </c>
      <c r="AD372" s="31">
        <v>0</v>
      </c>
      <c r="AE372" s="31">
        <v>0</v>
      </c>
      <c r="AF372" s="31">
        <v>0</v>
      </c>
      <c r="AG372" s="31">
        <v>0</v>
      </c>
      <c r="AH372" s="31">
        <v>0</v>
      </c>
      <c r="AI372" s="31">
        <v>0</v>
      </c>
      <c r="AJ372" s="31">
        <v>0</v>
      </c>
      <c r="AK372" s="31">
        <v>0</v>
      </c>
      <c r="AL372" s="31">
        <v>0</v>
      </c>
      <c r="AM372" s="31">
        <v>0</v>
      </c>
      <c r="AN372" s="31">
        <v>0</v>
      </c>
      <c r="AO372" s="31">
        <v>0</v>
      </c>
      <c r="AP372" s="31">
        <v>0</v>
      </c>
      <c r="AQ372" s="31">
        <v>0</v>
      </c>
      <c r="AR372" s="32">
        <v>14</v>
      </c>
      <c r="AS372" s="32">
        <v>293</v>
      </c>
    </row>
    <row r="373" spans="1:45">
      <c r="A373" s="30" t="s">
        <v>676</v>
      </c>
      <c r="B373" s="30" t="s">
        <v>633</v>
      </c>
      <c r="C373" s="30" t="s">
        <v>677</v>
      </c>
      <c r="D373" s="30" t="s">
        <v>1134</v>
      </c>
      <c r="E373" s="30" t="s">
        <v>1218</v>
      </c>
      <c r="F373" s="30" t="s">
        <v>132</v>
      </c>
      <c r="G373" s="30" t="s">
        <v>360</v>
      </c>
      <c r="H373" s="30" t="s">
        <v>680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2">
        <v>35</v>
      </c>
      <c r="V373" s="32">
        <v>255</v>
      </c>
      <c r="W373" s="32">
        <v>477</v>
      </c>
      <c r="X373" s="32">
        <v>650</v>
      </c>
      <c r="Y373" s="32">
        <v>451</v>
      </c>
      <c r="Z373" s="32">
        <v>870.37689999999998</v>
      </c>
      <c r="AA373" s="32">
        <v>1715.5455999999999</v>
      </c>
      <c r="AB373" s="32">
        <v>700</v>
      </c>
      <c r="AC373" s="32">
        <v>795</v>
      </c>
      <c r="AD373" s="32">
        <v>810</v>
      </c>
      <c r="AE373" s="32">
        <v>505</v>
      </c>
      <c r="AF373" s="32">
        <v>474</v>
      </c>
      <c r="AG373" s="32">
        <v>583</v>
      </c>
      <c r="AH373" s="32">
        <v>538</v>
      </c>
      <c r="AI373" s="32">
        <v>396</v>
      </c>
      <c r="AJ373" s="32">
        <v>521</v>
      </c>
      <c r="AK373" s="32">
        <v>777</v>
      </c>
      <c r="AL373" s="32">
        <v>1089</v>
      </c>
      <c r="AM373" s="32">
        <v>759</v>
      </c>
      <c r="AN373" s="32">
        <v>715</v>
      </c>
      <c r="AO373" s="32">
        <v>880</v>
      </c>
      <c r="AP373" s="32">
        <v>991</v>
      </c>
      <c r="AQ373" s="32">
        <v>744</v>
      </c>
      <c r="AR373" s="32">
        <v>791</v>
      </c>
      <c r="AS373" s="32">
        <v>914</v>
      </c>
    </row>
    <row r="374" spans="1:45">
      <c r="A374" s="30" t="s">
        <v>676</v>
      </c>
      <c r="B374" s="30" t="s">
        <v>633</v>
      </c>
      <c r="C374" s="30" t="s">
        <v>677</v>
      </c>
      <c r="D374" s="30" t="s">
        <v>1134</v>
      </c>
      <c r="E374" s="30" t="s">
        <v>1219</v>
      </c>
      <c r="F374" s="30" t="s">
        <v>135</v>
      </c>
      <c r="G374" s="30" t="s">
        <v>361</v>
      </c>
      <c r="H374" s="30" t="s">
        <v>680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2">
        <v>1</v>
      </c>
      <c r="V374" s="32">
        <v>2</v>
      </c>
      <c r="W374" s="31">
        <v>0</v>
      </c>
      <c r="X374" s="32">
        <v>2</v>
      </c>
      <c r="Y374" s="31">
        <v>0</v>
      </c>
      <c r="Z374" s="32">
        <v>3</v>
      </c>
      <c r="AA374" s="32">
        <v>2</v>
      </c>
      <c r="AB374" s="32">
        <v>2</v>
      </c>
      <c r="AC374" s="32">
        <v>1</v>
      </c>
      <c r="AD374" s="32">
        <v>2</v>
      </c>
      <c r="AE374" s="32">
        <v>1</v>
      </c>
      <c r="AF374" s="32">
        <v>2</v>
      </c>
      <c r="AG374" s="32">
        <v>1</v>
      </c>
      <c r="AH374" s="32">
        <v>1</v>
      </c>
      <c r="AI374" s="31">
        <v>0</v>
      </c>
      <c r="AJ374" s="32">
        <v>1</v>
      </c>
      <c r="AK374" s="31">
        <v>0</v>
      </c>
      <c r="AL374" s="31">
        <v>0</v>
      </c>
      <c r="AM374" s="31">
        <v>0</v>
      </c>
      <c r="AN374" s="31">
        <v>0</v>
      </c>
      <c r="AO374" s="31">
        <v>0</v>
      </c>
      <c r="AP374" s="31">
        <v>0</v>
      </c>
      <c r="AQ374" s="31">
        <v>0</v>
      </c>
      <c r="AR374" s="31">
        <v>0</v>
      </c>
      <c r="AS374" s="31">
        <v>0</v>
      </c>
    </row>
    <row r="375" spans="1:45">
      <c r="A375" s="30" t="s">
        <v>676</v>
      </c>
      <c r="B375" s="30" t="s">
        <v>633</v>
      </c>
      <c r="C375" s="30" t="s">
        <v>677</v>
      </c>
      <c r="D375" s="30" t="s">
        <v>1134</v>
      </c>
      <c r="E375" s="30" t="s">
        <v>1220</v>
      </c>
      <c r="F375" s="30" t="s">
        <v>140</v>
      </c>
      <c r="G375" s="30" t="s">
        <v>362</v>
      </c>
      <c r="H375" s="30" t="s">
        <v>680</v>
      </c>
      <c r="I375" s="32">
        <v>106</v>
      </c>
      <c r="J375" s="32">
        <v>82</v>
      </c>
      <c r="K375" s="32">
        <v>74</v>
      </c>
      <c r="L375" s="32">
        <v>94</v>
      </c>
      <c r="M375" s="32">
        <v>99</v>
      </c>
      <c r="N375" s="32">
        <v>107</v>
      </c>
      <c r="O375" s="32">
        <v>178</v>
      </c>
      <c r="P375" s="32">
        <v>160</v>
      </c>
      <c r="Q375" s="32">
        <v>123</v>
      </c>
      <c r="R375" s="32">
        <v>162</v>
      </c>
      <c r="S375" s="32">
        <v>83</v>
      </c>
      <c r="T375" s="32">
        <v>58</v>
      </c>
      <c r="U375" s="32">
        <v>38</v>
      </c>
      <c r="V375" s="32">
        <v>32.3947</v>
      </c>
      <c r="W375" s="32">
        <v>29</v>
      </c>
      <c r="X375" s="32">
        <v>40</v>
      </c>
      <c r="Y375" s="32">
        <v>21</v>
      </c>
      <c r="Z375" s="32">
        <v>14</v>
      </c>
      <c r="AA375" s="32">
        <v>37</v>
      </c>
      <c r="AB375" s="32">
        <v>8</v>
      </c>
      <c r="AC375" s="32">
        <v>2</v>
      </c>
      <c r="AD375" s="32">
        <v>5</v>
      </c>
      <c r="AE375" s="32">
        <v>4</v>
      </c>
      <c r="AF375" s="32">
        <v>1</v>
      </c>
      <c r="AG375" s="32">
        <v>19</v>
      </c>
      <c r="AH375" s="32">
        <v>8</v>
      </c>
      <c r="AI375" s="32">
        <v>3</v>
      </c>
      <c r="AJ375" s="32">
        <v>10</v>
      </c>
      <c r="AK375" s="32">
        <v>3</v>
      </c>
      <c r="AL375" s="32">
        <v>2</v>
      </c>
      <c r="AM375" s="32">
        <v>2</v>
      </c>
      <c r="AN375" s="31">
        <v>0</v>
      </c>
      <c r="AO375" s="31">
        <v>0</v>
      </c>
      <c r="AP375" s="31">
        <v>0</v>
      </c>
      <c r="AQ375" s="31">
        <v>0</v>
      </c>
      <c r="AR375" s="31">
        <v>0</v>
      </c>
      <c r="AS375" s="31">
        <v>0</v>
      </c>
    </row>
    <row r="376" spans="1:45">
      <c r="A376" s="30" t="s">
        <v>676</v>
      </c>
      <c r="B376" s="30" t="s">
        <v>633</v>
      </c>
      <c r="C376" s="30" t="s">
        <v>677</v>
      </c>
      <c r="D376" s="30" t="s">
        <v>1134</v>
      </c>
      <c r="E376" s="30" t="s">
        <v>1221</v>
      </c>
      <c r="F376" s="30" t="s">
        <v>147</v>
      </c>
      <c r="G376" s="30" t="s">
        <v>363</v>
      </c>
      <c r="H376" s="30" t="s">
        <v>680</v>
      </c>
      <c r="I376" s="32">
        <v>181</v>
      </c>
      <c r="J376" s="32">
        <v>105</v>
      </c>
      <c r="K376" s="32">
        <v>112</v>
      </c>
      <c r="L376" s="32">
        <v>109</v>
      </c>
      <c r="M376" s="32">
        <v>99</v>
      </c>
      <c r="N376" s="32">
        <v>169</v>
      </c>
      <c r="O376" s="32">
        <v>180</v>
      </c>
      <c r="P376" s="32">
        <v>165</v>
      </c>
      <c r="Q376" s="32">
        <v>138</v>
      </c>
      <c r="R376" s="32">
        <v>141</v>
      </c>
      <c r="S376" s="32">
        <v>123</v>
      </c>
      <c r="T376" s="32">
        <v>94</v>
      </c>
      <c r="U376" s="32">
        <v>143</v>
      </c>
      <c r="V376" s="32">
        <v>115.5921</v>
      </c>
      <c r="W376" s="32">
        <v>91</v>
      </c>
      <c r="X376" s="32">
        <v>150</v>
      </c>
      <c r="Y376" s="32">
        <v>129</v>
      </c>
      <c r="Z376" s="32">
        <v>162</v>
      </c>
      <c r="AA376" s="32">
        <v>262</v>
      </c>
      <c r="AB376" s="32">
        <v>224</v>
      </c>
      <c r="AC376" s="32">
        <v>217</v>
      </c>
      <c r="AD376" s="32">
        <v>343</v>
      </c>
      <c r="AE376" s="32">
        <v>181</v>
      </c>
      <c r="AF376" s="32">
        <v>160</v>
      </c>
      <c r="AG376" s="32">
        <v>229</v>
      </c>
      <c r="AH376" s="32">
        <v>299</v>
      </c>
      <c r="AI376" s="32">
        <v>183</v>
      </c>
      <c r="AJ376" s="32">
        <v>283</v>
      </c>
      <c r="AK376" s="32">
        <v>291</v>
      </c>
      <c r="AL376" s="32">
        <v>383</v>
      </c>
      <c r="AM376" s="32">
        <v>374</v>
      </c>
      <c r="AN376" s="32">
        <v>312</v>
      </c>
      <c r="AO376" s="32">
        <v>424</v>
      </c>
      <c r="AP376" s="32">
        <v>553</v>
      </c>
      <c r="AQ376" s="32">
        <v>358</v>
      </c>
      <c r="AR376" s="32">
        <v>392</v>
      </c>
      <c r="AS376" s="32">
        <v>647</v>
      </c>
    </row>
    <row r="377" spans="1:45">
      <c r="A377" s="30" t="s">
        <v>676</v>
      </c>
      <c r="B377" s="30" t="s">
        <v>633</v>
      </c>
      <c r="C377" s="30" t="s">
        <v>677</v>
      </c>
      <c r="D377" s="30" t="s">
        <v>1134</v>
      </c>
      <c r="E377" s="30" t="s">
        <v>1222</v>
      </c>
      <c r="F377" s="30" t="s">
        <v>147</v>
      </c>
      <c r="G377" s="30" t="s">
        <v>364</v>
      </c>
      <c r="H377" s="30" t="s">
        <v>680</v>
      </c>
      <c r="I377" s="32">
        <v>22</v>
      </c>
      <c r="J377" s="32">
        <v>18</v>
      </c>
      <c r="K377" s="32">
        <v>26</v>
      </c>
      <c r="L377" s="32">
        <v>30</v>
      </c>
      <c r="M377" s="32">
        <v>32</v>
      </c>
      <c r="N377" s="32">
        <v>23</v>
      </c>
      <c r="O377" s="32">
        <v>21</v>
      </c>
      <c r="P377" s="32">
        <v>12</v>
      </c>
      <c r="Q377" s="32">
        <v>28</v>
      </c>
      <c r="R377" s="32">
        <v>30</v>
      </c>
      <c r="S377" s="32">
        <v>16</v>
      </c>
      <c r="T377" s="32">
        <v>13</v>
      </c>
      <c r="U377" s="32">
        <v>11</v>
      </c>
      <c r="V377" s="32">
        <v>18</v>
      </c>
      <c r="W377" s="32">
        <v>12</v>
      </c>
      <c r="X377" s="32">
        <v>24</v>
      </c>
      <c r="Y377" s="32">
        <v>11</v>
      </c>
      <c r="Z377" s="32">
        <v>13</v>
      </c>
      <c r="AA377" s="32">
        <v>15</v>
      </c>
      <c r="AB377" s="32">
        <v>18</v>
      </c>
      <c r="AC377" s="32">
        <v>27</v>
      </c>
      <c r="AD377" s="32">
        <v>25</v>
      </c>
      <c r="AE377" s="32">
        <v>10</v>
      </c>
      <c r="AF377" s="32">
        <v>17</v>
      </c>
      <c r="AG377" s="32">
        <v>12</v>
      </c>
      <c r="AH377" s="32">
        <v>17</v>
      </c>
      <c r="AI377" s="32">
        <v>17</v>
      </c>
      <c r="AJ377" s="32">
        <v>14</v>
      </c>
      <c r="AK377" s="32">
        <v>10</v>
      </c>
      <c r="AL377" s="32">
        <v>12</v>
      </c>
      <c r="AM377" s="32">
        <v>3</v>
      </c>
      <c r="AN377" s="32">
        <v>2</v>
      </c>
      <c r="AO377" s="31">
        <v>0</v>
      </c>
      <c r="AP377" s="31">
        <v>0</v>
      </c>
      <c r="AQ377" s="31">
        <v>0</v>
      </c>
      <c r="AR377" s="31">
        <v>0</v>
      </c>
      <c r="AS377" s="31">
        <v>0</v>
      </c>
    </row>
    <row r="378" spans="1:45">
      <c r="A378" s="30" t="s">
        <v>676</v>
      </c>
      <c r="B378" s="30" t="s">
        <v>633</v>
      </c>
      <c r="C378" s="30" t="s">
        <v>677</v>
      </c>
      <c r="D378" s="30" t="s">
        <v>1134</v>
      </c>
      <c r="E378" s="30" t="s">
        <v>1223</v>
      </c>
      <c r="F378" s="30" t="s">
        <v>147</v>
      </c>
      <c r="G378" s="30" t="s">
        <v>365</v>
      </c>
      <c r="H378" s="30" t="s">
        <v>680</v>
      </c>
      <c r="I378" s="32">
        <v>779</v>
      </c>
      <c r="J378" s="32">
        <v>570.30939999999998</v>
      </c>
      <c r="K378" s="32">
        <v>523</v>
      </c>
      <c r="L378" s="32">
        <v>613</v>
      </c>
      <c r="M378" s="32">
        <v>510</v>
      </c>
      <c r="N378" s="32">
        <v>589</v>
      </c>
      <c r="O378" s="32">
        <v>775</v>
      </c>
      <c r="P378" s="32">
        <v>595</v>
      </c>
      <c r="Q378" s="32">
        <v>586</v>
      </c>
      <c r="R378" s="32">
        <v>690</v>
      </c>
      <c r="S378" s="32">
        <v>484</v>
      </c>
      <c r="T378" s="32">
        <v>438</v>
      </c>
      <c r="U378" s="32">
        <v>499</v>
      </c>
      <c r="V378" s="32">
        <v>358.57889999999998</v>
      </c>
      <c r="W378" s="32">
        <v>396</v>
      </c>
      <c r="X378" s="32">
        <v>472</v>
      </c>
      <c r="Y378" s="32">
        <v>255</v>
      </c>
      <c r="Z378" s="32">
        <v>282</v>
      </c>
      <c r="AA378" s="32">
        <v>589</v>
      </c>
      <c r="AB378" s="32">
        <v>523</v>
      </c>
      <c r="AC378" s="32">
        <v>498</v>
      </c>
      <c r="AD378" s="32">
        <v>669</v>
      </c>
      <c r="AE378" s="32">
        <v>426</v>
      </c>
      <c r="AF378" s="32">
        <v>451</v>
      </c>
      <c r="AG378" s="32">
        <v>578</v>
      </c>
      <c r="AH378" s="32">
        <v>485</v>
      </c>
      <c r="AI378" s="32">
        <v>299</v>
      </c>
      <c r="AJ378" s="32">
        <v>294</v>
      </c>
      <c r="AK378" s="32">
        <v>552</v>
      </c>
      <c r="AL378" s="32">
        <v>719</v>
      </c>
      <c r="AM378" s="32">
        <v>798</v>
      </c>
      <c r="AN378" s="32">
        <v>721</v>
      </c>
      <c r="AO378" s="32">
        <v>790</v>
      </c>
      <c r="AP378" s="32">
        <v>1003</v>
      </c>
      <c r="AQ378" s="32">
        <v>603</v>
      </c>
      <c r="AR378" s="32">
        <v>650</v>
      </c>
      <c r="AS378" s="32">
        <v>890</v>
      </c>
    </row>
    <row r="379" spans="1:45">
      <c r="A379" s="30" t="s">
        <v>676</v>
      </c>
      <c r="B379" s="30" t="s">
        <v>633</v>
      </c>
      <c r="C379" s="30" t="s">
        <v>677</v>
      </c>
      <c r="D379" s="30" t="s">
        <v>1134</v>
      </c>
      <c r="E379" s="30" t="s">
        <v>1224</v>
      </c>
      <c r="F379" s="30" t="s">
        <v>147</v>
      </c>
      <c r="G379" s="30" t="s">
        <v>1225</v>
      </c>
      <c r="H379" s="30" t="s">
        <v>680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  <c r="AC379" s="31">
        <v>0</v>
      </c>
      <c r="AD379" s="31">
        <v>0</v>
      </c>
      <c r="AE379" s="31">
        <v>0</v>
      </c>
      <c r="AF379" s="31">
        <v>0</v>
      </c>
      <c r="AG379" s="31">
        <v>0</v>
      </c>
      <c r="AH379" s="31">
        <v>0</v>
      </c>
      <c r="AI379" s="31">
        <v>0</v>
      </c>
      <c r="AJ379" s="31">
        <v>0</v>
      </c>
      <c r="AK379" s="31">
        <v>0</v>
      </c>
      <c r="AL379" s="31">
        <v>0</v>
      </c>
      <c r="AM379" s="31">
        <v>0</v>
      </c>
      <c r="AN379" s="31">
        <v>0</v>
      </c>
      <c r="AO379" s="31">
        <v>0</v>
      </c>
      <c r="AP379" s="32">
        <v>4</v>
      </c>
      <c r="AQ379" s="31">
        <v>0</v>
      </c>
      <c r="AR379" s="32">
        <v>1</v>
      </c>
      <c r="AS379" s="31">
        <v>0</v>
      </c>
    </row>
    <row r="380" spans="1:45">
      <c r="A380" s="30" t="s">
        <v>676</v>
      </c>
      <c r="B380" s="30" t="s">
        <v>633</v>
      </c>
      <c r="C380" s="30" t="s">
        <v>677</v>
      </c>
      <c r="D380" s="30" t="s">
        <v>1134</v>
      </c>
      <c r="E380" s="30" t="s">
        <v>1226</v>
      </c>
      <c r="F380" s="30" t="s">
        <v>137</v>
      </c>
      <c r="G380" s="30" t="s">
        <v>366</v>
      </c>
      <c r="H380" s="30" t="s">
        <v>680</v>
      </c>
      <c r="I380" s="32">
        <v>252</v>
      </c>
      <c r="J380" s="32">
        <v>166.15469999999999</v>
      </c>
      <c r="K380" s="32">
        <v>171</v>
      </c>
      <c r="L380" s="32">
        <v>195</v>
      </c>
      <c r="M380" s="32">
        <v>173</v>
      </c>
      <c r="N380" s="32">
        <v>205</v>
      </c>
      <c r="O380" s="32">
        <v>269</v>
      </c>
      <c r="P380" s="32">
        <v>244</v>
      </c>
      <c r="Q380" s="32">
        <v>194</v>
      </c>
      <c r="R380" s="32">
        <v>313</v>
      </c>
      <c r="S380" s="32">
        <v>154</v>
      </c>
      <c r="T380" s="32">
        <v>146</v>
      </c>
      <c r="U380" s="32">
        <v>180</v>
      </c>
      <c r="V380" s="32">
        <v>122</v>
      </c>
      <c r="W380" s="32">
        <v>88</v>
      </c>
      <c r="X380" s="32">
        <v>163</v>
      </c>
      <c r="Y380" s="32">
        <v>127</v>
      </c>
      <c r="Z380" s="32">
        <v>145.7276</v>
      </c>
      <c r="AA380" s="32">
        <v>206</v>
      </c>
      <c r="AB380" s="32">
        <v>200</v>
      </c>
      <c r="AC380" s="32">
        <v>250</v>
      </c>
      <c r="AD380" s="32">
        <v>322</v>
      </c>
      <c r="AE380" s="32">
        <v>193</v>
      </c>
      <c r="AF380" s="32">
        <v>181</v>
      </c>
      <c r="AG380" s="32">
        <v>182</v>
      </c>
      <c r="AH380" s="32">
        <v>197</v>
      </c>
      <c r="AI380" s="32">
        <v>145</v>
      </c>
      <c r="AJ380" s="32">
        <v>121</v>
      </c>
      <c r="AK380" s="32">
        <v>95</v>
      </c>
      <c r="AL380" s="32">
        <v>78</v>
      </c>
      <c r="AM380" s="32">
        <v>49</v>
      </c>
      <c r="AN380" s="32">
        <v>35</v>
      </c>
      <c r="AO380" s="32">
        <v>19</v>
      </c>
      <c r="AP380" s="32">
        <v>17</v>
      </c>
      <c r="AQ380" s="32">
        <v>5</v>
      </c>
      <c r="AR380" s="32">
        <v>3</v>
      </c>
      <c r="AS380" s="32">
        <v>2</v>
      </c>
    </row>
    <row r="381" spans="1:45">
      <c r="A381" s="30" t="s">
        <v>676</v>
      </c>
      <c r="B381" s="30" t="s">
        <v>633</v>
      </c>
      <c r="C381" s="30" t="s">
        <v>677</v>
      </c>
      <c r="D381" s="30" t="s">
        <v>1134</v>
      </c>
      <c r="E381" s="30" t="s">
        <v>1227</v>
      </c>
      <c r="F381" s="30" t="s">
        <v>1137</v>
      </c>
      <c r="G381" s="30" t="s">
        <v>1228</v>
      </c>
      <c r="H381" s="30" t="s">
        <v>680</v>
      </c>
      <c r="I381" s="31">
        <v>0</v>
      </c>
      <c r="J381" s="31">
        <v>0</v>
      </c>
      <c r="K381" s="32">
        <v>1</v>
      </c>
      <c r="L381" s="31">
        <v>0</v>
      </c>
      <c r="M381" s="32">
        <v>1</v>
      </c>
      <c r="N381" s="31">
        <v>0</v>
      </c>
      <c r="O381" s="31">
        <v>0</v>
      </c>
      <c r="P381" s="31">
        <v>0</v>
      </c>
      <c r="Q381" s="31">
        <v>0</v>
      </c>
      <c r="R381" s="32">
        <v>1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  <c r="AC381" s="31">
        <v>0</v>
      </c>
      <c r="AD381" s="31">
        <v>0</v>
      </c>
      <c r="AE381" s="31">
        <v>0</v>
      </c>
      <c r="AF381" s="31">
        <v>0</v>
      </c>
      <c r="AG381" s="31">
        <v>0</v>
      </c>
      <c r="AH381" s="31">
        <v>0</v>
      </c>
      <c r="AI381" s="31">
        <v>0</v>
      </c>
      <c r="AJ381" s="31">
        <v>0</v>
      </c>
      <c r="AK381" s="31">
        <v>0</v>
      </c>
      <c r="AL381" s="31">
        <v>0</v>
      </c>
      <c r="AM381" s="31">
        <v>0</v>
      </c>
      <c r="AN381" s="31">
        <v>0</v>
      </c>
      <c r="AO381" s="31">
        <v>0</v>
      </c>
      <c r="AP381" s="31">
        <v>0</v>
      </c>
      <c r="AQ381" s="31">
        <v>0</v>
      </c>
      <c r="AR381" s="31">
        <v>0</v>
      </c>
      <c r="AS381" s="31">
        <v>0</v>
      </c>
    </row>
    <row r="382" spans="1:45">
      <c r="A382" s="30" t="s">
        <v>676</v>
      </c>
      <c r="B382" s="30" t="s">
        <v>633</v>
      </c>
      <c r="C382" s="30" t="s">
        <v>677</v>
      </c>
      <c r="D382" s="30" t="s">
        <v>1134</v>
      </c>
      <c r="E382" s="30" t="s">
        <v>1229</v>
      </c>
      <c r="F382" s="30" t="s">
        <v>146</v>
      </c>
      <c r="G382" s="30" t="s">
        <v>367</v>
      </c>
      <c r="H382" s="30" t="s">
        <v>680</v>
      </c>
      <c r="I382" s="32">
        <v>584</v>
      </c>
      <c r="J382" s="32">
        <v>710.30939999999998</v>
      </c>
      <c r="K382" s="32">
        <v>517</v>
      </c>
      <c r="L382" s="32">
        <v>565</v>
      </c>
      <c r="M382" s="32">
        <v>356</v>
      </c>
      <c r="N382" s="32">
        <v>438</v>
      </c>
      <c r="O382" s="32">
        <v>613</v>
      </c>
      <c r="P382" s="32">
        <v>506</v>
      </c>
      <c r="Q382" s="32">
        <v>478</v>
      </c>
      <c r="R382" s="32">
        <v>660</v>
      </c>
      <c r="S382" s="32">
        <v>399</v>
      </c>
      <c r="T382" s="32">
        <v>307</v>
      </c>
      <c r="U382" s="32">
        <v>401</v>
      </c>
      <c r="V382" s="32">
        <v>221.98679999999999</v>
      </c>
      <c r="W382" s="32">
        <v>217</v>
      </c>
      <c r="X382" s="32">
        <v>237</v>
      </c>
      <c r="Y382" s="32">
        <v>157</v>
      </c>
      <c r="Z382" s="32">
        <v>145.88339999999999</v>
      </c>
      <c r="AA382" s="32">
        <v>287</v>
      </c>
      <c r="AB382" s="32">
        <v>233</v>
      </c>
      <c r="AC382" s="32">
        <v>236</v>
      </c>
      <c r="AD382" s="32">
        <v>369</v>
      </c>
      <c r="AE382" s="32">
        <v>243</v>
      </c>
      <c r="AF382" s="32">
        <v>307</v>
      </c>
      <c r="AG382" s="32">
        <v>331</v>
      </c>
      <c r="AH382" s="32">
        <v>347</v>
      </c>
      <c r="AI382" s="32">
        <v>274</v>
      </c>
      <c r="AJ382" s="32">
        <v>303</v>
      </c>
      <c r="AK382" s="32">
        <v>370</v>
      </c>
      <c r="AL382" s="32">
        <v>504</v>
      </c>
      <c r="AM382" s="32">
        <v>431</v>
      </c>
      <c r="AN382" s="32">
        <v>345</v>
      </c>
      <c r="AO382" s="32">
        <v>370</v>
      </c>
      <c r="AP382" s="32">
        <v>449</v>
      </c>
      <c r="AQ382" s="32">
        <v>337</v>
      </c>
      <c r="AR382" s="32">
        <v>334</v>
      </c>
      <c r="AS382" s="32">
        <v>393</v>
      </c>
    </row>
    <row r="383" spans="1:45">
      <c r="A383" s="30" t="s">
        <v>676</v>
      </c>
      <c r="B383" s="30" t="s">
        <v>633</v>
      </c>
      <c r="C383" s="30" t="s">
        <v>677</v>
      </c>
      <c r="D383" s="30" t="s">
        <v>1134</v>
      </c>
      <c r="E383" s="30" t="s">
        <v>1230</v>
      </c>
      <c r="F383" s="30" t="s">
        <v>140</v>
      </c>
      <c r="G383" s="30" t="s">
        <v>368</v>
      </c>
      <c r="H383" s="30" t="s">
        <v>680</v>
      </c>
      <c r="I383" s="32">
        <v>36</v>
      </c>
      <c r="J383" s="32">
        <v>25</v>
      </c>
      <c r="K383" s="32">
        <v>27</v>
      </c>
      <c r="L383" s="32">
        <v>37</v>
      </c>
      <c r="M383" s="32">
        <v>18</v>
      </c>
      <c r="N383" s="32">
        <v>19</v>
      </c>
      <c r="O383" s="32">
        <v>25</v>
      </c>
      <c r="P383" s="32">
        <v>27</v>
      </c>
      <c r="Q383" s="32">
        <v>13</v>
      </c>
      <c r="R383" s="32">
        <v>33</v>
      </c>
      <c r="S383" s="32">
        <v>21</v>
      </c>
      <c r="T383" s="32">
        <v>27</v>
      </c>
      <c r="U383" s="32">
        <v>43</v>
      </c>
      <c r="V383" s="32">
        <v>30.197399999999998</v>
      </c>
      <c r="W383" s="32">
        <v>24</v>
      </c>
      <c r="X383" s="32">
        <v>31</v>
      </c>
      <c r="Y383" s="32">
        <v>31</v>
      </c>
      <c r="Z383" s="32">
        <v>13</v>
      </c>
      <c r="AA383" s="32">
        <v>8</v>
      </c>
      <c r="AB383" s="32">
        <v>7</v>
      </c>
      <c r="AC383" s="32">
        <v>2</v>
      </c>
      <c r="AD383" s="31">
        <v>0</v>
      </c>
      <c r="AE383" s="31">
        <v>0</v>
      </c>
      <c r="AF383" s="31">
        <v>0</v>
      </c>
      <c r="AG383" s="31">
        <v>0</v>
      </c>
      <c r="AH383" s="31">
        <v>0</v>
      </c>
      <c r="AI383" s="31">
        <v>0</v>
      </c>
      <c r="AJ383" s="31">
        <v>0</v>
      </c>
      <c r="AK383" s="31">
        <v>0</v>
      </c>
      <c r="AL383" s="31">
        <v>0</v>
      </c>
      <c r="AM383" s="31">
        <v>0</v>
      </c>
      <c r="AN383" s="31">
        <v>0</v>
      </c>
      <c r="AO383" s="31">
        <v>0</v>
      </c>
      <c r="AP383" s="31">
        <v>0</v>
      </c>
      <c r="AQ383" s="31">
        <v>0</v>
      </c>
      <c r="AR383" s="31">
        <v>0</v>
      </c>
      <c r="AS383" s="31">
        <v>0</v>
      </c>
    </row>
    <row r="384" spans="1:45">
      <c r="A384" s="30" t="s">
        <v>676</v>
      </c>
      <c r="B384" s="30" t="s">
        <v>633</v>
      </c>
      <c r="C384" s="30" t="s">
        <v>677</v>
      </c>
      <c r="D384" s="30" t="s">
        <v>1134</v>
      </c>
      <c r="E384" s="30" t="s">
        <v>1231</v>
      </c>
      <c r="F384" s="30" t="s">
        <v>137</v>
      </c>
      <c r="G384" s="30" t="s">
        <v>1232</v>
      </c>
      <c r="H384" s="30" t="s">
        <v>680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2">
        <v>3</v>
      </c>
      <c r="Y384" s="32">
        <v>1</v>
      </c>
      <c r="Z384" s="32">
        <v>2</v>
      </c>
      <c r="AA384" s="32">
        <v>3</v>
      </c>
      <c r="AB384" s="32">
        <v>3</v>
      </c>
      <c r="AC384" s="32">
        <v>3</v>
      </c>
      <c r="AD384" s="32">
        <v>6</v>
      </c>
      <c r="AE384" s="32">
        <v>33</v>
      </c>
      <c r="AF384" s="32">
        <v>47</v>
      </c>
      <c r="AG384" s="32">
        <v>61</v>
      </c>
      <c r="AH384" s="32">
        <v>57</v>
      </c>
      <c r="AI384" s="32">
        <v>14</v>
      </c>
      <c r="AJ384" s="32">
        <v>18</v>
      </c>
      <c r="AK384" s="32">
        <v>17</v>
      </c>
      <c r="AL384" s="32">
        <v>110</v>
      </c>
      <c r="AM384" s="32">
        <v>105</v>
      </c>
      <c r="AN384" s="32">
        <v>123</v>
      </c>
      <c r="AO384" s="32">
        <v>108</v>
      </c>
      <c r="AP384" s="32">
        <v>80</v>
      </c>
      <c r="AQ384" s="32">
        <v>44</v>
      </c>
      <c r="AR384" s="32">
        <v>54</v>
      </c>
      <c r="AS384" s="32">
        <v>54</v>
      </c>
    </row>
    <row r="385" spans="1:45">
      <c r="A385" s="30" t="s">
        <v>676</v>
      </c>
      <c r="B385" s="30" t="s">
        <v>633</v>
      </c>
      <c r="C385" s="30" t="s">
        <v>677</v>
      </c>
      <c r="D385" s="30" t="s">
        <v>1134</v>
      </c>
      <c r="E385" s="30" t="s">
        <v>1233</v>
      </c>
      <c r="F385" s="30" t="s">
        <v>137</v>
      </c>
      <c r="G385" s="30" t="s">
        <v>369</v>
      </c>
      <c r="H385" s="30" t="s">
        <v>680</v>
      </c>
      <c r="I385" s="32">
        <v>196</v>
      </c>
      <c r="J385" s="32">
        <v>126</v>
      </c>
      <c r="K385" s="32">
        <v>150</v>
      </c>
      <c r="L385" s="32">
        <v>169</v>
      </c>
      <c r="M385" s="32">
        <v>113</v>
      </c>
      <c r="N385" s="32">
        <v>142</v>
      </c>
      <c r="O385" s="32">
        <v>147</v>
      </c>
      <c r="P385" s="32">
        <v>156</v>
      </c>
      <c r="Q385" s="32">
        <v>153</v>
      </c>
      <c r="R385" s="32">
        <v>233</v>
      </c>
      <c r="S385" s="32">
        <v>128</v>
      </c>
      <c r="T385" s="32">
        <v>105</v>
      </c>
      <c r="U385" s="32">
        <v>119</v>
      </c>
      <c r="V385" s="32">
        <v>103</v>
      </c>
      <c r="W385" s="32">
        <v>72</v>
      </c>
      <c r="X385" s="32">
        <v>125</v>
      </c>
      <c r="Y385" s="32">
        <v>95</v>
      </c>
      <c r="Z385" s="32">
        <v>138.64680000000001</v>
      </c>
      <c r="AA385" s="32">
        <v>167</v>
      </c>
      <c r="AB385" s="32">
        <v>144</v>
      </c>
      <c r="AC385" s="32">
        <v>177</v>
      </c>
      <c r="AD385" s="32">
        <v>283</v>
      </c>
      <c r="AE385" s="32">
        <v>185</v>
      </c>
      <c r="AF385" s="32">
        <v>187</v>
      </c>
      <c r="AG385" s="32">
        <v>194</v>
      </c>
      <c r="AH385" s="32">
        <v>216</v>
      </c>
      <c r="AI385" s="32">
        <v>177</v>
      </c>
      <c r="AJ385" s="32">
        <v>177</v>
      </c>
      <c r="AK385" s="32">
        <v>229</v>
      </c>
      <c r="AL385" s="32">
        <v>383</v>
      </c>
      <c r="AM385" s="32">
        <v>279</v>
      </c>
      <c r="AN385" s="32">
        <v>271</v>
      </c>
      <c r="AO385" s="32">
        <v>211</v>
      </c>
      <c r="AP385" s="32">
        <v>190</v>
      </c>
      <c r="AQ385" s="32">
        <v>153</v>
      </c>
      <c r="AR385" s="32">
        <v>167</v>
      </c>
      <c r="AS385" s="32">
        <v>173</v>
      </c>
    </row>
    <row r="386" spans="1:45">
      <c r="A386" s="30" t="s">
        <v>676</v>
      </c>
      <c r="B386" s="30" t="s">
        <v>633</v>
      </c>
      <c r="C386" s="30" t="s">
        <v>677</v>
      </c>
      <c r="D386" s="30" t="s">
        <v>1134</v>
      </c>
      <c r="E386" s="30" t="s">
        <v>1234</v>
      </c>
      <c r="F386" s="30" t="s">
        <v>147</v>
      </c>
      <c r="G386" s="30" t="s">
        <v>370</v>
      </c>
      <c r="H386" s="30" t="s">
        <v>680</v>
      </c>
      <c r="I386" s="32">
        <v>70</v>
      </c>
      <c r="J386" s="32">
        <v>58.154699999999998</v>
      </c>
      <c r="K386" s="32">
        <v>70</v>
      </c>
      <c r="L386" s="32">
        <v>66</v>
      </c>
      <c r="M386" s="32">
        <v>50</v>
      </c>
      <c r="N386" s="32">
        <v>99</v>
      </c>
      <c r="O386" s="32">
        <v>94</v>
      </c>
      <c r="P386" s="32">
        <v>67</v>
      </c>
      <c r="Q386" s="32">
        <v>89</v>
      </c>
      <c r="R386" s="32">
        <v>74</v>
      </c>
      <c r="S386" s="32">
        <v>73</v>
      </c>
      <c r="T386" s="32">
        <v>59</v>
      </c>
      <c r="U386" s="32">
        <v>59</v>
      </c>
      <c r="V386" s="32">
        <v>66</v>
      </c>
      <c r="W386" s="32">
        <v>41</v>
      </c>
      <c r="X386" s="32">
        <v>76</v>
      </c>
      <c r="Y386" s="32">
        <v>62</v>
      </c>
      <c r="Z386" s="32">
        <v>55</v>
      </c>
      <c r="AA386" s="32">
        <v>142</v>
      </c>
      <c r="AB386" s="32">
        <v>129</v>
      </c>
      <c r="AC386" s="32">
        <v>136</v>
      </c>
      <c r="AD386" s="32">
        <v>205</v>
      </c>
      <c r="AE386" s="32">
        <v>146</v>
      </c>
      <c r="AF386" s="32">
        <v>109</v>
      </c>
      <c r="AG386" s="32">
        <v>133</v>
      </c>
      <c r="AH386" s="32">
        <v>174</v>
      </c>
      <c r="AI386" s="32">
        <v>93</v>
      </c>
      <c r="AJ386" s="32">
        <v>151</v>
      </c>
      <c r="AK386" s="32">
        <v>148</v>
      </c>
      <c r="AL386" s="32">
        <v>234</v>
      </c>
      <c r="AM386" s="32">
        <v>212</v>
      </c>
      <c r="AN386" s="32">
        <v>202</v>
      </c>
      <c r="AO386" s="32">
        <v>213</v>
      </c>
      <c r="AP386" s="32">
        <v>237</v>
      </c>
      <c r="AQ386" s="32">
        <v>171</v>
      </c>
      <c r="AR386" s="32">
        <v>145</v>
      </c>
      <c r="AS386" s="32">
        <v>190</v>
      </c>
    </row>
    <row r="387" spans="1:45">
      <c r="A387" s="30" t="s">
        <v>676</v>
      </c>
      <c r="B387" s="30" t="s">
        <v>633</v>
      </c>
      <c r="C387" s="30" t="s">
        <v>677</v>
      </c>
      <c r="D387" s="30" t="s">
        <v>1134</v>
      </c>
      <c r="E387" s="30" t="s">
        <v>1235</v>
      </c>
      <c r="F387" s="30" t="s">
        <v>146</v>
      </c>
      <c r="G387" s="30" t="s">
        <v>1236</v>
      </c>
      <c r="H387" s="30" t="s">
        <v>680</v>
      </c>
      <c r="I387" s="31">
        <v>0</v>
      </c>
      <c r="J387" s="32">
        <v>1</v>
      </c>
      <c r="K387" s="32">
        <v>1</v>
      </c>
      <c r="L387" s="32">
        <v>1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  <c r="AC387" s="31">
        <v>0</v>
      </c>
      <c r="AD387" s="31">
        <v>0</v>
      </c>
      <c r="AE387" s="31">
        <v>0</v>
      </c>
      <c r="AF387" s="31">
        <v>0</v>
      </c>
      <c r="AG387" s="31">
        <v>0</v>
      </c>
      <c r="AH387" s="31">
        <v>0</v>
      </c>
      <c r="AI387" s="31">
        <v>0</v>
      </c>
      <c r="AJ387" s="31">
        <v>0</v>
      </c>
      <c r="AK387" s="31">
        <v>0</v>
      </c>
      <c r="AL387" s="31">
        <v>0</v>
      </c>
      <c r="AM387" s="31">
        <v>0</v>
      </c>
      <c r="AN387" s="31">
        <v>0</v>
      </c>
      <c r="AO387" s="31">
        <v>0</v>
      </c>
      <c r="AP387" s="31">
        <v>0</v>
      </c>
      <c r="AQ387" s="31">
        <v>0</v>
      </c>
      <c r="AR387" s="31">
        <v>0</v>
      </c>
      <c r="AS387" s="31">
        <v>0</v>
      </c>
    </row>
    <row r="388" spans="1:45">
      <c r="A388" s="30" t="s">
        <v>676</v>
      </c>
      <c r="B388" s="30" t="s">
        <v>633</v>
      </c>
      <c r="C388" s="30" t="s">
        <v>677</v>
      </c>
      <c r="D388" s="30" t="s">
        <v>1134</v>
      </c>
      <c r="E388" s="30" t="s">
        <v>1237</v>
      </c>
      <c r="F388" s="30" t="s">
        <v>140</v>
      </c>
      <c r="G388" s="30" t="s">
        <v>1238</v>
      </c>
      <c r="H388" s="30" t="s">
        <v>680</v>
      </c>
      <c r="I388" s="32">
        <v>2</v>
      </c>
      <c r="J388" s="32">
        <v>2</v>
      </c>
      <c r="K388" s="32">
        <v>2</v>
      </c>
      <c r="L388" s="32">
        <v>1</v>
      </c>
      <c r="M388" s="31">
        <v>0</v>
      </c>
      <c r="N388" s="32">
        <v>1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  <c r="AC388" s="31">
        <v>0</v>
      </c>
      <c r="AD388" s="31">
        <v>0</v>
      </c>
      <c r="AE388" s="31">
        <v>0</v>
      </c>
      <c r="AF388" s="31">
        <v>0</v>
      </c>
      <c r="AG388" s="31">
        <v>0</v>
      </c>
      <c r="AH388" s="31">
        <v>0</v>
      </c>
      <c r="AI388" s="31">
        <v>0</v>
      </c>
      <c r="AJ388" s="31">
        <v>0</v>
      </c>
      <c r="AK388" s="31">
        <v>0</v>
      </c>
      <c r="AL388" s="31">
        <v>0</v>
      </c>
      <c r="AM388" s="31">
        <v>0</v>
      </c>
      <c r="AN388" s="31">
        <v>0</v>
      </c>
      <c r="AO388" s="31">
        <v>0</v>
      </c>
      <c r="AP388" s="32">
        <v>2</v>
      </c>
      <c r="AQ388" s="31">
        <v>0</v>
      </c>
      <c r="AR388" s="31">
        <v>0</v>
      </c>
      <c r="AS388" s="32">
        <v>1</v>
      </c>
    </row>
    <row r="389" spans="1:45">
      <c r="A389" s="30" t="s">
        <v>676</v>
      </c>
      <c r="B389" s="30" t="s">
        <v>633</v>
      </c>
      <c r="C389" s="30" t="s">
        <v>677</v>
      </c>
      <c r="D389" s="30" t="s">
        <v>1134</v>
      </c>
      <c r="E389" s="30" t="s">
        <v>1239</v>
      </c>
      <c r="F389" s="30" t="s">
        <v>136</v>
      </c>
      <c r="G389" s="30" t="s">
        <v>371</v>
      </c>
      <c r="H389" s="30" t="s">
        <v>680</v>
      </c>
      <c r="I389" s="32">
        <v>134</v>
      </c>
      <c r="J389" s="32">
        <v>72.154700000000005</v>
      </c>
      <c r="K389" s="32">
        <v>73</v>
      </c>
      <c r="L389" s="32">
        <v>71</v>
      </c>
      <c r="M389" s="32">
        <v>73</v>
      </c>
      <c r="N389" s="32">
        <v>108</v>
      </c>
      <c r="O389" s="32">
        <v>82</v>
      </c>
      <c r="P389" s="32">
        <v>99</v>
      </c>
      <c r="Q389" s="32">
        <v>89</v>
      </c>
      <c r="R389" s="32">
        <v>87</v>
      </c>
      <c r="S389" s="32">
        <v>63</v>
      </c>
      <c r="T389" s="32">
        <v>62</v>
      </c>
      <c r="U389" s="32">
        <v>48</v>
      </c>
      <c r="V389" s="32">
        <v>53</v>
      </c>
      <c r="W389" s="32">
        <v>58</v>
      </c>
      <c r="X389" s="32">
        <v>70</v>
      </c>
      <c r="Y389" s="32">
        <v>65</v>
      </c>
      <c r="Z389" s="32">
        <v>67</v>
      </c>
      <c r="AA389" s="32">
        <v>105</v>
      </c>
      <c r="AB389" s="32">
        <v>94</v>
      </c>
      <c r="AC389" s="32">
        <v>97</v>
      </c>
      <c r="AD389" s="32">
        <v>130</v>
      </c>
      <c r="AE389" s="32">
        <v>86</v>
      </c>
      <c r="AF389" s="32">
        <v>82</v>
      </c>
      <c r="AG389" s="32">
        <v>112</v>
      </c>
      <c r="AH389" s="32">
        <v>94</v>
      </c>
      <c r="AI389" s="32">
        <v>100</v>
      </c>
      <c r="AJ389" s="32">
        <v>133</v>
      </c>
      <c r="AK389" s="32">
        <v>144</v>
      </c>
      <c r="AL389" s="32">
        <v>207</v>
      </c>
      <c r="AM389" s="32">
        <v>213</v>
      </c>
      <c r="AN389" s="32">
        <v>228</v>
      </c>
      <c r="AO389" s="32">
        <v>172</v>
      </c>
      <c r="AP389" s="32">
        <v>181</v>
      </c>
      <c r="AQ389" s="32">
        <v>145</v>
      </c>
      <c r="AR389" s="32">
        <v>166</v>
      </c>
      <c r="AS389" s="32">
        <v>127</v>
      </c>
    </row>
    <row r="390" spans="1:45">
      <c r="A390" s="30" t="s">
        <v>676</v>
      </c>
      <c r="B390" s="30" t="s">
        <v>633</v>
      </c>
      <c r="C390" s="30" t="s">
        <v>677</v>
      </c>
      <c r="D390" s="30" t="s">
        <v>1134</v>
      </c>
      <c r="E390" s="30" t="s">
        <v>1240</v>
      </c>
      <c r="F390" s="30" t="s">
        <v>136</v>
      </c>
      <c r="G390" s="30" t="s">
        <v>1241</v>
      </c>
      <c r="H390" s="30" t="s">
        <v>680</v>
      </c>
      <c r="I390" s="31">
        <v>0</v>
      </c>
      <c r="J390" s="31">
        <v>0</v>
      </c>
      <c r="K390" s="31">
        <v>0</v>
      </c>
      <c r="L390" s="32">
        <v>2</v>
      </c>
      <c r="M390" s="31">
        <v>0</v>
      </c>
      <c r="N390" s="31">
        <v>0</v>
      </c>
      <c r="O390" s="31">
        <v>0</v>
      </c>
      <c r="P390" s="31">
        <v>0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0</v>
      </c>
      <c r="Z390" s="31">
        <v>0</v>
      </c>
      <c r="AA390" s="31">
        <v>0</v>
      </c>
      <c r="AB390" s="31">
        <v>0</v>
      </c>
      <c r="AC390" s="31">
        <v>0</v>
      </c>
      <c r="AD390" s="31">
        <v>0</v>
      </c>
      <c r="AE390" s="31">
        <v>0</v>
      </c>
      <c r="AF390" s="31">
        <v>0</v>
      </c>
      <c r="AG390" s="31">
        <v>0</v>
      </c>
      <c r="AH390" s="31">
        <v>0</v>
      </c>
      <c r="AI390" s="31">
        <v>0</v>
      </c>
      <c r="AJ390" s="31">
        <v>0</v>
      </c>
      <c r="AK390" s="31">
        <v>0</v>
      </c>
      <c r="AL390" s="31">
        <v>0</v>
      </c>
      <c r="AM390" s="31">
        <v>0</v>
      </c>
      <c r="AN390" s="31">
        <v>0</v>
      </c>
      <c r="AO390" s="31">
        <v>0</v>
      </c>
      <c r="AP390" s="31">
        <v>0</v>
      </c>
      <c r="AQ390" s="31">
        <v>0</v>
      </c>
      <c r="AR390" s="31">
        <v>0</v>
      </c>
      <c r="AS390" s="31">
        <v>0</v>
      </c>
    </row>
    <row r="391" spans="1:45">
      <c r="A391" s="30" t="s">
        <v>676</v>
      </c>
      <c r="B391" s="30" t="s">
        <v>633</v>
      </c>
      <c r="C391" s="30" t="s">
        <v>677</v>
      </c>
      <c r="D391" s="30" t="s">
        <v>1134</v>
      </c>
      <c r="E391" s="30" t="s">
        <v>1242</v>
      </c>
      <c r="F391" s="30" t="s">
        <v>136</v>
      </c>
      <c r="G391" s="30" t="s">
        <v>372</v>
      </c>
      <c r="H391" s="30" t="s">
        <v>680</v>
      </c>
      <c r="I391" s="32">
        <v>203</v>
      </c>
      <c r="J391" s="32">
        <v>183</v>
      </c>
      <c r="K391" s="32">
        <v>207</v>
      </c>
      <c r="L391" s="32">
        <v>206</v>
      </c>
      <c r="M391" s="32">
        <v>148</v>
      </c>
      <c r="N391" s="32">
        <v>230</v>
      </c>
      <c r="O391" s="32">
        <v>330</v>
      </c>
      <c r="P391" s="32">
        <v>317</v>
      </c>
      <c r="Q391" s="32">
        <v>224</v>
      </c>
      <c r="R391" s="32">
        <v>242</v>
      </c>
      <c r="S391" s="32">
        <v>149</v>
      </c>
      <c r="T391" s="32">
        <v>144</v>
      </c>
      <c r="U391" s="32">
        <v>165</v>
      </c>
      <c r="V391" s="32">
        <v>144.3947</v>
      </c>
      <c r="W391" s="32">
        <v>115</v>
      </c>
      <c r="X391" s="32">
        <v>173</v>
      </c>
      <c r="Y391" s="32">
        <v>127</v>
      </c>
      <c r="Z391" s="32">
        <v>150</v>
      </c>
      <c r="AA391" s="32">
        <v>239</v>
      </c>
      <c r="AB391" s="32">
        <v>190</v>
      </c>
      <c r="AC391" s="32">
        <v>191</v>
      </c>
      <c r="AD391" s="32">
        <v>260</v>
      </c>
      <c r="AE391" s="32">
        <v>204</v>
      </c>
      <c r="AF391" s="32">
        <v>198</v>
      </c>
      <c r="AG391" s="32">
        <v>209</v>
      </c>
      <c r="AH391" s="32">
        <v>197</v>
      </c>
      <c r="AI391" s="32">
        <v>185</v>
      </c>
      <c r="AJ391" s="32">
        <v>254</v>
      </c>
      <c r="AK391" s="32">
        <v>152</v>
      </c>
      <c r="AL391" s="32">
        <v>267</v>
      </c>
      <c r="AM391" s="32">
        <v>304</v>
      </c>
      <c r="AN391" s="32">
        <v>277</v>
      </c>
      <c r="AO391" s="32">
        <v>264</v>
      </c>
      <c r="AP391" s="32">
        <v>302</v>
      </c>
      <c r="AQ391" s="32">
        <v>137</v>
      </c>
      <c r="AR391" s="32">
        <v>164</v>
      </c>
      <c r="AS391" s="32">
        <v>226</v>
      </c>
    </row>
    <row r="392" spans="1:45">
      <c r="A392" s="30" t="s">
        <v>676</v>
      </c>
      <c r="B392" s="30" t="s">
        <v>633</v>
      </c>
      <c r="C392" s="30" t="s">
        <v>677</v>
      </c>
      <c r="D392" s="30" t="s">
        <v>1134</v>
      </c>
      <c r="E392" s="30" t="s">
        <v>1243</v>
      </c>
      <c r="F392" s="30" t="s">
        <v>136</v>
      </c>
      <c r="G392" s="30" t="s">
        <v>1244</v>
      </c>
      <c r="H392" s="30" t="s">
        <v>680</v>
      </c>
      <c r="I392" s="32">
        <v>5</v>
      </c>
      <c r="J392" s="32">
        <v>7</v>
      </c>
      <c r="K392" s="32">
        <v>4</v>
      </c>
      <c r="L392" s="32">
        <v>3</v>
      </c>
      <c r="M392" s="32">
        <v>3</v>
      </c>
      <c r="N392" s="32">
        <v>3</v>
      </c>
      <c r="O392" s="32">
        <v>8</v>
      </c>
      <c r="P392" s="32">
        <v>4</v>
      </c>
      <c r="Q392" s="32">
        <v>3</v>
      </c>
      <c r="R392" s="32">
        <v>2</v>
      </c>
      <c r="S392" s="32">
        <v>2</v>
      </c>
      <c r="T392" s="32">
        <v>3</v>
      </c>
      <c r="U392" s="32">
        <v>6</v>
      </c>
      <c r="V392" s="31">
        <v>0</v>
      </c>
      <c r="W392" s="31">
        <v>0</v>
      </c>
      <c r="X392" s="31">
        <v>0</v>
      </c>
      <c r="Y392" s="31">
        <v>0</v>
      </c>
      <c r="Z392" s="32">
        <v>1</v>
      </c>
      <c r="AA392" s="31">
        <v>0</v>
      </c>
      <c r="AB392" s="31">
        <v>0</v>
      </c>
      <c r="AC392" s="31">
        <v>0</v>
      </c>
      <c r="AD392" s="32">
        <v>1</v>
      </c>
      <c r="AE392" s="31">
        <v>0</v>
      </c>
      <c r="AF392" s="31">
        <v>0</v>
      </c>
      <c r="AG392" s="31">
        <v>0</v>
      </c>
      <c r="AH392" s="31">
        <v>0</v>
      </c>
      <c r="AI392" s="31">
        <v>0</v>
      </c>
      <c r="AJ392" s="31">
        <v>0</v>
      </c>
      <c r="AK392" s="31">
        <v>0</v>
      </c>
      <c r="AL392" s="31">
        <v>0</v>
      </c>
      <c r="AM392" s="31">
        <v>0</v>
      </c>
      <c r="AN392" s="31">
        <v>0</v>
      </c>
      <c r="AO392" s="31">
        <v>0</v>
      </c>
      <c r="AP392" s="31">
        <v>0</v>
      </c>
      <c r="AQ392" s="31">
        <v>0</v>
      </c>
      <c r="AR392" s="31">
        <v>0</v>
      </c>
      <c r="AS392" s="31">
        <v>0</v>
      </c>
    </row>
    <row r="393" spans="1:45">
      <c r="A393" s="30" t="s">
        <v>676</v>
      </c>
      <c r="B393" s="30" t="s">
        <v>633</v>
      </c>
      <c r="C393" s="30" t="s">
        <v>677</v>
      </c>
      <c r="D393" s="30" t="s">
        <v>1134</v>
      </c>
      <c r="E393" s="30" t="s">
        <v>1245</v>
      </c>
      <c r="F393" s="30" t="s">
        <v>147</v>
      </c>
      <c r="G393" s="30" t="s">
        <v>373</v>
      </c>
      <c r="H393" s="30" t="s">
        <v>680</v>
      </c>
      <c r="I393" s="32">
        <v>69</v>
      </c>
      <c r="J393" s="32">
        <v>48</v>
      </c>
      <c r="K393" s="32">
        <v>39</v>
      </c>
      <c r="L393" s="32">
        <v>39</v>
      </c>
      <c r="M393" s="32">
        <v>23</v>
      </c>
      <c r="N393" s="32">
        <v>34</v>
      </c>
      <c r="O393" s="32">
        <v>73</v>
      </c>
      <c r="P393" s="32">
        <v>146</v>
      </c>
      <c r="Q393" s="32">
        <v>125</v>
      </c>
      <c r="R393" s="32">
        <v>118</v>
      </c>
      <c r="S393" s="32">
        <v>103</v>
      </c>
      <c r="T393" s="32">
        <v>70</v>
      </c>
      <c r="U393" s="32">
        <v>90</v>
      </c>
      <c r="V393" s="32">
        <v>78.986800000000002</v>
      </c>
      <c r="W393" s="32">
        <v>131</v>
      </c>
      <c r="X393" s="32">
        <v>179</v>
      </c>
      <c r="Y393" s="32">
        <v>131</v>
      </c>
      <c r="Z393" s="32">
        <v>172</v>
      </c>
      <c r="AA393" s="32">
        <v>293</v>
      </c>
      <c r="AB393" s="32">
        <v>213</v>
      </c>
      <c r="AC393" s="32">
        <v>233</v>
      </c>
      <c r="AD393" s="32">
        <v>325</v>
      </c>
      <c r="AE393" s="32">
        <v>217</v>
      </c>
      <c r="AF393" s="32">
        <v>215</v>
      </c>
      <c r="AG393" s="32">
        <v>280</v>
      </c>
      <c r="AH393" s="32">
        <v>198</v>
      </c>
      <c r="AI393" s="32">
        <v>156</v>
      </c>
      <c r="AJ393" s="32">
        <v>202</v>
      </c>
      <c r="AK393" s="32">
        <v>284</v>
      </c>
      <c r="AL393" s="32">
        <v>340</v>
      </c>
      <c r="AM393" s="32">
        <v>367</v>
      </c>
      <c r="AN393" s="32">
        <v>386</v>
      </c>
      <c r="AO393" s="32">
        <v>456</v>
      </c>
      <c r="AP393" s="32">
        <v>556</v>
      </c>
      <c r="AQ393" s="32">
        <v>306</v>
      </c>
      <c r="AR393" s="32">
        <v>363</v>
      </c>
      <c r="AS393" s="32">
        <v>539</v>
      </c>
    </row>
    <row r="394" spans="1:45">
      <c r="A394" s="30" t="s">
        <v>676</v>
      </c>
      <c r="B394" s="30" t="s">
        <v>633</v>
      </c>
      <c r="C394" s="30" t="s">
        <v>677</v>
      </c>
      <c r="D394" s="30" t="s">
        <v>1134</v>
      </c>
      <c r="E394" s="30" t="s">
        <v>1246</v>
      </c>
      <c r="F394" s="30" t="s">
        <v>139</v>
      </c>
      <c r="G394" s="30" t="s">
        <v>374</v>
      </c>
      <c r="H394" s="30" t="s">
        <v>680</v>
      </c>
      <c r="I394" s="31">
        <v>0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0</v>
      </c>
      <c r="AC394" s="31">
        <v>0</v>
      </c>
      <c r="AD394" s="32">
        <v>8</v>
      </c>
      <c r="AE394" s="32">
        <v>10</v>
      </c>
      <c r="AF394" s="32">
        <v>8</v>
      </c>
      <c r="AG394" s="32">
        <v>12</v>
      </c>
      <c r="AH394" s="32">
        <v>43</v>
      </c>
      <c r="AI394" s="32">
        <v>130</v>
      </c>
      <c r="AJ394" s="32">
        <v>281</v>
      </c>
      <c r="AK394" s="32">
        <v>301</v>
      </c>
      <c r="AL394" s="32">
        <v>606</v>
      </c>
      <c r="AM394" s="32">
        <v>522</v>
      </c>
      <c r="AN394" s="32">
        <v>736</v>
      </c>
      <c r="AO394" s="32">
        <v>450</v>
      </c>
      <c r="AP394" s="32">
        <v>486</v>
      </c>
      <c r="AQ394" s="32">
        <v>278</v>
      </c>
      <c r="AR394" s="32">
        <v>319</v>
      </c>
      <c r="AS394" s="32">
        <v>431</v>
      </c>
    </row>
    <row r="395" spans="1:45">
      <c r="A395" s="30" t="s">
        <v>676</v>
      </c>
      <c r="B395" s="30" t="s">
        <v>633</v>
      </c>
      <c r="C395" s="30" t="s">
        <v>677</v>
      </c>
      <c r="D395" s="30" t="s">
        <v>1134</v>
      </c>
      <c r="E395" s="30" t="s">
        <v>1247</v>
      </c>
      <c r="F395" s="30" t="s">
        <v>147</v>
      </c>
      <c r="G395" s="30" t="s">
        <v>1248</v>
      </c>
      <c r="H395" s="30" t="s">
        <v>680</v>
      </c>
      <c r="I395" s="31">
        <v>0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0</v>
      </c>
      <c r="AA395" s="31">
        <v>0</v>
      </c>
      <c r="AB395" s="31">
        <v>0</v>
      </c>
      <c r="AC395" s="31">
        <v>0</v>
      </c>
      <c r="AD395" s="31">
        <v>0</v>
      </c>
      <c r="AE395" s="31">
        <v>0</v>
      </c>
      <c r="AF395" s="31">
        <v>0</v>
      </c>
      <c r="AG395" s="32">
        <v>27</v>
      </c>
      <c r="AH395" s="32">
        <v>11</v>
      </c>
      <c r="AI395" s="32">
        <v>8</v>
      </c>
      <c r="AJ395" s="32">
        <v>6</v>
      </c>
      <c r="AK395" s="32">
        <v>9</v>
      </c>
      <c r="AL395" s="32">
        <v>8</v>
      </c>
      <c r="AM395" s="31">
        <v>0</v>
      </c>
      <c r="AN395" s="32">
        <v>1</v>
      </c>
      <c r="AO395" s="32">
        <v>2</v>
      </c>
      <c r="AP395" s="31">
        <v>0</v>
      </c>
      <c r="AQ395" s="32">
        <v>1</v>
      </c>
      <c r="AR395" s="31">
        <v>0</v>
      </c>
      <c r="AS395" s="32">
        <v>1</v>
      </c>
    </row>
    <row r="396" spans="1:45">
      <c r="A396" s="30" t="s">
        <v>676</v>
      </c>
      <c r="B396" s="30" t="s">
        <v>633</v>
      </c>
      <c r="C396" s="30" t="s">
        <v>677</v>
      </c>
      <c r="D396" s="30" t="s">
        <v>1134</v>
      </c>
      <c r="E396" s="30" t="s">
        <v>1249</v>
      </c>
      <c r="F396" s="30" t="s">
        <v>147</v>
      </c>
      <c r="G396" s="30" t="s">
        <v>1250</v>
      </c>
      <c r="H396" s="30" t="s">
        <v>680</v>
      </c>
      <c r="I396" s="31">
        <v>0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0</v>
      </c>
      <c r="AC396" s="31">
        <v>0</v>
      </c>
      <c r="AD396" s="32">
        <v>56</v>
      </c>
      <c r="AE396" s="32">
        <v>56</v>
      </c>
      <c r="AF396" s="32">
        <v>33</v>
      </c>
      <c r="AG396" s="32">
        <v>58</v>
      </c>
      <c r="AH396" s="32">
        <v>29</v>
      </c>
      <c r="AI396" s="32">
        <v>22</v>
      </c>
      <c r="AJ396" s="32">
        <v>26</v>
      </c>
      <c r="AK396" s="32">
        <v>18</v>
      </c>
      <c r="AL396" s="32">
        <v>29</v>
      </c>
      <c r="AM396" s="32">
        <v>13</v>
      </c>
      <c r="AN396" s="32">
        <v>10</v>
      </c>
      <c r="AO396" s="32">
        <v>6</v>
      </c>
      <c r="AP396" s="31">
        <v>0</v>
      </c>
      <c r="AQ396" s="32">
        <v>2</v>
      </c>
      <c r="AR396" s="31">
        <v>0</v>
      </c>
      <c r="AS396" s="31">
        <v>0</v>
      </c>
    </row>
    <row r="397" spans="1:45">
      <c r="A397" s="30" t="s">
        <v>676</v>
      </c>
      <c r="B397" s="30" t="s">
        <v>633</v>
      </c>
      <c r="C397" s="30" t="s">
        <v>677</v>
      </c>
      <c r="D397" s="30" t="s">
        <v>1134</v>
      </c>
      <c r="E397" s="30" t="s">
        <v>1251</v>
      </c>
      <c r="F397" s="30" t="s">
        <v>142</v>
      </c>
      <c r="G397" s="30" t="s">
        <v>375</v>
      </c>
      <c r="H397" s="30" t="s">
        <v>680</v>
      </c>
      <c r="I397" s="31">
        <v>0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0</v>
      </c>
      <c r="Z397" s="31">
        <v>0</v>
      </c>
      <c r="AA397" s="31">
        <v>0</v>
      </c>
      <c r="AB397" s="31">
        <v>0</v>
      </c>
      <c r="AC397" s="31">
        <v>0</v>
      </c>
      <c r="AD397" s="31">
        <v>0</v>
      </c>
      <c r="AE397" s="31">
        <v>0</v>
      </c>
      <c r="AF397" s="31">
        <v>0</v>
      </c>
      <c r="AG397" s="32">
        <v>4</v>
      </c>
      <c r="AH397" s="32">
        <v>1</v>
      </c>
      <c r="AI397" s="31">
        <v>0</v>
      </c>
      <c r="AJ397" s="32">
        <v>2</v>
      </c>
      <c r="AK397" s="32">
        <v>0</v>
      </c>
      <c r="AL397" s="32">
        <v>3</v>
      </c>
      <c r="AM397" s="32">
        <v>1</v>
      </c>
      <c r="AN397" s="31">
        <v>0</v>
      </c>
      <c r="AO397" s="32">
        <v>1</v>
      </c>
      <c r="AP397" s="31">
        <v>0</v>
      </c>
      <c r="AQ397" s="31">
        <v>0</v>
      </c>
      <c r="AR397" s="31">
        <v>0</v>
      </c>
      <c r="AS397" s="32">
        <v>6</v>
      </c>
    </row>
    <row r="398" spans="1:45">
      <c r="A398" s="30" t="s">
        <v>676</v>
      </c>
      <c r="B398" s="30" t="s">
        <v>633</v>
      </c>
      <c r="C398" s="30" t="s">
        <v>677</v>
      </c>
      <c r="D398" s="30" t="s">
        <v>1134</v>
      </c>
      <c r="E398" s="30" t="s">
        <v>1252</v>
      </c>
      <c r="F398" s="30" t="s">
        <v>142</v>
      </c>
      <c r="G398" s="30" t="s">
        <v>376</v>
      </c>
      <c r="H398" s="30" t="s">
        <v>680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0</v>
      </c>
      <c r="AC398" s="31">
        <v>0</v>
      </c>
      <c r="AD398" s="31">
        <v>0</v>
      </c>
      <c r="AE398" s="31">
        <v>0</v>
      </c>
      <c r="AF398" s="31">
        <v>0</v>
      </c>
      <c r="AG398" s="31">
        <v>0</v>
      </c>
      <c r="AH398" s="32">
        <v>14</v>
      </c>
      <c r="AI398" s="32">
        <v>42</v>
      </c>
      <c r="AJ398" s="32">
        <v>66</v>
      </c>
      <c r="AK398" s="32">
        <v>62</v>
      </c>
      <c r="AL398" s="32">
        <v>239</v>
      </c>
      <c r="AM398" s="32">
        <v>250</v>
      </c>
      <c r="AN398" s="32">
        <v>266</v>
      </c>
      <c r="AO398" s="32">
        <v>275</v>
      </c>
      <c r="AP398" s="32">
        <v>348</v>
      </c>
      <c r="AQ398" s="32">
        <v>123</v>
      </c>
      <c r="AR398" s="32">
        <v>110</v>
      </c>
      <c r="AS398" s="32">
        <v>199</v>
      </c>
    </row>
    <row r="399" spans="1:45">
      <c r="A399" s="30" t="s">
        <v>676</v>
      </c>
      <c r="B399" s="30" t="s">
        <v>633</v>
      </c>
      <c r="C399" s="30" t="s">
        <v>677</v>
      </c>
      <c r="D399" s="30" t="s">
        <v>1134</v>
      </c>
      <c r="E399" s="30" t="s">
        <v>1253</v>
      </c>
      <c r="F399" s="30" t="s">
        <v>134</v>
      </c>
      <c r="G399" s="30" t="s">
        <v>377</v>
      </c>
      <c r="H399" s="30" t="s">
        <v>680</v>
      </c>
      <c r="I399" s="31">
        <v>0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0</v>
      </c>
      <c r="Z399" s="31">
        <v>0</v>
      </c>
      <c r="AA399" s="31">
        <v>0</v>
      </c>
      <c r="AB399" s="31">
        <v>0</v>
      </c>
      <c r="AC399" s="31">
        <v>0</v>
      </c>
      <c r="AD399" s="31">
        <v>0</v>
      </c>
      <c r="AE399" s="31">
        <v>0</v>
      </c>
      <c r="AF399" s="32">
        <v>69</v>
      </c>
      <c r="AG399" s="32">
        <v>72</v>
      </c>
      <c r="AH399" s="32">
        <v>46</v>
      </c>
      <c r="AI399" s="32">
        <v>47</v>
      </c>
      <c r="AJ399" s="32">
        <v>44</v>
      </c>
      <c r="AK399" s="32">
        <v>27</v>
      </c>
      <c r="AL399" s="32">
        <v>83</v>
      </c>
      <c r="AM399" s="32">
        <v>27</v>
      </c>
      <c r="AN399" s="32">
        <v>19</v>
      </c>
      <c r="AO399" s="32">
        <v>18</v>
      </c>
      <c r="AP399" s="32">
        <v>10</v>
      </c>
      <c r="AQ399" s="32">
        <v>1</v>
      </c>
      <c r="AR399" s="32">
        <v>5</v>
      </c>
      <c r="AS399" s="32">
        <v>12</v>
      </c>
    </row>
    <row r="400" spans="1:45">
      <c r="A400" s="30" t="s">
        <v>676</v>
      </c>
      <c r="B400" s="30" t="s">
        <v>633</v>
      </c>
      <c r="C400" s="30" t="s">
        <v>677</v>
      </c>
      <c r="D400" s="30" t="s">
        <v>1134</v>
      </c>
      <c r="E400" s="30" t="s">
        <v>1254</v>
      </c>
      <c r="F400" s="30" t="s">
        <v>134</v>
      </c>
      <c r="G400" s="30" t="s">
        <v>378</v>
      </c>
      <c r="H400" s="30" t="s">
        <v>680</v>
      </c>
      <c r="I400" s="31">
        <v>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0</v>
      </c>
      <c r="AC400" s="31">
        <v>0</v>
      </c>
      <c r="AD400" s="31">
        <v>0</v>
      </c>
      <c r="AE400" s="31">
        <v>0</v>
      </c>
      <c r="AF400" s="32">
        <v>74</v>
      </c>
      <c r="AG400" s="32">
        <v>77</v>
      </c>
      <c r="AH400" s="32">
        <v>51</v>
      </c>
      <c r="AI400" s="32">
        <v>47</v>
      </c>
      <c r="AJ400" s="32">
        <v>47</v>
      </c>
      <c r="AK400" s="32">
        <v>38</v>
      </c>
      <c r="AL400" s="32">
        <v>52</v>
      </c>
      <c r="AM400" s="32">
        <v>15</v>
      </c>
      <c r="AN400" s="32">
        <v>15</v>
      </c>
      <c r="AO400" s="32">
        <v>13</v>
      </c>
      <c r="AP400" s="32">
        <v>8</v>
      </c>
      <c r="AQ400" s="32">
        <v>5</v>
      </c>
      <c r="AR400" s="32">
        <v>2</v>
      </c>
      <c r="AS400" s="32">
        <v>7</v>
      </c>
    </row>
    <row r="401" spans="1:45">
      <c r="A401" s="30" t="s">
        <v>676</v>
      </c>
      <c r="B401" s="30" t="s">
        <v>633</v>
      </c>
      <c r="C401" s="30" t="s">
        <v>677</v>
      </c>
      <c r="D401" s="30" t="s">
        <v>1134</v>
      </c>
      <c r="E401" s="30" t="s">
        <v>1255</v>
      </c>
      <c r="F401" s="30" t="s">
        <v>141</v>
      </c>
      <c r="G401" s="30" t="s">
        <v>379</v>
      </c>
      <c r="H401" s="30" t="s">
        <v>680</v>
      </c>
      <c r="I401" s="31">
        <v>0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0</v>
      </c>
      <c r="AC401" s="31">
        <v>0</v>
      </c>
      <c r="AD401" s="31">
        <v>0</v>
      </c>
      <c r="AE401" s="31">
        <v>0</v>
      </c>
      <c r="AF401" s="31">
        <v>0</v>
      </c>
      <c r="AG401" s="32">
        <v>3</v>
      </c>
      <c r="AH401" s="32">
        <v>1</v>
      </c>
      <c r="AI401" s="32">
        <v>2</v>
      </c>
      <c r="AJ401" s="32">
        <v>106</v>
      </c>
      <c r="AK401" s="32">
        <v>217</v>
      </c>
      <c r="AL401" s="32">
        <v>368</v>
      </c>
      <c r="AM401" s="32">
        <v>218</v>
      </c>
      <c r="AN401" s="32">
        <v>317</v>
      </c>
      <c r="AO401" s="32">
        <v>287</v>
      </c>
      <c r="AP401" s="32">
        <v>336</v>
      </c>
      <c r="AQ401" s="32">
        <v>220</v>
      </c>
      <c r="AR401" s="32">
        <v>200</v>
      </c>
      <c r="AS401" s="32">
        <v>224</v>
      </c>
    </row>
    <row r="402" spans="1:45">
      <c r="A402" s="30" t="s">
        <v>676</v>
      </c>
      <c r="B402" s="30" t="s">
        <v>633</v>
      </c>
      <c r="C402" s="30" t="s">
        <v>677</v>
      </c>
      <c r="D402" s="30" t="s">
        <v>1134</v>
      </c>
      <c r="E402" s="30" t="s">
        <v>1256</v>
      </c>
      <c r="F402" s="30" t="s">
        <v>143</v>
      </c>
      <c r="G402" s="30" t="s">
        <v>380</v>
      </c>
      <c r="H402" s="30" t="s">
        <v>680</v>
      </c>
      <c r="I402" s="31">
        <v>0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0</v>
      </c>
      <c r="AC402" s="31">
        <v>0</v>
      </c>
      <c r="AD402" s="31">
        <v>0</v>
      </c>
      <c r="AE402" s="31">
        <v>0</v>
      </c>
      <c r="AF402" s="31">
        <v>0</v>
      </c>
      <c r="AG402" s="31">
        <v>0</v>
      </c>
      <c r="AH402" s="32">
        <v>15</v>
      </c>
      <c r="AI402" s="32">
        <v>207</v>
      </c>
      <c r="AJ402" s="32">
        <v>496</v>
      </c>
      <c r="AK402" s="32">
        <v>908</v>
      </c>
      <c r="AL402" s="32">
        <v>1253</v>
      </c>
      <c r="AM402" s="32">
        <v>758</v>
      </c>
      <c r="AN402" s="32">
        <v>536</v>
      </c>
      <c r="AO402" s="32">
        <v>879</v>
      </c>
      <c r="AP402" s="32">
        <v>913</v>
      </c>
      <c r="AQ402" s="32">
        <v>626</v>
      </c>
      <c r="AR402" s="32">
        <v>709</v>
      </c>
      <c r="AS402" s="32">
        <v>799</v>
      </c>
    </row>
    <row r="403" spans="1:45">
      <c r="A403" s="30" t="s">
        <v>676</v>
      </c>
      <c r="B403" s="30" t="s">
        <v>633</v>
      </c>
      <c r="C403" s="30" t="s">
        <v>677</v>
      </c>
      <c r="D403" s="30" t="s">
        <v>1134</v>
      </c>
      <c r="E403" s="30" t="s">
        <v>1257</v>
      </c>
      <c r="F403" s="30" t="s">
        <v>143</v>
      </c>
      <c r="G403" s="30" t="s">
        <v>381</v>
      </c>
      <c r="H403" s="30" t="s">
        <v>680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  <c r="AC403" s="31">
        <v>0</v>
      </c>
      <c r="AD403" s="31">
        <v>0</v>
      </c>
      <c r="AE403" s="31">
        <v>0</v>
      </c>
      <c r="AF403" s="31">
        <v>0</v>
      </c>
      <c r="AG403" s="31">
        <v>0</v>
      </c>
      <c r="AH403" s="32">
        <v>10</v>
      </c>
      <c r="AI403" s="32">
        <v>167</v>
      </c>
      <c r="AJ403" s="32">
        <v>493</v>
      </c>
      <c r="AK403" s="32">
        <v>847</v>
      </c>
      <c r="AL403" s="32">
        <v>1329</v>
      </c>
      <c r="AM403" s="32">
        <v>788</v>
      </c>
      <c r="AN403" s="32">
        <v>580</v>
      </c>
      <c r="AO403" s="32">
        <v>752</v>
      </c>
      <c r="AP403" s="32">
        <v>841</v>
      </c>
      <c r="AQ403" s="32">
        <v>573</v>
      </c>
      <c r="AR403" s="32">
        <v>600</v>
      </c>
      <c r="AS403" s="32">
        <v>591</v>
      </c>
    </row>
    <row r="404" spans="1:45">
      <c r="A404" s="30" t="s">
        <v>676</v>
      </c>
      <c r="B404" s="30" t="s">
        <v>633</v>
      </c>
      <c r="C404" s="30" t="s">
        <v>677</v>
      </c>
      <c r="D404" s="30" t="s">
        <v>1134</v>
      </c>
      <c r="E404" s="30" t="s">
        <v>1258</v>
      </c>
      <c r="F404" s="30" t="s">
        <v>143</v>
      </c>
      <c r="G404" s="30" t="s">
        <v>382</v>
      </c>
      <c r="H404" s="30" t="s">
        <v>680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  <c r="AC404" s="31">
        <v>0</v>
      </c>
      <c r="AD404" s="31">
        <v>0</v>
      </c>
      <c r="AE404" s="31">
        <v>0</v>
      </c>
      <c r="AF404" s="31">
        <v>0</v>
      </c>
      <c r="AG404" s="31">
        <v>0</v>
      </c>
      <c r="AH404" s="32">
        <v>9</v>
      </c>
      <c r="AI404" s="32">
        <v>77</v>
      </c>
      <c r="AJ404" s="32">
        <v>125</v>
      </c>
      <c r="AK404" s="32">
        <v>148</v>
      </c>
      <c r="AL404" s="32">
        <v>341</v>
      </c>
      <c r="AM404" s="32">
        <v>275</v>
      </c>
      <c r="AN404" s="32">
        <v>275</v>
      </c>
      <c r="AO404" s="32">
        <v>270</v>
      </c>
      <c r="AP404" s="32">
        <v>305</v>
      </c>
      <c r="AQ404" s="32">
        <v>172</v>
      </c>
      <c r="AR404" s="32">
        <v>179</v>
      </c>
      <c r="AS404" s="32">
        <v>190</v>
      </c>
    </row>
    <row r="405" spans="1:45">
      <c r="A405" s="30" t="s">
        <v>676</v>
      </c>
      <c r="B405" s="30" t="s">
        <v>633</v>
      </c>
      <c r="C405" s="30" t="s">
        <v>677</v>
      </c>
      <c r="D405" s="30" t="s">
        <v>1134</v>
      </c>
      <c r="E405" s="30" t="s">
        <v>1259</v>
      </c>
      <c r="F405" s="30" t="s">
        <v>143</v>
      </c>
      <c r="G405" s="30" t="s">
        <v>383</v>
      </c>
      <c r="H405" s="30" t="s">
        <v>680</v>
      </c>
      <c r="I405" s="31">
        <v>0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0</v>
      </c>
      <c r="AC405" s="31">
        <v>0</v>
      </c>
      <c r="AD405" s="31">
        <v>0</v>
      </c>
      <c r="AE405" s="31">
        <v>0</v>
      </c>
      <c r="AF405" s="31">
        <v>0</v>
      </c>
      <c r="AG405" s="31">
        <v>0</v>
      </c>
      <c r="AH405" s="32">
        <v>13</v>
      </c>
      <c r="AI405" s="32">
        <v>136</v>
      </c>
      <c r="AJ405" s="32">
        <v>240</v>
      </c>
      <c r="AK405" s="32">
        <v>264</v>
      </c>
      <c r="AL405" s="32">
        <v>667</v>
      </c>
      <c r="AM405" s="32">
        <v>387</v>
      </c>
      <c r="AN405" s="32">
        <v>238</v>
      </c>
      <c r="AO405" s="32">
        <v>300</v>
      </c>
      <c r="AP405" s="32">
        <v>381</v>
      </c>
      <c r="AQ405" s="32">
        <v>211</v>
      </c>
      <c r="AR405" s="32">
        <v>206</v>
      </c>
      <c r="AS405" s="32">
        <v>288</v>
      </c>
    </row>
    <row r="406" spans="1:45">
      <c r="A406" s="30" t="s">
        <v>676</v>
      </c>
      <c r="B406" s="30" t="s">
        <v>633</v>
      </c>
      <c r="C406" s="30" t="s">
        <v>677</v>
      </c>
      <c r="D406" s="30" t="s">
        <v>1134</v>
      </c>
      <c r="E406" s="30" t="s">
        <v>1260</v>
      </c>
      <c r="F406" s="30" t="s">
        <v>143</v>
      </c>
      <c r="G406" s="30" t="s">
        <v>384</v>
      </c>
      <c r="H406" s="30" t="s">
        <v>680</v>
      </c>
      <c r="I406" s="31">
        <v>0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0</v>
      </c>
      <c r="AC406" s="31">
        <v>0</v>
      </c>
      <c r="AD406" s="31">
        <v>0</v>
      </c>
      <c r="AE406" s="31">
        <v>0</v>
      </c>
      <c r="AF406" s="31">
        <v>0</v>
      </c>
      <c r="AG406" s="31">
        <v>0</v>
      </c>
      <c r="AH406" s="31">
        <v>0</v>
      </c>
      <c r="AI406" s="31">
        <v>0</v>
      </c>
      <c r="AJ406" s="31">
        <v>0</v>
      </c>
      <c r="AK406" s="31">
        <v>0</v>
      </c>
      <c r="AL406" s="31">
        <v>0</v>
      </c>
      <c r="AM406" s="31">
        <v>0</v>
      </c>
      <c r="AN406" s="31">
        <v>0</v>
      </c>
      <c r="AO406" s="31">
        <v>0</v>
      </c>
      <c r="AP406" s="32">
        <v>154</v>
      </c>
      <c r="AQ406" s="32">
        <v>338</v>
      </c>
      <c r="AR406" s="32">
        <v>347</v>
      </c>
      <c r="AS406" s="32">
        <v>503</v>
      </c>
    </row>
    <row r="407" spans="1:45">
      <c r="A407" s="30" t="s">
        <v>676</v>
      </c>
      <c r="B407" s="30" t="s">
        <v>633</v>
      </c>
      <c r="C407" s="30" t="s">
        <v>677</v>
      </c>
      <c r="D407" s="30" t="s">
        <v>1134</v>
      </c>
      <c r="E407" s="30" t="s">
        <v>1261</v>
      </c>
      <c r="F407" s="30" t="s">
        <v>143</v>
      </c>
      <c r="G407" s="30" t="s">
        <v>385</v>
      </c>
      <c r="H407" s="30" t="s">
        <v>680</v>
      </c>
      <c r="I407" s="31">
        <v>0</v>
      </c>
      <c r="J407" s="31">
        <v>0</v>
      </c>
      <c r="K407" s="31">
        <v>0</v>
      </c>
      <c r="L407" s="31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0</v>
      </c>
      <c r="AC407" s="31">
        <v>0</v>
      </c>
      <c r="AD407" s="31">
        <v>0</v>
      </c>
      <c r="AE407" s="31">
        <v>0</v>
      </c>
      <c r="AF407" s="31">
        <v>0</v>
      </c>
      <c r="AG407" s="31">
        <v>0</v>
      </c>
      <c r="AH407" s="31">
        <v>0</v>
      </c>
      <c r="AI407" s="31">
        <v>0</v>
      </c>
      <c r="AJ407" s="31">
        <v>0</v>
      </c>
      <c r="AK407" s="31">
        <v>0</v>
      </c>
      <c r="AL407" s="31">
        <v>0</v>
      </c>
      <c r="AM407" s="31">
        <v>0</v>
      </c>
      <c r="AN407" s="31">
        <v>0</v>
      </c>
      <c r="AO407" s="31">
        <v>0</v>
      </c>
      <c r="AP407" s="32">
        <v>84</v>
      </c>
      <c r="AQ407" s="32">
        <v>160</v>
      </c>
      <c r="AR407" s="32">
        <v>187</v>
      </c>
      <c r="AS407" s="32">
        <v>452</v>
      </c>
    </row>
    <row r="408" spans="1:45">
      <c r="A408" s="30" t="s">
        <v>676</v>
      </c>
      <c r="B408" s="30" t="s">
        <v>633</v>
      </c>
      <c r="C408" s="30" t="s">
        <v>677</v>
      </c>
      <c r="D408" s="30" t="s">
        <v>1134</v>
      </c>
      <c r="E408" s="30" t="s">
        <v>1262</v>
      </c>
      <c r="F408" s="30" t="s">
        <v>147</v>
      </c>
      <c r="G408" s="30" t="s">
        <v>1263</v>
      </c>
      <c r="H408" s="30" t="s">
        <v>680</v>
      </c>
      <c r="I408" s="32">
        <v>993</v>
      </c>
      <c r="J408" s="32">
        <v>1170.3094000000001</v>
      </c>
      <c r="K408" s="32">
        <v>1806</v>
      </c>
      <c r="L408" s="32">
        <v>1455</v>
      </c>
      <c r="M408" s="32">
        <v>1389</v>
      </c>
      <c r="N408" s="32">
        <v>1282</v>
      </c>
      <c r="O408" s="32">
        <v>1385</v>
      </c>
      <c r="P408" s="32">
        <v>1281</v>
      </c>
      <c r="Q408" s="32">
        <v>1712</v>
      </c>
      <c r="R408" s="32">
        <v>1254</v>
      </c>
      <c r="S408" s="32">
        <v>630</v>
      </c>
      <c r="T408" s="32">
        <v>444</v>
      </c>
      <c r="U408" s="32">
        <v>673</v>
      </c>
      <c r="V408" s="32">
        <v>748.39469999999994</v>
      </c>
      <c r="W408" s="32">
        <v>934</v>
      </c>
      <c r="X408" s="32">
        <v>1223</v>
      </c>
      <c r="Y408" s="32">
        <v>838</v>
      </c>
      <c r="Z408" s="32">
        <v>591.86030000000005</v>
      </c>
      <c r="AA408" s="32">
        <v>369</v>
      </c>
      <c r="AB408" s="32">
        <v>161</v>
      </c>
      <c r="AC408" s="32">
        <v>82</v>
      </c>
      <c r="AD408" s="32">
        <v>59</v>
      </c>
      <c r="AE408" s="32">
        <v>39</v>
      </c>
      <c r="AF408" s="32">
        <v>20</v>
      </c>
      <c r="AG408" s="32">
        <v>22</v>
      </c>
      <c r="AH408" s="32">
        <v>11</v>
      </c>
      <c r="AI408" s="32">
        <v>38</v>
      </c>
      <c r="AJ408" s="32">
        <v>19</v>
      </c>
      <c r="AK408" s="32">
        <v>29</v>
      </c>
      <c r="AL408" s="32">
        <v>16</v>
      </c>
      <c r="AM408" s="32">
        <v>12</v>
      </c>
      <c r="AN408" s="32">
        <v>16</v>
      </c>
      <c r="AO408" s="32">
        <v>8</v>
      </c>
      <c r="AP408" s="32">
        <v>10</v>
      </c>
      <c r="AQ408" s="32">
        <v>1</v>
      </c>
      <c r="AR408" s="31">
        <v>0</v>
      </c>
      <c r="AS408" s="32">
        <v>1</v>
      </c>
    </row>
    <row r="409" spans="1:45">
      <c r="A409" s="30" t="s">
        <v>676</v>
      </c>
      <c r="B409" s="30" t="s">
        <v>633</v>
      </c>
      <c r="C409" s="30" t="s">
        <v>677</v>
      </c>
      <c r="D409" s="30" t="s">
        <v>1134</v>
      </c>
      <c r="E409" s="30" t="s">
        <v>1264</v>
      </c>
      <c r="F409" s="30" t="s">
        <v>147</v>
      </c>
      <c r="G409" s="30" t="s">
        <v>1265</v>
      </c>
      <c r="H409" s="30" t="s">
        <v>680</v>
      </c>
      <c r="I409" s="32">
        <v>993</v>
      </c>
      <c r="J409" s="32">
        <v>1170.3094000000001</v>
      </c>
      <c r="K409" s="32">
        <v>1806</v>
      </c>
      <c r="L409" s="32">
        <v>1455</v>
      </c>
      <c r="M409" s="32">
        <v>1389</v>
      </c>
      <c r="N409" s="32">
        <v>1282</v>
      </c>
      <c r="O409" s="32">
        <v>1385</v>
      </c>
      <c r="P409" s="32">
        <v>1281</v>
      </c>
      <c r="Q409" s="32">
        <v>1712</v>
      </c>
      <c r="R409" s="32">
        <v>1254</v>
      </c>
      <c r="S409" s="32">
        <v>630</v>
      </c>
      <c r="T409" s="32">
        <v>444</v>
      </c>
      <c r="U409" s="32">
        <v>673</v>
      </c>
      <c r="V409" s="32">
        <v>748.39469999999994</v>
      </c>
      <c r="W409" s="32">
        <v>934</v>
      </c>
      <c r="X409" s="32">
        <v>1223</v>
      </c>
      <c r="Y409" s="32">
        <v>838</v>
      </c>
      <c r="Z409" s="32">
        <v>591.86030000000005</v>
      </c>
      <c r="AA409" s="32">
        <v>369</v>
      </c>
      <c r="AB409" s="32">
        <v>161</v>
      </c>
      <c r="AC409" s="32">
        <v>82</v>
      </c>
      <c r="AD409" s="32">
        <v>59</v>
      </c>
      <c r="AE409" s="32">
        <v>39</v>
      </c>
      <c r="AF409" s="32">
        <v>20</v>
      </c>
      <c r="AG409" s="32">
        <v>22</v>
      </c>
      <c r="AH409" s="32">
        <v>11</v>
      </c>
      <c r="AI409" s="32">
        <v>38</v>
      </c>
      <c r="AJ409" s="32">
        <v>19</v>
      </c>
      <c r="AK409" s="32">
        <v>29</v>
      </c>
      <c r="AL409" s="32">
        <v>16</v>
      </c>
      <c r="AM409" s="32">
        <v>12</v>
      </c>
      <c r="AN409" s="32">
        <v>16</v>
      </c>
      <c r="AO409" s="32">
        <v>8</v>
      </c>
      <c r="AP409" s="32">
        <v>10</v>
      </c>
      <c r="AQ409" s="32">
        <v>1</v>
      </c>
      <c r="AR409" s="31">
        <v>0</v>
      </c>
      <c r="AS409" s="32">
        <v>1</v>
      </c>
    </row>
    <row r="410" spans="1:45">
      <c r="A410" s="30" t="s">
        <v>676</v>
      </c>
      <c r="B410" s="30" t="s">
        <v>633</v>
      </c>
      <c r="C410" s="30" t="s">
        <v>677</v>
      </c>
      <c r="D410" s="30" t="s">
        <v>1134</v>
      </c>
      <c r="E410" s="30" t="s">
        <v>1266</v>
      </c>
      <c r="F410" s="30" t="s">
        <v>137</v>
      </c>
      <c r="G410" s="30" t="s">
        <v>1267</v>
      </c>
      <c r="H410" s="30" t="s">
        <v>680</v>
      </c>
      <c r="I410" s="32">
        <v>537</v>
      </c>
      <c r="J410" s="32">
        <v>556</v>
      </c>
      <c r="K410" s="32">
        <v>964</v>
      </c>
      <c r="L410" s="32">
        <v>936</v>
      </c>
      <c r="M410" s="32">
        <v>863</v>
      </c>
      <c r="N410" s="32">
        <v>665</v>
      </c>
      <c r="O410" s="32">
        <v>1001</v>
      </c>
      <c r="P410" s="32">
        <v>760</v>
      </c>
      <c r="Q410" s="32">
        <v>1015</v>
      </c>
      <c r="R410" s="32">
        <v>824</v>
      </c>
      <c r="S410" s="32">
        <v>666</v>
      </c>
      <c r="T410" s="32">
        <v>543</v>
      </c>
      <c r="U410" s="32">
        <v>718.21770000000004</v>
      </c>
      <c r="V410" s="32">
        <v>756.39469999999994</v>
      </c>
      <c r="W410" s="32">
        <v>919</v>
      </c>
      <c r="X410" s="32">
        <v>673</v>
      </c>
      <c r="Y410" s="32">
        <v>265</v>
      </c>
      <c r="Z410" s="32">
        <v>226</v>
      </c>
      <c r="AA410" s="32">
        <v>194</v>
      </c>
      <c r="AB410" s="32">
        <v>91</v>
      </c>
      <c r="AC410" s="32">
        <v>46</v>
      </c>
      <c r="AD410" s="32">
        <v>32</v>
      </c>
      <c r="AE410" s="32">
        <v>27</v>
      </c>
      <c r="AF410" s="32">
        <v>21</v>
      </c>
      <c r="AG410" s="32">
        <v>18</v>
      </c>
      <c r="AH410" s="32">
        <v>6</v>
      </c>
      <c r="AI410" s="32">
        <v>11</v>
      </c>
      <c r="AJ410" s="32">
        <v>3</v>
      </c>
      <c r="AK410" s="32">
        <v>3</v>
      </c>
      <c r="AL410" s="32">
        <v>7</v>
      </c>
      <c r="AM410" s="32">
        <v>7</v>
      </c>
      <c r="AN410" s="31">
        <v>0</v>
      </c>
      <c r="AO410" s="32">
        <v>2</v>
      </c>
      <c r="AP410" s="32">
        <v>1</v>
      </c>
      <c r="AQ410" s="32">
        <v>1</v>
      </c>
      <c r="AR410" s="31">
        <v>0</v>
      </c>
      <c r="AS410" s="31">
        <v>0</v>
      </c>
    </row>
    <row r="411" spans="1:45">
      <c r="A411" s="30" t="s">
        <v>676</v>
      </c>
      <c r="B411" s="30" t="s">
        <v>633</v>
      </c>
      <c r="C411" s="30" t="s">
        <v>677</v>
      </c>
      <c r="D411" s="30" t="s">
        <v>1134</v>
      </c>
      <c r="E411" s="30" t="s">
        <v>1268</v>
      </c>
      <c r="F411" s="30" t="s">
        <v>137</v>
      </c>
      <c r="G411" s="30" t="s">
        <v>1269</v>
      </c>
      <c r="H411" s="30" t="s">
        <v>680</v>
      </c>
      <c r="I411" s="32">
        <v>537</v>
      </c>
      <c r="J411" s="32">
        <v>556</v>
      </c>
      <c r="K411" s="32">
        <v>964</v>
      </c>
      <c r="L411" s="32">
        <v>936</v>
      </c>
      <c r="M411" s="32">
        <v>863</v>
      </c>
      <c r="N411" s="32">
        <v>665</v>
      </c>
      <c r="O411" s="32">
        <v>1001</v>
      </c>
      <c r="P411" s="32">
        <v>760</v>
      </c>
      <c r="Q411" s="32">
        <v>1015</v>
      </c>
      <c r="R411" s="32">
        <v>824</v>
      </c>
      <c r="S411" s="32">
        <v>666</v>
      </c>
      <c r="T411" s="32">
        <v>543</v>
      </c>
      <c r="U411" s="32">
        <v>718.21770000000004</v>
      </c>
      <c r="V411" s="32">
        <v>756.39469999999994</v>
      </c>
      <c r="W411" s="32">
        <v>919</v>
      </c>
      <c r="X411" s="32">
        <v>673</v>
      </c>
      <c r="Y411" s="32">
        <v>265</v>
      </c>
      <c r="Z411" s="32">
        <v>226</v>
      </c>
      <c r="AA411" s="32">
        <v>194</v>
      </c>
      <c r="AB411" s="32">
        <v>91</v>
      </c>
      <c r="AC411" s="32">
        <v>46</v>
      </c>
      <c r="AD411" s="32">
        <v>32</v>
      </c>
      <c r="AE411" s="32">
        <v>27</v>
      </c>
      <c r="AF411" s="32">
        <v>21</v>
      </c>
      <c r="AG411" s="32">
        <v>18</v>
      </c>
      <c r="AH411" s="32">
        <v>6</v>
      </c>
      <c r="AI411" s="32">
        <v>11</v>
      </c>
      <c r="AJ411" s="32">
        <v>3</v>
      </c>
      <c r="AK411" s="32">
        <v>3</v>
      </c>
      <c r="AL411" s="32">
        <v>7</v>
      </c>
      <c r="AM411" s="32">
        <v>7</v>
      </c>
      <c r="AN411" s="31">
        <v>0</v>
      </c>
      <c r="AO411" s="32">
        <v>2</v>
      </c>
      <c r="AP411" s="32">
        <v>1</v>
      </c>
      <c r="AQ411" s="32">
        <v>1</v>
      </c>
      <c r="AR411" s="31">
        <v>0</v>
      </c>
      <c r="AS411" s="31">
        <v>0</v>
      </c>
    </row>
    <row r="412" spans="1:45">
      <c r="A412" s="30" t="s">
        <v>676</v>
      </c>
      <c r="B412" s="30" t="s">
        <v>633</v>
      </c>
      <c r="C412" s="30" t="s">
        <v>677</v>
      </c>
      <c r="D412" s="30" t="s">
        <v>1134</v>
      </c>
      <c r="E412" s="30" t="s">
        <v>1270</v>
      </c>
      <c r="F412" s="30" t="s">
        <v>1164</v>
      </c>
      <c r="G412" s="30" t="s">
        <v>1271</v>
      </c>
      <c r="H412" s="30" t="s">
        <v>680</v>
      </c>
      <c r="I412" s="31">
        <v>0</v>
      </c>
      <c r="J412" s="31">
        <v>0</v>
      </c>
      <c r="K412" s="32">
        <v>1</v>
      </c>
      <c r="L412" s="32">
        <v>2</v>
      </c>
      <c r="M412" s="31">
        <v>0</v>
      </c>
      <c r="N412" s="31">
        <v>0</v>
      </c>
      <c r="O412" s="31">
        <v>0</v>
      </c>
      <c r="P412" s="32">
        <v>1</v>
      </c>
      <c r="Q412" s="32">
        <v>1</v>
      </c>
      <c r="R412" s="31">
        <v>0</v>
      </c>
      <c r="S412" s="31">
        <v>0</v>
      </c>
      <c r="T412" s="31">
        <v>0</v>
      </c>
      <c r="U412" s="31">
        <v>0</v>
      </c>
      <c r="V412" s="32">
        <v>2</v>
      </c>
      <c r="W412" s="31">
        <v>0</v>
      </c>
      <c r="X412" s="31">
        <v>0</v>
      </c>
      <c r="Y412" s="31">
        <v>0</v>
      </c>
      <c r="Z412" s="31">
        <v>0</v>
      </c>
      <c r="AA412" s="31">
        <v>0</v>
      </c>
      <c r="AB412" s="31">
        <v>0</v>
      </c>
      <c r="AC412" s="31">
        <v>0</v>
      </c>
      <c r="AD412" s="31">
        <v>0</v>
      </c>
      <c r="AE412" s="31">
        <v>0</v>
      </c>
      <c r="AF412" s="31">
        <v>0</v>
      </c>
      <c r="AG412" s="31">
        <v>0</v>
      </c>
      <c r="AH412" s="31">
        <v>0</v>
      </c>
      <c r="AI412" s="31">
        <v>0</v>
      </c>
      <c r="AJ412" s="32">
        <v>1</v>
      </c>
      <c r="AK412" s="31">
        <v>0</v>
      </c>
      <c r="AL412" s="32">
        <v>1</v>
      </c>
      <c r="AM412" s="31">
        <v>0</v>
      </c>
      <c r="AN412" s="31">
        <v>0</v>
      </c>
      <c r="AO412" s="31">
        <v>0</v>
      </c>
      <c r="AP412" s="31">
        <v>0</v>
      </c>
      <c r="AQ412" s="31">
        <v>0</v>
      </c>
      <c r="AR412" s="31">
        <v>0</v>
      </c>
      <c r="AS412" s="31">
        <v>0</v>
      </c>
    </row>
    <row r="413" spans="1:45">
      <c r="A413" s="30" t="s">
        <v>676</v>
      </c>
      <c r="B413" s="30" t="s">
        <v>633</v>
      </c>
      <c r="C413" s="30" t="s">
        <v>677</v>
      </c>
      <c r="D413" s="30" t="s">
        <v>1134</v>
      </c>
      <c r="E413" s="30" t="s">
        <v>1272</v>
      </c>
      <c r="F413" s="30" t="s">
        <v>1164</v>
      </c>
      <c r="G413" s="30" t="s">
        <v>1273</v>
      </c>
      <c r="H413" s="30" t="s">
        <v>680</v>
      </c>
      <c r="I413" s="31">
        <v>0</v>
      </c>
      <c r="J413" s="31">
        <v>0</v>
      </c>
      <c r="K413" s="32">
        <v>1</v>
      </c>
      <c r="L413" s="32">
        <v>2</v>
      </c>
      <c r="M413" s="31">
        <v>0</v>
      </c>
      <c r="N413" s="31">
        <v>0</v>
      </c>
      <c r="O413" s="31">
        <v>0</v>
      </c>
      <c r="P413" s="32">
        <v>1</v>
      </c>
      <c r="Q413" s="32">
        <v>1</v>
      </c>
      <c r="R413" s="31">
        <v>0</v>
      </c>
      <c r="S413" s="31">
        <v>0</v>
      </c>
      <c r="T413" s="31">
        <v>0</v>
      </c>
      <c r="U413" s="31">
        <v>0</v>
      </c>
      <c r="V413" s="32">
        <v>2</v>
      </c>
      <c r="W413" s="31">
        <v>0</v>
      </c>
      <c r="X413" s="31">
        <v>0</v>
      </c>
      <c r="Y413" s="31">
        <v>0</v>
      </c>
      <c r="Z413" s="31">
        <v>0</v>
      </c>
      <c r="AA413" s="31">
        <v>0</v>
      </c>
      <c r="AB413" s="31">
        <v>0</v>
      </c>
      <c r="AC413" s="31">
        <v>0</v>
      </c>
      <c r="AD413" s="31">
        <v>0</v>
      </c>
      <c r="AE413" s="31">
        <v>0</v>
      </c>
      <c r="AF413" s="31">
        <v>0</v>
      </c>
      <c r="AG413" s="31">
        <v>0</v>
      </c>
      <c r="AH413" s="31">
        <v>0</v>
      </c>
      <c r="AI413" s="31">
        <v>0</v>
      </c>
      <c r="AJ413" s="32">
        <v>1</v>
      </c>
      <c r="AK413" s="31">
        <v>0</v>
      </c>
      <c r="AL413" s="32">
        <v>1</v>
      </c>
      <c r="AM413" s="31">
        <v>0</v>
      </c>
      <c r="AN413" s="31">
        <v>0</v>
      </c>
      <c r="AO413" s="31">
        <v>0</v>
      </c>
      <c r="AP413" s="31">
        <v>0</v>
      </c>
      <c r="AQ413" s="31">
        <v>0</v>
      </c>
      <c r="AR413" s="31">
        <v>0</v>
      </c>
      <c r="AS413" s="31">
        <v>0</v>
      </c>
    </row>
    <row r="414" spans="1:45">
      <c r="A414" s="30" t="s">
        <v>676</v>
      </c>
      <c r="B414" s="30" t="s">
        <v>633</v>
      </c>
      <c r="C414" s="30" t="s">
        <v>677</v>
      </c>
      <c r="D414" s="30" t="s">
        <v>1134</v>
      </c>
      <c r="E414" s="30" t="s">
        <v>1274</v>
      </c>
      <c r="F414" s="30" t="s">
        <v>140</v>
      </c>
      <c r="G414" s="30" t="s">
        <v>1275</v>
      </c>
      <c r="H414" s="30" t="s">
        <v>680</v>
      </c>
      <c r="I414" s="32">
        <v>2</v>
      </c>
      <c r="J414" s="32">
        <v>7</v>
      </c>
      <c r="K414" s="32">
        <v>10</v>
      </c>
      <c r="L414" s="32">
        <v>1</v>
      </c>
      <c r="M414" s="32">
        <v>6</v>
      </c>
      <c r="N414" s="32">
        <v>8</v>
      </c>
      <c r="O414" s="32">
        <v>8</v>
      </c>
      <c r="P414" s="32">
        <v>1</v>
      </c>
      <c r="Q414" s="32">
        <v>8</v>
      </c>
      <c r="R414" s="32">
        <v>1</v>
      </c>
      <c r="S414" s="31">
        <v>0</v>
      </c>
      <c r="T414" s="32">
        <v>4</v>
      </c>
      <c r="U414" s="32">
        <v>1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0</v>
      </c>
      <c r="AC414" s="31">
        <v>0</v>
      </c>
      <c r="AD414" s="31">
        <v>0</v>
      </c>
      <c r="AE414" s="31">
        <v>0</v>
      </c>
      <c r="AF414" s="31">
        <v>0</v>
      </c>
      <c r="AG414" s="31">
        <v>0</v>
      </c>
      <c r="AH414" s="31">
        <v>0</v>
      </c>
      <c r="AI414" s="31">
        <v>0</v>
      </c>
      <c r="AJ414" s="31">
        <v>0</v>
      </c>
      <c r="AK414" s="31">
        <v>0</v>
      </c>
      <c r="AL414" s="31">
        <v>0</v>
      </c>
      <c r="AM414" s="31">
        <v>0</v>
      </c>
      <c r="AN414" s="31">
        <v>0</v>
      </c>
      <c r="AO414" s="31">
        <v>0</v>
      </c>
      <c r="AP414" s="31">
        <v>0</v>
      </c>
      <c r="AQ414" s="31">
        <v>0</v>
      </c>
      <c r="AR414" s="31">
        <v>0</v>
      </c>
      <c r="AS414" s="31">
        <v>0</v>
      </c>
    </row>
    <row r="415" spans="1:45">
      <c r="A415" s="30" t="s">
        <v>676</v>
      </c>
      <c r="B415" s="30" t="s">
        <v>633</v>
      </c>
      <c r="C415" s="30" t="s">
        <v>677</v>
      </c>
      <c r="D415" s="30" t="s">
        <v>1134</v>
      </c>
      <c r="E415" s="30" t="s">
        <v>1276</v>
      </c>
      <c r="F415" s="30" t="s">
        <v>140</v>
      </c>
      <c r="G415" s="30" t="s">
        <v>1277</v>
      </c>
      <c r="H415" s="30" t="s">
        <v>680</v>
      </c>
      <c r="I415" s="32">
        <v>2</v>
      </c>
      <c r="J415" s="32">
        <v>7</v>
      </c>
      <c r="K415" s="32">
        <v>10</v>
      </c>
      <c r="L415" s="32">
        <v>1</v>
      </c>
      <c r="M415" s="32">
        <v>6</v>
      </c>
      <c r="N415" s="32">
        <v>8</v>
      </c>
      <c r="O415" s="32">
        <v>8</v>
      </c>
      <c r="P415" s="32">
        <v>1</v>
      </c>
      <c r="Q415" s="32">
        <v>8</v>
      </c>
      <c r="R415" s="32">
        <v>1</v>
      </c>
      <c r="S415" s="31">
        <v>0</v>
      </c>
      <c r="T415" s="32">
        <v>4</v>
      </c>
      <c r="U415" s="32">
        <v>1</v>
      </c>
      <c r="V415" s="31">
        <v>0</v>
      </c>
      <c r="W415" s="31">
        <v>0</v>
      </c>
      <c r="X415" s="31">
        <v>0</v>
      </c>
      <c r="Y415" s="31">
        <v>0</v>
      </c>
      <c r="Z415" s="31">
        <v>0</v>
      </c>
      <c r="AA415" s="31">
        <v>0</v>
      </c>
      <c r="AB415" s="31">
        <v>0</v>
      </c>
      <c r="AC415" s="31">
        <v>0</v>
      </c>
      <c r="AD415" s="31">
        <v>0</v>
      </c>
      <c r="AE415" s="31">
        <v>0</v>
      </c>
      <c r="AF415" s="31">
        <v>0</v>
      </c>
      <c r="AG415" s="31">
        <v>0</v>
      </c>
      <c r="AH415" s="31">
        <v>0</v>
      </c>
      <c r="AI415" s="31">
        <v>0</v>
      </c>
      <c r="AJ415" s="31">
        <v>0</v>
      </c>
      <c r="AK415" s="31">
        <v>0</v>
      </c>
      <c r="AL415" s="31">
        <v>0</v>
      </c>
      <c r="AM415" s="31">
        <v>0</v>
      </c>
      <c r="AN415" s="31">
        <v>0</v>
      </c>
      <c r="AO415" s="31">
        <v>0</v>
      </c>
      <c r="AP415" s="31">
        <v>0</v>
      </c>
      <c r="AQ415" s="31">
        <v>0</v>
      </c>
      <c r="AR415" s="31">
        <v>0</v>
      </c>
      <c r="AS415" s="31">
        <v>0</v>
      </c>
    </row>
    <row r="416" spans="1:45">
      <c r="A416" s="30" t="s">
        <v>676</v>
      </c>
      <c r="B416" s="30" t="s">
        <v>633</v>
      </c>
      <c r="C416" s="30" t="s">
        <v>677</v>
      </c>
      <c r="D416" s="30" t="s">
        <v>1134</v>
      </c>
      <c r="E416" s="30" t="s">
        <v>1278</v>
      </c>
      <c r="F416" s="30" t="s">
        <v>140</v>
      </c>
      <c r="G416" s="30" t="s">
        <v>1279</v>
      </c>
      <c r="H416" s="30" t="s">
        <v>680</v>
      </c>
      <c r="I416" s="32">
        <v>1046</v>
      </c>
      <c r="J416" s="32">
        <v>1078</v>
      </c>
      <c r="K416" s="32">
        <v>1599</v>
      </c>
      <c r="L416" s="32">
        <v>1261</v>
      </c>
      <c r="M416" s="32">
        <v>1340</v>
      </c>
      <c r="N416" s="32">
        <v>1201</v>
      </c>
      <c r="O416" s="32">
        <v>1430</v>
      </c>
      <c r="P416" s="32">
        <v>1310</v>
      </c>
      <c r="Q416" s="32">
        <v>1548</v>
      </c>
      <c r="R416" s="32">
        <v>323</v>
      </c>
      <c r="S416" s="32">
        <v>150</v>
      </c>
      <c r="T416" s="32">
        <v>136</v>
      </c>
      <c r="U416" s="32">
        <v>109</v>
      </c>
      <c r="V416" s="32">
        <v>60</v>
      </c>
      <c r="W416" s="32">
        <v>58</v>
      </c>
      <c r="X416" s="32">
        <v>53</v>
      </c>
      <c r="Y416" s="32">
        <v>22</v>
      </c>
      <c r="Z416" s="32">
        <v>24</v>
      </c>
      <c r="AA416" s="32">
        <v>16</v>
      </c>
      <c r="AB416" s="32">
        <v>6</v>
      </c>
      <c r="AC416" s="32">
        <v>1</v>
      </c>
      <c r="AD416" s="32">
        <v>7</v>
      </c>
      <c r="AE416" s="32">
        <v>1</v>
      </c>
      <c r="AF416" s="31">
        <v>0</v>
      </c>
      <c r="AG416" s="32">
        <v>1</v>
      </c>
      <c r="AH416" s="32">
        <v>4</v>
      </c>
      <c r="AI416" s="31">
        <v>0</v>
      </c>
      <c r="AJ416" s="32">
        <v>2</v>
      </c>
      <c r="AK416" s="32">
        <v>1</v>
      </c>
      <c r="AL416" s="32">
        <v>3</v>
      </c>
      <c r="AM416" s="32">
        <v>7</v>
      </c>
      <c r="AN416" s="32">
        <v>6</v>
      </c>
      <c r="AO416" s="32">
        <v>3</v>
      </c>
      <c r="AP416" s="32">
        <v>6</v>
      </c>
      <c r="AQ416" s="32">
        <v>1</v>
      </c>
      <c r="AR416" s="31">
        <v>0</v>
      </c>
      <c r="AS416" s="32">
        <v>7</v>
      </c>
    </row>
    <row r="417" spans="1:45">
      <c r="A417" s="30" t="s">
        <v>676</v>
      </c>
      <c r="B417" s="30" t="s">
        <v>633</v>
      </c>
      <c r="C417" s="30" t="s">
        <v>677</v>
      </c>
      <c r="D417" s="30" t="s">
        <v>1134</v>
      </c>
      <c r="E417" s="30" t="s">
        <v>1280</v>
      </c>
      <c r="F417" s="30" t="s">
        <v>140</v>
      </c>
      <c r="G417" s="30" t="s">
        <v>1281</v>
      </c>
      <c r="H417" s="30" t="s">
        <v>680</v>
      </c>
      <c r="I417" s="32">
        <v>1046</v>
      </c>
      <c r="J417" s="32">
        <v>1078</v>
      </c>
      <c r="K417" s="32">
        <v>1599</v>
      </c>
      <c r="L417" s="32">
        <v>1261</v>
      </c>
      <c r="M417" s="32">
        <v>1340</v>
      </c>
      <c r="N417" s="32">
        <v>1201</v>
      </c>
      <c r="O417" s="32">
        <v>1430</v>
      </c>
      <c r="P417" s="32">
        <v>1310</v>
      </c>
      <c r="Q417" s="32">
        <v>1548</v>
      </c>
      <c r="R417" s="32">
        <v>323</v>
      </c>
      <c r="S417" s="32">
        <v>150</v>
      </c>
      <c r="T417" s="32">
        <v>136</v>
      </c>
      <c r="U417" s="32">
        <v>109</v>
      </c>
      <c r="V417" s="32">
        <v>60</v>
      </c>
      <c r="W417" s="32">
        <v>58</v>
      </c>
      <c r="X417" s="32">
        <v>53</v>
      </c>
      <c r="Y417" s="32">
        <v>22</v>
      </c>
      <c r="Z417" s="32">
        <v>24</v>
      </c>
      <c r="AA417" s="32">
        <v>16</v>
      </c>
      <c r="AB417" s="32">
        <v>6</v>
      </c>
      <c r="AC417" s="32">
        <v>1</v>
      </c>
      <c r="AD417" s="32">
        <v>7</v>
      </c>
      <c r="AE417" s="32">
        <v>1</v>
      </c>
      <c r="AF417" s="31">
        <v>0</v>
      </c>
      <c r="AG417" s="32">
        <v>1</v>
      </c>
      <c r="AH417" s="32">
        <v>4</v>
      </c>
      <c r="AI417" s="31">
        <v>0</v>
      </c>
      <c r="AJ417" s="32">
        <v>2</v>
      </c>
      <c r="AK417" s="32">
        <v>1</v>
      </c>
      <c r="AL417" s="32">
        <v>3</v>
      </c>
      <c r="AM417" s="32">
        <v>7</v>
      </c>
      <c r="AN417" s="32">
        <v>6</v>
      </c>
      <c r="AO417" s="32">
        <v>3</v>
      </c>
      <c r="AP417" s="32">
        <v>6</v>
      </c>
      <c r="AQ417" s="32">
        <v>1</v>
      </c>
      <c r="AR417" s="31">
        <v>0</v>
      </c>
      <c r="AS417" s="32">
        <v>7</v>
      </c>
    </row>
    <row r="418" spans="1:45">
      <c r="A418" s="30" t="s">
        <v>676</v>
      </c>
      <c r="B418" s="30" t="s">
        <v>633</v>
      </c>
      <c r="C418" s="30" t="s">
        <v>677</v>
      </c>
      <c r="D418" s="30" t="s">
        <v>1134</v>
      </c>
      <c r="E418" s="30" t="s">
        <v>1282</v>
      </c>
      <c r="F418" s="30" t="s">
        <v>147</v>
      </c>
      <c r="G418" s="30" t="s">
        <v>1283</v>
      </c>
      <c r="H418" s="30" t="s">
        <v>680</v>
      </c>
      <c r="I418" s="32">
        <v>26</v>
      </c>
      <c r="J418" s="32">
        <v>15</v>
      </c>
      <c r="K418" s="32">
        <v>13</v>
      </c>
      <c r="L418" s="32">
        <v>2</v>
      </c>
      <c r="M418" s="32">
        <v>3</v>
      </c>
      <c r="N418" s="32">
        <v>3</v>
      </c>
      <c r="O418" s="32">
        <v>3</v>
      </c>
      <c r="P418" s="32">
        <v>1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2">
        <v>2</v>
      </c>
      <c r="Z418" s="31">
        <v>0</v>
      </c>
      <c r="AA418" s="31">
        <v>0</v>
      </c>
      <c r="AB418" s="32">
        <v>1</v>
      </c>
      <c r="AC418" s="31">
        <v>0</v>
      </c>
      <c r="AD418" s="31">
        <v>0</v>
      </c>
      <c r="AE418" s="31">
        <v>0</v>
      </c>
      <c r="AF418" s="31">
        <v>0</v>
      </c>
      <c r="AG418" s="31">
        <v>0</v>
      </c>
      <c r="AH418" s="31">
        <v>0</v>
      </c>
      <c r="AI418" s="31">
        <v>0</v>
      </c>
      <c r="AJ418" s="31">
        <v>0</v>
      </c>
      <c r="AK418" s="31">
        <v>0</v>
      </c>
      <c r="AL418" s="31">
        <v>0</v>
      </c>
      <c r="AM418" s="31">
        <v>0</v>
      </c>
      <c r="AN418" s="31">
        <v>0</v>
      </c>
      <c r="AO418" s="31">
        <v>0</v>
      </c>
      <c r="AP418" s="31">
        <v>0</v>
      </c>
      <c r="AQ418" s="31">
        <v>0</v>
      </c>
      <c r="AR418" s="31">
        <v>0</v>
      </c>
      <c r="AS418" s="31">
        <v>0</v>
      </c>
    </row>
    <row r="419" spans="1:45">
      <c r="A419" s="30" t="s">
        <v>676</v>
      </c>
      <c r="B419" s="30" t="s">
        <v>633</v>
      </c>
      <c r="C419" s="30" t="s">
        <v>677</v>
      </c>
      <c r="D419" s="30" t="s">
        <v>1134</v>
      </c>
      <c r="E419" s="30" t="s">
        <v>1284</v>
      </c>
      <c r="F419" s="30" t="s">
        <v>147</v>
      </c>
      <c r="G419" s="30" t="s">
        <v>1285</v>
      </c>
      <c r="H419" s="30" t="s">
        <v>680</v>
      </c>
      <c r="I419" s="32">
        <v>26</v>
      </c>
      <c r="J419" s="32">
        <v>15</v>
      </c>
      <c r="K419" s="32">
        <v>13</v>
      </c>
      <c r="L419" s="32">
        <v>2</v>
      </c>
      <c r="M419" s="32">
        <v>3</v>
      </c>
      <c r="N419" s="32">
        <v>3</v>
      </c>
      <c r="O419" s="32">
        <v>3</v>
      </c>
      <c r="P419" s="32">
        <v>1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2">
        <v>2</v>
      </c>
      <c r="Z419" s="31">
        <v>0</v>
      </c>
      <c r="AA419" s="31">
        <v>0</v>
      </c>
      <c r="AB419" s="32">
        <v>1</v>
      </c>
      <c r="AC419" s="31">
        <v>0</v>
      </c>
      <c r="AD419" s="31">
        <v>0</v>
      </c>
      <c r="AE419" s="31">
        <v>0</v>
      </c>
      <c r="AF419" s="31">
        <v>0</v>
      </c>
      <c r="AG419" s="31">
        <v>0</v>
      </c>
      <c r="AH419" s="31">
        <v>0</v>
      </c>
      <c r="AI419" s="31">
        <v>0</v>
      </c>
      <c r="AJ419" s="31">
        <v>0</v>
      </c>
      <c r="AK419" s="31">
        <v>0</v>
      </c>
      <c r="AL419" s="31">
        <v>0</v>
      </c>
      <c r="AM419" s="31">
        <v>0</v>
      </c>
      <c r="AN419" s="31">
        <v>0</v>
      </c>
      <c r="AO419" s="31">
        <v>0</v>
      </c>
      <c r="AP419" s="31">
        <v>0</v>
      </c>
      <c r="AQ419" s="31">
        <v>0</v>
      </c>
      <c r="AR419" s="31">
        <v>0</v>
      </c>
      <c r="AS419" s="31">
        <v>0</v>
      </c>
    </row>
    <row r="420" spans="1:45">
      <c r="A420" s="30" t="s">
        <v>676</v>
      </c>
      <c r="B420" s="30" t="s">
        <v>633</v>
      </c>
      <c r="C420" s="30" t="s">
        <v>677</v>
      </c>
      <c r="D420" s="30" t="s">
        <v>1134</v>
      </c>
      <c r="E420" s="30" t="s">
        <v>1286</v>
      </c>
      <c r="F420" s="30" t="s">
        <v>1164</v>
      </c>
      <c r="G420" s="30" t="s">
        <v>1287</v>
      </c>
      <c r="H420" s="30" t="s">
        <v>680</v>
      </c>
      <c r="I420" s="32">
        <v>13</v>
      </c>
      <c r="J420" s="32">
        <v>10</v>
      </c>
      <c r="K420" s="32">
        <v>2</v>
      </c>
      <c r="L420" s="32">
        <v>6</v>
      </c>
      <c r="M420" s="32">
        <v>6</v>
      </c>
      <c r="N420" s="32">
        <v>5</v>
      </c>
      <c r="O420" s="32">
        <v>3</v>
      </c>
      <c r="P420" s="31">
        <v>0</v>
      </c>
      <c r="Q420" s="32">
        <v>3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0</v>
      </c>
      <c r="Z420" s="31">
        <v>0</v>
      </c>
      <c r="AA420" s="31">
        <v>0</v>
      </c>
      <c r="AB420" s="32">
        <v>1</v>
      </c>
      <c r="AC420" s="31">
        <v>0</v>
      </c>
      <c r="AD420" s="32">
        <v>4</v>
      </c>
      <c r="AE420" s="32">
        <v>1</v>
      </c>
      <c r="AF420" s="32">
        <v>3</v>
      </c>
      <c r="AG420" s="31">
        <v>0</v>
      </c>
      <c r="AH420" s="31">
        <v>0</v>
      </c>
      <c r="AI420" s="31">
        <v>0</v>
      </c>
      <c r="AJ420" s="31">
        <v>0</v>
      </c>
      <c r="AK420" s="31">
        <v>0</v>
      </c>
      <c r="AL420" s="31">
        <v>0</v>
      </c>
      <c r="AM420" s="31">
        <v>0</v>
      </c>
      <c r="AN420" s="31">
        <v>0</v>
      </c>
      <c r="AO420" s="31">
        <v>0</v>
      </c>
      <c r="AP420" s="31">
        <v>0</v>
      </c>
      <c r="AQ420" s="31">
        <v>0</v>
      </c>
      <c r="AR420" s="31">
        <v>0</v>
      </c>
      <c r="AS420" s="31">
        <v>0</v>
      </c>
    </row>
    <row r="421" spans="1:45">
      <c r="A421" s="30" t="s">
        <v>676</v>
      </c>
      <c r="B421" s="30" t="s">
        <v>633</v>
      </c>
      <c r="C421" s="30" t="s">
        <v>677</v>
      </c>
      <c r="D421" s="30" t="s">
        <v>1134</v>
      </c>
      <c r="E421" s="30" t="s">
        <v>1288</v>
      </c>
      <c r="F421" s="30" t="s">
        <v>1164</v>
      </c>
      <c r="G421" s="30" t="s">
        <v>1289</v>
      </c>
      <c r="H421" s="30" t="s">
        <v>680</v>
      </c>
      <c r="I421" s="32">
        <v>13</v>
      </c>
      <c r="J421" s="32">
        <v>10</v>
      </c>
      <c r="K421" s="32">
        <v>2</v>
      </c>
      <c r="L421" s="32">
        <v>6</v>
      </c>
      <c r="M421" s="32">
        <v>6</v>
      </c>
      <c r="N421" s="32">
        <v>5</v>
      </c>
      <c r="O421" s="32">
        <v>3</v>
      </c>
      <c r="P421" s="31">
        <v>0</v>
      </c>
      <c r="Q421" s="32">
        <v>3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2">
        <v>1</v>
      </c>
      <c r="AC421" s="31">
        <v>0</v>
      </c>
      <c r="AD421" s="32">
        <v>4</v>
      </c>
      <c r="AE421" s="32">
        <v>1</v>
      </c>
      <c r="AF421" s="32">
        <v>3</v>
      </c>
      <c r="AG421" s="31">
        <v>0</v>
      </c>
      <c r="AH421" s="31">
        <v>0</v>
      </c>
      <c r="AI421" s="31">
        <v>0</v>
      </c>
      <c r="AJ421" s="31">
        <v>0</v>
      </c>
      <c r="AK421" s="31">
        <v>0</v>
      </c>
      <c r="AL421" s="31">
        <v>0</v>
      </c>
      <c r="AM421" s="31">
        <v>0</v>
      </c>
      <c r="AN421" s="31">
        <v>0</v>
      </c>
      <c r="AO421" s="31">
        <v>0</v>
      </c>
      <c r="AP421" s="31">
        <v>0</v>
      </c>
      <c r="AQ421" s="31">
        <v>0</v>
      </c>
      <c r="AR421" s="31">
        <v>0</v>
      </c>
      <c r="AS421" s="31">
        <v>0</v>
      </c>
    </row>
    <row r="422" spans="1:45">
      <c r="A422" s="30" t="s">
        <v>676</v>
      </c>
      <c r="B422" s="30" t="s">
        <v>633</v>
      </c>
      <c r="C422" s="30" t="s">
        <v>677</v>
      </c>
      <c r="D422" s="30" t="s">
        <v>1134</v>
      </c>
      <c r="E422" s="30" t="s">
        <v>1290</v>
      </c>
      <c r="F422" s="30" t="s">
        <v>133</v>
      </c>
      <c r="G422" s="30" t="s">
        <v>1291</v>
      </c>
      <c r="H422" s="30" t="s">
        <v>680</v>
      </c>
      <c r="I422" s="32">
        <v>928</v>
      </c>
      <c r="J422" s="32">
        <v>977</v>
      </c>
      <c r="K422" s="32">
        <v>1639</v>
      </c>
      <c r="L422" s="32">
        <v>968</v>
      </c>
      <c r="M422" s="32">
        <v>1064</v>
      </c>
      <c r="N422" s="32">
        <v>972</v>
      </c>
      <c r="O422" s="32">
        <v>1028</v>
      </c>
      <c r="P422" s="32">
        <v>838</v>
      </c>
      <c r="Q422" s="32">
        <v>976</v>
      </c>
      <c r="R422" s="32">
        <v>1066</v>
      </c>
      <c r="S422" s="32">
        <v>332</v>
      </c>
      <c r="T422" s="32">
        <v>120</v>
      </c>
      <c r="U422" s="32">
        <v>55</v>
      </c>
      <c r="V422" s="32">
        <v>21</v>
      </c>
      <c r="W422" s="32">
        <v>7</v>
      </c>
      <c r="X422" s="32">
        <v>9</v>
      </c>
      <c r="Y422" s="32">
        <v>14</v>
      </c>
      <c r="Z422" s="32">
        <v>10</v>
      </c>
      <c r="AA422" s="32">
        <v>8</v>
      </c>
      <c r="AB422" s="32">
        <v>8</v>
      </c>
      <c r="AC422" s="32">
        <v>3</v>
      </c>
      <c r="AD422" s="31">
        <v>0</v>
      </c>
      <c r="AE422" s="31">
        <v>0</v>
      </c>
      <c r="AF422" s="31">
        <v>0</v>
      </c>
      <c r="AG422" s="31">
        <v>0</v>
      </c>
      <c r="AH422" s="31">
        <v>0</v>
      </c>
      <c r="AI422" s="31">
        <v>0</v>
      </c>
      <c r="AJ422" s="31">
        <v>0</v>
      </c>
      <c r="AK422" s="31">
        <v>0</v>
      </c>
      <c r="AL422" s="31">
        <v>0</v>
      </c>
      <c r="AM422" s="31">
        <v>0</v>
      </c>
      <c r="AN422" s="31">
        <v>0</v>
      </c>
      <c r="AO422" s="31">
        <v>0</v>
      </c>
      <c r="AP422" s="31">
        <v>0</v>
      </c>
      <c r="AQ422" s="31">
        <v>0</v>
      </c>
      <c r="AR422" s="31">
        <v>0</v>
      </c>
      <c r="AS422" s="31">
        <v>0</v>
      </c>
    </row>
    <row r="423" spans="1:45">
      <c r="A423" s="30" t="s">
        <v>676</v>
      </c>
      <c r="B423" s="30" t="s">
        <v>633</v>
      </c>
      <c r="C423" s="30" t="s">
        <v>677</v>
      </c>
      <c r="D423" s="30" t="s">
        <v>1134</v>
      </c>
      <c r="E423" s="30" t="s">
        <v>1292</v>
      </c>
      <c r="F423" s="30" t="s">
        <v>133</v>
      </c>
      <c r="G423" s="30" t="s">
        <v>1293</v>
      </c>
      <c r="H423" s="30" t="s">
        <v>680</v>
      </c>
      <c r="I423" s="32">
        <v>928</v>
      </c>
      <c r="J423" s="32">
        <v>977</v>
      </c>
      <c r="K423" s="32">
        <v>1639</v>
      </c>
      <c r="L423" s="32">
        <v>968</v>
      </c>
      <c r="M423" s="32">
        <v>1064</v>
      </c>
      <c r="N423" s="32">
        <v>972</v>
      </c>
      <c r="O423" s="32">
        <v>1028</v>
      </c>
      <c r="P423" s="32">
        <v>838</v>
      </c>
      <c r="Q423" s="32">
        <v>976</v>
      </c>
      <c r="R423" s="32">
        <v>1066</v>
      </c>
      <c r="S423" s="32">
        <v>332</v>
      </c>
      <c r="T423" s="32">
        <v>120</v>
      </c>
      <c r="U423" s="32">
        <v>55</v>
      </c>
      <c r="V423" s="32">
        <v>21</v>
      </c>
      <c r="W423" s="32">
        <v>7</v>
      </c>
      <c r="X423" s="32">
        <v>9</v>
      </c>
      <c r="Y423" s="32">
        <v>14</v>
      </c>
      <c r="Z423" s="32">
        <v>10</v>
      </c>
      <c r="AA423" s="32">
        <v>8</v>
      </c>
      <c r="AB423" s="32">
        <v>8</v>
      </c>
      <c r="AC423" s="32">
        <v>3</v>
      </c>
      <c r="AD423" s="31">
        <v>0</v>
      </c>
      <c r="AE423" s="31">
        <v>0</v>
      </c>
      <c r="AF423" s="31">
        <v>0</v>
      </c>
      <c r="AG423" s="31">
        <v>0</v>
      </c>
      <c r="AH423" s="31">
        <v>0</v>
      </c>
      <c r="AI423" s="31">
        <v>0</v>
      </c>
      <c r="AJ423" s="31">
        <v>0</v>
      </c>
      <c r="AK423" s="31">
        <v>0</v>
      </c>
      <c r="AL423" s="31">
        <v>0</v>
      </c>
      <c r="AM423" s="31">
        <v>0</v>
      </c>
      <c r="AN423" s="31">
        <v>0</v>
      </c>
      <c r="AO423" s="31">
        <v>0</v>
      </c>
      <c r="AP423" s="31">
        <v>0</v>
      </c>
      <c r="AQ423" s="31">
        <v>0</v>
      </c>
      <c r="AR423" s="31">
        <v>0</v>
      </c>
      <c r="AS423" s="31">
        <v>0</v>
      </c>
    </row>
    <row r="424" spans="1:45">
      <c r="A424" s="30" t="s">
        <v>676</v>
      </c>
      <c r="B424" s="30" t="s">
        <v>633</v>
      </c>
      <c r="C424" s="30" t="s">
        <v>677</v>
      </c>
      <c r="D424" s="30" t="s">
        <v>1134</v>
      </c>
      <c r="E424" s="30" t="s">
        <v>1294</v>
      </c>
      <c r="F424" s="30" t="s">
        <v>138</v>
      </c>
      <c r="G424" s="30" t="s">
        <v>1295</v>
      </c>
      <c r="H424" s="30" t="s">
        <v>680</v>
      </c>
      <c r="I424" s="32">
        <v>10</v>
      </c>
      <c r="J424" s="32">
        <v>5</v>
      </c>
      <c r="K424" s="32">
        <v>6</v>
      </c>
      <c r="L424" s="32">
        <v>4</v>
      </c>
      <c r="M424" s="32">
        <v>1</v>
      </c>
      <c r="N424" s="32">
        <v>2</v>
      </c>
      <c r="O424" s="32">
        <v>9</v>
      </c>
      <c r="P424" s="32">
        <v>4</v>
      </c>
      <c r="Q424" s="32">
        <v>1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  <c r="AC424" s="31">
        <v>0</v>
      </c>
      <c r="AD424" s="31">
        <v>0</v>
      </c>
      <c r="AE424" s="31">
        <v>0</v>
      </c>
      <c r="AF424" s="31">
        <v>0</v>
      </c>
      <c r="AG424" s="31">
        <v>0</v>
      </c>
      <c r="AH424" s="31">
        <v>0</v>
      </c>
      <c r="AI424" s="31">
        <v>0</v>
      </c>
      <c r="AJ424" s="31">
        <v>0</v>
      </c>
      <c r="AK424" s="31">
        <v>0</v>
      </c>
      <c r="AL424" s="31">
        <v>0</v>
      </c>
      <c r="AM424" s="31">
        <v>0</v>
      </c>
      <c r="AN424" s="31">
        <v>0</v>
      </c>
      <c r="AO424" s="31">
        <v>0</v>
      </c>
      <c r="AP424" s="31">
        <v>0</v>
      </c>
      <c r="AQ424" s="31">
        <v>0</v>
      </c>
      <c r="AR424" s="31">
        <v>0</v>
      </c>
      <c r="AS424" s="31">
        <v>0</v>
      </c>
    </row>
    <row r="425" spans="1:45">
      <c r="A425" s="30" t="s">
        <v>676</v>
      </c>
      <c r="B425" s="30" t="s">
        <v>633</v>
      </c>
      <c r="C425" s="30" t="s">
        <v>677</v>
      </c>
      <c r="D425" s="30" t="s">
        <v>1134</v>
      </c>
      <c r="E425" s="30" t="s">
        <v>1296</v>
      </c>
      <c r="F425" s="30" t="s">
        <v>138</v>
      </c>
      <c r="G425" s="30" t="s">
        <v>1297</v>
      </c>
      <c r="H425" s="30" t="s">
        <v>680</v>
      </c>
      <c r="I425" s="32">
        <v>10</v>
      </c>
      <c r="J425" s="32">
        <v>5</v>
      </c>
      <c r="K425" s="32">
        <v>6</v>
      </c>
      <c r="L425" s="32">
        <v>4</v>
      </c>
      <c r="M425" s="32">
        <v>1</v>
      </c>
      <c r="N425" s="32">
        <v>2</v>
      </c>
      <c r="O425" s="32">
        <v>9</v>
      </c>
      <c r="P425" s="32">
        <v>4</v>
      </c>
      <c r="Q425" s="32">
        <v>1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  <c r="AC425" s="31">
        <v>0</v>
      </c>
      <c r="AD425" s="31">
        <v>0</v>
      </c>
      <c r="AE425" s="31">
        <v>0</v>
      </c>
      <c r="AF425" s="31">
        <v>0</v>
      </c>
      <c r="AG425" s="31">
        <v>0</v>
      </c>
      <c r="AH425" s="31">
        <v>0</v>
      </c>
      <c r="AI425" s="31">
        <v>0</v>
      </c>
      <c r="AJ425" s="31">
        <v>0</v>
      </c>
      <c r="AK425" s="31">
        <v>0</v>
      </c>
      <c r="AL425" s="31">
        <v>0</v>
      </c>
      <c r="AM425" s="31">
        <v>0</v>
      </c>
      <c r="AN425" s="31">
        <v>0</v>
      </c>
      <c r="AO425" s="31">
        <v>0</v>
      </c>
      <c r="AP425" s="31">
        <v>0</v>
      </c>
      <c r="AQ425" s="31">
        <v>0</v>
      </c>
      <c r="AR425" s="31">
        <v>0</v>
      </c>
      <c r="AS425" s="31">
        <v>0</v>
      </c>
    </row>
    <row r="426" spans="1:45">
      <c r="A426" s="30" t="s">
        <v>676</v>
      </c>
      <c r="B426" s="30" t="s">
        <v>633</v>
      </c>
      <c r="C426" s="30" t="s">
        <v>677</v>
      </c>
      <c r="D426" s="30" t="s">
        <v>1134</v>
      </c>
      <c r="E426" s="30" t="s">
        <v>1298</v>
      </c>
      <c r="F426" s="30" t="s">
        <v>140</v>
      </c>
      <c r="G426" s="30" t="s">
        <v>1299</v>
      </c>
      <c r="H426" s="30" t="s">
        <v>680</v>
      </c>
      <c r="I426" s="32">
        <v>28</v>
      </c>
      <c r="J426" s="32">
        <v>19</v>
      </c>
      <c r="K426" s="32">
        <v>17</v>
      </c>
      <c r="L426" s="32">
        <v>17</v>
      </c>
      <c r="M426" s="32">
        <v>16</v>
      </c>
      <c r="N426" s="32">
        <v>4</v>
      </c>
      <c r="O426" s="32">
        <v>2</v>
      </c>
      <c r="P426" s="32">
        <v>2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  <c r="AC426" s="31">
        <v>0</v>
      </c>
      <c r="AD426" s="31">
        <v>0</v>
      </c>
      <c r="AE426" s="31">
        <v>0</v>
      </c>
      <c r="AF426" s="31">
        <v>0</v>
      </c>
      <c r="AG426" s="31">
        <v>0</v>
      </c>
      <c r="AH426" s="31">
        <v>0</v>
      </c>
      <c r="AI426" s="31">
        <v>0</v>
      </c>
      <c r="AJ426" s="31">
        <v>0</v>
      </c>
      <c r="AK426" s="31">
        <v>0</v>
      </c>
      <c r="AL426" s="31">
        <v>0</v>
      </c>
      <c r="AM426" s="31">
        <v>0</v>
      </c>
      <c r="AN426" s="31">
        <v>0</v>
      </c>
      <c r="AO426" s="31">
        <v>0</v>
      </c>
      <c r="AP426" s="31">
        <v>0</v>
      </c>
      <c r="AQ426" s="31">
        <v>0</v>
      </c>
      <c r="AR426" s="31">
        <v>0</v>
      </c>
      <c r="AS426" s="31">
        <v>0</v>
      </c>
    </row>
    <row r="427" spans="1:45">
      <c r="A427" s="30" t="s">
        <v>676</v>
      </c>
      <c r="B427" s="30" t="s">
        <v>633</v>
      </c>
      <c r="C427" s="30" t="s">
        <v>677</v>
      </c>
      <c r="D427" s="30" t="s">
        <v>1134</v>
      </c>
      <c r="E427" s="30" t="s">
        <v>1300</v>
      </c>
      <c r="F427" s="30" t="s">
        <v>140</v>
      </c>
      <c r="G427" s="30" t="s">
        <v>1301</v>
      </c>
      <c r="H427" s="30" t="s">
        <v>680</v>
      </c>
      <c r="I427" s="32">
        <v>28</v>
      </c>
      <c r="J427" s="32">
        <v>19</v>
      </c>
      <c r="K427" s="32">
        <v>17</v>
      </c>
      <c r="L427" s="32">
        <v>17</v>
      </c>
      <c r="M427" s="32">
        <v>16</v>
      </c>
      <c r="N427" s="32">
        <v>4</v>
      </c>
      <c r="O427" s="32">
        <v>2</v>
      </c>
      <c r="P427" s="32">
        <v>2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  <c r="AC427" s="31">
        <v>0</v>
      </c>
      <c r="AD427" s="31">
        <v>0</v>
      </c>
      <c r="AE427" s="31">
        <v>0</v>
      </c>
      <c r="AF427" s="31">
        <v>0</v>
      </c>
      <c r="AG427" s="31">
        <v>0</v>
      </c>
      <c r="AH427" s="31">
        <v>0</v>
      </c>
      <c r="AI427" s="31">
        <v>0</v>
      </c>
      <c r="AJ427" s="31">
        <v>0</v>
      </c>
      <c r="AK427" s="31">
        <v>0</v>
      </c>
      <c r="AL427" s="31">
        <v>0</v>
      </c>
      <c r="AM427" s="31">
        <v>0</v>
      </c>
      <c r="AN427" s="31">
        <v>0</v>
      </c>
      <c r="AO427" s="31">
        <v>0</v>
      </c>
      <c r="AP427" s="31">
        <v>0</v>
      </c>
      <c r="AQ427" s="31">
        <v>0</v>
      </c>
      <c r="AR427" s="31">
        <v>0</v>
      </c>
      <c r="AS427" s="31">
        <v>0</v>
      </c>
    </row>
    <row r="428" spans="1:45">
      <c r="A428" s="30" t="s">
        <v>676</v>
      </c>
      <c r="B428" s="30" t="s">
        <v>633</v>
      </c>
      <c r="C428" s="30" t="s">
        <v>677</v>
      </c>
      <c r="D428" s="30" t="s">
        <v>1134</v>
      </c>
      <c r="E428" s="30" t="s">
        <v>1302</v>
      </c>
      <c r="F428" s="30" t="s">
        <v>140</v>
      </c>
      <c r="G428" s="30" t="s">
        <v>1303</v>
      </c>
      <c r="H428" s="30" t="s">
        <v>680</v>
      </c>
      <c r="I428" s="32">
        <v>456</v>
      </c>
      <c r="J428" s="32">
        <v>565</v>
      </c>
      <c r="K428" s="32">
        <v>1015</v>
      </c>
      <c r="L428" s="32">
        <v>754</v>
      </c>
      <c r="M428" s="32">
        <v>692</v>
      </c>
      <c r="N428" s="32">
        <v>670</v>
      </c>
      <c r="O428" s="32">
        <v>842</v>
      </c>
      <c r="P428" s="32">
        <v>576</v>
      </c>
      <c r="Q428" s="32">
        <v>787</v>
      </c>
      <c r="R428" s="32">
        <v>567</v>
      </c>
      <c r="S428" s="32">
        <v>402</v>
      </c>
      <c r="T428" s="32">
        <v>391</v>
      </c>
      <c r="U428" s="32">
        <v>349</v>
      </c>
      <c r="V428" s="32">
        <v>143</v>
      </c>
      <c r="W428" s="32">
        <v>83</v>
      </c>
      <c r="X428" s="32">
        <v>64</v>
      </c>
      <c r="Y428" s="32">
        <v>33</v>
      </c>
      <c r="Z428" s="32">
        <v>32</v>
      </c>
      <c r="AA428" s="32">
        <v>21</v>
      </c>
      <c r="AB428" s="32">
        <v>6</v>
      </c>
      <c r="AC428" s="32">
        <v>6</v>
      </c>
      <c r="AD428" s="32">
        <v>5</v>
      </c>
      <c r="AE428" s="31">
        <v>0</v>
      </c>
      <c r="AF428" s="32">
        <v>1</v>
      </c>
      <c r="AG428" s="32">
        <v>1</v>
      </c>
      <c r="AH428" s="31">
        <v>0</v>
      </c>
      <c r="AI428" s="31">
        <v>0</v>
      </c>
      <c r="AJ428" s="31">
        <v>0</v>
      </c>
      <c r="AK428" s="31">
        <v>0</v>
      </c>
      <c r="AL428" s="31">
        <v>0</v>
      </c>
      <c r="AM428" s="31">
        <v>0</v>
      </c>
      <c r="AN428" s="31">
        <v>0</v>
      </c>
      <c r="AO428" s="31">
        <v>0</v>
      </c>
      <c r="AP428" s="31">
        <v>0</v>
      </c>
      <c r="AQ428" s="31">
        <v>0</v>
      </c>
      <c r="AR428" s="31">
        <v>0</v>
      </c>
      <c r="AS428" s="31">
        <v>0</v>
      </c>
    </row>
    <row r="429" spans="1:45">
      <c r="A429" s="30" t="s">
        <v>676</v>
      </c>
      <c r="B429" s="30" t="s">
        <v>633</v>
      </c>
      <c r="C429" s="30" t="s">
        <v>677</v>
      </c>
      <c r="D429" s="30" t="s">
        <v>1134</v>
      </c>
      <c r="E429" s="30" t="s">
        <v>1304</v>
      </c>
      <c r="F429" s="30" t="s">
        <v>140</v>
      </c>
      <c r="G429" s="30" t="s">
        <v>1305</v>
      </c>
      <c r="H429" s="30" t="s">
        <v>680</v>
      </c>
      <c r="I429" s="32">
        <v>456</v>
      </c>
      <c r="J429" s="32">
        <v>565</v>
      </c>
      <c r="K429" s="32">
        <v>1015</v>
      </c>
      <c r="L429" s="32">
        <v>754</v>
      </c>
      <c r="M429" s="32">
        <v>692</v>
      </c>
      <c r="N429" s="32">
        <v>670</v>
      </c>
      <c r="O429" s="32">
        <v>842</v>
      </c>
      <c r="P429" s="32">
        <v>576</v>
      </c>
      <c r="Q429" s="32">
        <v>787</v>
      </c>
      <c r="R429" s="32">
        <v>567</v>
      </c>
      <c r="S429" s="32">
        <v>402</v>
      </c>
      <c r="T429" s="32">
        <v>391</v>
      </c>
      <c r="U429" s="32">
        <v>349</v>
      </c>
      <c r="V429" s="32">
        <v>143</v>
      </c>
      <c r="W429" s="32">
        <v>83</v>
      </c>
      <c r="X429" s="32">
        <v>64</v>
      </c>
      <c r="Y429" s="32">
        <v>33</v>
      </c>
      <c r="Z429" s="32">
        <v>32</v>
      </c>
      <c r="AA429" s="32">
        <v>21</v>
      </c>
      <c r="AB429" s="32">
        <v>6</v>
      </c>
      <c r="AC429" s="32">
        <v>6</v>
      </c>
      <c r="AD429" s="32">
        <v>5</v>
      </c>
      <c r="AE429" s="31">
        <v>0</v>
      </c>
      <c r="AF429" s="32">
        <v>1</v>
      </c>
      <c r="AG429" s="32">
        <v>1</v>
      </c>
      <c r="AH429" s="31">
        <v>0</v>
      </c>
      <c r="AI429" s="31">
        <v>0</v>
      </c>
      <c r="AJ429" s="31">
        <v>0</v>
      </c>
      <c r="AK429" s="31">
        <v>0</v>
      </c>
      <c r="AL429" s="31">
        <v>0</v>
      </c>
      <c r="AM429" s="31">
        <v>0</v>
      </c>
      <c r="AN429" s="31">
        <v>0</v>
      </c>
      <c r="AO429" s="31">
        <v>0</v>
      </c>
      <c r="AP429" s="31">
        <v>0</v>
      </c>
      <c r="AQ429" s="31">
        <v>0</v>
      </c>
      <c r="AR429" s="31">
        <v>0</v>
      </c>
      <c r="AS429" s="31">
        <v>0</v>
      </c>
    </row>
    <row r="430" spans="1:45">
      <c r="A430" s="30" t="s">
        <v>676</v>
      </c>
      <c r="B430" s="30" t="s">
        <v>633</v>
      </c>
      <c r="C430" s="30" t="s">
        <v>677</v>
      </c>
      <c r="D430" s="30" t="s">
        <v>1134</v>
      </c>
      <c r="E430" s="30" t="s">
        <v>1306</v>
      </c>
      <c r="F430" s="30" t="s">
        <v>133</v>
      </c>
      <c r="G430" s="30" t="s">
        <v>1307</v>
      </c>
      <c r="H430" s="30" t="s">
        <v>680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2">
        <v>2</v>
      </c>
      <c r="V430" s="31">
        <v>0</v>
      </c>
      <c r="W430" s="31">
        <v>0</v>
      </c>
      <c r="X430" s="32">
        <v>1</v>
      </c>
      <c r="Y430" s="31">
        <v>0</v>
      </c>
      <c r="Z430" s="31">
        <v>0</v>
      </c>
      <c r="AA430" s="31">
        <v>0</v>
      </c>
      <c r="AB430" s="31">
        <v>0</v>
      </c>
      <c r="AC430" s="31">
        <v>0</v>
      </c>
      <c r="AD430" s="31">
        <v>0</v>
      </c>
      <c r="AE430" s="31">
        <v>0</v>
      </c>
      <c r="AF430" s="31">
        <v>0</v>
      </c>
      <c r="AG430" s="31">
        <v>0</v>
      </c>
      <c r="AH430" s="31">
        <v>0</v>
      </c>
      <c r="AI430" s="31">
        <v>0</v>
      </c>
      <c r="AJ430" s="31">
        <v>0</v>
      </c>
      <c r="AK430" s="31">
        <v>0</v>
      </c>
      <c r="AL430" s="31">
        <v>0</v>
      </c>
      <c r="AM430" s="31">
        <v>0</v>
      </c>
      <c r="AN430" s="31">
        <v>0</v>
      </c>
      <c r="AO430" s="31">
        <v>0</v>
      </c>
      <c r="AP430" s="31">
        <v>0</v>
      </c>
      <c r="AQ430" s="31">
        <v>0</v>
      </c>
      <c r="AR430" s="31">
        <v>0</v>
      </c>
      <c r="AS430" s="31">
        <v>0</v>
      </c>
    </row>
    <row r="431" spans="1:45">
      <c r="A431" s="30" t="s">
        <v>676</v>
      </c>
      <c r="B431" s="30" t="s">
        <v>633</v>
      </c>
      <c r="C431" s="30" t="s">
        <v>677</v>
      </c>
      <c r="D431" s="30" t="s">
        <v>1134</v>
      </c>
      <c r="E431" s="30" t="s">
        <v>1308</v>
      </c>
      <c r="F431" s="30" t="s">
        <v>133</v>
      </c>
      <c r="G431" s="30" t="s">
        <v>1309</v>
      </c>
      <c r="H431" s="30" t="s">
        <v>680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2">
        <v>2</v>
      </c>
      <c r="V431" s="31">
        <v>0</v>
      </c>
      <c r="W431" s="31">
        <v>0</v>
      </c>
      <c r="X431" s="32">
        <v>1</v>
      </c>
      <c r="Y431" s="31">
        <v>0</v>
      </c>
      <c r="Z431" s="31">
        <v>0</v>
      </c>
      <c r="AA431" s="31">
        <v>0</v>
      </c>
      <c r="AB431" s="31">
        <v>0</v>
      </c>
      <c r="AC431" s="31">
        <v>0</v>
      </c>
      <c r="AD431" s="31">
        <v>0</v>
      </c>
      <c r="AE431" s="31">
        <v>0</v>
      </c>
      <c r="AF431" s="31">
        <v>0</v>
      </c>
      <c r="AG431" s="31">
        <v>0</v>
      </c>
      <c r="AH431" s="31">
        <v>0</v>
      </c>
      <c r="AI431" s="31">
        <v>0</v>
      </c>
      <c r="AJ431" s="31">
        <v>0</v>
      </c>
      <c r="AK431" s="31">
        <v>0</v>
      </c>
      <c r="AL431" s="31">
        <v>0</v>
      </c>
      <c r="AM431" s="31">
        <v>0</v>
      </c>
      <c r="AN431" s="31">
        <v>0</v>
      </c>
      <c r="AO431" s="31">
        <v>0</v>
      </c>
      <c r="AP431" s="31">
        <v>0</v>
      </c>
      <c r="AQ431" s="31">
        <v>0</v>
      </c>
      <c r="AR431" s="31">
        <v>0</v>
      </c>
      <c r="AS431" s="31">
        <v>0</v>
      </c>
    </row>
    <row r="432" spans="1:45">
      <c r="A432" s="30" t="s">
        <v>676</v>
      </c>
      <c r="B432" s="30" t="s">
        <v>633</v>
      </c>
      <c r="C432" s="30" t="s">
        <v>677</v>
      </c>
      <c r="D432" s="30" t="s">
        <v>1134</v>
      </c>
      <c r="E432" s="30" t="s">
        <v>1310</v>
      </c>
      <c r="F432" s="30" t="s">
        <v>138</v>
      </c>
      <c r="G432" s="30" t="s">
        <v>1311</v>
      </c>
      <c r="H432" s="30" t="s">
        <v>680</v>
      </c>
      <c r="I432" s="32">
        <v>93</v>
      </c>
      <c r="J432" s="32">
        <v>48</v>
      </c>
      <c r="K432" s="32">
        <v>45</v>
      </c>
      <c r="L432" s="32">
        <v>62</v>
      </c>
      <c r="M432" s="32">
        <v>38</v>
      </c>
      <c r="N432" s="32">
        <v>42</v>
      </c>
      <c r="O432" s="32">
        <v>72</v>
      </c>
      <c r="P432" s="32">
        <v>77</v>
      </c>
      <c r="Q432" s="32">
        <v>63</v>
      </c>
      <c r="R432" s="32">
        <v>71</v>
      </c>
      <c r="S432" s="32">
        <v>57</v>
      </c>
      <c r="T432" s="32">
        <v>46</v>
      </c>
      <c r="U432" s="32">
        <v>32</v>
      </c>
      <c r="V432" s="32">
        <v>27</v>
      </c>
      <c r="W432" s="32">
        <v>19</v>
      </c>
      <c r="X432" s="32">
        <v>30</v>
      </c>
      <c r="Y432" s="32">
        <v>13</v>
      </c>
      <c r="Z432" s="32">
        <v>20</v>
      </c>
      <c r="AA432" s="32">
        <v>19</v>
      </c>
      <c r="AB432" s="32">
        <v>5</v>
      </c>
      <c r="AC432" s="31">
        <v>0</v>
      </c>
      <c r="AD432" s="31">
        <v>0</v>
      </c>
      <c r="AE432" s="31">
        <v>0</v>
      </c>
      <c r="AF432" s="31">
        <v>0</v>
      </c>
      <c r="AG432" s="31">
        <v>0</v>
      </c>
      <c r="AH432" s="31">
        <v>0</v>
      </c>
      <c r="AI432" s="31">
        <v>0</v>
      </c>
      <c r="AJ432" s="31">
        <v>0</v>
      </c>
      <c r="AK432" s="31">
        <v>0</v>
      </c>
      <c r="AL432" s="31">
        <v>0</v>
      </c>
      <c r="AM432" s="31">
        <v>0</v>
      </c>
      <c r="AN432" s="31">
        <v>0</v>
      </c>
      <c r="AO432" s="31">
        <v>0</v>
      </c>
      <c r="AP432" s="31">
        <v>0</v>
      </c>
      <c r="AQ432" s="31">
        <v>0</v>
      </c>
      <c r="AR432" s="31">
        <v>0</v>
      </c>
      <c r="AS432" s="31">
        <v>0</v>
      </c>
    </row>
    <row r="433" spans="1:45">
      <c r="A433" s="30" t="s">
        <v>676</v>
      </c>
      <c r="B433" s="30" t="s">
        <v>633</v>
      </c>
      <c r="C433" s="30" t="s">
        <v>677</v>
      </c>
      <c r="D433" s="30" t="s">
        <v>1134</v>
      </c>
      <c r="E433" s="30" t="s">
        <v>1312</v>
      </c>
      <c r="F433" s="30" t="s">
        <v>138</v>
      </c>
      <c r="G433" s="30" t="s">
        <v>1313</v>
      </c>
      <c r="H433" s="30" t="s">
        <v>680</v>
      </c>
      <c r="I433" s="32">
        <v>93</v>
      </c>
      <c r="J433" s="32">
        <v>48</v>
      </c>
      <c r="K433" s="32">
        <v>45</v>
      </c>
      <c r="L433" s="32">
        <v>62</v>
      </c>
      <c r="M433" s="32">
        <v>38</v>
      </c>
      <c r="N433" s="32">
        <v>42</v>
      </c>
      <c r="O433" s="32">
        <v>72</v>
      </c>
      <c r="P433" s="32">
        <v>77</v>
      </c>
      <c r="Q433" s="32">
        <v>63</v>
      </c>
      <c r="R433" s="32">
        <v>71</v>
      </c>
      <c r="S433" s="32">
        <v>57</v>
      </c>
      <c r="T433" s="32">
        <v>46</v>
      </c>
      <c r="U433" s="32">
        <v>32</v>
      </c>
      <c r="V433" s="32">
        <v>27</v>
      </c>
      <c r="W433" s="32">
        <v>19</v>
      </c>
      <c r="X433" s="32">
        <v>30</v>
      </c>
      <c r="Y433" s="32">
        <v>13</v>
      </c>
      <c r="Z433" s="32">
        <v>20</v>
      </c>
      <c r="AA433" s="32">
        <v>19</v>
      </c>
      <c r="AB433" s="32">
        <v>5</v>
      </c>
      <c r="AC433" s="31">
        <v>0</v>
      </c>
      <c r="AD433" s="31">
        <v>0</v>
      </c>
      <c r="AE433" s="31">
        <v>0</v>
      </c>
      <c r="AF433" s="31">
        <v>0</v>
      </c>
      <c r="AG433" s="31">
        <v>0</v>
      </c>
      <c r="AH433" s="31">
        <v>0</v>
      </c>
      <c r="AI433" s="31">
        <v>0</v>
      </c>
      <c r="AJ433" s="31">
        <v>0</v>
      </c>
      <c r="AK433" s="31">
        <v>0</v>
      </c>
      <c r="AL433" s="31">
        <v>0</v>
      </c>
      <c r="AM433" s="31">
        <v>0</v>
      </c>
      <c r="AN433" s="31">
        <v>0</v>
      </c>
      <c r="AO433" s="31">
        <v>0</v>
      </c>
      <c r="AP433" s="31">
        <v>0</v>
      </c>
      <c r="AQ433" s="31">
        <v>0</v>
      </c>
      <c r="AR433" s="31">
        <v>0</v>
      </c>
      <c r="AS433" s="31">
        <v>0</v>
      </c>
    </row>
    <row r="434" spans="1:45">
      <c r="A434" s="30" t="s">
        <v>676</v>
      </c>
      <c r="B434" s="30" t="s">
        <v>633</v>
      </c>
      <c r="C434" s="30" t="s">
        <v>677</v>
      </c>
      <c r="D434" s="30" t="s">
        <v>1134</v>
      </c>
      <c r="E434" s="30" t="s">
        <v>1314</v>
      </c>
      <c r="F434" s="30" t="s">
        <v>138</v>
      </c>
      <c r="G434" s="30" t="s">
        <v>1315</v>
      </c>
      <c r="H434" s="30" t="s">
        <v>680</v>
      </c>
      <c r="I434" s="32">
        <v>43</v>
      </c>
      <c r="J434" s="32">
        <v>35</v>
      </c>
      <c r="K434" s="32">
        <v>56</v>
      </c>
      <c r="L434" s="32">
        <v>82</v>
      </c>
      <c r="M434" s="32">
        <v>52</v>
      </c>
      <c r="N434" s="32">
        <v>59</v>
      </c>
      <c r="O434" s="32">
        <v>123</v>
      </c>
      <c r="P434" s="32">
        <v>130</v>
      </c>
      <c r="Q434" s="32">
        <v>86</v>
      </c>
      <c r="R434" s="32">
        <v>100</v>
      </c>
      <c r="S434" s="32">
        <v>86</v>
      </c>
      <c r="T434" s="32">
        <v>63</v>
      </c>
      <c r="U434" s="32">
        <v>74</v>
      </c>
      <c r="V434" s="32">
        <v>32</v>
      </c>
      <c r="W434" s="32">
        <v>49</v>
      </c>
      <c r="X434" s="32">
        <v>57</v>
      </c>
      <c r="Y434" s="32">
        <v>30</v>
      </c>
      <c r="Z434" s="32">
        <v>28</v>
      </c>
      <c r="AA434" s="32">
        <v>19</v>
      </c>
      <c r="AB434" s="32">
        <v>9</v>
      </c>
      <c r="AC434" s="32">
        <v>5</v>
      </c>
      <c r="AD434" s="32">
        <v>9</v>
      </c>
      <c r="AE434" s="32">
        <v>4</v>
      </c>
      <c r="AF434" s="32">
        <v>2</v>
      </c>
      <c r="AG434" s="31">
        <v>0</v>
      </c>
      <c r="AH434" s="31">
        <v>0</v>
      </c>
      <c r="AI434" s="31">
        <v>0</v>
      </c>
      <c r="AJ434" s="31">
        <v>0</v>
      </c>
      <c r="AK434" s="31">
        <v>0</v>
      </c>
      <c r="AL434" s="31">
        <v>0</v>
      </c>
      <c r="AM434" s="31">
        <v>0</v>
      </c>
      <c r="AN434" s="31">
        <v>0</v>
      </c>
      <c r="AO434" s="31">
        <v>0</v>
      </c>
      <c r="AP434" s="31">
        <v>0</v>
      </c>
      <c r="AQ434" s="31">
        <v>0</v>
      </c>
      <c r="AR434" s="31">
        <v>0</v>
      </c>
      <c r="AS434" s="31">
        <v>0</v>
      </c>
    </row>
    <row r="435" spans="1:45">
      <c r="A435" s="30" t="s">
        <v>676</v>
      </c>
      <c r="B435" s="30" t="s">
        <v>633</v>
      </c>
      <c r="C435" s="30" t="s">
        <v>677</v>
      </c>
      <c r="D435" s="30" t="s">
        <v>1134</v>
      </c>
      <c r="E435" s="30" t="s">
        <v>1316</v>
      </c>
      <c r="F435" s="30" t="s">
        <v>138</v>
      </c>
      <c r="G435" s="30" t="s">
        <v>1317</v>
      </c>
      <c r="H435" s="30" t="s">
        <v>680</v>
      </c>
      <c r="I435" s="32">
        <v>43</v>
      </c>
      <c r="J435" s="32">
        <v>35</v>
      </c>
      <c r="K435" s="32">
        <v>56</v>
      </c>
      <c r="L435" s="32">
        <v>82</v>
      </c>
      <c r="M435" s="32">
        <v>52</v>
      </c>
      <c r="N435" s="32">
        <v>59</v>
      </c>
      <c r="O435" s="32">
        <v>123</v>
      </c>
      <c r="P435" s="32">
        <v>130</v>
      </c>
      <c r="Q435" s="32">
        <v>86</v>
      </c>
      <c r="R435" s="32">
        <v>100</v>
      </c>
      <c r="S435" s="32">
        <v>86</v>
      </c>
      <c r="T435" s="32">
        <v>63</v>
      </c>
      <c r="U435" s="32">
        <v>74</v>
      </c>
      <c r="V435" s="32">
        <v>32</v>
      </c>
      <c r="W435" s="32">
        <v>49</v>
      </c>
      <c r="X435" s="32">
        <v>57</v>
      </c>
      <c r="Y435" s="32">
        <v>30</v>
      </c>
      <c r="Z435" s="32">
        <v>28</v>
      </c>
      <c r="AA435" s="32">
        <v>19</v>
      </c>
      <c r="AB435" s="32">
        <v>9</v>
      </c>
      <c r="AC435" s="32">
        <v>5</v>
      </c>
      <c r="AD435" s="32">
        <v>9</v>
      </c>
      <c r="AE435" s="32">
        <v>4</v>
      </c>
      <c r="AF435" s="32">
        <v>2</v>
      </c>
      <c r="AG435" s="31">
        <v>0</v>
      </c>
      <c r="AH435" s="31">
        <v>0</v>
      </c>
      <c r="AI435" s="31">
        <v>0</v>
      </c>
      <c r="AJ435" s="31">
        <v>0</v>
      </c>
      <c r="AK435" s="31">
        <v>0</v>
      </c>
      <c r="AL435" s="31">
        <v>0</v>
      </c>
      <c r="AM435" s="31">
        <v>0</v>
      </c>
      <c r="AN435" s="31">
        <v>0</v>
      </c>
      <c r="AO435" s="31">
        <v>0</v>
      </c>
      <c r="AP435" s="31">
        <v>0</v>
      </c>
      <c r="AQ435" s="31">
        <v>0</v>
      </c>
      <c r="AR435" s="31">
        <v>0</v>
      </c>
      <c r="AS435" s="31">
        <v>0</v>
      </c>
    </row>
    <row r="436" spans="1:45">
      <c r="A436" s="30" t="s">
        <v>676</v>
      </c>
      <c r="B436" s="30" t="s">
        <v>633</v>
      </c>
      <c r="C436" s="30" t="s">
        <v>677</v>
      </c>
      <c r="D436" s="30" t="s">
        <v>1134</v>
      </c>
      <c r="E436" s="30" t="s">
        <v>1318</v>
      </c>
      <c r="F436" s="30" t="s">
        <v>138</v>
      </c>
      <c r="G436" s="30" t="s">
        <v>1319</v>
      </c>
      <c r="H436" s="30" t="s">
        <v>680</v>
      </c>
      <c r="I436" s="32">
        <v>60</v>
      </c>
      <c r="J436" s="32">
        <v>42</v>
      </c>
      <c r="K436" s="32">
        <v>60</v>
      </c>
      <c r="L436" s="32">
        <v>90</v>
      </c>
      <c r="M436" s="32">
        <v>56</v>
      </c>
      <c r="N436" s="32">
        <v>70</v>
      </c>
      <c r="O436" s="32">
        <v>141</v>
      </c>
      <c r="P436" s="32">
        <v>117</v>
      </c>
      <c r="Q436" s="32">
        <v>91</v>
      </c>
      <c r="R436" s="32">
        <v>107</v>
      </c>
      <c r="S436" s="32">
        <v>87</v>
      </c>
      <c r="T436" s="32">
        <v>68</v>
      </c>
      <c r="U436" s="32">
        <v>86</v>
      </c>
      <c r="V436" s="32">
        <v>37</v>
      </c>
      <c r="W436" s="32">
        <v>37</v>
      </c>
      <c r="X436" s="32">
        <v>54</v>
      </c>
      <c r="Y436" s="32">
        <v>17</v>
      </c>
      <c r="Z436" s="32">
        <v>19</v>
      </c>
      <c r="AA436" s="32">
        <v>32</v>
      </c>
      <c r="AB436" s="32">
        <v>6</v>
      </c>
      <c r="AC436" s="31">
        <v>0</v>
      </c>
      <c r="AD436" s="31">
        <v>0</v>
      </c>
      <c r="AE436" s="31">
        <v>0</v>
      </c>
      <c r="AF436" s="31">
        <v>0</v>
      </c>
      <c r="AG436" s="31">
        <v>0</v>
      </c>
      <c r="AH436" s="32">
        <v>1</v>
      </c>
      <c r="AI436" s="31">
        <v>0</v>
      </c>
      <c r="AJ436" s="31">
        <v>0</v>
      </c>
      <c r="AK436" s="31">
        <v>0</v>
      </c>
      <c r="AL436" s="31">
        <v>0</v>
      </c>
      <c r="AM436" s="31">
        <v>0</v>
      </c>
      <c r="AN436" s="31">
        <v>0</v>
      </c>
      <c r="AO436" s="31">
        <v>0</v>
      </c>
      <c r="AP436" s="31">
        <v>0</v>
      </c>
      <c r="AQ436" s="31">
        <v>0</v>
      </c>
      <c r="AR436" s="31">
        <v>0</v>
      </c>
      <c r="AS436" s="31">
        <v>0</v>
      </c>
    </row>
    <row r="437" spans="1:45">
      <c r="A437" s="30" t="s">
        <v>676</v>
      </c>
      <c r="B437" s="30" t="s">
        <v>633</v>
      </c>
      <c r="C437" s="30" t="s">
        <v>677</v>
      </c>
      <c r="D437" s="30" t="s">
        <v>1134</v>
      </c>
      <c r="E437" s="30" t="s">
        <v>1320</v>
      </c>
      <c r="F437" s="30" t="s">
        <v>138</v>
      </c>
      <c r="G437" s="30" t="s">
        <v>1321</v>
      </c>
      <c r="H437" s="30" t="s">
        <v>680</v>
      </c>
      <c r="I437" s="32">
        <v>60</v>
      </c>
      <c r="J437" s="32">
        <v>42</v>
      </c>
      <c r="K437" s="32">
        <v>60</v>
      </c>
      <c r="L437" s="32">
        <v>90</v>
      </c>
      <c r="M437" s="32">
        <v>56</v>
      </c>
      <c r="N437" s="32">
        <v>70</v>
      </c>
      <c r="O437" s="32">
        <v>141</v>
      </c>
      <c r="P437" s="32">
        <v>117</v>
      </c>
      <c r="Q437" s="32">
        <v>91</v>
      </c>
      <c r="R437" s="32">
        <v>107</v>
      </c>
      <c r="S437" s="32">
        <v>87</v>
      </c>
      <c r="T437" s="32">
        <v>68</v>
      </c>
      <c r="U437" s="32">
        <v>86</v>
      </c>
      <c r="V437" s="32">
        <v>37</v>
      </c>
      <c r="W437" s="32">
        <v>37</v>
      </c>
      <c r="X437" s="32">
        <v>54</v>
      </c>
      <c r="Y437" s="32">
        <v>17</v>
      </c>
      <c r="Z437" s="32">
        <v>19</v>
      </c>
      <c r="AA437" s="32">
        <v>32</v>
      </c>
      <c r="AB437" s="32">
        <v>6</v>
      </c>
      <c r="AC437" s="31">
        <v>0</v>
      </c>
      <c r="AD437" s="31">
        <v>0</v>
      </c>
      <c r="AE437" s="31">
        <v>0</v>
      </c>
      <c r="AF437" s="31">
        <v>0</v>
      </c>
      <c r="AG437" s="31">
        <v>0</v>
      </c>
      <c r="AH437" s="32">
        <v>1</v>
      </c>
      <c r="AI437" s="31">
        <v>0</v>
      </c>
      <c r="AJ437" s="31">
        <v>0</v>
      </c>
      <c r="AK437" s="31">
        <v>0</v>
      </c>
      <c r="AL437" s="31">
        <v>0</v>
      </c>
      <c r="AM437" s="31">
        <v>0</v>
      </c>
      <c r="AN437" s="31">
        <v>0</v>
      </c>
      <c r="AO437" s="31">
        <v>0</v>
      </c>
      <c r="AP437" s="31">
        <v>0</v>
      </c>
      <c r="AQ437" s="31">
        <v>0</v>
      </c>
      <c r="AR437" s="31">
        <v>0</v>
      </c>
      <c r="AS437" s="31">
        <v>0</v>
      </c>
    </row>
    <row r="438" spans="1:45">
      <c r="A438" s="30" t="s">
        <v>676</v>
      </c>
      <c r="B438" s="30" t="s">
        <v>633</v>
      </c>
      <c r="C438" s="30" t="s">
        <v>677</v>
      </c>
      <c r="D438" s="30" t="s">
        <v>1134</v>
      </c>
      <c r="E438" s="30" t="s">
        <v>1322</v>
      </c>
      <c r="F438" s="30" t="s">
        <v>142</v>
      </c>
      <c r="G438" s="30" t="s">
        <v>1323</v>
      </c>
      <c r="H438" s="30" t="s">
        <v>680</v>
      </c>
      <c r="I438" s="31">
        <v>0</v>
      </c>
      <c r="J438" s="31">
        <v>0</v>
      </c>
      <c r="K438" s="32">
        <v>3</v>
      </c>
      <c r="L438" s="32">
        <v>34</v>
      </c>
      <c r="M438" s="32">
        <v>53</v>
      </c>
      <c r="N438" s="32">
        <v>49</v>
      </c>
      <c r="O438" s="32">
        <v>113</v>
      </c>
      <c r="P438" s="32">
        <v>85</v>
      </c>
      <c r="Q438" s="32">
        <v>94</v>
      </c>
      <c r="R438" s="32">
        <v>133</v>
      </c>
      <c r="S438" s="32">
        <v>71</v>
      </c>
      <c r="T438" s="32">
        <v>38</v>
      </c>
      <c r="U438" s="32">
        <v>38</v>
      </c>
      <c r="V438" s="32">
        <v>26</v>
      </c>
      <c r="W438" s="32">
        <v>14</v>
      </c>
      <c r="X438" s="32">
        <v>15</v>
      </c>
      <c r="Y438" s="32">
        <v>6</v>
      </c>
      <c r="Z438" s="32">
        <v>8</v>
      </c>
      <c r="AA438" s="32">
        <v>22</v>
      </c>
      <c r="AB438" s="32">
        <v>11</v>
      </c>
      <c r="AC438" s="32">
        <v>6</v>
      </c>
      <c r="AD438" s="32">
        <v>5</v>
      </c>
      <c r="AE438" s="32">
        <v>2</v>
      </c>
      <c r="AF438" s="31">
        <v>0</v>
      </c>
      <c r="AG438" s="32">
        <v>7</v>
      </c>
      <c r="AH438" s="32">
        <v>2</v>
      </c>
      <c r="AI438" s="32">
        <v>1</v>
      </c>
      <c r="AJ438" s="32">
        <v>4</v>
      </c>
      <c r="AK438" s="32">
        <v>3</v>
      </c>
      <c r="AL438" s="32">
        <v>1</v>
      </c>
      <c r="AM438" s="31">
        <v>0</v>
      </c>
      <c r="AN438" s="31">
        <v>0</v>
      </c>
      <c r="AO438" s="31">
        <v>0</v>
      </c>
      <c r="AP438" s="31">
        <v>0</v>
      </c>
      <c r="AQ438" s="31">
        <v>0</v>
      </c>
      <c r="AR438" s="31">
        <v>0</v>
      </c>
      <c r="AS438" s="31">
        <v>0</v>
      </c>
    </row>
    <row r="439" spans="1:45">
      <c r="A439" s="30" t="s">
        <v>676</v>
      </c>
      <c r="B439" s="30" t="s">
        <v>633</v>
      </c>
      <c r="C439" s="30" t="s">
        <v>677</v>
      </c>
      <c r="D439" s="30" t="s">
        <v>1134</v>
      </c>
      <c r="E439" s="30" t="s">
        <v>1324</v>
      </c>
      <c r="F439" s="30" t="s">
        <v>142</v>
      </c>
      <c r="G439" s="30" t="s">
        <v>1323</v>
      </c>
      <c r="H439" s="30" t="s">
        <v>680</v>
      </c>
      <c r="I439" s="31">
        <v>0</v>
      </c>
      <c r="J439" s="31">
        <v>0</v>
      </c>
      <c r="K439" s="32">
        <v>2</v>
      </c>
      <c r="L439" s="32">
        <v>28</v>
      </c>
      <c r="M439" s="32">
        <v>46</v>
      </c>
      <c r="N439" s="32">
        <v>32</v>
      </c>
      <c r="O439" s="32">
        <v>67</v>
      </c>
      <c r="P439" s="32">
        <v>47</v>
      </c>
      <c r="Q439" s="32">
        <v>44</v>
      </c>
      <c r="R439" s="32">
        <v>72</v>
      </c>
      <c r="S439" s="32">
        <v>44</v>
      </c>
      <c r="T439" s="32">
        <v>51</v>
      </c>
      <c r="U439" s="32">
        <v>33</v>
      </c>
      <c r="V439" s="32">
        <v>25</v>
      </c>
      <c r="W439" s="32">
        <v>21</v>
      </c>
      <c r="X439" s="32">
        <v>29</v>
      </c>
      <c r="Y439" s="32">
        <v>16</v>
      </c>
      <c r="Z439" s="32">
        <v>19</v>
      </c>
      <c r="AA439" s="32">
        <v>14</v>
      </c>
      <c r="AB439" s="32">
        <v>11</v>
      </c>
      <c r="AC439" s="32">
        <v>5</v>
      </c>
      <c r="AD439" s="32">
        <v>5</v>
      </c>
      <c r="AE439" s="32">
        <v>5</v>
      </c>
      <c r="AF439" s="32">
        <v>3</v>
      </c>
      <c r="AG439" s="32">
        <v>2</v>
      </c>
      <c r="AH439" s="32">
        <v>2</v>
      </c>
      <c r="AI439" s="32">
        <v>3</v>
      </c>
      <c r="AJ439" s="32">
        <v>1</v>
      </c>
      <c r="AK439" s="32">
        <v>3</v>
      </c>
      <c r="AL439" s="32">
        <v>1</v>
      </c>
      <c r="AM439" s="31">
        <v>0</v>
      </c>
      <c r="AN439" s="31">
        <v>0</v>
      </c>
      <c r="AO439" s="32">
        <v>1</v>
      </c>
      <c r="AP439" s="32">
        <v>1</v>
      </c>
      <c r="AQ439" s="31">
        <v>0</v>
      </c>
      <c r="AR439" s="31">
        <v>0</v>
      </c>
      <c r="AS439" s="31">
        <v>0</v>
      </c>
    </row>
    <row r="440" spans="1:45">
      <c r="A440" s="30" t="s">
        <v>676</v>
      </c>
      <c r="B440" s="30" t="s">
        <v>633</v>
      </c>
      <c r="C440" s="30" t="s">
        <v>677</v>
      </c>
      <c r="D440" s="30" t="s">
        <v>1134</v>
      </c>
      <c r="E440" s="30" t="s">
        <v>1325</v>
      </c>
      <c r="F440" s="30" t="s">
        <v>142</v>
      </c>
      <c r="G440" s="30" t="s">
        <v>1323</v>
      </c>
      <c r="H440" s="30" t="s">
        <v>680</v>
      </c>
      <c r="I440" s="31">
        <v>0</v>
      </c>
      <c r="J440" s="31">
        <v>0</v>
      </c>
      <c r="K440" s="31">
        <v>0</v>
      </c>
      <c r="L440" s="32">
        <v>28</v>
      </c>
      <c r="M440" s="32">
        <v>16</v>
      </c>
      <c r="N440" s="32">
        <v>13</v>
      </c>
      <c r="O440" s="32">
        <v>31</v>
      </c>
      <c r="P440" s="32">
        <v>20</v>
      </c>
      <c r="Q440" s="32">
        <v>12</v>
      </c>
      <c r="R440" s="32">
        <v>12</v>
      </c>
      <c r="S440" s="32">
        <v>17</v>
      </c>
      <c r="T440" s="32">
        <v>7</v>
      </c>
      <c r="U440" s="32">
        <v>10</v>
      </c>
      <c r="V440" s="32">
        <v>8</v>
      </c>
      <c r="W440" s="32">
        <v>4</v>
      </c>
      <c r="X440" s="32">
        <v>3</v>
      </c>
      <c r="Y440" s="32">
        <v>1</v>
      </c>
      <c r="Z440" s="32">
        <v>4</v>
      </c>
      <c r="AA440" s="32">
        <v>4</v>
      </c>
      <c r="AB440" s="32">
        <v>1</v>
      </c>
      <c r="AC440" s="32">
        <v>3</v>
      </c>
      <c r="AD440" s="32">
        <v>4</v>
      </c>
      <c r="AE440" s="32">
        <v>2</v>
      </c>
      <c r="AF440" s="31">
        <v>0</v>
      </c>
      <c r="AG440" s="32">
        <v>3</v>
      </c>
      <c r="AH440" s="32">
        <v>5</v>
      </c>
      <c r="AI440" s="32">
        <v>2</v>
      </c>
      <c r="AJ440" s="32">
        <v>2</v>
      </c>
      <c r="AK440" s="32">
        <v>2</v>
      </c>
      <c r="AL440" s="31">
        <v>0</v>
      </c>
      <c r="AM440" s="31">
        <v>0</v>
      </c>
      <c r="AN440" s="31">
        <v>0</v>
      </c>
      <c r="AO440" s="31">
        <v>0</v>
      </c>
      <c r="AP440" s="31">
        <v>0</v>
      </c>
      <c r="AQ440" s="31">
        <v>0</v>
      </c>
      <c r="AR440" s="31">
        <v>0</v>
      </c>
      <c r="AS440" s="31">
        <v>0</v>
      </c>
    </row>
    <row r="441" spans="1:45">
      <c r="A441" s="30" t="s">
        <v>676</v>
      </c>
      <c r="B441" s="30" t="s">
        <v>633</v>
      </c>
      <c r="C441" s="30" t="s">
        <v>677</v>
      </c>
      <c r="D441" s="30" t="s">
        <v>1134</v>
      </c>
      <c r="E441" s="30" t="s">
        <v>1326</v>
      </c>
      <c r="F441" s="30" t="s">
        <v>142</v>
      </c>
      <c r="G441" s="30" t="s">
        <v>1323</v>
      </c>
      <c r="H441" s="30" t="s">
        <v>680</v>
      </c>
      <c r="I441" s="31">
        <v>0</v>
      </c>
      <c r="J441" s="31">
        <v>0</v>
      </c>
      <c r="K441" s="32">
        <v>2</v>
      </c>
      <c r="L441" s="32">
        <v>42</v>
      </c>
      <c r="M441" s="32">
        <v>59</v>
      </c>
      <c r="N441" s="32">
        <v>29</v>
      </c>
      <c r="O441" s="32">
        <v>72</v>
      </c>
      <c r="P441" s="32">
        <v>70</v>
      </c>
      <c r="Q441" s="32">
        <v>55</v>
      </c>
      <c r="R441" s="32">
        <v>76</v>
      </c>
      <c r="S441" s="32">
        <v>45</v>
      </c>
      <c r="T441" s="32">
        <v>44</v>
      </c>
      <c r="U441" s="32">
        <v>33</v>
      </c>
      <c r="V441" s="32">
        <v>15</v>
      </c>
      <c r="W441" s="32">
        <v>12</v>
      </c>
      <c r="X441" s="32">
        <v>15</v>
      </c>
      <c r="Y441" s="32">
        <v>5</v>
      </c>
      <c r="Z441" s="32">
        <v>4</v>
      </c>
      <c r="AA441" s="32">
        <v>9</v>
      </c>
      <c r="AB441" s="32">
        <v>5</v>
      </c>
      <c r="AC441" s="32">
        <v>7</v>
      </c>
      <c r="AD441" s="32">
        <v>9</v>
      </c>
      <c r="AE441" s="32">
        <v>3</v>
      </c>
      <c r="AF441" s="32">
        <v>6</v>
      </c>
      <c r="AG441" s="32">
        <v>7</v>
      </c>
      <c r="AH441" s="32">
        <v>3</v>
      </c>
      <c r="AI441" s="31">
        <v>0</v>
      </c>
      <c r="AJ441" s="32">
        <v>1</v>
      </c>
      <c r="AK441" s="31">
        <v>0</v>
      </c>
      <c r="AL441" s="32">
        <v>1</v>
      </c>
      <c r="AM441" s="32">
        <v>1</v>
      </c>
      <c r="AN441" s="32">
        <v>2</v>
      </c>
      <c r="AO441" s="32">
        <v>3</v>
      </c>
      <c r="AP441" s="31">
        <v>0</v>
      </c>
      <c r="AQ441" s="31">
        <v>0</v>
      </c>
      <c r="AR441" s="31">
        <v>0</v>
      </c>
      <c r="AS441" s="31">
        <v>0</v>
      </c>
    </row>
    <row r="442" spans="1:45">
      <c r="A442" s="30" t="s">
        <v>676</v>
      </c>
      <c r="B442" s="30" t="s">
        <v>633</v>
      </c>
      <c r="C442" s="30" t="s">
        <v>677</v>
      </c>
      <c r="D442" s="30" t="s">
        <v>1134</v>
      </c>
      <c r="E442" s="30" t="s">
        <v>1327</v>
      </c>
      <c r="F442" s="30" t="s">
        <v>142</v>
      </c>
      <c r="G442" s="30" t="s">
        <v>1323</v>
      </c>
      <c r="H442" s="30" t="s">
        <v>680</v>
      </c>
      <c r="I442" s="31">
        <v>0</v>
      </c>
      <c r="J442" s="31">
        <v>0</v>
      </c>
      <c r="K442" s="32">
        <v>2</v>
      </c>
      <c r="L442" s="32">
        <v>35</v>
      </c>
      <c r="M442" s="32">
        <v>38</v>
      </c>
      <c r="N442" s="32">
        <v>20</v>
      </c>
      <c r="O442" s="32">
        <v>46</v>
      </c>
      <c r="P442" s="32">
        <v>22</v>
      </c>
      <c r="Q442" s="32">
        <v>12</v>
      </c>
      <c r="R442" s="32">
        <v>18</v>
      </c>
      <c r="S442" s="32">
        <v>14</v>
      </c>
      <c r="T442" s="32">
        <v>12</v>
      </c>
      <c r="U442" s="32">
        <v>12</v>
      </c>
      <c r="V442" s="32">
        <v>6</v>
      </c>
      <c r="W442" s="32">
        <v>7</v>
      </c>
      <c r="X442" s="32">
        <v>5</v>
      </c>
      <c r="Y442" s="32">
        <v>9</v>
      </c>
      <c r="Z442" s="32">
        <v>6</v>
      </c>
      <c r="AA442" s="32">
        <v>2</v>
      </c>
      <c r="AB442" s="32">
        <v>5</v>
      </c>
      <c r="AC442" s="32">
        <v>3</v>
      </c>
      <c r="AD442" s="32">
        <v>1</v>
      </c>
      <c r="AE442" s="32">
        <v>3</v>
      </c>
      <c r="AF442" s="32">
        <v>2</v>
      </c>
      <c r="AG442" s="32">
        <v>4</v>
      </c>
      <c r="AH442" s="32">
        <v>1</v>
      </c>
      <c r="AI442" s="31">
        <v>0</v>
      </c>
      <c r="AJ442" s="32">
        <v>4</v>
      </c>
      <c r="AK442" s="32">
        <v>2</v>
      </c>
      <c r="AL442" s="32">
        <v>1</v>
      </c>
      <c r="AM442" s="31">
        <v>0</v>
      </c>
      <c r="AN442" s="31">
        <v>0</v>
      </c>
      <c r="AO442" s="32">
        <v>1</v>
      </c>
      <c r="AP442" s="31">
        <v>0</v>
      </c>
      <c r="AQ442" s="31">
        <v>0</v>
      </c>
      <c r="AR442" s="31">
        <v>0</v>
      </c>
      <c r="AS442" s="31">
        <v>0</v>
      </c>
    </row>
    <row r="443" spans="1:45">
      <c r="A443" s="30" t="s">
        <v>676</v>
      </c>
      <c r="B443" s="30" t="s">
        <v>633</v>
      </c>
      <c r="C443" s="30" t="s">
        <v>677</v>
      </c>
      <c r="D443" s="30" t="s">
        <v>1134</v>
      </c>
      <c r="E443" s="30" t="s">
        <v>1328</v>
      </c>
      <c r="F443" s="30" t="s">
        <v>142</v>
      </c>
      <c r="G443" s="30" t="s">
        <v>1323</v>
      </c>
      <c r="H443" s="30" t="s">
        <v>680</v>
      </c>
      <c r="I443" s="31">
        <v>0</v>
      </c>
      <c r="J443" s="31">
        <v>0</v>
      </c>
      <c r="K443" s="32">
        <v>2</v>
      </c>
      <c r="L443" s="32">
        <v>88</v>
      </c>
      <c r="M443" s="32">
        <v>127</v>
      </c>
      <c r="N443" s="32">
        <v>92</v>
      </c>
      <c r="O443" s="32">
        <v>128</v>
      </c>
      <c r="P443" s="32">
        <v>76</v>
      </c>
      <c r="Q443" s="32">
        <v>66</v>
      </c>
      <c r="R443" s="32">
        <v>104</v>
      </c>
      <c r="S443" s="32">
        <v>78</v>
      </c>
      <c r="T443" s="32">
        <v>32</v>
      </c>
      <c r="U443" s="32">
        <v>40</v>
      </c>
      <c r="V443" s="32">
        <v>20</v>
      </c>
      <c r="W443" s="32">
        <v>9</v>
      </c>
      <c r="X443" s="32">
        <v>16</v>
      </c>
      <c r="Y443" s="32">
        <v>19</v>
      </c>
      <c r="Z443" s="32">
        <v>19</v>
      </c>
      <c r="AA443" s="32">
        <v>13</v>
      </c>
      <c r="AB443" s="32">
        <v>8</v>
      </c>
      <c r="AC443" s="32">
        <v>9</v>
      </c>
      <c r="AD443" s="32">
        <v>9</v>
      </c>
      <c r="AE443" s="32">
        <v>4</v>
      </c>
      <c r="AF443" s="32">
        <v>7</v>
      </c>
      <c r="AG443" s="32">
        <v>8</v>
      </c>
      <c r="AH443" s="32">
        <v>9</v>
      </c>
      <c r="AI443" s="32">
        <v>3</v>
      </c>
      <c r="AJ443" s="32">
        <v>2</v>
      </c>
      <c r="AK443" s="32">
        <v>4</v>
      </c>
      <c r="AL443" s="32">
        <v>3</v>
      </c>
      <c r="AM443" s="32">
        <v>6</v>
      </c>
      <c r="AN443" s="32">
        <v>3</v>
      </c>
      <c r="AO443" s="32">
        <v>2</v>
      </c>
      <c r="AP443" s="31">
        <v>0</v>
      </c>
      <c r="AQ443" s="31">
        <v>0</v>
      </c>
      <c r="AR443" s="31">
        <v>0</v>
      </c>
      <c r="AS443" s="31">
        <v>0</v>
      </c>
    </row>
    <row r="444" spans="1:45">
      <c r="A444" s="30" t="s">
        <v>676</v>
      </c>
      <c r="B444" s="30" t="s">
        <v>633</v>
      </c>
      <c r="C444" s="30" t="s">
        <v>677</v>
      </c>
      <c r="D444" s="30" t="s">
        <v>1134</v>
      </c>
      <c r="E444" s="30" t="s">
        <v>1329</v>
      </c>
      <c r="F444" s="30" t="s">
        <v>142</v>
      </c>
      <c r="G444" s="30" t="s">
        <v>1323</v>
      </c>
      <c r="H444" s="30" t="s">
        <v>680</v>
      </c>
      <c r="I444" s="31">
        <v>0</v>
      </c>
      <c r="J444" s="31">
        <v>0</v>
      </c>
      <c r="K444" s="32">
        <v>6</v>
      </c>
      <c r="L444" s="32">
        <v>25</v>
      </c>
      <c r="M444" s="32">
        <v>14</v>
      </c>
      <c r="N444" s="32">
        <v>10</v>
      </c>
      <c r="O444" s="32">
        <v>22</v>
      </c>
      <c r="P444" s="32">
        <v>18</v>
      </c>
      <c r="Q444" s="32">
        <v>13</v>
      </c>
      <c r="R444" s="32">
        <v>9</v>
      </c>
      <c r="S444" s="32">
        <v>6</v>
      </c>
      <c r="T444" s="32">
        <v>6</v>
      </c>
      <c r="U444" s="32">
        <v>4</v>
      </c>
      <c r="V444" s="32">
        <v>7</v>
      </c>
      <c r="W444" s="32">
        <v>4</v>
      </c>
      <c r="X444" s="32">
        <v>3</v>
      </c>
      <c r="Y444" s="32">
        <v>5</v>
      </c>
      <c r="Z444" s="32">
        <v>5</v>
      </c>
      <c r="AA444" s="32">
        <v>6</v>
      </c>
      <c r="AB444" s="32">
        <v>2</v>
      </c>
      <c r="AC444" s="32">
        <v>3</v>
      </c>
      <c r="AD444" s="31">
        <v>0</v>
      </c>
      <c r="AE444" s="31">
        <v>0</v>
      </c>
      <c r="AF444" s="32">
        <v>3</v>
      </c>
      <c r="AG444" s="32">
        <v>2</v>
      </c>
      <c r="AH444" s="32">
        <v>3</v>
      </c>
      <c r="AI444" s="32">
        <v>2</v>
      </c>
      <c r="AJ444" s="32">
        <v>1</v>
      </c>
      <c r="AK444" s="32">
        <v>3</v>
      </c>
      <c r="AL444" s="32">
        <v>1</v>
      </c>
      <c r="AM444" s="31">
        <v>0</v>
      </c>
      <c r="AN444" s="31">
        <v>0</v>
      </c>
      <c r="AO444" s="31">
        <v>0</v>
      </c>
      <c r="AP444" s="31">
        <v>0</v>
      </c>
      <c r="AQ444" s="31">
        <v>0</v>
      </c>
      <c r="AR444" s="31">
        <v>0</v>
      </c>
      <c r="AS444" s="31">
        <v>0</v>
      </c>
    </row>
    <row r="445" spans="1:45">
      <c r="A445" s="30" t="s">
        <v>676</v>
      </c>
      <c r="B445" s="30" t="s">
        <v>633</v>
      </c>
      <c r="C445" s="30" t="s">
        <v>677</v>
      </c>
      <c r="D445" s="30" t="s">
        <v>1134</v>
      </c>
      <c r="E445" s="30" t="s">
        <v>1330</v>
      </c>
      <c r="F445" s="30" t="s">
        <v>142</v>
      </c>
      <c r="G445" s="30" t="s">
        <v>1323</v>
      </c>
      <c r="H445" s="30" t="s">
        <v>680</v>
      </c>
      <c r="I445" s="31">
        <v>0</v>
      </c>
      <c r="J445" s="31">
        <v>0</v>
      </c>
      <c r="K445" s="32">
        <v>3</v>
      </c>
      <c r="L445" s="32">
        <v>23</v>
      </c>
      <c r="M445" s="32">
        <v>14</v>
      </c>
      <c r="N445" s="32">
        <v>8</v>
      </c>
      <c r="O445" s="32">
        <v>18</v>
      </c>
      <c r="P445" s="32">
        <v>16</v>
      </c>
      <c r="Q445" s="32">
        <v>12</v>
      </c>
      <c r="R445" s="32">
        <v>11</v>
      </c>
      <c r="S445" s="32">
        <v>3</v>
      </c>
      <c r="T445" s="32">
        <v>13</v>
      </c>
      <c r="U445" s="32">
        <v>11</v>
      </c>
      <c r="V445" s="32">
        <v>4</v>
      </c>
      <c r="W445" s="32">
        <v>5</v>
      </c>
      <c r="X445" s="32">
        <v>6</v>
      </c>
      <c r="Y445" s="32">
        <v>4</v>
      </c>
      <c r="Z445" s="32">
        <v>5</v>
      </c>
      <c r="AA445" s="32">
        <v>2</v>
      </c>
      <c r="AB445" s="32">
        <v>5</v>
      </c>
      <c r="AC445" s="32">
        <v>2</v>
      </c>
      <c r="AD445" s="31">
        <v>0</v>
      </c>
      <c r="AE445" s="32">
        <v>2</v>
      </c>
      <c r="AF445" s="32">
        <v>1</v>
      </c>
      <c r="AG445" s="31">
        <v>0</v>
      </c>
      <c r="AH445" s="32">
        <v>2</v>
      </c>
      <c r="AI445" s="31">
        <v>0</v>
      </c>
      <c r="AJ445" s="32">
        <v>3</v>
      </c>
      <c r="AK445" s="32">
        <v>1</v>
      </c>
      <c r="AL445" s="32">
        <v>1</v>
      </c>
      <c r="AM445" s="31">
        <v>0</v>
      </c>
      <c r="AN445" s="32">
        <v>1</v>
      </c>
      <c r="AO445" s="31">
        <v>0</v>
      </c>
      <c r="AP445" s="31">
        <v>0</v>
      </c>
      <c r="AQ445" s="31">
        <v>0</v>
      </c>
      <c r="AR445" s="31">
        <v>0</v>
      </c>
      <c r="AS445" s="31">
        <v>0</v>
      </c>
    </row>
    <row r="446" spans="1:45">
      <c r="A446" s="30" t="s">
        <v>676</v>
      </c>
      <c r="B446" s="30" t="s">
        <v>633</v>
      </c>
      <c r="C446" s="30" t="s">
        <v>677</v>
      </c>
      <c r="D446" s="30" t="s">
        <v>1134</v>
      </c>
      <c r="E446" s="30" t="s">
        <v>1331</v>
      </c>
      <c r="F446" s="30" t="s">
        <v>142</v>
      </c>
      <c r="G446" s="30" t="s">
        <v>1323</v>
      </c>
      <c r="H446" s="30" t="s">
        <v>680</v>
      </c>
      <c r="I446" s="31">
        <v>0</v>
      </c>
      <c r="J446" s="31">
        <v>0</v>
      </c>
      <c r="K446" s="32">
        <v>1</v>
      </c>
      <c r="L446" s="32">
        <v>2</v>
      </c>
      <c r="M446" s="32">
        <v>2</v>
      </c>
      <c r="N446" s="32">
        <v>7</v>
      </c>
      <c r="O446" s="32">
        <v>16</v>
      </c>
      <c r="P446" s="32">
        <v>4</v>
      </c>
      <c r="Q446" s="32">
        <v>2</v>
      </c>
      <c r="R446" s="32">
        <v>4</v>
      </c>
      <c r="S446" s="32">
        <v>1</v>
      </c>
      <c r="T446" s="32">
        <v>9</v>
      </c>
      <c r="U446" s="32">
        <v>7</v>
      </c>
      <c r="V446" s="32">
        <v>5</v>
      </c>
      <c r="W446" s="32">
        <v>5</v>
      </c>
      <c r="X446" s="32">
        <v>6</v>
      </c>
      <c r="Y446" s="32">
        <v>1</v>
      </c>
      <c r="Z446" s="32">
        <v>8</v>
      </c>
      <c r="AA446" s="32">
        <v>4</v>
      </c>
      <c r="AB446" s="32">
        <v>2</v>
      </c>
      <c r="AC446" s="32">
        <v>5</v>
      </c>
      <c r="AD446" s="32">
        <v>2</v>
      </c>
      <c r="AE446" s="32">
        <v>1</v>
      </c>
      <c r="AF446" s="32">
        <v>3</v>
      </c>
      <c r="AG446" s="32">
        <v>4</v>
      </c>
      <c r="AH446" s="32">
        <v>3</v>
      </c>
      <c r="AI446" s="31">
        <v>0</v>
      </c>
      <c r="AJ446" s="32">
        <v>6</v>
      </c>
      <c r="AK446" s="32">
        <v>4</v>
      </c>
      <c r="AL446" s="32">
        <v>1</v>
      </c>
      <c r="AM446" s="32">
        <v>2</v>
      </c>
      <c r="AN446" s="32">
        <v>1</v>
      </c>
      <c r="AO446" s="31">
        <v>0</v>
      </c>
      <c r="AP446" s="31">
        <v>0</v>
      </c>
      <c r="AQ446" s="31">
        <v>0</v>
      </c>
      <c r="AR446" s="31">
        <v>0</v>
      </c>
      <c r="AS446" s="31">
        <v>0</v>
      </c>
    </row>
    <row r="447" spans="1:45">
      <c r="A447" s="30" t="s">
        <v>676</v>
      </c>
      <c r="B447" s="30" t="s">
        <v>633</v>
      </c>
      <c r="C447" s="30" t="s">
        <v>677</v>
      </c>
      <c r="D447" s="30" t="s">
        <v>1134</v>
      </c>
      <c r="E447" s="30" t="s">
        <v>1332</v>
      </c>
      <c r="F447" s="30" t="s">
        <v>142</v>
      </c>
      <c r="G447" s="30" t="s">
        <v>1323</v>
      </c>
      <c r="H447" s="30" t="s">
        <v>680</v>
      </c>
      <c r="I447" s="31">
        <v>0</v>
      </c>
      <c r="J447" s="31">
        <v>0</v>
      </c>
      <c r="K447" s="31">
        <v>0</v>
      </c>
      <c r="L447" s="32">
        <v>10</v>
      </c>
      <c r="M447" s="32">
        <v>4</v>
      </c>
      <c r="N447" s="32">
        <v>10</v>
      </c>
      <c r="O447" s="32">
        <v>10</v>
      </c>
      <c r="P447" s="32">
        <v>9</v>
      </c>
      <c r="Q447" s="32">
        <v>11</v>
      </c>
      <c r="R447" s="32">
        <v>14</v>
      </c>
      <c r="S447" s="32">
        <v>6</v>
      </c>
      <c r="T447" s="32">
        <v>11</v>
      </c>
      <c r="U447" s="32">
        <v>10</v>
      </c>
      <c r="V447" s="32">
        <v>2</v>
      </c>
      <c r="W447" s="32">
        <v>6</v>
      </c>
      <c r="X447" s="32">
        <v>5</v>
      </c>
      <c r="Y447" s="32">
        <v>6</v>
      </c>
      <c r="Z447" s="31">
        <v>0</v>
      </c>
      <c r="AA447" s="32">
        <v>7</v>
      </c>
      <c r="AB447" s="32">
        <v>1</v>
      </c>
      <c r="AC447" s="32">
        <v>7</v>
      </c>
      <c r="AD447" s="32">
        <v>4</v>
      </c>
      <c r="AE447" s="32">
        <v>1</v>
      </c>
      <c r="AF447" s="32">
        <v>3</v>
      </c>
      <c r="AG447" s="32">
        <v>1</v>
      </c>
      <c r="AH447" s="32">
        <v>4</v>
      </c>
      <c r="AI447" s="32">
        <v>2</v>
      </c>
      <c r="AJ447" s="32">
        <v>3</v>
      </c>
      <c r="AK447" s="32">
        <v>3</v>
      </c>
      <c r="AL447" s="32">
        <v>1</v>
      </c>
      <c r="AM447" s="31">
        <v>0</v>
      </c>
      <c r="AN447" s="31">
        <v>0</v>
      </c>
      <c r="AO447" s="31">
        <v>0</v>
      </c>
      <c r="AP447" s="31">
        <v>0</v>
      </c>
      <c r="AQ447" s="31">
        <v>0</v>
      </c>
      <c r="AR447" s="31">
        <v>0</v>
      </c>
      <c r="AS447" s="31">
        <v>0</v>
      </c>
    </row>
    <row r="448" spans="1:45">
      <c r="A448" s="30" t="s">
        <v>676</v>
      </c>
      <c r="B448" s="30" t="s">
        <v>633</v>
      </c>
      <c r="C448" s="30" t="s">
        <v>677</v>
      </c>
      <c r="D448" s="30" t="s">
        <v>1134</v>
      </c>
      <c r="E448" s="30" t="s">
        <v>1333</v>
      </c>
      <c r="F448" s="30" t="s">
        <v>142</v>
      </c>
      <c r="G448" s="30" t="s">
        <v>1323</v>
      </c>
      <c r="H448" s="30" t="s">
        <v>680</v>
      </c>
      <c r="I448" s="31">
        <v>0</v>
      </c>
      <c r="J448" s="31">
        <v>0</v>
      </c>
      <c r="K448" s="32">
        <v>4</v>
      </c>
      <c r="L448" s="32">
        <v>17</v>
      </c>
      <c r="M448" s="32">
        <v>13</v>
      </c>
      <c r="N448" s="32">
        <v>7</v>
      </c>
      <c r="O448" s="32">
        <v>14</v>
      </c>
      <c r="P448" s="32">
        <v>6</v>
      </c>
      <c r="Q448" s="32">
        <v>7</v>
      </c>
      <c r="R448" s="32">
        <v>13</v>
      </c>
      <c r="S448" s="32">
        <v>8</v>
      </c>
      <c r="T448" s="32">
        <v>11</v>
      </c>
      <c r="U448" s="32">
        <v>9</v>
      </c>
      <c r="V448" s="32">
        <v>2</v>
      </c>
      <c r="W448" s="32">
        <v>3</v>
      </c>
      <c r="X448" s="32">
        <v>3</v>
      </c>
      <c r="Y448" s="32">
        <v>7</v>
      </c>
      <c r="Z448" s="32">
        <v>2</v>
      </c>
      <c r="AA448" s="32">
        <v>3</v>
      </c>
      <c r="AB448" s="32">
        <v>3</v>
      </c>
      <c r="AC448" s="32">
        <v>3</v>
      </c>
      <c r="AD448" s="32">
        <v>4</v>
      </c>
      <c r="AE448" s="32">
        <v>3</v>
      </c>
      <c r="AF448" s="32">
        <v>5</v>
      </c>
      <c r="AG448" s="31">
        <v>0</v>
      </c>
      <c r="AH448" s="31">
        <v>0</v>
      </c>
      <c r="AI448" s="31">
        <v>0</v>
      </c>
      <c r="AJ448" s="31">
        <v>0</v>
      </c>
      <c r="AK448" s="31">
        <v>0</v>
      </c>
      <c r="AL448" s="31">
        <v>0</v>
      </c>
      <c r="AM448" s="31">
        <v>0</v>
      </c>
      <c r="AN448" s="31">
        <v>0</v>
      </c>
      <c r="AO448" s="31">
        <v>0</v>
      </c>
      <c r="AP448" s="31">
        <v>0</v>
      </c>
      <c r="AQ448" s="31">
        <v>0</v>
      </c>
      <c r="AR448" s="31">
        <v>0</v>
      </c>
      <c r="AS448" s="31">
        <v>0</v>
      </c>
    </row>
    <row r="449" spans="1:45">
      <c r="A449" s="30" t="s">
        <v>676</v>
      </c>
      <c r="B449" s="30" t="s">
        <v>633</v>
      </c>
      <c r="C449" s="30" t="s">
        <v>677</v>
      </c>
      <c r="D449" s="30" t="s">
        <v>1134</v>
      </c>
      <c r="E449" s="30" t="s">
        <v>1334</v>
      </c>
      <c r="F449" s="30" t="s">
        <v>142</v>
      </c>
      <c r="G449" s="30" t="s">
        <v>1323</v>
      </c>
      <c r="H449" s="30" t="s">
        <v>680</v>
      </c>
      <c r="I449" s="31">
        <v>0</v>
      </c>
      <c r="J449" s="31">
        <v>0</v>
      </c>
      <c r="K449" s="31">
        <v>0</v>
      </c>
      <c r="L449" s="32">
        <v>12</v>
      </c>
      <c r="M449" s="32">
        <v>6</v>
      </c>
      <c r="N449" s="32">
        <v>8</v>
      </c>
      <c r="O449" s="32">
        <v>24</v>
      </c>
      <c r="P449" s="32">
        <v>13</v>
      </c>
      <c r="Q449" s="32">
        <v>6</v>
      </c>
      <c r="R449" s="32">
        <v>5</v>
      </c>
      <c r="S449" s="32">
        <v>6</v>
      </c>
      <c r="T449" s="32">
        <v>7</v>
      </c>
      <c r="U449" s="32">
        <v>4</v>
      </c>
      <c r="V449" s="31">
        <v>0</v>
      </c>
      <c r="W449" s="32">
        <v>5</v>
      </c>
      <c r="X449" s="32">
        <v>6</v>
      </c>
      <c r="Y449" s="32">
        <v>3</v>
      </c>
      <c r="Z449" s="32">
        <v>2</v>
      </c>
      <c r="AA449" s="32">
        <v>6</v>
      </c>
      <c r="AB449" s="32">
        <v>1</v>
      </c>
      <c r="AC449" s="32">
        <v>1</v>
      </c>
      <c r="AD449" s="32">
        <v>3</v>
      </c>
      <c r="AE449" s="32">
        <v>2</v>
      </c>
      <c r="AF449" s="32">
        <v>3</v>
      </c>
      <c r="AG449" s="32">
        <v>4</v>
      </c>
      <c r="AH449" s="31">
        <v>0</v>
      </c>
      <c r="AI449" s="31">
        <v>0</v>
      </c>
      <c r="AJ449" s="32">
        <v>2</v>
      </c>
      <c r="AK449" s="32">
        <v>1</v>
      </c>
      <c r="AL449" s="31">
        <v>0</v>
      </c>
      <c r="AM449" s="32">
        <v>3</v>
      </c>
      <c r="AN449" s="31">
        <v>0</v>
      </c>
      <c r="AO449" s="31">
        <v>0</v>
      </c>
      <c r="AP449" s="31">
        <v>0</v>
      </c>
      <c r="AQ449" s="31">
        <v>0</v>
      </c>
      <c r="AR449" s="31">
        <v>0</v>
      </c>
      <c r="AS449" s="31">
        <v>0</v>
      </c>
    </row>
    <row r="450" spans="1:45">
      <c r="A450" s="30" t="s">
        <v>676</v>
      </c>
      <c r="B450" s="30" t="s">
        <v>633</v>
      </c>
      <c r="C450" s="30" t="s">
        <v>677</v>
      </c>
      <c r="D450" s="30" t="s">
        <v>1134</v>
      </c>
      <c r="E450" s="30" t="s">
        <v>1335</v>
      </c>
      <c r="F450" s="30" t="s">
        <v>142</v>
      </c>
      <c r="G450" s="30" t="s">
        <v>1323</v>
      </c>
      <c r="H450" s="30" t="s">
        <v>680</v>
      </c>
      <c r="I450" s="31">
        <v>0</v>
      </c>
      <c r="J450" s="31">
        <v>0</v>
      </c>
      <c r="K450" s="32">
        <v>4</v>
      </c>
      <c r="L450" s="32">
        <v>49</v>
      </c>
      <c r="M450" s="32">
        <v>42</v>
      </c>
      <c r="N450" s="32">
        <v>29</v>
      </c>
      <c r="O450" s="32">
        <v>45</v>
      </c>
      <c r="P450" s="32">
        <v>25</v>
      </c>
      <c r="Q450" s="32">
        <v>9</v>
      </c>
      <c r="R450" s="32">
        <v>12</v>
      </c>
      <c r="S450" s="32">
        <v>12</v>
      </c>
      <c r="T450" s="32">
        <v>5</v>
      </c>
      <c r="U450" s="32">
        <v>7</v>
      </c>
      <c r="V450" s="32">
        <v>4</v>
      </c>
      <c r="W450" s="32">
        <v>1</v>
      </c>
      <c r="X450" s="32">
        <v>1</v>
      </c>
      <c r="Y450" s="32">
        <v>3</v>
      </c>
      <c r="Z450" s="32">
        <v>4</v>
      </c>
      <c r="AA450" s="32">
        <v>3</v>
      </c>
      <c r="AB450" s="32">
        <v>1</v>
      </c>
      <c r="AC450" s="32">
        <v>5</v>
      </c>
      <c r="AD450" s="32">
        <v>2</v>
      </c>
      <c r="AE450" s="32">
        <v>2</v>
      </c>
      <c r="AF450" s="32">
        <v>3</v>
      </c>
      <c r="AG450" s="32">
        <v>3</v>
      </c>
      <c r="AH450" s="32">
        <v>1</v>
      </c>
      <c r="AI450" s="32">
        <v>1</v>
      </c>
      <c r="AJ450" s="32">
        <v>1</v>
      </c>
      <c r="AK450" s="32">
        <v>1</v>
      </c>
      <c r="AL450" s="31">
        <v>0</v>
      </c>
      <c r="AM450" s="31">
        <v>0</v>
      </c>
      <c r="AN450" s="31">
        <v>0</v>
      </c>
      <c r="AO450" s="31">
        <v>0</v>
      </c>
      <c r="AP450" s="31">
        <v>0</v>
      </c>
      <c r="AQ450" s="31">
        <v>0</v>
      </c>
      <c r="AR450" s="31">
        <v>0</v>
      </c>
      <c r="AS450" s="31">
        <v>0</v>
      </c>
    </row>
    <row r="451" spans="1:45">
      <c r="A451" s="30" t="s">
        <v>676</v>
      </c>
      <c r="B451" s="30" t="s">
        <v>633</v>
      </c>
      <c r="C451" s="30" t="s">
        <v>677</v>
      </c>
      <c r="D451" s="30" t="s">
        <v>1134</v>
      </c>
      <c r="E451" s="30" t="s">
        <v>1336</v>
      </c>
      <c r="F451" s="30" t="s">
        <v>142</v>
      </c>
      <c r="G451" s="30" t="s">
        <v>1323</v>
      </c>
      <c r="H451" s="30" t="s">
        <v>680</v>
      </c>
      <c r="I451" s="31">
        <v>0</v>
      </c>
      <c r="J451" s="31">
        <v>0</v>
      </c>
      <c r="K451" s="32">
        <v>1</v>
      </c>
      <c r="L451" s="32">
        <v>38</v>
      </c>
      <c r="M451" s="32">
        <v>13</v>
      </c>
      <c r="N451" s="32">
        <v>7</v>
      </c>
      <c r="O451" s="32">
        <v>21</v>
      </c>
      <c r="P451" s="32">
        <v>7</v>
      </c>
      <c r="Q451" s="32">
        <v>7</v>
      </c>
      <c r="R451" s="32">
        <v>10</v>
      </c>
      <c r="S451" s="32">
        <v>7</v>
      </c>
      <c r="T451" s="32">
        <v>6</v>
      </c>
      <c r="U451" s="32">
        <v>4</v>
      </c>
      <c r="V451" s="32">
        <v>1</v>
      </c>
      <c r="W451" s="32">
        <v>2</v>
      </c>
      <c r="X451" s="32">
        <v>2</v>
      </c>
      <c r="Y451" s="32">
        <v>6</v>
      </c>
      <c r="Z451" s="32">
        <v>2</v>
      </c>
      <c r="AA451" s="32">
        <v>2</v>
      </c>
      <c r="AB451" s="32">
        <v>1</v>
      </c>
      <c r="AC451" s="32">
        <v>3</v>
      </c>
      <c r="AD451" s="32">
        <v>2</v>
      </c>
      <c r="AE451" s="31">
        <v>0</v>
      </c>
      <c r="AF451" s="32">
        <v>2</v>
      </c>
      <c r="AG451" s="31">
        <v>0</v>
      </c>
      <c r="AH451" s="32">
        <v>2</v>
      </c>
      <c r="AI451" s="32">
        <v>1</v>
      </c>
      <c r="AJ451" s="32">
        <v>2</v>
      </c>
      <c r="AK451" s="32">
        <v>1</v>
      </c>
      <c r="AL451" s="31">
        <v>0</v>
      </c>
      <c r="AM451" s="32">
        <v>1</v>
      </c>
      <c r="AN451" s="31">
        <v>0</v>
      </c>
      <c r="AO451" s="31">
        <v>0</v>
      </c>
      <c r="AP451" s="31">
        <v>0</v>
      </c>
      <c r="AQ451" s="31">
        <v>0</v>
      </c>
      <c r="AR451" s="31">
        <v>0</v>
      </c>
      <c r="AS451" s="31">
        <v>0</v>
      </c>
    </row>
    <row r="452" spans="1:45">
      <c r="A452" s="30" t="s">
        <v>676</v>
      </c>
      <c r="B452" s="30" t="s">
        <v>633</v>
      </c>
      <c r="C452" s="30" t="s">
        <v>677</v>
      </c>
      <c r="D452" s="30" t="s">
        <v>1134</v>
      </c>
      <c r="E452" s="30" t="s">
        <v>1337</v>
      </c>
      <c r="F452" s="30" t="s">
        <v>142</v>
      </c>
      <c r="G452" s="30" t="s">
        <v>1323</v>
      </c>
      <c r="H452" s="30" t="s">
        <v>680</v>
      </c>
      <c r="I452" s="31">
        <v>0</v>
      </c>
      <c r="J452" s="31">
        <v>0</v>
      </c>
      <c r="K452" s="32">
        <v>3</v>
      </c>
      <c r="L452" s="32">
        <v>29</v>
      </c>
      <c r="M452" s="32">
        <v>18</v>
      </c>
      <c r="N452" s="32">
        <v>11</v>
      </c>
      <c r="O452" s="32">
        <v>23</v>
      </c>
      <c r="P452" s="32">
        <v>10</v>
      </c>
      <c r="Q452" s="32">
        <v>12</v>
      </c>
      <c r="R452" s="32">
        <v>18</v>
      </c>
      <c r="S452" s="32">
        <v>8</v>
      </c>
      <c r="T452" s="32">
        <v>6</v>
      </c>
      <c r="U452" s="32">
        <v>2</v>
      </c>
      <c r="V452" s="32">
        <v>4</v>
      </c>
      <c r="W452" s="32">
        <v>1</v>
      </c>
      <c r="X452" s="32">
        <v>5</v>
      </c>
      <c r="Y452" s="32">
        <v>4</v>
      </c>
      <c r="Z452" s="32">
        <v>2</v>
      </c>
      <c r="AA452" s="32">
        <v>3</v>
      </c>
      <c r="AB452" s="32">
        <v>1</v>
      </c>
      <c r="AC452" s="32">
        <v>3</v>
      </c>
      <c r="AD452" s="32">
        <v>3</v>
      </c>
      <c r="AE452" s="32">
        <v>5</v>
      </c>
      <c r="AF452" s="31">
        <v>0</v>
      </c>
      <c r="AG452" s="32">
        <v>4</v>
      </c>
      <c r="AH452" s="31">
        <v>0</v>
      </c>
      <c r="AI452" s="31">
        <v>0</v>
      </c>
      <c r="AJ452" s="32">
        <v>3</v>
      </c>
      <c r="AK452" s="32">
        <v>1</v>
      </c>
      <c r="AL452" s="32">
        <v>2</v>
      </c>
      <c r="AM452" s="32">
        <v>1</v>
      </c>
      <c r="AN452" s="32">
        <v>2</v>
      </c>
      <c r="AO452" s="31">
        <v>0</v>
      </c>
      <c r="AP452" s="31">
        <v>0</v>
      </c>
      <c r="AQ452" s="31">
        <v>0</v>
      </c>
      <c r="AR452" s="31">
        <v>0</v>
      </c>
      <c r="AS452" s="31">
        <v>0</v>
      </c>
    </row>
    <row r="453" spans="1:45">
      <c r="A453" s="30" t="s">
        <v>676</v>
      </c>
      <c r="B453" s="30" t="s">
        <v>633</v>
      </c>
      <c r="C453" s="30" t="s">
        <v>677</v>
      </c>
      <c r="D453" s="30" t="s">
        <v>1134</v>
      </c>
      <c r="E453" s="30" t="s">
        <v>1338</v>
      </c>
      <c r="F453" s="30" t="s">
        <v>142</v>
      </c>
      <c r="G453" s="30" t="s">
        <v>1323</v>
      </c>
      <c r="H453" s="30" t="s">
        <v>680</v>
      </c>
      <c r="I453" s="31">
        <v>0</v>
      </c>
      <c r="J453" s="31">
        <v>0</v>
      </c>
      <c r="K453" s="31">
        <v>0</v>
      </c>
      <c r="L453" s="32">
        <v>8</v>
      </c>
      <c r="M453" s="32">
        <v>6</v>
      </c>
      <c r="N453" s="32">
        <v>8</v>
      </c>
      <c r="O453" s="32">
        <v>11</v>
      </c>
      <c r="P453" s="32">
        <v>7</v>
      </c>
      <c r="Q453" s="32">
        <v>13</v>
      </c>
      <c r="R453" s="32">
        <v>16</v>
      </c>
      <c r="S453" s="32">
        <v>4</v>
      </c>
      <c r="T453" s="32">
        <v>5</v>
      </c>
      <c r="U453" s="32">
        <v>6</v>
      </c>
      <c r="V453" s="32">
        <v>2</v>
      </c>
      <c r="W453" s="32">
        <v>2</v>
      </c>
      <c r="X453" s="32">
        <v>6</v>
      </c>
      <c r="Y453" s="32">
        <v>6</v>
      </c>
      <c r="Z453" s="32">
        <v>5</v>
      </c>
      <c r="AA453" s="32">
        <v>5</v>
      </c>
      <c r="AB453" s="31">
        <v>0</v>
      </c>
      <c r="AC453" s="32">
        <v>2</v>
      </c>
      <c r="AD453" s="32">
        <v>4</v>
      </c>
      <c r="AE453" s="32">
        <v>4</v>
      </c>
      <c r="AF453" s="31">
        <v>0</v>
      </c>
      <c r="AG453" s="32">
        <v>2</v>
      </c>
      <c r="AH453" s="32">
        <v>1</v>
      </c>
      <c r="AI453" s="32">
        <v>2</v>
      </c>
      <c r="AJ453" s="32">
        <v>1</v>
      </c>
      <c r="AK453" s="31">
        <v>0</v>
      </c>
      <c r="AL453" s="31">
        <v>0</v>
      </c>
      <c r="AM453" s="31">
        <v>0</v>
      </c>
      <c r="AN453" s="31">
        <v>0</v>
      </c>
      <c r="AO453" s="31">
        <v>0</v>
      </c>
      <c r="AP453" s="31">
        <v>0</v>
      </c>
      <c r="AQ453" s="31">
        <v>0</v>
      </c>
      <c r="AR453" s="31">
        <v>0</v>
      </c>
      <c r="AS453" s="31">
        <v>0</v>
      </c>
    </row>
    <row r="454" spans="1:45">
      <c r="A454" s="30" t="s">
        <v>676</v>
      </c>
      <c r="B454" s="30" t="s">
        <v>633</v>
      </c>
      <c r="C454" s="30" t="s">
        <v>677</v>
      </c>
      <c r="D454" s="30" t="s">
        <v>1134</v>
      </c>
      <c r="E454" s="30" t="s">
        <v>1339</v>
      </c>
      <c r="F454" s="30" t="s">
        <v>142</v>
      </c>
      <c r="G454" s="30" t="s">
        <v>1323</v>
      </c>
      <c r="H454" s="30" t="s">
        <v>680</v>
      </c>
      <c r="I454" s="31">
        <v>0</v>
      </c>
      <c r="J454" s="31">
        <v>0</v>
      </c>
      <c r="K454" s="32">
        <v>1</v>
      </c>
      <c r="L454" s="32">
        <v>51</v>
      </c>
      <c r="M454" s="32">
        <v>41</v>
      </c>
      <c r="N454" s="32">
        <v>22</v>
      </c>
      <c r="O454" s="32">
        <v>39</v>
      </c>
      <c r="P454" s="32">
        <v>25</v>
      </c>
      <c r="Q454" s="32">
        <v>10</v>
      </c>
      <c r="R454" s="32">
        <v>25</v>
      </c>
      <c r="S454" s="32">
        <v>14</v>
      </c>
      <c r="T454" s="32">
        <v>15</v>
      </c>
      <c r="U454" s="32">
        <v>12</v>
      </c>
      <c r="V454" s="32">
        <v>2</v>
      </c>
      <c r="W454" s="32">
        <v>5</v>
      </c>
      <c r="X454" s="32">
        <v>6</v>
      </c>
      <c r="Y454" s="32">
        <v>4</v>
      </c>
      <c r="Z454" s="32">
        <v>6</v>
      </c>
      <c r="AA454" s="32">
        <v>6</v>
      </c>
      <c r="AB454" s="32">
        <v>5</v>
      </c>
      <c r="AC454" s="32">
        <v>2</v>
      </c>
      <c r="AD454" s="32">
        <v>4</v>
      </c>
      <c r="AE454" s="32">
        <v>1</v>
      </c>
      <c r="AF454" s="32">
        <v>2</v>
      </c>
      <c r="AG454" s="32">
        <v>4</v>
      </c>
      <c r="AH454" s="32">
        <v>1</v>
      </c>
      <c r="AI454" s="32">
        <v>1</v>
      </c>
      <c r="AJ454" s="31">
        <v>0</v>
      </c>
      <c r="AK454" s="32">
        <v>1</v>
      </c>
      <c r="AL454" s="31">
        <v>0</v>
      </c>
      <c r="AM454" s="32">
        <v>1</v>
      </c>
      <c r="AN454" s="31">
        <v>0</v>
      </c>
      <c r="AO454" s="31">
        <v>0</v>
      </c>
      <c r="AP454" s="31">
        <v>0</v>
      </c>
      <c r="AQ454" s="31">
        <v>0</v>
      </c>
      <c r="AR454" s="31">
        <v>0</v>
      </c>
      <c r="AS454" s="31">
        <v>0</v>
      </c>
    </row>
    <row r="455" spans="1:45">
      <c r="A455" s="30" t="s">
        <v>676</v>
      </c>
      <c r="B455" s="30" t="s">
        <v>633</v>
      </c>
      <c r="C455" s="30" t="s">
        <v>677</v>
      </c>
      <c r="D455" s="30" t="s">
        <v>1134</v>
      </c>
      <c r="E455" s="30" t="s">
        <v>1340</v>
      </c>
      <c r="F455" s="30" t="s">
        <v>142</v>
      </c>
      <c r="G455" s="30" t="s">
        <v>1323</v>
      </c>
      <c r="H455" s="30" t="s">
        <v>680</v>
      </c>
      <c r="I455" s="31">
        <v>0</v>
      </c>
      <c r="J455" s="31">
        <v>0</v>
      </c>
      <c r="K455" s="32">
        <v>1</v>
      </c>
      <c r="L455" s="32">
        <v>18</v>
      </c>
      <c r="M455" s="32">
        <v>16</v>
      </c>
      <c r="N455" s="32">
        <v>14</v>
      </c>
      <c r="O455" s="32">
        <v>13</v>
      </c>
      <c r="P455" s="32">
        <v>13</v>
      </c>
      <c r="Q455" s="32">
        <v>7</v>
      </c>
      <c r="R455" s="32">
        <v>6</v>
      </c>
      <c r="S455" s="32">
        <v>10</v>
      </c>
      <c r="T455" s="32">
        <v>10</v>
      </c>
      <c r="U455" s="32">
        <v>11</v>
      </c>
      <c r="V455" s="32">
        <v>5</v>
      </c>
      <c r="W455" s="32">
        <v>4</v>
      </c>
      <c r="X455" s="32">
        <v>4</v>
      </c>
      <c r="Y455" s="32">
        <v>2</v>
      </c>
      <c r="Z455" s="31">
        <v>0</v>
      </c>
      <c r="AA455" s="32">
        <v>1</v>
      </c>
      <c r="AB455" s="32">
        <v>3</v>
      </c>
      <c r="AC455" s="32">
        <v>3</v>
      </c>
      <c r="AD455" s="31">
        <v>0</v>
      </c>
      <c r="AE455" s="31">
        <v>0</v>
      </c>
      <c r="AF455" s="32">
        <v>2</v>
      </c>
      <c r="AG455" s="32">
        <v>1</v>
      </c>
      <c r="AH455" s="31">
        <v>0</v>
      </c>
      <c r="AI455" s="31">
        <v>0</v>
      </c>
      <c r="AJ455" s="32">
        <v>1</v>
      </c>
      <c r="AK455" s="32">
        <v>2</v>
      </c>
      <c r="AL455" s="32">
        <v>1</v>
      </c>
      <c r="AM455" s="32">
        <v>1</v>
      </c>
      <c r="AN455" s="31">
        <v>0</v>
      </c>
      <c r="AO455" s="31">
        <v>0</v>
      </c>
      <c r="AP455" s="31">
        <v>0</v>
      </c>
      <c r="AQ455" s="31">
        <v>0</v>
      </c>
      <c r="AR455" s="31">
        <v>0</v>
      </c>
      <c r="AS455" s="31">
        <v>0</v>
      </c>
    </row>
    <row r="456" spans="1:45">
      <c r="A456" s="30" t="s">
        <v>676</v>
      </c>
      <c r="B456" s="30" t="s">
        <v>633</v>
      </c>
      <c r="C456" s="30" t="s">
        <v>677</v>
      </c>
      <c r="D456" s="30" t="s">
        <v>1134</v>
      </c>
      <c r="E456" s="30" t="s">
        <v>1341</v>
      </c>
      <c r="F456" s="30" t="s">
        <v>142</v>
      </c>
      <c r="G456" s="30" t="s">
        <v>1323</v>
      </c>
      <c r="H456" s="30" t="s">
        <v>680</v>
      </c>
      <c r="I456" s="31">
        <v>0</v>
      </c>
      <c r="J456" s="31">
        <v>0</v>
      </c>
      <c r="K456" s="32">
        <v>5</v>
      </c>
      <c r="L456" s="32">
        <v>16</v>
      </c>
      <c r="M456" s="32">
        <v>11</v>
      </c>
      <c r="N456" s="32">
        <v>13</v>
      </c>
      <c r="O456" s="32">
        <v>17</v>
      </c>
      <c r="P456" s="32">
        <v>19</v>
      </c>
      <c r="Q456" s="32">
        <v>18</v>
      </c>
      <c r="R456" s="32">
        <v>13</v>
      </c>
      <c r="S456" s="32">
        <v>9</v>
      </c>
      <c r="T456" s="32">
        <v>15</v>
      </c>
      <c r="U456" s="32">
        <v>7</v>
      </c>
      <c r="V456" s="32">
        <v>3</v>
      </c>
      <c r="W456" s="32">
        <v>7</v>
      </c>
      <c r="X456" s="32">
        <v>9</v>
      </c>
      <c r="Y456" s="32">
        <v>6</v>
      </c>
      <c r="Z456" s="31">
        <v>0</v>
      </c>
      <c r="AA456" s="32">
        <v>4</v>
      </c>
      <c r="AB456" s="32">
        <v>1</v>
      </c>
      <c r="AC456" s="32">
        <v>2</v>
      </c>
      <c r="AD456" s="32">
        <v>1</v>
      </c>
      <c r="AE456" s="31">
        <v>0</v>
      </c>
      <c r="AF456" s="31">
        <v>0</v>
      </c>
      <c r="AG456" s="32">
        <v>1</v>
      </c>
      <c r="AH456" s="32">
        <v>5</v>
      </c>
      <c r="AI456" s="32">
        <v>1</v>
      </c>
      <c r="AJ456" s="32">
        <v>4</v>
      </c>
      <c r="AK456" s="32">
        <v>2</v>
      </c>
      <c r="AL456" s="31">
        <v>0</v>
      </c>
      <c r="AM456" s="32">
        <v>2</v>
      </c>
      <c r="AN456" s="32">
        <v>2</v>
      </c>
      <c r="AO456" s="31">
        <v>0</v>
      </c>
      <c r="AP456" s="31">
        <v>0</v>
      </c>
      <c r="AQ456" s="31">
        <v>0</v>
      </c>
      <c r="AR456" s="31">
        <v>0</v>
      </c>
      <c r="AS456" s="31">
        <v>0</v>
      </c>
    </row>
    <row r="457" spans="1:45">
      <c r="A457" s="30" t="s">
        <v>676</v>
      </c>
      <c r="B457" s="30" t="s">
        <v>633</v>
      </c>
      <c r="C457" s="30" t="s">
        <v>677</v>
      </c>
      <c r="D457" s="30" t="s">
        <v>1134</v>
      </c>
      <c r="E457" s="30" t="s">
        <v>1342</v>
      </c>
      <c r="F457" s="30" t="s">
        <v>142</v>
      </c>
      <c r="G457" s="30" t="s">
        <v>1323</v>
      </c>
      <c r="H457" s="30" t="s">
        <v>680</v>
      </c>
      <c r="I457" s="31">
        <v>0</v>
      </c>
      <c r="J457" s="31">
        <v>0</v>
      </c>
      <c r="K457" s="32">
        <v>4</v>
      </c>
      <c r="L457" s="32">
        <v>40</v>
      </c>
      <c r="M457" s="32">
        <v>63</v>
      </c>
      <c r="N457" s="32">
        <v>46</v>
      </c>
      <c r="O457" s="32">
        <v>87</v>
      </c>
      <c r="P457" s="32">
        <v>50</v>
      </c>
      <c r="Q457" s="32">
        <v>30</v>
      </c>
      <c r="R457" s="32">
        <v>70</v>
      </c>
      <c r="S457" s="32">
        <v>24</v>
      </c>
      <c r="T457" s="32">
        <v>30</v>
      </c>
      <c r="U457" s="32">
        <v>18</v>
      </c>
      <c r="V457" s="32">
        <v>12</v>
      </c>
      <c r="W457" s="32">
        <v>7</v>
      </c>
      <c r="X457" s="32">
        <v>15</v>
      </c>
      <c r="Y457" s="32">
        <v>4</v>
      </c>
      <c r="Z457" s="32">
        <v>5</v>
      </c>
      <c r="AA457" s="32">
        <v>6</v>
      </c>
      <c r="AB457" s="32">
        <v>4</v>
      </c>
      <c r="AC457" s="32">
        <v>2</v>
      </c>
      <c r="AD457" s="32">
        <v>2</v>
      </c>
      <c r="AE457" s="32">
        <v>4</v>
      </c>
      <c r="AF457" s="31">
        <v>0</v>
      </c>
      <c r="AG457" s="32">
        <v>2</v>
      </c>
      <c r="AH457" s="32">
        <v>4</v>
      </c>
      <c r="AI457" s="32">
        <v>1</v>
      </c>
      <c r="AJ457" s="32">
        <v>3</v>
      </c>
      <c r="AK457" s="32">
        <v>4</v>
      </c>
      <c r="AL457" s="31">
        <v>0</v>
      </c>
      <c r="AM457" s="31">
        <v>0</v>
      </c>
      <c r="AN457" s="31">
        <v>0</v>
      </c>
      <c r="AO457" s="31">
        <v>0</v>
      </c>
      <c r="AP457" s="31">
        <v>0</v>
      </c>
      <c r="AQ457" s="31">
        <v>0</v>
      </c>
      <c r="AR457" s="31">
        <v>0</v>
      </c>
      <c r="AS457" s="31">
        <v>0</v>
      </c>
    </row>
    <row r="458" spans="1:45">
      <c r="A458" s="30" t="s">
        <v>676</v>
      </c>
      <c r="B458" s="30" t="s">
        <v>633</v>
      </c>
      <c r="C458" s="30" t="s">
        <v>677</v>
      </c>
      <c r="D458" s="30" t="s">
        <v>1134</v>
      </c>
      <c r="E458" s="30" t="s">
        <v>1343</v>
      </c>
      <c r="F458" s="30" t="s">
        <v>142</v>
      </c>
      <c r="G458" s="30" t="s">
        <v>1323</v>
      </c>
      <c r="H458" s="30" t="s">
        <v>680</v>
      </c>
      <c r="I458" s="31">
        <v>0</v>
      </c>
      <c r="J458" s="31">
        <v>0</v>
      </c>
      <c r="K458" s="32">
        <v>3</v>
      </c>
      <c r="L458" s="32">
        <v>28</v>
      </c>
      <c r="M458" s="32">
        <v>18</v>
      </c>
      <c r="N458" s="32">
        <v>16</v>
      </c>
      <c r="O458" s="32">
        <v>21</v>
      </c>
      <c r="P458" s="32">
        <v>12</v>
      </c>
      <c r="Q458" s="32">
        <v>7</v>
      </c>
      <c r="R458" s="32">
        <v>11</v>
      </c>
      <c r="S458" s="32">
        <v>10</v>
      </c>
      <c r="T458" s="32">
        <v>13</v>
      </c>
      <c r="U458" s="32">
        <v>6</v>
      </c>
      <c r="V458" s="32">
        <v>9</v>
      </c>
      <c r="W458" s="32">
        <v>2</v>
      </c>
      <c r="X458" s="32">
        <v>2</v>
      </c>
      <c r="Y458" s="32">
        <v>6</v>
      </c>
      <c r="Z458" s="32">
        <v>3</v>
      </c>
      <c r="AA458" s="32">
        <v>3</v>
      </c>
      <c r="AB458" s="32">
        <v>1</v>
      </c>
      <c r="AC458" s="32">
        <v>1</v>
      </c>
      <c r="AD458" s="32">
        <v>1</v>
      </c>
      <c r="AE458" s="32">
        <v>1</v>
      </c>
      <c r="AF458" s="32">
        <v>2</v>
      </c>
      <c r="AG458" s="32">
        <v>1</v>
      </c>
      <c r="AH458" s="32">
        <v>3</v>
      </c>
      <c r="AI458" s="31">
        <v>0</v>
      </c>
      <c r="AJ458" s="32">
        <v>8</v>
      </c>
      <c r="AK458" s="32">
        <v>3</v>
      </c>
      <c r="AL458" s="31">
        <v>0</v>
      </c>
      <c r="AM458" s="32">
        <v>2</v>
      </c>
      <c r="AN458" s="32">
        <v>1</v>
      </c>
      <c r="AO458" s="31">
        <v>0</v>
      </c>
      <c r="AP458" s="32">
        <v>1</v>
      </c>
      <c r="AQ458" s="31">
        <v>0</v>
      </c>
      <c r="AR458" s="31">
        <v>0</v>
      </c>
      <c r="AS458" s="31">
        <v>0</v>
      </c>
    </row>
    <row r="459" spans="1:45">
      <c r="A459" s="30" t="s">
        <v>676</v>
      </c>
      <c r="B459" s="30" t="s">
        <v>633</v>
      </c>
      <c r="C459" s="30" t="s">
        <v>677</v>
      </c>
      <c r="D459" s="30" t="s">
        <v>1134</v>
      </c>
      <c r="E459" s="30" t="s">
        <v>1344</v>
      </c>
      <c r="F459" s="30" t="s">
        <v>142</v>
      </c>
      <c r="G459" s="30" t="s">
        <v>1323</v>
      </c>
      <c r="H459" s="30" t="s">
        <v>680</v>
      </c>
      <c r="I459" s="31">
        <v>0</v>
      </c>
      <c r="J459" s="31">
        <v>0</v>
      </c>
      <c r="K459" s="32">
        <v>4</v>
      </c>
      <c r="L459" s="32">
        <v>27</v>
      </c>
      <c r="M459" s="32">
        <v>26</v>
      </c>
      <c r="N459" s="32">
        <v>33</v>
      </c>
      <c r="O459" s="32">
        <v>29</v>
      </c>
      <c r="P459" s="32">
        <v>32</v>
      </c>
      <c r="Q459" s="32">
        <v>13</v>
      </c>
      <c r="R459" s="32">
        <v>16</v>
      </c>
      <c r="S459" s="32">
        <v>12</v>
      </c>
      <c r="T459" s="32">
        <v>11</v>
      </c>
      <c r="U459" s="32">
        <v>6</v>
      </c>
      <c r="V459" s="32">
        <v>7</v>
      </c>
      <c r="W459" s="32">
        <v>5</v>
      </c>
      <c r="X459" s="32">
        <v>4</v>
      </c>
      <c r="Y459" s="31">
        <v>0</v>
      </c>
      <c r="Z459" s="32">
        <v>4</v>
      </c>
      <c r="AA459" s="32">
        <v>4</v>
      </c>
      <c r="AB459" s="32">
        <v>2</v>
      </c>
      <c r="AC459" s="32">
        <v>5</v>
      </c>
      <c r="AD459" s="32">
        <v>1</v>
      </c>
      <c r="AE459" s="32">
        <v>1</v>
      </c>
      <c r="AF459" s="32">
        <v>2</v>
      </c>
      <c r="AG459" s="32">
        <v>1</v>
      </c>
      <c r="AH459" s="32">
        <v>1</v>
      </c>
      <c r="AI459" s="32">
        <v>1</v>
      </c>
      <c r="AJ459" s="32">
        <v>2</v>
      </c>
      <c r="AK459" s="32">
        <v>0</v>
      </c>
      <c r="AL459" s="32">
        <v>3</v>
      </c>
      <c r="AM459" s="31">
        <v>0</v>
      </c>
      <c r="AN459" s="32">
        <v>1</v>
      </c>
      <c r="AO459" s="31">
        <v>0</v>
      </c>
      <c r="AP459" s="31">
        <v>0</v>
      </c>
      <c r="AQ459" s="31">
        <v>0</v>
      </c>
      <c r="AR459" s="31">
        <v>0</v>
      </c>
      <c r="AS459" s="31">
        <v>0</v>
      </c>
    </row>
    <row r="460" spans="1:45">
      <c r="A460" s="30" t="s">
        <v>676</v>
      </c>
      <c r="B460" s="30" t="s">
        <v>633</v>
      </c>
      <c r="C460" s="30" t="s">
        <v>677</v>
      </c>
      <c r="D460" s="30" t="s">
        <v>1134</v>
      </c>
      <c r="E460" s="30" t="s">
        <v>1345</v>
      </c>
      <c r="F460" s="30" t="s">
        <v>142</v>
      </c>
      <c r="G460" s="30" t="s">
        <v>1323</v>
      </c>
      <c r="H460" s="30" t="s">
        <v>680</v>
      </c>
      <c r="I460" s="31">
        <v>0</v>
      </c>
      <c r="J460" s="31">
        <v>0</v>
      </c>
      <c r="K460" s="32">
        <v>6</v>
      </c>
      <c r="L460" s="32">
        <v>17</v>
      </c>
      <c r="M460" s="32">
        <v>13</v>
      </c>
      <c r="N460" s="32">
        <v>14</v>
      </c>
      <c r="O460" s="32">
        <v>22</v>
      </c>
      <c r="P460" s="32">
        <v>16</v>
      </c>
      <c r="Q460" s="32">
        <v>15</v>
      </c>
      <c r="R460" s="32">
        <v>18</v>
      </c>
      <c r="S460" s="32">
        <v>9</v>
      </c>
      <c r="T460" s="32">
        <v>10</v>
      </c>
      <c r="U460" s="32">
        <v>7</v>
      </c>
      <c r="V460" s="32">
        <v>9</v>
      </c>
      <c r="W460" s="31">
        <v>0</v>
      </c>
      <c r="X460" s="32">
        <v>4</v>
      </c>
      <c r="Y460" s="32">
        <v>1</v>
      </c>
      <c r="Z460" s="32">
        <v>5</v>
      </c>
      <c r="AA460" s="32">
        <v>3</v>
      </c>
      <c r="AB460" s="32">
        <v>4</v>
      </c>
      <c r="AC460" s="32">
        <v>2</v>
      </c>
      <c r="AD460" s="32">
        <v>3</v>
      </c>
      <c r="AE460" s="32">
        <v>1</v>
      </c>
      <c r="AF460" s="32">
        <v>1</v>
      </c>
      <c r="AG460" s="32">
        <v>3</v>
      </c>
      <c r="AH460" s="31">
        <v>0</v>
      </c>
      <c r="AI460" s="32">
        <v>4</v>
      </c>
      <c r="AJ460" s="32">
        <v>5</v>
      </c>
      <c r="AK460" s="32">
        <v>2</v>
      </c>
      <c r="AL460" s="32">
        <v>2</v>
      </c>
      <c r="AM460" s="31">
        <v>0</v>
      </c>
      <c r="AN460" s="32">
        <v>1</v>
      </c>
      <c r="AO460" s="31">
        <v>0</v>
      </c>
      <c r="AP460" s="31">
        <v>0</v>
      </c>
      <c r="AQ460" s="31">
        <v>0</v>
      </c>
      <c r="AR460" s="31">
        <v>0</v>
      </c>
      <c r="AS460" s="31">
        <v>0</v>
      </c>
    </row>
    <row r="461" spans="1:45">
      <c r="A461" s="30" t="s">
        <v>676</v>
      </c>
      <c r="B461" s="30" t="s">
        <v>633</v>
      </c>
      <c r="C461" s="30" t="s">
        <v>677</v>
      </c>
      <c r="D461" s="30" t="s">
        <v>1134</v>
      </c>
      <c r="E461" s="30" t="s">
        <v>1346</v>
      </c>
      <c r="F461" s="30" t="s">
        <v>142</v>
      </c>
      <c r="G461" s="30" t="s">
        <v>1323</v>
      </c>
      <c r="H461" s="30" t="s">
        <v>680</v>
      </c>
      <c r="I461" s="31">
        <v>0</v>
      </c>
      <c r="J461" s="31">
        <v>0</v>
      </c>
      <c r="K461" s="32">
        <v>7</v>
      </c>
      <c r="L461" s="32">
        <v>35</v>
      </c>
      <c r="M461" s="32">
        <v>24</v>
      </c>
      <c r="N461" s="32">
        <v>22</v>
      </c>
      <c r="O461" s="32">
        <v>14</v>
      </c>
      <c r="P461" s="32">
        <v>19</v>
      </c>
      <c r="Q461" s="32">
        <v>19</v>
      </c>
      <c r="R461" s="32">
        <v>17</v>
      </c>
      <c r="S461" s="32">
        <v>5</v>
      </c>
      <c r="T461" s="32">
        <v>5</v>
      </c>
      <c r="U461" s="32">
        <v>9</v>
      </c>
      <c r="V461" s="32">
        <v>4</v>
      </c>
      <c r="W461" s="32">
        <v>4</v>
      </c>
      <c r="X461" s="32">
        <v>7</v>
      </c>
      <c r="Y461" s="32">
        <v>2</v>
      </c>
      <c r="Z461" s="31">
        <v>0</v>
      </c>
      <c r="AA461" s="32">
        <v>2</v>
      </c>
      <c r="AB461" s="32">
        <v>3</v>
      </c>
      <c r="AC461" s="32">
        <v>2</v>
      </c>
      <c r="AD461" s="31">
        <v>0</v>
      </c>
      <c r="AE461" s="32">
        <v>2</v>
      </c>
      <c r="AF461" s="31">
        <v>0</v>
      </c>
      <c r="AG461" s="31">
        <v>0</v>
      </c>
      <c r="AH461" s="32">
        <v>1</v>
      </c>
      <c r="AI461" s="32">
        <v>1</v>
      </c>
      <c r="AJ461" s="32">
        <v>3</v>
      </c>
      <c r="AK461" s="32">
        <v>0</v>
      </c>
      <c r="AL461" s="32">
        <v>2</v>
      </c>
      <c r="AM461" s="31">
        <v>0</v>
      </c>
      <c r="AN461" s="32">
        <v>1</v>
      </c>
      <c r="AO461" s="31">
        <v>0</v>
      </c>
      <c r="AP461" s="31">
        <v>0</v>
      </c>
      <c r="AQ461" s="31">
        <v>0</v>
      </c>
      <c r="AR461" s="31">
        <v>0</v>
      </c>
      <c r="AS461" s="31">
        <v>0</v>
      </c>
    </row>
    <row r="462" spans="1:45">
      <c r="A462" s="30" t="s">
        <v>676</v>
      </c>
      <c r="B462" s="30" t="s">
        <v>633</v>
      </c>
      <c r="C462" s="30" t="s">
        <v>677</v>
      </c>
      <c r="D462" s="30" t="s">
        <v>1134</v>
      </c>
      <c r="E462" s="30" t="s">
        <v>1347</v>
      </c>
      <c r="F462" s="30" t="s">
        <v>142</v>
      </c>
      <c r="G462" s="30" t="s">
        <v>1323</v>
      </c>
      <c r="H462" s="30" t="s">
        <v>680</v>
      </c>
      <c r="I462" s="31">
        <v>0</v>
      </c>
      <c r="J462" s="31">
        <v>0</v>
      </c>
      <c r="K462" s="32">
        <v>1</v>
      </c>
      <c r="L462" s="32">
        <v>20</v>
      </c>
      <c r="M462" s="32">
        <v>10</v>
      </c>
      <c r="N462" s="32">
        <v>17</v>
      </c>
      <c r="O462" s="32">
        <v>38</v>
      </c>
      <c r="P462" s="32">
        <v>17</v>
      </c>
      <c r="Q462" s="32">
        <v>25</v>
      </c>
      <c r="R462" s="32">
        <v>13</v>
      </c>
      <c r="S462" s="32">
        <v>19</v>
      </c>
      <c r="T462" s="32">
        <v>11</v>
      </c>
      <c r="U462" s="32">
        <v>18</v>
      </c>
      <c r="V462" s="32">
        <v>6</v>
      </c>
      <c r="W462" s="32">
        <v>6</v>
      </c>
      <c r="X462" s="32">
        <v>8</v>
      </c>
      <c r="Y462" s="32">
        <v>4</v>
      </c>
      <c r="Z462" s="32">
        <v>3</v>
      </c>
      <c r="AA462" s="32">
        <v>3</v>
      </c>
      <c r="AB462" s="32">
        <v>3</v>
      </c>
      <c r="AC462" s="32">
        <v>4</v>
      </c>
      <c r="AD462" s="32">
        <v>3</v>
      </c>
      <c r="AE462" s="32">
        <v>4</v>
      </c>
      <c r="AF462" s="31">
        <v>0</v>
      </c>
      <c r="AG462" s="31">
        <v>0</v>
      </c>
      <c r="AH462" s="32">
        <v>2</v>
      </c>
      <c r="AI462" s="32">
        <v>2</v>
      </c>
      <c r="AJ462" s="31">
        <v>0</v>
      </c>
      <c r="AK462" s="31">
        <v>0</v>
      </c>
      <c r="AL462" s="31">
        <v>0</v>
      </c>
      <c r="AM462" s="31">
        <v>0</v>
      </c>
      <c r="AN462" s="31">
        <v>0</v>
      </c>
      <c r="AO462" s="31">
        <v>0</v>
      </c>
      <c r="AP462" s="31">
        <v>0</v>
      </c>
      <c r="AQ462" s="31">
        <v>0</v>
      </c>
      <c r="AR462" s="31">
        <v>0</v>
      </c>
      <c r="AS462" s="31">
        <v>0</v>
      </c>
    </row>
    <row r="463" spans="1:45">
      <c r="A463" s="30" t="s">
        <v>676</v>
      </c>
      <c r="B463" s="30" t="s">
        <v>633</v>
      </c>
      <c r="C463" s="30" t="s">
        <v>677</v>
      </c>
      <c r="D463" s="30" t="s">
        <v>1134</v>
      </c>
      <c r="E463" s="30" t="s">
        <v>1348</v>
      </c>
      <c r="F463" s="30" t="s">
        <v>142</v>
      </c>
      <c r="G463" s="30" t="s">
        <v>1323</v>
      </c>
      <c r="H463" s="30" t="s">
        <v>680</v>
      </c>
      <c r="I463" s="31">
        <v>0</v>
      </c>
      <c r="J463" s="31">
        <v>0</v>
      </c>
      <c r="K463" s="32">
        <v>4</v>
      </c>
      <c r="L463" s="32">
        <v>60</v>
      </c>
      <c r="M463" s="32">
        <v>55</v>
      </c>
      <c r="N463" s="32">
        <v>57</v>
      </c>
      <c r="O463" s="32">
        <v>94</v>
      </c>
      <c r="P463" s="32">
        <v>62</v>
      </c>
      <c r="Q463" s="32">
        <v>46</v>
      </c>
      <c r="R463" s="32">
        <v>74</v>
      </c>
      <c r="S463" s="32">
        <v>51</v>
      </c>
      <c r="T463" s="32">
        <v>32</v>
      </c>
      <c r="U463" s="32">
        <v>24</v>
      </c>
      <c r="V463" s="32">
        <v>10</v>
      </c>
      <c r="W463" s="32">
        <v>15</v>
      </c>
      <c r="X463" s="32">
        <v>18</v>
      </c>
      <c r="Y463" s="32">
        <v>17</v>
      </c>
      <c r="Z463" s="32">
        <v>11</v>
      </c>
      <c r="AA463" s="32">
        <v>11</v>
      </c>
      <c r="AB463" s="32">
        <v>9</v>
      </c>
      <c r="AC463" s="32">
        <v>5</v>
      </c>
      <c r="AD463" s="32">
        <v>8</v>
      </c>
      <c r="AE463" s="32">
        <v>1</v>
      </c>
      <c r="AF463" s="32">
        <v>1</v>
      </c>
      <c r="AG463" s="32">
        <v>2</v>
      </c>
      <c r="AH463" s="32">
        <v>2</v>
      </c>
      <c r="AI463" s="31">
        <v>0</v>
      </c>
      <c r="AJ463" s="32">
        <v>1</v>
      </c>
      <c r="AK463" s="32">
        <v>2</v>
      </c>
      <c r="AL463" s="32">
        <v>1</v>
      </c>
      <c r="AM463" s="32">
        <v>1</v>
      </c>
      <c r="AN463" s="31">
        <v>0</v>
      </c>
      <c r="AO463" s="31">
        <v>0</v>
      </c>
      <c r="AP463" s="31">
        <v>0</v>
      </c>
      <c r="AQ463" s="31">
        <v>0</v>
      </c>
      <c r="AR463" s="31">
        <v>0</v>
      </c>
      <c r="AS463" s="31">
        <v>0</v>
      </c>
    </row>
    <row r="464" spans="1:45">
      <c r="A464" s="30" t="s">
        <v>676</v>
      </c>
      <c r="B464" s="30" t="s">
        <v>633</v>
      </c>
      <c r="C464" s="30" t="s">
        <v>677</v>
      </c>
      <c r="D464" s="30" t="s">
        <v>1134</v>
      </c>
      <c r="E464" s="30" t="s">
        <v>1349</v>
      </c>
      <c r="F464" s="30" t="s">
        <v>142</v>
      </c>
      <c r="G464" s="30" t="s">
        <v>1323</v>
      </c>
      <c r="H464" s="30" t="s">
        <v>680</v>
      </c>
      <c r="I464" s="31">
        <v>0</v>
      </c>
      <c r="J464" s="31">
        <v>0</v>
      </c>
      <c r="K464" s="32">
        <v>5</v>
      </c>
      <c r="L464" s="32">
        <v>26</v>
      </c>
      <c r="M464" s="32">
        <v>22</v>
      </c>
      <c r="N464" s="32">
        <v>19</v>
      </c>
      <c r="O464" s="32">
        <v>26</v>
      </c>
      <c r="P464" s="32">
        <v>21</v>
      </c>
      <c r="Q464" s="32">
        <v>13</v>
      </c>
      <c r="R464" s="32">
        <v>7</v>
      </c>
      <c r="S464" s="32">
        <v>9</v>
      </c>
      <c r="T464" s="32">
        <v>4</v>
      </c>
      <c r="U464" s="32">
        <v>4</v>
      </c>
      <c r="V464" s="32">
        <v>5</v>
      </c>
      <c r="W464" s="32">
        <v>2</v>
      </c>
      <c r="X464" s="32">
        <v>3</v>
      </c>
      <c r="Y464" s="32">
        <v>4</v>
      </c>
      <c r="Z464" s="32">
        <v>2</v>
      </c>
      <c r="AA464" s="32">
        <v>3</v>
      </c>
      <c r="AB464" s="31">
        <v>0</v>
      </c>
      <c r="AC464" s="32">
        <v>1</v>
      </c>
      <c r="AD464" s="32">
        <v>1</v>
      </c>
      <c r="AE464" s="32">
        <v>3</v>
      </c>
      <c r="AF464" s="32">
        <v>3</v>
      </c>
      <c r="AG464" s="32">
        <v>2</v>
      </c>
      <c r="AH464" s="32">
        <v>1</v>
      </c>
      <c r="AI464" s="31">
        <v>0</v>
      </c>
      <c r="AJ464" s="32">
        <v>3</v>
      </c>
      <c r="AK464" s="31">
        <v>0</v>
      </c>
      <c r="AL464" s="31">
        <v>0</v>
      </c>
      <c r="AM464" s="32">
        <v>1</v>
      </c>
      <c r="AN464" s="32">
        <v>1</v>
      </c>
      <c r="AO464" s="32">
        <v>4</v>
      </c>
      <c r="AP464" s="31">
        <v>0</v>
      </c>
      <c r="AQ464" s="31">
        <v>0</v>
      </c>
      <c r="AR464" s="31">
        <v>0</v>
      </c>
      <c r="AS464" s="31">
        <v>0</v>
      </c>
    </row>
    <row r="465" spans="1:45">
      <c r="A465" s="30" t="s">
        <v>676</v>
      </c>
      <c r="B465" s="30" t="s">
        <v>633</v>
      </c>
      <c r="C465" s="30" t="s">
        <v>677</v>
      </c>
      <c r="D465" s="30" t="s">
        <v>1134</v>
      </c>
      <c r="E465" s="30" t="s">
        <v>1350</v>
      </c>
      <c r="F465" s="30" t="s">
        <v>142</v>
      </c>
      <c r="G465" s="30" t="s">
        <v>1323</v>
      </c>
      <c r="H465" s="30" t="s">
        <v>680</v>
      </c>
      <c r="I465" s="31">
        <v>0</v>
      </c>
      <c r="J465" s="31">
        <v>0</v>
      </c>
      <c r="K465" s="32">
        <v>2</v>
      </c>
      <c r="L465" s="32">
        <v>34</v>
      </c>
      <c r="M465" s="32">
        <v>23</v>
      </c>
      <c r="N465" s="32">
        <v>26</v>
      </c>
      <c r="O465" s="32">
        <v>27</v>
      </c>
      <c r="P465" s="32">
        <v>28</v>
      </c>
      <c r="Q465" s="32">
        <v>8</v>
      </c>
      <c r="R465" s="32">
        <v>15</v>
      </c>
      <c r="S465" s="32">
        <v>5</v>
      </c>
      <c r="T465" s="32">
        <v>8</v>
      </c>
      <c r="U465" s="32">
        <v>5</v>
      </c>
      <c r="V465" s="32">
        <v>4</v>
      </c>
      <c r="W465" s="32">
        <v>5</v>
      </c>
      <c r="X465" s="32">
        <v>7</v>
      </c>
      <c r="Y465" s="32">
        <v>4</v>
      </c>
      <c r="Z465" s="32">
        <v>1</v>
      </c>
      <c r="AA465" s="32">
        <v>4</v>
      </c>
      <c r="AB465" s="32">
        <v>3</v>
      </c>
      <c r="AC465" s="31">
        <v>0</v>
      </c>
      <c r="AD465" s="32">
        <v>3</v>
      </c>
      <c r="AE465" s="32">
        <v>4</v>
      </c>
      <c r="AF465" s="31">
        <v>0</v>
      </c>
      <c r="AG465" s="32">
        <v>1</v>
      </c>
      <c r="AH465" s="31">
        <v>0</v>
      </c>
      <c r="AI465" s="32">
        <v>1</v>
      </c>
      <c r="AJ465" s="32">
        <v>3</v>
      </c>
      <c r="AK465" s="32">
        <v>0</v>
      </c>
      <c r="AL465" s="32">
        <v>1</v>
      </c>
      <c r="AM465" s="32">
        <v>4</v>
      </c>
      <c r="AN465" s="31">
        <v>0</v>
      </c>
      <c r="AO465" s="32">
        <v>2</v>
      </c>
      <c r="AP465" s="31">
        <v>0</v>
      </c>
      <c r="AQ465" s="31">
        <v>0</v>
      </c>
      <c r="AR465" s="31">
        <v>0</v>
      </c>
      <c r="AS465" s="31">
        <v>0</v>
      </c>
    </row>
    <row r="466" spans="1:45">
      <c r="A466" s="30" t="s">
        <v>676</v>
      </c>
      <c r="B466" s="30" t="s">
        <v>633</v>
      </c>
      <c r="C466" s="30" t="s">
        <v>677</v>
      </c>
      <c r="D466" s="30" t="s">
        <v>1134</v>
      </c>
      <c r="E466" s="30" t="s">
        <v>1351</v>
      </c>
      <c r="F466" s="30" t="s">
        <v>142</v>
      </c>
      <c r="G466" s="30" t="s">
        <v>1323</v>
      </c>
      <c r="H466" s="30" t="s">
        <v>680</v>
      </c>
      <c r="I466" s="31">
        <v>0</v>
      </c>
      <c r="J466" s="31">
        <v>0</v>
      </c>
      <c r="K466" s="32">
        <v>3</v>
      </c>
      <c r="L466" s="32">
        <v>66</v>
      </c>
      <c r="M466" s="32">
        <v>68</v>
      </c>
      <c r="N466" s="32">
        <v>51</v>
      </c>
      <c r="O466" s="32">
        <v>95</v>
      </c>
      <c r="P466" s="32">
        <v>77</v>
      </c>
      <c r="Q466" s="32">
        <v>53</v>
      </c>
      <c r="R466" s="32">
        <v>149</v>
      </c>
      <c r="S466" s="32">
        <v>86</v>
      </c>
      <c r="T466" s="32">
        <v>54</v>
      </c>
      <c r="U466" s="32">
        <v>65</v>
      </c>
      <c r="V466" s="32">
        <v>37</v>
      </c>
      <c r="W466" s="32">
        <v>36</v>
      </c>
      <c r="X466" s="32">
        <v>27</v>
      </c>
      <c r="Y466" s="32">
        <v>23</v>
      </c>
      <c r="Z466" s="32">
        <v>14</v>
      </c>
      <c r="AA466" s="32">
        <v>14</v>
      </c>
      <c r="AB466" s="32">
        <v>9</v>
      </c>
      <c r="AC466" s="32">
        <v>11</v>
      </c>
      <c r="AD466" s="32">
        <v>8</v>
      </c>
      <c r="AE466" s="32">
        <v>5</v>
      </c>
      <c r="AF466" s="32">
        <v>3</v>
      </c>
      <c r="AG466" s="32">
        <v>6</v>
      </c>
      <c r="AH466" s="32">
        <v>4</v>
      </c>
      <c r="AI466" s="32">
        <v>5</v>
      </c>
      <c r="AJ466" s="32">
        <v>4</v>
      </c>
      <c r="AK466" s="32">
        <v>3</v>
      </c>
      <c r="AL466" s="32">
        <v>1</v>
      </c>
      <c r="AM466" s="32">
        <v>1</v>
      </c>
      <c r="AN466" s="31">
        <v>0</v>
      </c>
      <c r="AO466" s="31">
        <v>0</v>
      </c>
      <c r="AP466" s="31">
        <v>0</v>
      </c>
      <c r="AQ466" s="31">
        <v>0</v>
      </c>
      <c r="AR466" s="31">
        <v>0</v>
      </c>
      <c r="AS466" s="31">
        <v>0</v>
      </c>
    </row>
    <row r="467" spans="1:45">
      <c r="A467" s="30" t="s">
        <v>676</v>
      </c>
      <c r="B467" s="30" t="s">
        <v>633</v>
      </c>
      <c r="C467" s="30" t="s">
        <v>677</v>
      </c>
      <c r="D467" s="30" t="s">
        <v>1134</v>
      </c>
      <c r="E467" s="30" t="s">
        <v>1352</v>
      </c>
      <c r="F467" s="30" t="s">
        <v>142</v>
      </c>
      <c r="G467" s="30" t="s">
        <v>1323</v>
      </c>
      <c r="H467" s="30" t="s">
        <v>680</v>
      </c>
      <c r="I467" s="31">
        <v>0</v>
      </c>
      <c r="J467" s="31">
        <v>0</v>
      </c>
      <c r="K467" s="32">
        <v>8</v>
      </c>
      <c r="L467" s="32">
        <v>44</v>
      </c>
      <c r="M467" s="32">
        <v>59</v>
      </c>
      <c r="N467" s="32">
        <v>44</v>
      </c>
      <c r="O467" s="32">
        <v>68</v>
      </c>
      <c r="P467" s="32">
        <v>75</v>
      </c>
      <c r="Q467" s="32">
        <v>69</v>
      </c>
      <c r="R467" s="32">
        <v>115</v>
      </c>
      <c r="S467" s="32">
        <v>80</v>
      </c>
      <c r="T467" s="32">
        <v>60</v>
      </c>
      <c r="U467" s="32">
        <v>73</v>
      </c>
      <c r="V467" s="32">
        <v>38</v>
      </c>
      <c r="W467" s="32">
        <v>37</v>
      </c>
      <c r="X467" s="32">
        <v>32</v>
      </c>
      <c r="Y467" s="32">
        <v>28</v>
      </c>
      <c r="Z467" s="32">
        <v>32</v>
      </c>
      <c r="AA467" s="32">
        <v>16</v>
      </c>
      <c r="AB467" s="32">
        <v>19</v>
      </c>
      <c r="AC467" s="32">
        <v>19</v>
      </c>
      <c r="AD467" s="32">
        <v>13</v>
      </c>
      <c r="AE467" s="32">
        <v>9</v>
      </c>
      <c r="AF467" s="32">
        <v>4</v>
      </c>
      <c r="AG467" s="32">
        <v>7</v>
      </c>
      <c r="AH467" s="32">
        <v>4</v>
      </c>
      <c r="AI467" s="32">
        <v>2</v>
      </c>
      <c r="AJ467" s="32">
        <v>2</v>
      </c>
      <c r="AK467" s="32">
        <v>4</v>
      </c>
      <c r="AL467" s="32">
        <v>2</v>
      </c>
      <c r="AM467" s="32">
        <v>1</v>
      </c>
      <c r="AN467" s="31">
        <v>0</v>
      </c>
      <c r="AO467" s="32">
        <v>2</v>
      </c>
      <c r="AP467" s="32">
        <v>4</v>
      </c>
      <c r="AQ467" s="32">
        <v>3</v>
      </c>
      <c r="AR467" s="31">
        <v>0</v>
      </c>
      <c r="AS467" s="31">
        <v>0</v>
      </c>
    </row>
    <row r="468" spans="1:45">
      <c r="A468" s="30" t="s">
        <v>676</v>
      </c>
      <c r="B468" s="30" t="s">
        <v>633</v>
      </c>
      <c r="C468" s="30" t="s">
        <v>677</v>
      </c>
      <c r="D468" s="30" t="s">
        <v>1134</v>
      </c>
      <c r="E468" s="30" t="s">
        <v>1353</v>
      </c>
      <c r="F468" s="30" t="s">
        <v>142</v>
      </c>
      <c r="G468" s="30" t="s">
        <v>1323</v>
      </c>
      <c r="H468" s="30" t="s">
        <v>680</v>
      </c>
      <c r="I468" s="31">
        <v>0</v>
      </c>
      <c r="J468" s="31">
        <v>0</v>
      </c>
      <c r="K468" s="32">
        <v>6</v>
      </c>
      <c r="L468" s="32">
        <v>65</v>
      </c>
      <c r="M468" s="32">
        <v>75</v>
      </c>
      <c r="N468" s="32">
        <v>72</v>
      </c>
      <c r="O468" s="32">
        <v>96</v>
      </c>
      <c r="P468" s="32">
        <v>91</v>
      </c>
      <c r="Q468" s="32">
        <v>42</v>
      </c>
      <c r="R468" s="32">
        <v>95</v>
      </c>
      <c r="S468" s="32">
        <v>40</v>
      </c>
      <c r="T468" s="32">
        <v>44</v>
      </c>
      <c r="U468" s="32">
        <v>39</v>
      </c>
      <c r="V468" s="32">
        <v>24</v>
      </c>
      <c r="W468" s="32">
        <v>28</v>
      </c>
      <c r="X468" s="32">
        <v>35</v>
      </c>
      <c r="Y468" s="32">
        <v>21</v>
      </c>
      <c r="Z468" s="32">
        <v>18</v>
      </c>
      <c r="AA468" s="32">
        <v>21</v>
      </c>
      <c r="AB468" s="32">
        <v>9</v>
      </c>
      <c r="AC468" s="32">
        <v>16</v>
      </c>
      <c r="AD468" s="32">
        <v>16</v>
      </c>
      <c r="AE468" s="32">
        <v>9</v>
      </c>
      <c r="AF468" s="32">
        <v>4</v>
      </c>
      <c r="AG468" s="32">
        <v>7</v>
      </c>
      <c r="AH468" s="32">
        <v>4</v>
      </c>
      <c r="AI468" s="32">
        <v>3</v>
      </c>
      <c r="AJ468" s="32">
        <v>10</v>
      </c>
      <c r="AK468" s="32">
        <v>2</v>
      </c>
      <c r="AL468" s="32">
        <v>2</v>
      </c>
      <c r="AM468" s="32">
        <v>1</v>
      </c>
      <c r="AN468" s="31">
        <v>0</v>
      </c>
      <c r="AO468" s="32">
        <v>3</v>
      </c>
      <c r="AP468" s="32">
        <v>2</v>
      </c>
      <c r="AQ468" s="31">
        <v>0</v>
      </c>
      <c r="AR468" s="31">
        <v>0</v>
      </c>
      <c r="AS468" s="31">
        <v>0</v>
      </c>
    </row>
    <row r="469" spans="1:45">
      <c r="A469" s="30" t="s">
        <v>676</v>
      </c>
      <c r="B469" s="30" t="s">
        <v>633</v>
      </c>
      <c r="C469" s="30" t="s">
        <v>677</v>
      </c>
      <c r="D469" s="30" t="s">
        <v>1134</v>
      </c>
      <c r="E469" s="30" t="s">
        <v>1354</v>
      </c>
      <c r="F469" s="30" t="s">
        <v>142</v>
      </c>
      <c r="G469" s="30" t="s">
        <v>1323</v>
      </c>
      <c r="H469" s="30" t="s">
        <v>680</v>
      </c>
      <c r="I469" s="31">
        <v>0</v>
      </c>
      <c r="J469" s="31">
        <v>0</v>
      </c>
      <c r="K469" s="32">
        <v>2</v>
      </c>
      <c r="L469" s="32">
        <v>58</v>
      </c>
      <c r="M469" s="32">
        <v>59</v>
      </c>
      <c r="N469" s="32">
        <v>60</v>
      </c>
      <c r="O469" s="32">
        <v>96</v>
      </c>
      <c r="P469" s="32">
        <v>80</v>
      </c>
      <c r="Q469" s="32">
        <v>49</v>
      </c>
      <c r="R469" s="32">
        <v>105</v>
      </c>
      <c r="S469" s="32">
        <v>55</v>
      </c>
      <c r="T469" s="32">
        <v>36</v>
      </c>
      <c r="U469" s="32">
        <v>54</v>
      </c>
      <c r="V469" s="32">
        <v>38</v>
      </c>
      <c r="W469" s="32">
        <v>26</v>
      </c>
      <c r="X469" s="32">
        <v>24</v>
      </c>
      <c r="Y469" s="32">
        <v>19</v>
      </c>
      <c r="Z469" s="32">
        <v>21</v>
      </c>
      <c r="AA469" s="32">
        <v>18</v>
      </c>
      <c r="AB469" s="32">
        <v>18</v>
      </c>
      <c r="AC469" s="32">
        <v>11</v>
      </c>
      <c r="AD469" s="32">
        <v>21</v>
      </c>
      <c r="AE469" s="32">
        <v>7</v>
      </c>
      <c r="AF469" s="32">
        <v>3</v>
      </c>
      <c r="AG469" s="32">
        <v>5</v>
      </c>
      <c r="AH469" s="32">
        <v>2</v>
      </c>
      <c r="AI469" s="32">
        <v>2</v>
      </c>
      <c r="AJ469" s="32">
        <v>3</v>
      </c>
      <c r="AK469" s="32">
        <v>2</v>
      </c>
      <c r="AL469" s="32">
        <v>2</v>
      </c>
      <c r="AM469" s="32">
        <v>2</v>
      </c>
      <c r="AN469" s="31">
        <v>0</v>
      </c>
      <c r="AO469" s="31">
        <v>0</v>
      </c>
      <c r="AP469" s="31">
        <v>0</v>
      </c>
      <c r="AQ469" s="31">
        <v>0</v>
      </c>
      <c r="AR469" s="31">
        <v>0</v>
      </c>
      <c r="AS469" s="31">
        <v>0</v>
      </c>
    </row>
    <row r="470" spans="1:45">
      <c r="A470" s="30" t="s">
        <v>676</v>
      </c>
      <c r="B470" s="30" t="s">
        <v>633</v>
      </c>
      <c r="C470" s="30" t="s">
        <v>677</v>
      </c>
      <c r="D470" s="30" t="s">
        <v>1134</v>
      </c>
      <c r="E470" s="30" t="s">
        <v>1355</v>
      </c>
      <c r="F470" s="30" t="s">
        <v>139</v>
      </c>
      <c r="G470" s="30" t="s">
        <v>1356</v>
      </c>
      <c r="H470" s="30" t="s">
        <v>680</v>
      </c>
      <c r="I470" s="31">
        <v>0</v>
      </c>
      <c r="J470" s="31">
        <v>0</v>
      </c>
      <c r="K470" s="31">
        <v>0</v>
      </c>
      <c r="L470" s="31">
        <v>0</v>
      </c>
      <c r="M470" s="31">
        <v>0</v>
      </c>
      <c r="N470" s="31">
        <v>0</v>
      </c>
      <c r="O470" s="31">
        <v>0</v>
      </c>
      <c r="P470" s="31">
        <v>0</v>
      </c>
      <c r="Q470" s="31">
        <v>0</v>
      </c>
      <c r="R470" s="32">
        <v>175</v>
      </c>
      <c r="S470" s="32">
        <v>650</v>
      </c>
      <c r="T470" s="32">
        <v>586</v>
      </c>
      <c r="U470" s="32">
        <v>238.21770000000001</v>
      </c>
      <c r="V470" s="32">
        <v>404</v>
      </c>
      <c r="W470" s="32">
        <v>234</v>
      </c>
      <c r="X470" s="32">
        <v>156</v>
      </c>
      <c r="Y470" s="32">
        <v>52</v>
      </c>
      <c r="Z470" s="32">
        <v>33</v>
      </c>
      <c r="AA470" s="32">
        <v>25</v>
      </c>
      <c r="AB470" s="32">
        <v>9</v>
      </c>
      <c r="AC470" s="32">
        <v>11</v>
      </c>
      <c r="AD470" s="32">
        <v>3</v>
      </c>
      <c r="AE470" s="32">
        <v>3</v>
      </c>
      <c r="AF470" s="32">
        <v>4</v>
      </c>
      <c r="AG470" s="31">
        <v>0</v>
      </c>
      <c r="AH470" s="32">
        <v>1</v>
      </c>
      <c r="AI470" s="31">
        <v>0</v>
      </c>
      <c r="AJ470" s="31">
        <v>0</v>
      </c>
      <c r="AK470" s="31">
        <v>0</v>
      </c>
      <c r="AL470" s="31">
        <v>0</v>
      </c>
      <c r="AM470" s="31">
        <v>0</v>
      </c>
      <c r="AN470" s="31">
        <v>0</v>
      </c>
      <c r="AO470" s="31">
        <v>0</v>
      </c>
      <c r="AP470" s="31">
        <v>0</v>
      </c>
      <c r="AQ470" s="31">
        <v>0</v>
      </c>
      <c r="AR470" s="31">
        <v>0</v>
      </c>
      <c r="AS470" s="31">
        <v>0</v>
      </c>
    </row>
    <row r="471" spans="1:45">
      <c r="A471" s="30" t="s">
        <v>676</v>
      </c>
      <c r="B471" s="30" t="s">
        <v>633</v>
      </c>
      <c r="C471" s="30" t="s">
        <v>677</v>
      </c>
      <c r="D471" s="30" t="s">
        <v>1134</v>
      </c>
      <c r="E471" s="30" t="s">
        <v>1357</v>
      </c>
      <c r="F471" s="30" t="s">
        <v>139</v>
      </c>
      <c r="G471" s="30" t="s">
        <v>1358</v>
      </c>
      <c r="H471" s="30" t="s">
        <v>680</v>
      </c>
      <c r="I471" s="31">
        <v>0</v>
      </c>
      <c r="J471" s="31">
        <v>0</v>
      </c>
      <c r="K471" s="31">
        <v>0</v>
      </c>
      <c r="L471" s="31">
        <v>0</v>
      </c>
      <c r="M471" s="31">
        <v>0</v>
      </c>
      <c r="N471" s="31">
        <v>0</v>
      </c>
      <c r="O471" s="31">
        <v>0</v>
      </c>
      <c r="P471" s="31">
        <v>0</v>
      </c>
      <c r="Q471" s="31">
        <v>0</v>
      </c>
      <c r="R471" s="32">
        <v>175</v>
      </c>
      <c r="S471" s="32">
        <v>650</v>
      </c>
      <c r="T471" s="32">
        <v>586</v>
      </c>
      <c r="U471" s="32">
        <v>238.21770000000001</v>
      </c>
      <c r="V471" s="32">
        <v>404</v>
      </c>
      <c r="W471" s="32">
        <v>234</v>
      </c>
      <c r="X471" s="32">
        <v>156</v>
      </c>
      <c r="Y471" s="32">
        <v>52</v>
      </c>
      <c r="Z471" s="32">
        <v>33</v>
      </c>
      <c r="AA471" s="32">
        <v>25</v>
      </c>
      <c r="AB471" s="32">
        <v>9</v>
      </c>
      <c r="AC471" s="32">
        <v>11</v>
      </c>
      <c r="AD471" s="32">
        <v>3</v>
      </c>
      <c r="AE471" s="32">
        <v>3</v>
      </c>
      <c r="AF471" s="32">
        <v>4</v>
      </c>
      <c r="AG471" s="31">
        <v>0</v>
      </c>
      <c r="AH471" s="32">
        <v>1</v>
      </c>
      <c r="AI471" s="31">
        <v>0</v>
      </c>
      <c r="AJ471" s="31">
        <v>0</v>
      </c>
      <c r="AK471" s="31">
        <v>0</v>
      </c>
      <c r="AL471" s="31">
        <v>0</v>
      </c>
      <c r="AM471" s="31">
        <v>0</v>
      </c>
      <c r="AN471" s="31">
        <v>0</v>
      </c>
      <c r="AO471" s="31">
        <v>0</v>
      </c>
      <c r="AP471" s="31">
        <v>0</v>
      </c>
      <c r="AQ471" s="31">
        <v>0</v>
      </c>
      <c r="AR471" s="31">
        <v>0</v>
      </c>
      <c r="AS471" s="31">
        <v>0</v>
      </c>
    </row>
    <row r="472" spans="1:45">
      <c r="A472" s="30" t="s">
        <v>676</v>
      </c>
      <c r="B472" s="30" t="s">
        <v>633</v>
      </c>
      <c r="C472" s="30" t="s">
        <v>677</v>
      </c>
      <c r="D472" s="30" t="s">
        <v>1134</v>
      </c>
      <c r="E472" s="30" t="s">
        <v>1359</v>
      </c>
      <c r="F472" s="30" t="s">
        <v>142</v>
      </c>
      <c r="G472" s="30" t="s">
        <v>1360</v>
      </c>
      <c r="H472" s="30" t="s">
        <v>680</v>
      </c>
      <c r="I472" s="31">
        <v>0</v>
      </c>
      <c r="J472" s="31">
        <v>0</v>
      </c>
      <c r="K472" s="31">
        <v>0</v>
      </c>
      <c r="L472" s="31">
        <v>0</v>
      </c>
      <c r="M472" s="31">
        <v>0</v>
      </c>
      <c r="N472" s="31">
        <v>0</v>
      </c>
      <c r="O472" s="31">
        <v>0</v>
      </c>
      <c r="P472" s="31">
        <v>0</v>
      </c>
      <c r="Q472" s="31">
        <v>0</v>
      </c>
      <c r="R472" s="31">
        <v>0</v>
      </c>
      <c r="S472" s="31">
        <v>0</v>
      </c>
      <c r="T472" s="31">
        <v>0</v>
      </c>
      <c r="U472" s="31">
        <v>0</v>
      </c>
      <c r="V472" s="32">
        <v>58</v>
      </c>
      <c r="W472" s="32">
        <v>68</v>
      </c>
      <c r="X472" s="32">
        <v>64</v>
      </c>
      <c r="Y472" s="32">
        <v>26</v>
      </c>
      <c r="Z472" s="32">
        <v>24</v>
      </c>
      <c r="AA472" s="32">
        <v>12</v>
      </c>
      <c r="AB472" s="32">
        <v>18</v>
      </c>
      <c r="AC472" s="32">
        <v>4</v>
      </c>
      <c r="AD472" s="32">
        <v>5</v>
      </c>
      <c r="AE472" s="32">
        <v>1</v>
      </c>
      <c r="AF472" s="31">
        <v>0</v>
      </c>
      <c r="AG472" s="31">
        <v>0</v>
      </c>
      <c r="AH472" s="31">
        <v>0</v>
      </c>
      <c r="AI472" s="31">
        <v>0</v>
      </c>
      <c r="AJ472" s="31">
        <v>0</v>
      </c>
      <c r="AK472" s="31">
        <v>0</v>
      </c>
      <c r="AL472" s="31">
        <v>0</v>
      </c>
      <c r="AM472" s="31">
        <v>0</v>
      </c>
      <c r="AN472" s="31">
        <v>0</v>
      </c>
      <c r="AO472" s="31">
        <v>0</v>
      </c>
      <c r="AP472" s="31">
        <v>0</v>
      </c>
      <c r="AQ472" s="31">
        <v>0</v>
      </c>
      <c r="AR472" s="31">
        <v>0</v>
      </c>
      <c r="AS472" s="31">
        <v>0</v>
      </c>
    </row>
    <row r="473" spans="1:45">
      <c r="A473" s="30" t="s">
        <v>676</v>
      </c>
      <c r="B473" s="30" t="s">
        <v>633</v>
      </c>
      <c r="C473" s="30" t="s">
        <v>677</v>
      </c>
      <c r="D473" s="30" t="s">
        <v>1134</v>
      </c>
      <c r="E473" s="30" t="s">
        <v>1361</v>
      </c>
      <c r="F473" s="30" t="s">
        <v>142</v>
      </c>
      <c r="G473" s="30" t="s">
        <v>1362</v>
      </c>
      <c r="H473" s="30" t="s">
        <v>680</v>
      </c>
      <c r="I473" s="31">
        <v>0</v>
      </c>
      <c r="J473" s="31">
        <v>0</v>
      </c>
      <c r="K473" s="31">
        <v>0</v>
      </c>
      <c r="L473" s="31">
        <v>0</v>
      </c>
      <c r="M473" s="31">
        <v>0</v>
      </c>
      <c r="N473" s="31">
        <v>0</v>
      </c>
      <c r="O473" s="31">
        <v>0</v>
      </c>
      <c r="P473" s="31">
        <v>0</v>
      </c>
      <c r="Q473" s="31">
        <v>0</v>
      </c>
      <c r="R473" s="31">
        <v>0</v>
      </c>
      <c r="S473" s="31">
        <v>0</v>
      </c>
      <c r="T473" s="31">
        <v>0</v>
      </c>
      <c r="U473" s="31">
        <v>0</v>
      </c>
      <c r="V473" s="32">
        <v>58</v>
      </c>
      <c r="W473" s="32">
        <v>68</v>
      </c>
      <c r="X473" s="32">
        <v>64</v>
      </c>
      <c r="Y473" s="32">
        <v>26</v>
      </c>
      <c r="Z473" s="32">
        <v>24</v>
      </c>
      <c r="AA473" s="32">
        <v>12</v>
      </c>
      <c r="AB473" s="32">
        <v>18</v>
      </c>
      <c r="AC473" s="32">
        <v>4</v>
      </c>
      <c r="AD473" s="32">
        <v>5</v>
      </c>
      <c r="AE473" s="32">
        <v>1</v>
      </c>
      <c r="AF473" s="31">
        <v>0</v>
      </c>
      <c r="AG473" s="31">
        <v>0</v>
      </c>
      <c r="AH473" s="31">
        <v>0</v>
      </c>
      <c r="AI473" s="31">
        <v>0</v>
      </c>
      <c r="AJ473" s="31">
        <v>0</v>
      </c>
      <c r="AK473" s="31">
        <v>0</v>
      </c>
      <c r="AL473" s="31">
        <v>0</v>
      </c>
      <c r="AM473" s="31">
        <v>0</v>
      </c>
      <c r="AN473" s="31">
        <v>0</v>
      </c>
      <c r="AO473" s="31">
        <v>0</v>
      </c>
      <c r="AP473" s="31">
        <v>0</v>
      </c>
      <c r="AQ473" s="31">
        <v>0</v>
      </c>
      <c r="AR473" s="31">
        <v>0</v>
      </c>
      <c r="AS473" s="31">
        <v>0</v>
      </c>
    </row>
    <row r="474" spans="1:45">
      <c r="A474" s="30" t="s">
        <v>676</v>
      </c>
      <c r="B474" s="30" t="s">
        <v>633</v>
      </c>
      <c r="C474" s="30" t="s">
        <v>677</v>
      </c>
      <c r="D474" s="30" t="s">
        <v>1134</v>
      </c>
      <c r="E474" s="30" t="s">
        <v>1363</v>
      </c>
      <c r="F474" s="30" t="s">
        <v>137</v>
      </c>
      <c r="G474" s="30" t="s">
        <v>1364</v>
      </c>
      <c r="H474" s="30" t="s">
        <v>680</v>
      </c>
      <c r="I474" s="31">
        <v>0</v>
      </c>
      <c r="J474" s="31">
        <v>0</v>
      </c>
      <c r="K474" s="31">
        <v>0</v>
      </c>
      <c r="L474" s="31">
        <v>0</v>
      </c>
      <c r="M474" s="31">
        <v>0</v>
      </c>
      <c r="N474" s="31">
        <v>0</v>
      </c>
      <c r="O474" s="31">
        <v>0</v>
      </c>
      <c r="P474" s="31">
        <v>0</v>
      </c>
      <c r="Q474" s="31">
        <v>0</v>
      </c>
      <c r="R474" s="31">
        <v>0</v>
      </c>
      <c r="S474" s="31">
        <v>0</v>
      </c>
      <c r="T474" s="31">
        <v>0</v>
      </c>
      <c r="U474" s="31">
        <v>0</v>
      </c>
      <c r="V474" s="31">
        <v>0</v>
      </c>
      <c r="W474" s="31">
        <v>0</v>
      </c>
      <c r="X474" s="31">
        <v>0</v>
      </c>
      <c r="Y474" s="31">
        <v>0</v>
      </c>
      <c r="Z474" s="31">
        <v>0</v>
      </c>
      <c r="AA474" s="31">
        <v>0</v>
      </c>
      <c r="AB474" s="31">
        <v>0</v>
      </c>
      <c r="AC474" s="31">
        <v>0</v>
      </c>
      <c r="AD474" s="31">
        <v>0</v>
      </c>
      <c r="AE474" s="31">
        <v>0</v>
      </c>
      <c r="AF474" s="31">
        <v>0</v>
      </c>
      <c r="AG474" s="31">
        <v>0</v>
      </c>
      <c r="AH474" s="31">
        <v>0</v>
      </c>
      <c r="AI474" s="31">
        <v>0</v>
      </c>
      <c r="AJ474" s="31">
        <v>0</v>
      </c>
      <c r="AK474" s="31">
        <v>0</v>
      </c>
      <c r="AL474" s="31">
        <v>0</v>
      </c>
      <c r="AM474" s="32">
        <v>122</v>
      </c>
      <c r="AN474" s="32">
        <v>282</v>
      </c>
      <c r="AO474" s="32">
        <v>345</v>
      </c>
      <c r="AP474" s="32">
        <v>120</v>
      </c>
      <c r="AQ474" s="32">
        <v>74</v>
      </c>
      <c r="AR474" s="32">
        <v>59</v>
      </c>
      <c r="AS474" s="32">
        <v>126</v>
      </c>
    </row>
    <row r="475" spans="1:45">
      <c r="A475" s="30" t="s">
        <v>676</v>
      </c>
      <c r="B475" s="30" t="s">
        <v>633</v>
      </c>
      <c r="C475" s="30" t="s">
        <v>677</v>
      </c>
      <c r="D475" s="30" t="s">
        <v>1134</v>
      </c>
      <c r="E475" s="30" t="s">
        <v>1365</v>
      </c>
      <c r="F475" s="30" t="s">
        <v>137</v>
      </c>
      <c r="G475" s="30" t="s">
        <v>1366</v>
      </c>
      <c r="H475" s="30" t="s">
        <v>680</v>
      </c>
      <c r="I475" s="31">
        <v>0</v>
      </c>
      <c r="J475" s="31">
        <v>0</v>
      </c>
      <c r="K475" s="31">
        <v>0</v>
      </c>
      <c r="L475" s="31">
        <v>0</v>
      </c>
      <c r="M475" s="31">
        <v>0</v>
      </c>
      <c r="N475" s="31">
        <v>0</v>
      </c>
      <c r="O475" s="31">
        <v>0</v>
      </c>
      <c r="P475" s="31">
        <v>0</v>
      </c>
      <c r="Q475" s="31">
        <v>0</v>
      </c>
      <c r="R475" s="31">
        <v>0</v>
      </c>
      <c r="S475" s="31">
        <v>0</v>
      </c>
      <c r="T475" s="31">
        <v>0</v>
      </c>
      <c r="U475" s="31">
        <v>0</v>
      </c>
      <c r="V475" s="31">
        <v>0</v>
      </c>
      <c r="W475" s="31">
        <v>0</v>
      </c>
      <c r="X475" s="31">
        <v>0</v>
      </c>
      <c r="Y475" s="31">
        <v>0</v>
      </c>
      <c r="Z475" s="31">
        <v>0</v>
      </c>
      <c r="AA475" s="31">
        <v>0</v>
      </c>
      <c r="AB475" s="31">
        <v>0</v>
      </c>
      <c r="AC475" s="31">
        <v>0</v>
      </c>
      <c r="AD475" s="31">
        <v>0</v>
      </c>
      <c r="AE475" s="31">
        <v>0</v>
      </c>
      <c r="AF475" s="31">
        <v>0</v>
      </c>
      <c r="AG475" s="31">
        <v>0</v>
      </c>
      <c r="AH475" s="31">
        <v>0</v>
      </c>
      <c r="AI475" s="31">
        <v>0</v>
      </c>
      <c r="AJ475" s="31">
        <v>0</v>
      </c>
      <c r="AK475" s="31">
        <v>0</v>
      </c>
      <c r="AL475" s="31">
        <v>0</v>
      </c>
      <c r="AM475" s="32">
        <v>122</v>
      </c>
      <c r="AN475" s="32">
        <v>282</v>
      </c>
      <c r="AO475" s="32">
        <v>345</v>
      </c>
      <c r="AP475" s="32">
        <v>120</v>
      </c>
      <c r="AQ475" s="32">
        <v>74</v>
      </c>
      <c r="AR475" s="32">
        <v>59</v>
      </c>
      <c r="AS475" s="32">
        <v>126</v>
      </c>
    </row>
    <row r="476" spans="1:45">
      <c r="A476" s="30" t="s">
        <v>676</v>
      </c>
      <c r="B476" s="30" t="s">
        <v>633</v>
      </c>
      <c r="C476" s="30" t="s">
        <v>677</v>
      </c>
      <c r="D476" s="30" t="s">
        <v>1134</v>
      </c>
      <c r="E476" s="30" t="s">
        <v>1367</v>
      </c>
      <c r="F476" s="30" t="s">
        <v>137</v>
      </c>
      <c r="G476" s="30" t="s">
        <v>1368</v>
      </c>
      <c r="H476" s="30" t="s">
        <v>680</v>
      </c>
      <c r="I476" s="31">
        <v>0</v>
      </c>
      <c r="J476" s="31">
        <v>0</v>
      </c>
      <c r="K476" s="31">
        <v>0</v>
      </c>
      <c r="L476" s="31">
        <v>0</v>
      </c>
      <c r="M476" s="31">
        <v>0</v>
      </c>
      <c r="N476" s="31">
        <v>0</v>
      </c>
      <c r="O476" s="31">
        <v>0</v>
      </c>
      <c r="P476" s="31">
        <v>0</v>
      </c>
      <c r="Q476" s="31">
        <v>0</v>
      </c>
      <c r="R476" s="31">
        <v>0</v>
      </c>
      <c r="S476" s="31">
        <v>0</v>
      </c>
      <c r="T476" s="31">
        <v>0</v>
      </c>
      <c r="U476" s="31">
        <v>0</v>
      </c>
      <c r="V476" s="31">
        <v>0</v>
      </c>
      <c r="W476" s="31">
        <v>0</v>
      </c>
      <c r="X476" s="31">
        <v>0</v>
      </c>
      <c r="Y476" s="31">
        <v>0</v>
      </c>
      <c r="Z476" s="31">
        <v>0</v>
      </c>
      <c r="AA476" s="31">
        <v>0</v>
      </c>
      <c r="AB476" s="31">
        <v>0</v>
      </c>
      <c r="AC476" s="31">
        <v>0</v>
      </c>
      <c r="AD476" s="31">
        <v>0</v>
      </c>
      <c r="AE476" s="32">
        <v>40</v>
      </c>
      <c r="AF476" s="32">
        <v>181</v>
      </c>
      <c r="AG476" s="32">
        <v>153</v>
      </c>
      <c r="AH476" s="32">
        <v>70</v>
      </c>
      <c r="AI476" s="32">
        <v>65</v>
      </c>
      <c r="AJ476" s="32">
        <v>56</v>
      </c>
      <c r="AK476" s="32">
        <v>40</v>
      </c>
      <c r="AL476" s="32">
        <v>47</v>
      </c>
      <c r="AM476" s="32">
        <v>32</v>
      </c>
      <c r="AN476" s="32">
        <v>20</v>
      </c>
      <c r="AO476" s="32">
        <v>19</v>
      </c>
      <c r="AP476" s="32">
        <v>20</v>
      </c>
      <c r="AQ476" s="32">
        <v>8</v>
      </c>
      <c r="AR476" s="32">
        <v>9</v>
      </c>
      <c r="AS476" s="32">
        <v>6</v>
      </c>
    </row>
    <row r="477" spans="1:45">
      <c r="A477" s="30" t="s">
        <v>676</v>
      </c>
      <c r="B477" s="30" t="s">
        <v>633</v>
      </c>
      <c r="C477" s="30" t="s">
        <v>677</v>
      </c>
      <c r="D477" s="30" t="s">
        <v>1134</v>
      </c>
      <c r="E477" s="30" t="s">
        <v>1369</v>
      </c>
      <c r="F477" s="30" t="s">
        <v>133</v>
      </c>
      <c r="G477" s="30" t="s">
        <v>1370</v>
      </c>
      <c r="H477" s="30" t="s">
        <v>680</v>
      </c>
      <c r="I477" s="31">
        <v>0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0</v>
      </c>
      <c r="Z477" s="31">
        <v>0</v>
      </c>
      <c r="AA477" s="31">
        <v>0</v>
      </c>
      <c r="AB477" s="31">
        <v>0</v>
      </c>
      <c r="AC477" s="31">
        <v>0</v>
      </c>
      <c r="AD477" s="31">
        <v>0</v>
      </c>
      <c r="AE477" s="32">
        <v>53</v>
      </c>
      <c r="AF477" s="32">
        <v>229</v>
      </c>
      <c r="AG477" s="32">
        <v>165</v>
      </c>
      <c r="AH477" s="32">
        <v>113</v>
      </c>
      <c r="AI477" s="32">
        <v>70</v>
      </c>
      <c r="AJ477" s="32">
        <v>82</v>
      </c>
      <c r="AK477" s="32">
        <v>52</v>
      </c>
      <c r="AL477" s="32">
        <v>40</v>
      </c>
      <c r="AM477" s="32">
        <v>31</v>
      </c>
      <c r="AN477" s="32">
        <v>16</v>
      </c>
      <c r="AO477" s="32">
        <v>9</v>
      </c>
      <c r="AP477" s="32">
        <v>7</v>
      </c>
      <c r="AQ477" s="32">
        <v>1</v>
      </c>
      <c r="AR477" s="32">
        <v>3</v>
      </c>
      <c r="AS477" s="32">
        <v>1</v>
      </c>
    </row>
    <row r="478" spans="1:45">
      <c r="A478" s="30" t="s">
        <v>676</v>
      </c>
      <c r="B478" s="30" t="s">
        <v>633</v>
      </c>
      <c r="C478" s="30" t="s">
        <v>677</v>
      </c>
      <c r="D478" s="30" t="s">
        <v>1134</v>
      </c>
      <c r="E478" s="30" t="s">
        <v>1371</v>
      </c>
      <c r="F478" s="30" t="s">
        <v>142</v>
      </c>
      <c r="G478" s="30" t="s">
        <v>1372</v>
      </c>
      <c r="H478" s="30" t="s">
        <v>680</v>
      </c>
      <c r="I478" s="31">
        <v>0</v>
      </c>
      <c r="J478" s="31">
        <v>0</v>
      </c>
      <c r="K478" s="31">
        <v>0</v>
      </c>
      <c r="L478" s="31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0</v>
      </c>
      <c r="Z478" s="31">
        <v>0</v>
      </c>
      <c r="AA478" s="31">
        <v>0</v>
      </c>
      <c r="AB478" s="31">
        <v>0</v>
      </c>
      <c r="AC478" s="31">
        <v>0</v>
      </c>
      <c r="AD478" s="31">
        <v>0</v>
      </c>
      <c r="AE478" s="31">
        <v>0</v>
      </c>
      <c r="AF478" s="31">
        <v>0</v>
      </c>
      <c r="AG478" s="31">
        <v>0</v>
      </c>
      <c r="AH478" s="31">
        <v>0</v>
      </c>
      <c r="AI478" s="31">
        <v>0</v>
      </c>
      <c r="AJ478" s="31">
        <v>0</v>
      </c>
      <c r="AK478" s="31">
        <v>0</v>
      </c>
      <c r="AL478" s="31">
        <v>0</v>
      </c>
      <c r="AM478" s="31">
        <v>0</v>
      </c>
      <c r="AN478" s="31">
        <v>0</v>
      </c>
      <c r="AO478" s="31">
        <v>0</v>
      </c>
      <c r="AP478" s="31">
        <v>0</v>
      </c>
      <c r="AQ478" s="31">
        <v>0</v>
      </c>
      <c r="AR478" s="32">
        <v>7</v>
      </c>
      <c r="AS478" s="32">
        <v>76</v>
      </c>
    </row>
    <row r="479" spans="1:45">
      <c r="A479" s="30" t="s">
        <v>676</v>
      </c>
      <c r="B479" s="30" t="s">
        <v>633</v>
      </c>
      <c r="C479" s="30" t="s">
        <v>677</v>
      </c>
      <c r="D479" s="30" t="s">
        <v>1134</v>
      </c>
      <c r="E479" s="30" t="s">
        <v>1373</v>
      </c>
      <c r="F479" s="30" t="s">
        <v>142</v>
      </c>
      <c r="G479" s="30" t="s">
        <v>1374</v>
      </c>
      <c r="H479" s="30" t="s">
        <v>680</v>
      </c>
      <c r="I479" s="31">
        <v>0</v>
      </c>
      <c r="J479" s="31">
        <v>0</v>
      </c>
      <c r="K479" s="31">
        <v>0</v>
      </c>
      <c r="L479" s="31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0</v>
      </c>
      <c r="Z479" s="31">
        <v>0</v>
      </c>
      <c r="AA479" s="31">
        <v>0</v>
      </c>
      <c r="AB479" s="31">
        <v>0</v>
      </c>
      <c r="AC479" s="31">
        <v>0</v>
      </c>
      <c r="AD479" s="31">
        <v>0</v>
      </c>
      <c r="AE479" s="31">
        <v>0</v>
      </c>
      <c r="AF479" s="31">
        <v>0</v>
      </c>
      <c r="AG479" s="31">
        <v>0</v>
      </c>
      <c r="AH479" s="31">
        <v>0</v>
      </c>
      <c r="AI479" s="31">
        <v>0</v>
      </c>
      <c r="AJ479" s="31">
        <v>0</v>
      </c>
      <c r="AK479" s="31">
        <v>0</v>
      </c>
      <c r="AL479" s="31">
        <v>0</v>
      </c>
      <c r="AM479" s="31">
        <v>0</v>
      </c>
      <c r="AN479" s="31">
        <v>0</v>
      </c>
      <c r="AO479" s="31">
        <v>0</v>
      </c>
      <c r="AP479" s="31">
        <v>0</v>
      </c>
      <c r="AQ479" s="31">
        <v>0</v>
      </c>
      <c r="AR479" s="32">
        <v>7</v>
      </c>
      <c r="AS479" s="32">
        <v>76</v>
      </c>
    </row>
    <row r="480" spans="1:45">
      <c r="A480" s="30" t="s">
        <v>676</v>
      </c>
      <c r="B480" s="30" t="s">
        <v>633</v>
      </c>
      <c r="C480" s="30" t="s">
        <v>677</v>
      </c>
      <c r="D480" s="30" t="s">
        <v>1134</v>
      </c>
      <c r="E480" s="30" t="s">
        <v>1375</v>
      </c>
      <c r="F480" s="30" t="s">
        <v>139</v>
      </c>
      <c r="G480" s="30" t="s">
        <v>1376</v>
      </c>
      <c r="H480" s="30" t="s">
        <v>680</v>
      </c>
      <c r="I480" s="31">
        <v>0</v>
      </c>
      <c r="J480" s="31">
        <v>0</v>
      </c>
      <c r="K480" s="31">
        <v>0</v>
      </c>
      <c r="L480" s="31">
        <v>0</v>
      </c>
      <c r="M480" s="31">
        <v>0</v>
      </c>
      <c r="N480" s="31">
        <v>0</v>
      </c>
      <c r="O480" s="31">
        <v>0</v>
      </c>
      <c r="P480" s="31">
        <v>0</v>
      </c>
      <c r="Q480" s="31"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0</v>
      </c>
      <c r="X480" s="31">
        <v>0</v>
      </c>
      <c r="Y480" s="31">
        <v>0</v>
      </c>
      <c r="Z480" s="31">
        <v>0</v>
      </c>
      <c r="AA480" s="31">
        <v>0</v>
      </c>
      <c r="AB480" s="31">
        <v>0</v>
      </c>
      <c r="AC480" s="31">
        <v>0</v>
      </c>
      <c r="AD480" s="31">
        <v>0</v>
      </c>
      <c r="AE480" s="31">
        <v>0</v>
      </c>
      <c r="AF480" s="31">
        <v>0</v>
      </c>
      <c r="AG480" s="31">
        <v>0</v>
      </c>
      <c r="AH480" s="31">
        <v>0</v>
      </c>
      <c r="AI480" s="31">
        <v>0</v>
      </c>
      <c r="AJ480" s="32">
        <v>633</v>
      </c>
      <c r="AK480" s="32">
        <v>685</v>
      </c>
      <c r="AL480" s="32">
        <v>784</v>
      </c>
      <c r="AM480" s="32">
        <v>1070</v>
      </c>
      <c r="AN480" s="32">
        <v>1051</v>
      </c>
      <c r="AO480" s="32">
        <v>1091</v>
      </c>
      <c r="AP480" s="32">
        <v>1034</v>
      </c>
      <c r="AQ480" s="32">
        <v>515</v>
      </c>
      <c r="AR480" s="32">
        <v>609</v>
      </c>
      <c r="AS480" s="32">
        <v>766</v>
      </c>
    </row>
    <row r="481" spans="1:45">
      <c r="A481" s="30" t="s">
        <v>676</v>
      </c>
      <c r="B481" s="30" t="s">
        <v>633</v>
      </c>
      <c r="C481" s="30" t="s">
        <v>677</v>
      </c>
      <c r="D481" s="30" t="s">
        <v>1134</v>
      </c>
      <c r="E481" s="30" t="s">
        <v>1377</v>
      </c>
      <c r="F481" s="30" t="s">
        <v>139</v>
      </c>
      <c r="G481" s="30" t="s">
        <v>1378</v>
      </c>
      <c r="H481" s="30" t="s">
        <v>680</v>
      </c>
      <c r="I481" s="31">
        <v>0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31">
        <v>0</v>
      </c>
      <c r="AD481" s="31">
        <v>0</v>
      </c>
      <c r="AE481" s="31">
        <v>0</v>
      </c>
      <c r="AF481" s="31">
        <v>0</v>
      </c>
      <c r="AG481" s="31">
        <v>0</v>
      </c>
      <c r="AH481" s="31">
        <v>0</v>
      </c>
      <c r="AI481" s="31">
        <v>0</v>
      </c>
      <c r="AJ481" s="32">
        <v>633</v>
      </c>
      <c r="AK481" s="32">
        <v>685</v>
      </c>
      <c r="AL481" s="32">
        <v>784</v>
      </c>
      <c r="AM481" s="32">
        <v>1070</v>
      </c>
      <c r="AN481" s="32">
        <v>1051</v>
      </c>
      <c r="AO481" s="32">
        <v>1091</v>
      </c>
      <c r="AP481" s="32">
        <v>1034</v>
      </c>
      <c r="AQ481" s="32">
        <v>515</v>
      </c>
      <c r="AR481" s="32">
        <v>609</v>
      </c>
      <c r="AS481" s="32">
        <v>766</v>
      </c>
    </row>
    <row r="482" spans="1:45">
      <c r="A482" s="30" t="s">
        <v>676</v>
      </c>
      <c r="B482" s="30" t="s">
        <v>633</v>
      </c>
      <c r="C482" s="30" t="s">
        <v>677</v>
      </c>
      <c r="D482" s="30" t="s">
        <v>1134</v>
      </c>
      <c r="E482" s="30" t="s">
        <v>1379</v>
      </c>
      <c r="F482" s="30" t="s">
        <v>141</v>
      </c>
      <c r="G482" s="30" t="s">
        <v>1380</v>
      </c>
      <c r="H482" s="30" t="s">
        <v>680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31">
        <v>0</v>
      </c>
      <c r="AD482" s="31">
        <v>0</v>
      </c>
      <c r="AE482" s="31">
        <v>0</v>
      </c>
      <c r="AF482" s="31">
        <v>0</v>
      </c>
      <c r="AG482" s="31">
        <v>0</v>
      </c>
      <c r="AH482" s="32">
        <v>26</v>
      </c>
      <c r="AI482" s="32">
        <v>8</v>
      </c>
      <c r="AJ482" s="32">
        <v>7</v>
      </c>
      <c r="AK482" s="32">
        <v>3</v>
      </c>
      <c r="AL482" s="32">
        <v>1</v>
      </c>
      <c r="AM482" s="32">
        <v>1</v>
      </c>
      <c r="AN482" s="32">
        <v>1</v>
      </c>
      <c r="AO482" s="31">
        <v>0</v>
      </c>
      <c r="AP482" s="31">
        <v>0</v>
      </c>
      <c r="AQ482" s="31">
        <v>0</v>
      </c>
      <c r="AR482" s="31">
        <v>0</v>
      </c>
      <c r="AS482" s="31">
        <v>0</v>
      </c>
    </row>
    <row r="483" spans="1:45">
      <c r="A483" s="30" t="s">
        <v>676</v>
      </c>
      <c r="B483" s="30" t="s">
        <v>633</v>
      </c>
      <c r="C483" s="30" t="s">
        <v>677</v>
      </c>
      <c r="D483" s="30" t="s">
        <v>1134</v>
      </c>
      <c r="E483" s="30" t="s">
        <v>1381</v>
      </c>
      <c r="F483" s="30" t="s">
        <v>141</v>
      </c>
      <c r="G483" s="30" t="s">
        <v>1382</v>
      </c>
      <c r="H483" s="30" t="s">
        <v>680</v>
      </c>
      <c r="I483" s="31">
        <v>0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0</v>
      </c>
      <c r="Z483" s="31">
        <v>0</v>
      </c>
      <c r="AA483" s="31">
        <v>0</v>
      </c>
      <c r="AB483" s="31">
        <v>0</v>
      </c>
      <c r="AC483" s="31">
        <v>0</v>
      </c>
      <c r="AD483" s="31">
        <v>0</v>
      </c>
      <c r="AE483" s="31">
        <v>0</v>
      </c>
      <c r="AF483" s="31">
        <v>0</v>
      </c>
      <c r="AG483" s="31">
        <v>0</v>
      </c>
      <c r="AH483" s="32">
        <v>26</v>
      </c>
      <c r="AI483" s="32">
        <v>8</v>
      </c>
      <c r="AJ483" s="32">
        <v>7</v>
      </c>
      <c r="AK483" s="32">
        <v>3</v>
      </c>
      <c r="AL483" s="32">
        <v>1</v>
      </c>
      <c r="AM483" s="32">
        <v>1</v>
      </c>
      <c r="AN483" s="32">
        <v>1</v>
      </c>
      <c r="AO483" s="31">
        <v>0</v>
      </c>
      <c r="AP483" s="31">
        <v>0</v>
      </c>
      <c r="AQ483" s="31">
        <v>0</v>
      </c>
      <c r="AR483" s="31">
        <v>0</v>
      </c>
      <c r="AS483" s="31">
        <v>0</v>
      </c>
    </row>
    <row r="484" spans="1:45">
      <c r="A484" s="30" t="s">
        <v>676</v>
      </c>
      <c r="B484" s="30" t="s">
        <v>633</v>
      </c>
      <c r="C484" s="30" t="s">
        <v>677</v>
      </c>
      <c r="D484" s="30" t="s">
        <v>1134</v>
      </c>
      <c r="E484" s="30" t="s">
        <v>1383</v>
      </c>
      <c r="F484" s="30" t="s">
        <v>133</v>
      </c>
      <c r="G484" s="30" t="s">
        <v>1384</v>
      </c>
      <c r="H484" s="30" t="s">
        <v>680</v>
      </c>
      <c r="I484" s="31">
        <v>0</v>
      </c>
      <c r="J484" s="31">
        <v>0</v>
      </c>
      <c r="K484" s="31">
        <v>0</v>
      </c>
      <c r="L484" s="31">
        <v>0</v>
      </c>
      <c r="M484" s="31">
        <v>0</v>
      </c>
      <c r="N484" s="31">
        <v>0</v>
      </c>
      <c r="O484" s="31">
        <v>0</v>
      </c>
      <c r="P484" s="31">
        <v>0</v>
      </c>
      <c r="Q484" s="31">
        <v>0</v>
      </c>
      <c r="R484" s="31">
        <v>0</v>
      </c>
      <c r="S484" s="31">
        <v>0</v>
      </c>
      <c r="T484" s="31">
        <v>0</v>
      </c>
      <c r="U484" s="31">
        <v>0</v>
      </c>
      <c r="V484" s="31">
        <v>0</v>
      </c>
      <c r="W484" s="31">
        <v>0</v>
      </c>
      <c r="X484" s="31">
        <v>0</v>
      </c>
      <c r="Y484" s="31">
        <v>0</v>
      </c>
      <c r="Z484" s="31">
        <v>0</v>
      </c>
      <c r="AA484" s="31">
        <v>0</v>
      </c>
      <c r="AB484" s="31">
        <v>0</v>
      </c>
      <c r="AC484" s="31">
        <v>0</v>
      </c>
      <c r="AD484" s="31">
        <v>0</v>
      </c>
      <c r="AE484" s="31">
        <v>0</v>
      </c>
      <c r="AF484" s="31">
        <v>0</v>
      </c>
      <c r="AG484" s="31">
        <v>0</v>
      </c>
      <c r="AH484" s="31">
        <v>0</v>
      </c>
      <c r="AI484" s="32">
        <v>85</v>
      </c>
      <c r="AJ484" s="32">
        <v>37</v>
      </c>
      <c r="AK484" s="32">
        <v>14</v>
      </c>
      <c r="AL484" s="32">
        <v>8</v>
      </c>
      <c r="AM484" s="32">
        <v>172</v>
      </c>
      <c r="AN484" s="32">
        <v>101</v>
      </c>
      <c r="AO484" s="32">
        <v>67</v>
      </c>
      <c r="AP484" s="32">
        <v>4</v>
      </c>
      <c r="AQ484" s="31">
        <v>0</v>
      </c>
      <c r="AR484" s="31">
        <v>0</v>
      </c>
      <c r="AS484" s="31">
        <v>0</v>
      </c>
    </row>
    <row r="485" spans="1:45">
      <c r="A485" s="30" t="s">
        <v>676</v>
      </c>
      <c r="B485" s="30" t="s">
        <v>633</v>
      </c>
      <c r="C485" s="30" t="s">
        <v>677</v>
      </c>
      <c r="D485" s="30" t="s">
        <v>1134</v>
      </c>
      <c r="E485" s="30" t="s">
        <v>1385</v>
      </c>
      <c r="F485" s="30" t="s">
        <v>133</v>
      </c>
      <c r="G485" s="30" t="s">
        <v>1386</v>
      </c>
      <c r="H485" s="30" t="s">
        <v>680</v>
      </c>
      <c r="I485" s="31">
        <v>0</v>
      </c>
      <c r="J485" s="31">
        <v>0</v>
      </c>
      <c r="K485" s="31">
        <v>0</v>
      </c>
      <c r="L485" s="31">
        <v>0</v>
      </c>
      <c r="M485" s="31">
        <v>0</v>
      </c>
      <c r="N485" s="31">
        <v>0</v>
      </c>
      <c r="O485" s="31">
        <v>0</v>
      </c>
      <c r="P485" s="31">
        <v>0</v>
      </c>
      <c r="Q485" s="31">
        <v>0</v>
      </c>
      <c r="R485" s="31">
        <v>0</v>
      </c>
      <c r="S485" s="31">
        <v>0</v>
      </c>
      <c r="T485" s="31">
        <v>0</v>
      </c>
      <c r="U485" s="31">
        <v>0</v>
      </c>
      <c r="V485" s="31">
        <v>0</v>
      </c>
      <c r="W485" s="31">
        <v>0</v>
      </c>
      <c r="X485" s="31">
        <v>0</v>
      </c>
      <c r="Y485" s="31">
        <v>0</v>
      </c>
      <c r="Z485" s="31">
        <v>0</v>
      </c>
      <c r="AA485" s="31">
        <v>0</v>
      </c>
      <c r="AB485" s="31">
        <v>0</v>
      </c>
      <c r="AC485" s="31">
        <v>0</v>
      </c>
      <c r="AD485" s="31">
        <v>0</v>
      </c>
      <c r="AE485" s="31">
        <v>0</v>
      </c>
      <c r="AF485" s="31">
        <v>0</v>
      </c>
      <c r="AG485" s="31">
        <v>0</v>
      </c>
      <c r="AH485" s="31">
        <v>0</v>
      </c>
      <c r="AI485" s="32">
        <v>85</v>
      </c>
      <c r="AJ485" s="32">
        <v>37</v>
      </c>
      <c r="AK485" s="32">
        <v>14</v>
      </c>
      <c r="AL485" s="32">
        <v>8</v>
      </c>
      <c r="AM485" s="32">
        <v>172</v>
      </c>
      <c r="AN485" s="32">
        <v>101</v>
      </c>
      <c r="AO485" s="32">
        <v>67</v>
      </c>
      <c r="AP485" s="32">
        <v>4</v>
      </c>
      <c r="AQ485" s="31">
        <v>0</v>
      </c>
      <c r="AR485" s="31">
        <v>0</v>
      </c>
      <c r="AS485" s="31">
        <v>0</v>
      </c>
    </row>
    <row r="486" spans="1:45">
      <c r="A486" s="30" t="s">
        <v>676</v>
      </c>
      <c r="B486" s="30" t="s">
        <v>633</v>
      </c>
      <c r="C486" s="30" t="s">
        <v>677</v>
      </c>
      <c r="D486" s="30" t="s">
        <v>1134</v>
      </c>
      <c r="E486" s="30" t="s">
        <v>1387</v>
      </c>
      <c r="F486" s="30" t="s">
        <v>147</v>
      </c>
      <c r="G486" s="30" t="s">
        <v>1388</v>
      </c>
      <c r="H486" s="30" t="s">
        <v>680</v>
      </c>
      <c r="I486" s="31">
        <v>0</v>
      </c>
      <c r="J486" s="31">
        <v>0</v>
      </c>
      <c r="K486" s="31">
        <v>0</v>
      </c>
      <c r="L486" s="31">
        <v>0</v>
      </c>
      <c r="M486" s="31">
        <v>0</v>
      </c>
      <c r="N486" s="31">
        <v>0</v>
      </c>
      <c r="O486" s="31">
        <v>0</v>
      </c>
      <c r="P486" s="31">
        <v>0</v>
      </c>
      <c r="Q486" s="31">
        <v>0</v>
      </c>
      <c r="R486" s="31">
        <v>0</v>
      </c>
      <c r="S486" s="31">
        <v>0</v>
      </c>
      <c r="T486" s="31">
        <v>0</v>
      </c>
      <c r="U486" s="31">
        <v>0</v>
      </c>
      <c r="V486" s="31">
        <v>0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0</v>
      </c>
      <c r="AC486" s="31">
        <v>0</v>
      </c>
      <c r="AD486" s="31">
        <v>0</v>
      </c>
      <c r="AE486" s="31">
        <v>0</v>
      </c>
      <c r="AF486" s="31">
        <v>0</v>
      </c>
      <c r="AG486" s="31">
        <v>0</v>
      </c>
      <c r="AH486" s="32">
        <v>373</v>
      </c>
      <c r="AI486" s="32">
        <v>141</v>
      </c>
      <c r="AJ486" s="32">
        <v>64</v>
      </c>
      <c r="AK486" s="32">
        <v>24</v>
      </c>
      <c r="AL486" s="32">
        <v>12</v>
      </c>
      <c r="AM486" s="32">
        <v>11</v>
      </c>
      <c r="AN486" s="32">
        <v>1</v>
      </c>
      <c r="AO486" s="31">
        <v>0</v>
      </c>
      <c r="AP486" s="31">
        <v>0</v>
      </c>
      <c r="AQ486" s="31">
        <v>0</v>
      </c>
      <c r="AR486" s="31">
        <v>0</v>
      </c>
      <c r="AS486" s="31">
        <v>0</v>
      </c>
    </row>
    <row r="487" spans="1:45">
      <c r="A487" s="30" t="s">
        <v>676</v>
      </c>
      <c r="B487" s="30" t="s">
        <v>633</v>
      </c>
      <c r="C487" s="30" t="s">
        <v>677</v>
      </c>
      <c r="D487" s="30" t="s">
        <v>1134</v>
      </c>
      <c r="E487" s="30" t="s">
        <v>1389</v>
      </c>
      <c r="F487" s="30" t="s">
        <v>147</v>
      </c>
      <c r="G487" s="30" t="s">
        <v>1390</v>
      </c>
      <c r="H487" s="30" t="s">
        <v>680</v>
      </c>
      <c r="I487" s="31">
        <v>0</v>
      </c>
      <c r="J487" s="31">
        <v>0</v>
      </c>
      <c r="K487" s="31">
        <v>0</v>
      </c>
      <c r="L487" s="31">
        <v>0</v>
      </c>
      <c r="M487" s="31">
        <v>0</v>
      </c>
      <c r="N487" s="31">
        <v>0</v>
      </c>
      <c r="O487" s="31">
        <v>0</v>
      </c>
      <c r="P487" s="31">
        <v>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31">
        <v>0</v>
      </c>
      <c r="Y487" s="31">
        <v>0</v>
      </c>
      <c r="Z487" s="31">
        <v>0</v>
      </c>
      <c r="AA487" s="31">
        <v>0</v>
      </c>
      <c r="AB487" s="31">
        <v>0</v>
      </c>
      <c r="AC487" s="31">
        <v>0</v>
      </c>
      <c r="AD487" s="31">
        <v>0</v>
      </c>
      <c r="AE487" s="31">
        <v>0</v>
      </c>
      <c r="AF487" s="31">
        <v>0</v>
      </c>
      <c r="AG487" s="31">
        <v>0</v>
      </c>
      <c r="AH487" s="32">
        <v>373</v>
      </c>
      <c r="AI487" s="32">
        <v>141</v>
      </c>
      <c r="AJ487" s="32">
        <v>64</v>
      </c>
      <c r="AK487" s="32">
        <v>24</v>
      </c>
      <c r="AL487" s="32">
        <v>12</v>
      </c>
      <c r="AM487" s="32">
        <v>11</v>
      </c>
      <c r="AN487" s="32">
        <v>1</v>
      </c>
      <c r="AO487" s="31">
        <v>0</v>
      </c>
      <c r="AP487" s="31">
        <v>0</v>
      </c>
      <c r="AQ487" s="31">
        <v>0</v>
      </c>
      <c r="AR487" s="31">
        <v>0</v>
      </c>
      <c r="AS487" s="31">
        <v>0</v>
      </c>
    </row>
    <row r="488" spans="1:45">
      <c r="A488" s="30" t="s">
        <v>676</v>
      </c>
      <c r="B488" s="30" t="s">
        <v>633</v>
      </c>
      <c r="C488" s="30" t="s">
        <v>677</v>
      </c>
      <c r="D488" s="30" t="s">
        <v>1134</v>
      </c>
      <c r="E488" s="30" t="s">
        <v>1391</v>
      </c>
      <c r="F488" s="30" t="s">
        <v>143</v>
      </c>
      <c r="G488" s="30" t="s">
        <v>1392</v>
      </c>
      <c r="H488" s="30" t="s">
        <v>680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0</v>
      </c>
      <c r="Z488" s="31">
        <v>0</v>
      </c>
      <c r="AA488" s="31">
        <v>0</v>
      </c>
      <c r="AB488" s="31">
        <v>0</v>
      </c>
      <c r="AC488" s="31">
        <v>0</v>
      </c>
      <c r="AD488" s="31">
        <v>0</v>
      </c>
      <c r="AE488" s="31">
        <v>0</v>
      </c>
      <c r="AF488" s="31">
        <v>0</v>
      </c>
      <c r="AG488" s="31">
        <v>0</v>
      </c>
      <c r="AH488" s="31">
        <v>0</v>
      </c>
      <c r="AI488" s="31">
        <v>0</v>
      </c>
      <c r="AJ488" s="31">
        <v>0</v>
      </c>
      <c r="AK488" s="31">
        <v>0</v>
      </c>
      <c r="AL488" s="31">
        <v>0</v>
      </c>
      <c r="AM488" s="32">
        <v>108</v>
      </c>
      <c r="AN488" s="32">
        <v>90</v>
      </c>
      <c r="AO488" s="32">
        <v>17</v>
      </c>
      <c r="AP488" s="32">
        <v>75</v>
      </c>
      <c r="AQ488" s="32">
        <v>140</v>
      </c>
      <c r="AR488" s="32">
        <v>368</v>
      </c>
      <c r="AS488" s="32">
        <v>68</v>
      </c>
    </row>
    <row r="489" spans="1:45">
      <c r="A489" s="30" t="s">
        <v>676</v>
      </c>
      <c r="B489" s="30" t="s">
        <v>633</v>
      </c>
      <c r="C489" s="30" t="s">
        <v>677</v>
      </c>
      <c r="D489" s="30" t="s">
        <v>1134</v>
      </c>
      <c r="E489" s="30" t="s">
        <v>1393</v>
      </c>
      <c r="F489" s="30" t="s">
        <v>143</v>
      </c>
      <c r="G489" s="30" t="s">
        <v>1394</v>
      </c>
      <c r="H489" s="30" t="s">
        <v>680</v>
      </c>
      <c r="I489" s="31">
        <v>0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0</v>
      </c>
      <c r="AC489" s="31">
        <v>0</v>
      </c>
      <c r="AD489" s="31">
        <v>0</v>
      </c>
      <c r="AE489" s="31">
        <v>0</v>
      </c>
      <c r="AF489" s="31">
        <v>0</v>
      </c>
      <c r="AG489" s="31">
        <v>0</v>
      </c>
      <c r="AH489" s="31">
        <v>0</v>
      </c>
      <c r="AI489" s="31">
        <v>0</v>
      </c>
      <c r="AJ489" s="31">
        <v>0</v>
      </c>
      <c r="AK489" s="31">
        <v>0</v>
      </c>
      <c r="AL489" s="31">
        <v>0</v>
      </c>
      <c r="AM489" s="32">
        <v>108</v>
      </c>
      <c r="AN489" s="32">
        <v>90</v>
      </c>
      <c r="AO489" s="32">
        <v>17</v>
      </c>
      <c r="AP489" s="32">
        <v>75</v>
      </c>
      <c r="AQ489" s="32">
        <v>140</v>
      </c>
      <c r="AR489" s="32">
        <v>368</v>
      </c>
      <c r="AS489" s="32">
        <v>68</v>
      </c>
    </row>
    <row r="490" spans="1:45">
      <c r="A490" s="30" t="s">
        <v>676</v>
      </c>
      <c r="B490" s="30" t="s">
        <v>633</v>
      </c>
      <c r="C490" s="30" t="s">
        <v>677</v>
      </c>
      <c r="D490" s="30" t="s">
        <v>1134</v>
      </c>
      <c r="E490" s="30" t="s">
        <v>1395</v>
      </c>
      <c r="F490" s="30" t="s">
        <v>143</v>
      </c>
      <c r="G490" s="30" t="s">
        <v>1396</v>
      </c>
      <c r="H490" s="30" t="s">
        <v>680</v>
      </c>
      <c r="I490" s="31">
        <v>0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0</v>
      </c>
      <c r="AC490" s="31">
        <v>0</v>
      </c>
      <c r="AD490" s="31">
        <v>0</v>
      </c>
      <c r="AE490" s="31">
        <v>0</v>
      </c>
      <c r="AF490" s="31">
        <v>0</v>
      </c>
      <c r="AG490" s="31">
        <v>0</v>
      </c>
      <c r="AH490" s="31">
        <v>0</v>
      </c>
      <c r="AI490" s="31">
        <v>0</v>
      </c>
      <c r="AJ490" s="31">
        <v>0</v>
      </c>
      <c r="AK490" s="31">
        <v>0</v>
      </c>
      <c r="AL490" s="31">
        <v>0</v>
      </c>
      <c r="AM490" s="31">
        <v>0</v>
      </c>
      <c r="AN490" s="31">
        <v>0</v>
      </c>
      <c r="AO490" s="31">
        <v>0</v>
      </c>
      <c r="AP490" s="31">
        <v>0</v>
      </c>
      <c r="AQ490" s="32">
        <v>179</v>
      </c>
      <c r="AR490" s="32">
        <v>312</v>
      </c>
      <c r="AS490" s="32">
        <v>660</v>
      </c>
    </row>
    <row r="491" spans="1:45">
      <c r="A491" s="30" t="s">
        <v>676</v>
      </c>
      <c r="B491" s="30" t="s">
        <v>633</v>
      </c>
      <c r="C491" s="30" t="s">
        <v>677</v>
      </c>
      <c r="D491" s="30" t="s">
        <v>1134</v>
      </c>
      <c r="E491" s="30" t="s">
        <v>1397</v>
      </c>
      <c r="F491" s="30" t="s">
        <v>143</v>
      </c>
      <c r="G491" s="30" t="s">
        <v>1398</v>
      </c>
      <c r="H491" s="30" t="s">
        <v>680</v>
      </c>
      <c r="I491" s="31">
        <v>0</v>
      </c>
      <c r="J491" s="31">
        <v>0</v>
      </c>
      <c r="K491" s="31">
        <v>0</v>
      </c>
      <c r="L491" s="31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0</v>
      </c>
      <c r="Z491" s="31">
        <v>0</v>
      </c>
      <c r="AA491" s="31">
        <v>0</v>
      </c>
      <c r="AB491" s="31">
        <v>0</v>
      </c>
      <c r="AC491" s="31">
        <v>0</v>
      </c>
      <c r="AD491" s="31">
        <v>0</v>
      </c>
      <c r="AE491" s="31">
        <v>0</v>
      </c>
      <c r="AF491" s="31">
        <v>0</v>
      </c>
      <c r="AG491" s="31">
        <v>0</v>
      </c>
      <c r="AH491" s="31">
        <v>0</v>
      </c>
      <c r="AI491" s="31">
        <v>0</v>
      </c>
      <c r="AJ491" s="31">
        <v>0</v>
      </c>
      <c r="AK491" s="31">
        <v>0</v>
      </c>
      <c r="AL491" s="31">
        <v>0</v>
      </c>
      <c r="AM491" s="31">
        <v>0</v>
      </c>
      <c r="AN491" s="31">
        <v>0</v>
      </c>
      <c r="AO491" s="31">
        <v>0</v>
      </c>
      <c r="AP491" s="31">
        <v>0</v>
      </c>
      <c r="AQ491" s="32">
        <v>179</v>
      </c>
      <c r="AR491" s="32">
        <v>312</v>
      </c>
      <c r="AS491" s="32">
        <v>660</v>
      </c>
    </row>
    <row r="492" spans="1:45">
      <c r="A492" s="30" t="s">
        <v>676</v>
      </c>
      <c r="B492" s="30" t="s">
        <v>633</v>
      </c>
      <c r="C492" s="30" t="s">
        <v>677</v>
      </c>
      <c r="D492" s="30" t="s">
        <v>1134</v>
      </c>
      <c r="E492" s="30" t="s">
        <v>1399</v>
      </c>
      <c r="F492" s="30" t="s">
        <v>140</v>
      </c>
      <c r="G492" s="30" t="s">
        <v>1400</v>
      </c>
      <c r="H492" s="30" t="s">
        <v>680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0</v>
      </c>
      <c r="Z492" s="31">
        <v>0</v>
      </c>
      <c r="AA492" s="31">
        <v>0</v>
      </c>
      <c r="AB492" s="31">
        <v>0</v>
      </c>
      <c r="AC492" s="31">
        <v>0</v>
      </c>
      <c r="AD492" s="31">
        <v>0</v>
      </c>
      <c r="AE492" s="31">
        <v>0</v>
      </c>
      <c r="AF492" s="31">
        <v>0</v>
      </c>
      <c r="AG492" s="31">
        <v>0</v>
      </c>
      <c r="AH492" s="32">
        <v>1</v>
      </c>
      <c r="AI492" s="31">
        <v>0</v>
      </c>
      <c r="AJ492" s="31">
        <v>0</v>
      </c>
      <c r="AK492" s="31">
        <v>0</v>
      </c>
      <c r="AL492" s="31">
        <v>0</v>
      </c>
      <c r="AM492" s="31">
        <v>0</v>
      </c>
      <c r="AN492" s="31">
        <v>0</v>
      </c>
      <c r="AO492" s="31">
        <v>0</v>
      </c>
      <c r="AP492" s="31">
        <v>0</v>
      </c>
      <c r="AQ492" s="32">
        <v>1</v>
      </c>
      <c r="AR492" s="31">
        <v>0</v>
      </c>
      <c r="AS492" s="31">
        <v>0</v>
      </c>
    </row>
    <row r="493" spans="1:45">
      <c r="A493" s="30" t="s">
        <v>676</v>
      </c>
      <c r="B493" s="30" t="s">
        <v>633</v>
      </c>
      <c r="C493" s="30" t="s">
        <v>677</v>
      </c>
      <c r="D493" s="30" t="s">
        <v>1134</v>
      </c>
      <c r="E493" s="30" t="s">
        <v>1401</v>
      </c>
      <c r="F493" s="30" t="s">
        <v>138</v>
      </c>
      <c r="G493" s="30" t="s">
        <v>1402</v>
      </c>
      <c r="H493" s="30" t="s">
        <v>680</v>
      </c>
      <c r="I493" s="32">
        <v>10</v>
      </c>
      <c r="J493" s="32">
        <v>4</v>
      </c>
      <c r="K493" s="32">
        <v>3</v>
      </c>
      <c r="L493" s="32">
        <v>3</v>
      </c>
      <c r="M493" s="32">
        <v>4</v>
      </c>
      <c r="N493" s="32">
        <v>5</v>
      </c>
      <c r="O493" s="32">
        <v>1</v>
      </c>
      <c r="P493" s="32">
        <v>1</v>
      </c>
      <c r="Q493" s="31">
        <v>0</v>
      </c>
      <c r="R493" s="31">
        <v>0</v>
      </c>
      <c r="S493" s="32">
        <v>3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31">
        <v>0</v>
      </c>
      <c r="AD493" s="31">
        <v>0</v>
      </c>
      <c r="AE493" s="31">
        <v>0</v>
      </c>
      <c r="AF493" s="31">
        <v>0</v>
      </c>
      <c r="AG493" s="31">
        <v>0</v>
      </c>
      <c r="AH493" s="31">
        <v>0</v>
      </c>
      <c r="AI493" s="31">
        <v>0</v>
      </c>
      <c r="AJ493" s="31">
        <v>0</v>
      </c>
      <c r="AK493" s="31">
        <v>0</v>
      </c>
      <c r="AL493" s="31">
        <v>0</v>
      </c>
      <c r="AM493" s="31">
        <v>0</v>
      </c>
      <c r="AN493" s="31">
        <v>0</v>
      </c>
      <c r="AO493" s="31">
        <v>0</v>
      </c>
      <c r="AP493" s="31">
        <v>0</v>
      </c>
      <c r="AQ493" s="31">
        <v>0</v>
      </c>
      <c r="AR493" s="31">
        <v>0</v>
      </c>
      <c r="AS493" s="31">
        <v>0</v>
      </c>
    </row>
    <row r="494" spans="1:45">
      <c r="A494" s="30" t="s">
        <v>676</v>
      </c>
      <c r="B494" s="30" t="s">
        <v>633</v>
      </c>
      <c r="C494" s="30" t="s">
        <v>677</v>
      </c>
      <c r="D494" s="30" t="s">
        <v>1134</v>
      </c>
      <c r="E494" s="30" t="s">
        <v>1403</v>
      </c>
      <c r="F494" s="30" t="s">
        <v>138</v>
      </c>
      <c r="G494" s="30" t="s">
        <v>1404</v>
      </c>
      <c r="H494" s="30" t="s">
        <v>680</v>
      </c>
      <c r="I494" s="32">
        <v>26</v>
      </c>
      <c r="J494" s="32">
        <v>17</v>
      </c>
      <c r="K494" s="32">
        <v>10</v>
      </c>
      <c r="L494" s="32">
        <v>16</v>
      </c>
      <c r="M494" s="32">
        <v>3</v>
      </c>
      <c r="N494" s="32">
        <v>2</v>
      </c>
      <c r="O494" s="32">
        <v>3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31">
        <v>0</v>
      </c>
      <c r="AD494" s="31">
        <v>0</v>
      </c>
      <c r="AE494" s="31">
        <v>0</v>
      </c>
      <c r="AF494" s="31">
        <v>0</v>
      </c>
      <c r="AG494" s="31">
        <v>0</v>
      </c>
      <c r="AH494" s="31">
        <v>0</v>
      </c>
      <c r="AI494" s="31">
        <v>0</v>
      </c>
      <c r="AJ494" s="31">
        <v>0</v>
      </c>
      <c r="AK494" s="31">
        <v>0</v>
      </c>
      <c r="AL494" s="31">
        <v>0</v>
      </c>
      <c r="AM494" s="31">
        <v>0</v>
      </c>
      <c r="AN494" s="31">
        <v>0</v>
      </c>
      <c r="AO494" s="31">
        <v>0</v>
      </c>
      <c r="AP494" s="31">
        <v>0</v>
      </c>
      <c r="AQ494" s="31">
        <v>0</v>
      </c>
      <c r="AR494" s="31">
        <v>0</v>
      </c>
      <c r="AS494" s="31">
        <v>0</v>
      </c>
    </row>
    <row r="495" spans="1:45">
      <c r="A495" s="30" t="s">
        <v>676</v>
      </c>
      <c r="B495" s="30" t="s">
        <v>633</v>
      </c>
      <c r="C495" s="30" t="s">
        <v>677</v>
      </c>
      <c r="D495" s="30" t="s">
        <v>1134</v>
      </c>
      <c r="E495" s="30" t="s">
        <v>1405</v>
      </c>
      <c r="F495" s="30" t="s">
        <v>138</v>
      </c>
      <c r="G495" s="30" t="s">
        <v>386</v>
      </c>
      <c r="H495" s="30" t="s">
        <v>680</v>
      </c>
      <c r="I495" s="32">
        <v>31</v>
      </c>
      <c r="J495" s="32">
        <v>19</v>
      </c>
      <c r="K495" s="32">
        <v>10</v>
      </c>
      <c r="L495" s="31">
        <v>0</v>
      </c>
      <c r="M495" s="32">
        <v>2</v>
      </c>
      <c r="N495" s="31">
        <v>0</v>
      </c>
      <c r="O495" s="31">
        <v>0</v>
      </c>
      <c r="P495" s="32">
        <v>1</v>
      </c>
      <c r="Q495" s="31">
        <v>0</v>
      </c>
      <c r="R495" s="32">
        <v>1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0</v>
      </c>
      <c r="AC495" s="31">
        <v>0</v>
      </c>
      <c r="AD495" s="31">
        <v>0</v>
      </c>
      <c r="AE495" s="31">
        <v>0</v>
      </c>
      <c r="AF495" s="31">
        <v>0</v>
      </c>
      <c r="AG495" s="31">
        <v>0</v>
      </c>
      <c r="AH495" s="31">
        <v>0</v>
      </c>
      <c r="AI495" s="31">
        <v>0</v>
      </c>
      <c r="AJ495" s="32">
        <v>1</v>
      </c>
      <c r="AK495" s="31">
        <v>0</v>
      </c>
      <c r="AL495" s="31">
        <v>0</v>
      </c>
      <c r="AM495" s="31">
        <v>0</v>
      </c>
      <c r="AN495" s="31">
        <v>0</v>
      </c>
      <c r="AO495" s="31">
        <v>0</v>
      </c>
      <c r="AP495" s="31">
        <v>0</v>
      </c>
      <c r="AQ495" s="31">
        <v>0</v>
      </c>
      <c r="AR495" s="31">
        <v>0</v>
      </c>
      <c r="AS495" s="3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BD51-932E-4090-B0E4-25827AFA6662}">
  <dimension ref="A1:AP47"/>
  <sheetViews>
    <sheetView zoomScale="70" zoomScaleNormal="70" workbookViewId="0">
      <selection activeCell="D47" sqref="D47"/>
    </sheetView>
  </sheetViews>
  <sheetFormatPr defaultColWidth="10.85546875" defaultRowHeight="14.25"/>
  <cols>
    <col min="1" max="1" width="33.85546875" style="29" bestFit="1" customWidth="1"/>
    <col min="2" max="2" width="35.140625" style="29" bestFit="1" customWidth="1"/>
    <col min="3" max="3" width="34.42578125" style="29" bestFit="1" customWidth="1"/>
    <col min="4" max="4" width="38.42578125" style="29" bestFit="1" customWidth="1"/>
    <col min="5" max="5" width="13.7109375" style="29" customWidth="1"/>
    <col min="6" max="6" width="15" style="29" customWidth="1"/>
    <col min="7" max="7" width="13.140625" style="29" customWidth="1"/>
    <col min="8" max="8" width="34.7109375" style="29" bestFit="1" customWidth="1"/>
    <col min="9" max="9" width="37.28515625" style="29" bestFit="1" customWidth="1"/>
    <col min="10" max="10" width="35.140625" style="29" bestFit="1" customWidth="1"/>
    <col min="11" max="11" width="37.28515625" style="29" bestFit="1" customWidth="1"/>
    <col min="12" max="12" width="35" style="29" bestFit="1" customWidth="1"/>
    <col min="13" max="13" width="36.5703125" style="29" bestFit="1" customWidth="1"/>
    <col min="14" max="14" width="35.140625" style="29" bestFit="1" customWidth="1"/>
    <col min="15" max="15" width="34.42578125" style="29" bestFit="1" customWidth="1"/>
    <col min="16" max="16" width="38.42578125" style="29" bestFit="1" customWidth="1"/>
    <col min="17" max="17" width="34.85546875" style="29" bestFit="1" customWidth="1"/>
    <col min="18" max="18" width="35" style="29" bestFit="1" customWidth="1"/>
    <col min="19" max="19" width="35.5703125" style="29" bestFit="1" customWidth="1"/>
    <col min="20" max="20" width="34.7109375" style="29" bestFit="1" customWidth="1"/>
    <col min="21" max="21" width="37.28515625" style="29" bestFit="1" customWidth="1"/>
    <col min="22" max="22" width="35.140625" style="29" bestFit="1" customWidth="1"/>
    <col min="23" max="23" width="37.28515625" style="29" bestFit="1" customWidth="1"/>
    <col min="24" max="24" width="35" style="29" bestFit="1" customWidth="1"/>
    <col min="25" max="25" width="36.5703125" style="29" bestFit="1" customWidth="1"/>
    <col min="26" max="26" width="35.140625" style="29" bestFit="1" customWidth="1"/>
    <col min="27" max="27" width="34.42578125" style="29" bestFit="1" customWidth="1"/>
    <col min="28" max="28" width="38.42578125" style="29" bestFit="1" customWidth="1"/>
    <col min="29" max="29" width="34.85546875" style="29" bestFit="1" customWidth="1"/>
    <col min="30" max="30" width="35" style="29" bestFit="1" customWidth="1"/>
    <col min="31" max="31" width="35.5703125" style="29" bestFit="1" customWidth="1"/>
    <col min="32" max="32" width="34.7109375" style="29" bestFit="1" customWidth="1"/>
    <col min="33" max="33" width="37.28515625" style="29" bestFit="1" customWidth="1"/>
    <col min="34" max="34" width="35.140625" style="29" bestFit="1" customWidth="1"/>
    <col min="35" max="35" width="37.28515625" style="29" bestFit="1" customWidth="1"/>
    <col min="36" max="36" width="35" style="29" bestFit="1" customWidth="1"/>
    <col min="37" max="37" width="36.5703125" style="29" bestFit="1" customWidth="1"/>
    <col min="38" max="16384" width="10.85546875" style="29"/>
  </cols>
  <sheetData>
    <row r="1" spans="1:37">
      <c r="A1" s="29" t="s">
        <v>632</v>
      </c>
      <c r="B1" s="29" t="s">
        <v>1</v>
      </c>
    </row>
    <row r="3" spans="1:37">
      <c r="A3" s="29" t="s">
        <v>588</v>
      </c>
      <c r="B3" s="29" t="s">
        <v>589</v>
      </c>
      <c r="C3" s="29" t="s">
        <v>590</v>
      </c>
      <c r="D3" s="29" t="s">
        <v>591</v>
      </c>
      <c r="E3" s="29" t="s">
        <v>592</v>
      </c>
      <c r="F3" s="29" t="s">
        <v>593</v>
      </c>
      <c r="G3" s="29" t="s">
        <v>594</v>
      </c>
      <c r="H3" s="29" t="s">
        <v>595</v>
      </c>
      <c r="I3" s="29" t="s">
        <v>596</v>
      </c>
      <c r="J3" s="29" t="s">
        <v>597</v>
      </c>
      <c r="K3" s="29" t="s">
        <v>598</v>
      </c>
      <c r="L3" s="29" t="s">
        <v>599</v>
      </c>
      <c r="M3" s="29" t="s">
        <v>600</v>
      </c>
      <c r="N3" s="29" t="s">
        <v>601</v>
      </c>
      <c r="O3" s="29" t="s">
        <v>602</v>
      </c>
      <c r="P3" s="29" t="s">
        <v>603</v>
      </c>
      <c r="Q3" s="29" t="s">
        <v>604</v>
      </c>
      <c r="R3" s="29" t="s">
        <v>605</v>
      </c>
      <c r="S3" s="29" t="s">
        <v>606</v>
      </c>
      <c r="T3" s="29" t="s">
        <v>607</v>
      </c>
      <c r="U3" s="29" t="s">
        <v>608</v>
      </c>
      <c r="V3" s="29" t="s">
        <v>609</v>
      </c>
      <c r="W3" s="29" t="s">
        <v>610</v>
      </c>
      <c r="X3" s="29" t="s">
        <v>611</v>
      </c>
      <c r="Y3" s="29" t="s">
        <v>612</v>
      </c>
      <c r="Z3" s="29" t="s">
        <v>613</v>
      </c>
      <c r="AA3" s="29" t="s">
        <v>614</v>
      </c>
      <c r="AB3" s="29" t="s">
        <v>615</v>
      </c>
      <c r="AC3" s="29" t="s">
        <v>616</v>
      </c>
      <c r="AD3" s="29" t="s">
        <v>617</v>
      </c>
      <c r="AE3" s="29" t="s">
        <v>618</v>
      </c>
      <c r="AF3" s="29" t="s">
        <v>619</v>
      </c>
      <c r="AG3" s="29" t="s">
        <v>620</v>
      </c>
      <c r="AH3" s="29" t="s">
        <v>621</v>
      </c>
      <c r="AI3" s="29" t="s">
        <v>622</v>
      </c>
      <c r="AJ3" s="29" t="s">
        <v>623</v>
      </c>
      <c r="AK3" s="29" t="s">
        <v>624</v>
      </c>
    </row>
    <row r="4" spans="1:37">
      <c r="A4" s="33" t="s">
        <v>1406</v>
      </c>
      <c r="B4" s="29">
        <v>1</v>
      </c>
      <c r="C4" s="29">
        <v>0</v>
      </c>
      <c r="D4" s="29">
        <v>1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</row>
    <row r="5" spans="1:37">
      <c r="A5" s="33" t="s">
        <v>65</v>
      </c>
      <c r="B5" s="29">
        <v>715</v>
      </c>
      <c r="C5" s="29">
        <v>503</v>
      </c>
      <c r="D5" s="29">
        <v>477</v>
      </c>
      <c r="E5" s="29">
        <v>646</v>
      </c>
      <c r="F5" s="29">
        <v>507</v>
      </c>
      <c r="G5" s="29">
        <v>455</v>
      </c>
      <c r="H5" s="29">
        <v>726</v>
      </c>
      <c r="I5" s="29">
        <v>520</v>
      </c>
      <c r="J5" s="29">
        <v>495</v>
      </c>
      <c r="K5" s="29">
        <v>772</v>
      </c>
      <c r="L5" s="29">
        <v>654</v>
      </c>
      <c r="M5" s="29">
        <v>439</v>
      </c>
      <c r="N5" s="29">
        <v>587</v>
      </c>
      <c r="O5" s="29">
        <v>391.98700000000002</v>
      </c>
      <c r="P5" s="29">
        <v>399</v>
      </c>
      <c r="Q5" s="29">
        <v>635</v>
      </c>
      <c r="R5" s="29">
        <v>505</v>
      </c>
      <c r="S5" s="29">
        <v>489.21440000000001</v>
      </c>
      <c r="T5" s="29">
        <v>690.62099999999998</v>
      </c>
      <c r="U5" s="29">
        <v>475</v>
      </c>
      <c r="V5" s="29">
        <v>459</v>
      </c>
      <c r="W5" s="29">
        <v>723</v>
      </c>
      <c r="X5" s="29">
        <v>421</v>
      </c>
      <c r="Y5" s="29">
        <v>426</v>
      </c>
      <c r="Z5" s="29">
        <v>559</v>
      </c>
      <c r="AA5" s="29">
        <v>450</v>
      </c>
      <c r="AB5" s="29">
        <v>414</v>
      </c>
      <c r="AC5" s="29">
        <v>693</v>
      </c>
      <c r="AD5" s="29">
        <v>430</v>
      </c>
      <c r="AE5" s="29">
        <v>416</v>
      </c>
      <c r="AF5" s="29">
        <v>657</v>
      </c>
      <c r="AG5" s="29">
        <v>433</v>
      </c>
      <c r="AH5" s="29">
        <v>477</v>
      </c>
      <c r="AI5" s="29">
        <v>715</v>
      </c>
      <c r="AJ5" s="29">
        <v>416</v>
      </c>
      <c r="AK5" s="29">
        <v>521</v>
      </c>
    </row>
    <row r="6" spans="1:37">
      <c r="A6" s="33" t="s">
        <v>66</v>
      </c>
      <c r="B6" s="29">
        <v>551</v>
      </c>
      <c r="C6" s="29">
        <v>380</v>
      </c>
      <c r="D6" s="29">
        <v>392</v>
      </c>
      <c r="E6" s="29">
        <v>525</v>
      </c>
      <c r="F6" s="29">
        <v>401</v>
      </c>
      <c r="G6" s="29">
        <v>381</v>
      </c>
      <c r="H6" s="29">
        <v>465</v>
      </c>
      <c r="I6" s="29">
        <v>357</v>
      </c>
      <c r="J6" s="29">
        <v>347</v>
      </c>
      <c r="K6" s="29">
        <v>408</v>
      </c>
      <c r="L6" s="29">
        <v>318</v>
      </c>
      <c r="M6" s="29">
        <v>289</v>
      </c>
      <c r="N6" s="29">
        <v>360</v>
      </c>
      <c r="O6" s="29">
        <v>316.18420000000003</v>
      </c>
      <c r="P6" s="29">
        <v>288</v>
      </c>
      <c r="Q6" s="29">
        <v>389</v>
      </c>
      <c r="R6" s="29">
        <v>341</v>
      </c>
      <c r="S6" s="29">
        <v>321</v>
      </c>
      <c r="T6" s="29">
        <v>465</v>
      </c>
      <c r="U6" s="29">
        <v>310</v>
      </c>
      <c r="V6" s="29">
        <v>317</v>
      </c>
      <c r="W6" s="29">
        <v>413</v>
      </c>
      <c r="X6" s="29">
        <v>281</v>
      </c>
      <c r="Y6" s="29">
        <v>275</v>
      </c>
      <c r="Z6" s="29">
        <v>307</v>
      </c>
      <c r="AA6" s="29">
        <v>292</v>
      </c>
      <c r="AB6" s="29">
        <v>246</v>
      </c>
      <c r="AC6" s="29">
        <v>269</v>
      </c>
      <c r="AD6" s="29">
        <v>198</v>
      </c>
      <c r="AE6" s="29">
        <v>319</v>
      </c>
      <c r="AF6" s="29">
        <v>360</v>
      </c>
      <c r="AG6" s="29">
        <v>295</v>
      </c>
      <c r="AH6" s="29">
        <v>318</v>
      </c>
      <c r="AI6" s="29">
        <v>413</v>
      </c>
      <c r="AJ6" s="29">
        <v>295</v>
      </c>
      <c r="AK6" s="29">
        <v>300</v>
      </c>
    </row>
    <row r="7" spans="1:37">
      <c r="A7" s="33" t="s">
        <v>67</v>
      </c>
      <c r="B7" s="29">
        <v>6329</v>
      </c>
      <c r="C7" s="29">
        <v>3425.4641000000001</v>
      </c>
      <c r="D7" s="29">
        <v>3265</v>
      </c>
      <c r="E7" s="29">
        <v>4704</v>
      </c>
      <c r="F7" s="29">
        <v>4018</v>
      </c>
      <c r="G7" s="29">
        <v>3603</v>
      </c>
      <c r="H7" s="29">
        <v>5156</v>
      </c>
      <c r="I7" s="29">
        <v>3566</v>
      </c>
      <c r="J7" s="29">
        <v>3051</v>
      </c>
      <c r="K7" s="29">
        <v>4396</v>
      </c>
      <c r="L7" s="29">
        <v>2682</v>
      </c>
      <c r="M7" s="29">
        <v>2551</v>
      </c>
      <c r="N7" s="29">
        <v>3448</v>
      </c>
      <c r="O7" s="29">
        <v>2185.7764999999999</v>
      </c>
      <c r="P7" s="29">
        <v>2309</v>
      </c>
      <c r="Q7" s="29">
        <v>2969</v>
      </c>
      <c r="R7" s="29">
        <v>2106</v>
      </c>
      <c r="S7" s="29">
        <v>2225</v>
      </c>
      <c r="T7" s="29">
        <v>2903.9104000000002</v>
      </c>
      <c r="U7" s="29">
        <v>1963</v>
      </c>
      <c r="V7" s="29">
        <v>2118</v>
      </c>
      <c r="W7" s="29">
        <v>3195</v>
      </c>
      <c r="X7" s="29">
        <v>1988</v>
      </c>
      <c r="Y7" s="29">
        <v>1738</v>
      </c>
      <c r="Z7" s="29">
        <v>2809</v>
      </c>
      <c r="AA7" s="29">
        <v>2022</v>
      </c>
      <c r="AB7" s="29">
        <v>2448</v>
      </c>
      <c r="AC7" s="29">
        <v>3005</v>
      </c>
      <c r="AD7" s="29">
        <v>1802</v>
      </c>
      <c r="AE7" s="29">
        <v>1945</v>
      </c>
      <c r="AF7" s="29">
        <v>2741</v>
      </c>
      <c r="AG7" s="29">
        <v>1899</v>
      </c>
      <c r="AH7" s="29">
        <v>1947</v>
      </c>
      <c r="AI7" s="29">
        <v>2808</v>
      </c>
      <c r="AJ7" s="29">
        <v>2260</v>
      </c>
      <c r="AK7" s="29">
        <v>2087</v>
      </c>
    </row>
    <row r="8" spans="1:37">
      <c r="A8" s="33" t="s">
        <v>68</v>
      </c>
      <c r="B8" s="29">
        <v>48</v>
      </c>
      <c r="C8" s="29">
        <v>36</v>
      </c>
      <c r="D8" s="29">
        <v>33</v>
      </c>
      <c r="E8" s="29">
        <v>72</v>
      </c>
      <c r="F8" s="29">
        <v>45</v>
      </c>
      <c r="G8" s="29">
        <v>33</v>
      </c>
      <c r="H8" s="29">
        <v>56</v>
      </c>
      <c r="I8" s="29">
        <v>44</v>
      </c>
      <c r="J8" s="29">
        <v>40</v>
      </c>
      <c r="K8" s="29">
        <v>65</v>
      </c>
      <c r="L8" s="29">
        <v>24</v>
      </c>
      <c r="M8" s="29">
        <v>25</v>
      </c>
      <c r="N8" s="29">
        <v>48</v>
      </c>
      <c r="O8" s="29">
        <v>20</v>
      </c>
      <c r="P8" s="29">
        <v>21</v>
      </c>
      <c r="Q8" s="29">
        <v>39</v>
      </c>
      <c r="R8" s="29">
        <v>18</v>
      </c>
      <c r="S8" s="29">
        <v>21</v>
      </c>
      <c r="T8" s="29">
        <v>29</v>
      </c>
      <c r="U8" s="29">
        <v>14</v>
      </c>
      <c r="V8" s="29">
        <v>13</v>
      </c>
      <c r="W8" s="29">
        <v>43</v>
      </c>
      <c r="X8" s="29">
        <v>16</v>
      </c>
      <c r="Y8" s="29">
        <v>8</v>
      </c>
      <c r="Z8" s="29">
        <v>25</v>
      </c>
      <c r="AA8" s="29">
        <v>13</v>
      </c>
      <c r="AB8" s="29">
        <v>10</v>
      </c>
      <c r="AC8" s="29">
        <v>33</v>
      </c>
      <c r="AD8" s="29">
        <v>22</v>
      </c>
      <c r="AE8" s="29">
        <v>15</v>
      </c>
      <c r="AF8" s="29">
        <v>20</v>
      </c>
      <c r="AG8" s="29">
        <v>12</v>
      </c>
      <c r="AH8" s="29">
        <v>18</v>
      </c>
      <c r="AI8" s="29">
        <v>26</v>
      </c>
      <c r="AJ8" s="29">
        <v>15</v>
      </c>
      <c r="AK8" s="29">
        <v>13</v>
      </c>
    </row>
    <row r="9" spans="1:37">
      <c r="A9" s="33" t="s">
        <v>69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102</v>
      </c>
      <c r="P9" s="29">
        <v>233</v>
      </c>
      <c r="Q9" s="29">
        <v>396</v>
      </c>
      <c r="R9" s="29">
        <v>527</v>
      </c>
      <c r="S9" s="29">
        <v>473</v>
      </c>
      <c r="T9" s="29">
        <v>644.19669999999996</v>
      </c>
      <c r="U9" s="29">
        <v>474</v>
      </c>
      <c r="V9" s="29">
        <v>556</v>
      </c>
      <c r="W9" s="29">
        <v>888</v>
      </c>
      <c r="X9" s="29">
        <v>579</v>
      </c>
      <c r="Y9" s="29">
        <v>456</v>
      </c>
      <c r="Z9" s="29">
        <v>710</v>
      </c>
      <c r="AA9" s="29">
        <v>580</v>
      </c>
      <c r="AB9" s="29">
        <v>525</v>
      </c>
      <c r="AC9" s="29">
        <v>900</v>
      </c>
      <c r="AD9" s="29">
        <v>629</v>
      </c>
      <c r="AE9" s="29">
        <v>850</v>
      </c>
      <c r="AF9" s="29">
        <v>893</v>
      </c>
      <c r="AG9" s="29">
        <v>552</v>
      </c>
      <c r="AH9" s="29">
        <v>673</v>
      </c>
      <c r="AI9" s="29">
        <v>1227</v>
      </c>
      <c r="AJ9" s="29">
        <v>965</v>
      </c>
      <c r="AK9" s="29">
        <v>634</v>
      </c>
    </row>
    <row r="10" spans="1:37">
      <c r="A10" s="33" t="s">
        <v>70</v>
      </c>
      <c r="B10" s="29">
        <v>401</v>
      </c>
      <c r="C10" s="29">
        <v>298.30939999999998</v>
      </c>
      <c r="D10" s="29">
        <v>299</v>
      </c>
      <c r="E10" s="29">
        <v>371</v>
      </c>
      <c r="F10" s="29">
        <v>335</v>
      </c>
      <c r="G10" s="29">
        <v>300</v>
      </c>
      <c r="H10" s="29">
        <v>611</v>
      </c>
      <c r="I10" s="29">
        <v>411</v>
      </c>
      <c r="J10" s="29">
        <v>344</v>
      </c>
      <c r="K10" s="29">
        <v>365</v>
      </c>
      <c r="L10" s="29">
        <v>344</v>
      </c>
      <c r="M10" s="29">
        <v>292</v>
      </c>
      <c r="N10" s="29">
        <v>417</v>
      </c>
      <c r="O10" s="29">
        <v>321.19740000000002</v>
      </c>
      <c r="P10" s="29">
        <v>302</v>
      </c>
      <c r="Q10" s="29">
        <v>419</v>
      </c>
      <c r="R10" s="29">
        <v>347</v>
      </c>
      <c r="S10" s="29">
        <v>336</v>
      </c>
      <c r="T10" s="29">
        <v>524</v>
      </c>
      <c r="U10" s="29">
        <v>410</v>
      </c>
      <c r="V10" s="29">
        <v>425</v>
      </c>
      <c r="W10" s="29">
        <v>530</v>
      </c>
      <c r="X10" s="29">
        <v>294</v>
      </c>
      <c r="Y10" s="29">
        <v>338</v>
      </c>
      <c r="Z10" s="29">
        <v>401</v>
      </c>
      <c r="AA10" s="29">
        <v>341</v>
      </c>
      <c r="AB10" s="29">
        <v>287</v>
      </c>
      <c r="AC10" s="29">
        <v>451</v>
      </c>
      <c r="AD10" s="29">
        <v>284</v>
      </c>
      <c r="AE10" s="29">
        <v>315</v>
      </c>
      <c r="AF10" s="29">
        <v>502</v>
      </c>
      <c r="AG10" s="29">
        <v>443</v>
      </c>
      <c r="AH10" s="29">
        <v>430</v>
      </c>
      <c r="AI10" s="29">
        <v>442</v>
      </c>
      <c r="AJ10" s="29">
        <v>352</v>
      </c>
      <c r="AK10" s="29">
        <v>337</v>
      </c>
    </row>
    <row r="11" spans="1:37">
      <c r="A11" s="33" t="s">
        <v>71</v>
      </c>
      <c r="B11" s="29">
        <v>3128</v>
      </c>
      <c r="C11" s="29">
        <v>1527.1547</v>
      </c>
      <c r="D11" s="29">
        <v>2208</v>
      </c>
      <c r="E11" s="29">
        <v>2635</v>
      </c>
      <c r="F11" s="29">
        <v>1994</v>
      </c>
      <c r="G11" s="29">
        <v>2309</v>
      </c>
      <c r="H11" s="29">
        <v>3378</v>
      </c>
      <c r="I11" s="29">
        <v>2758</v>
      </c>
      <c r="J11" s="29">
        <v>2580</v>
      </c>
      <c r="K11" s="29">
        <v>3547</v>
      </c>
      <c r="L11" s="29">
        <v>2403</v>
      </c>
      <c r="M11" s="29">
        <v>2139</v>
      </c>
      <c r="N11" s="29">
        <v>2454</v>
      </c>
      <c r="O11" s="29">
        <v>1522.5921000000001</v>
      </c>
      <c r="P11" s="29">
        <v>1449</v>
      </c>
      <c r="Q11" s="29">
        <v>1875</v>
      </c>
      <c r="R11" s="29">
        <v>1299</v>
      </c>
      <c r="S11" s="29">
        <v>1415.6353000000001</v>
      </c>
      <c r="T11" s="29">
        <v>1886.2068999999999</v>
      </c>
      <c r="U11" s="29">
        <v>1264</v>
      </c>
      <c r="V11" s="29">
        <v>1616</v>
      </c>
      <c r="W11" s="29">
        <v>1887</v>
      </c>
      <c r="X11" s="29">
        <v>1421</v>
      </c>
      <c r="Y11" s="29">
        <v>1279</v>
      </c>
      <c r="Z11" s="29">
        <v>1657</v>
      </c>
      <c r="AA11" s="29">
        <v>1230</v>
      </c>
      <c r="AB11" s="29">
        <v>1086</v>
      </c>
      <c r="AC11" s="29">
        <v>1816</v>
      </c>
      <c r="AD11" s="29">
        <v>1039</v>
      </c>
      <c r="AE11" s="29">
        <v>970</v>
      </c>
      <c r="AF11" s="29">
        <v>1461</v>
      </c>
      <c r="AG11" s="29">
        <v>1177</v>
      </c>
      <c r="AH11" s="29">
        <v>1234</v>
      </c>
      <c r="AI11" s="29">
        <v>1446</v>
      </c>
      <c r="AJ11" s="29">
        <v>1071</v>
      </c>
      <c r="AK11" s="29">
        <v>1140</v>
      </c>
    </row>
    <row r="12" spans="1:37">
      <c r="A12" s="33" t="s">
        <v>72</v>
      </c>
      <c r="B12" s="29">
        <v>1354</v>
      </c>
      <c r="C12" s="29">
        <v>624</v>
      </c>
      <c r="D12" s="29">
        <v>858</v>
      </c>
      <c r="E12" s="29">
        <v>533</v>
      </c>
      <c r="F12" s="29">
        <v>388</v>
      </c>
      <c r="G12" s="29">
        <v>927</v>
      </c>
      <c r="H12" s="29">
        <v>1344</v>
      </c>
      <c r="I12" s="29">
        <v>863</v>
      </c>
      <c r="J12" s="29">
        <v>869</v>
      </c>
      <c r="K12" s="29">
        <v>1176</v>
      </c>
      <c r="L12" s="29">
        <v>809</v>
      </c>
      <c r="M12" s="29">
        <v>749</v>
      </c>
      <c r="N12" s="29">
        <v>1030</v>
      </c>
      <c r="O12" s="29">
        <v>577.19740000000002</v>
      </c>
      <c r="P12" s="29">
        <v>667</v>
      </c>
      <c r="Q12" s="29">
        <v>957</v>
      </c>
      <c r="R12" s="29">
        <v>763</v>
      </c>
      <c r="S12" s="29">
        <v>854.46070000000009</v>
      </c>
      <c r="T12" s="29">
        <v>1306.8624000000002</v>
      </c>
      <c r="U12" s="29">
        <v>707</v>
      </c>
      <c r="V12" s="29">
        <v>868</v>
      </c>
      <c r="W12" s="29">
        <v>1127</v>
      </c>
      <c r="X12" s="29">
        <v>635</v>
      </c>
      <c r="Y12" s="29">
        <v>617</v>
      </c>
      <c r="Z12" s="29">
        <v>831</v>
      </c>
      <c r="AA12" s="29">
        <v>689</v>
      </c>
      <c r="AB12" s="29">
        <v>504</v>
      </c>
      <c r="AC12" s="29">
        <v>870</v>
      </c>
      <c r="AD12" s="29">
        <v>554</v>
      </c>
      <c r="AE12" s="29">
        <v>559</v>
      </c>
      <c r="AF12" s="29">
        <v>818</v>
      </c>
      <c r="AG12" s="29">
        <v>611</v>
      </c>
      <c r="AH12" s="29">
        <v>600</v>
      </c>
      <c r="AI12" s="29">
        <v>770</v>
      </c>
      <c r="AJ12" s="29">
        <v>583</v>
      </c>
      <c r="AK12" s="29">
        <v>596</v>
      </c>
    </row>
    <row r="13" spans="1:37">
      <c r="A13" s="33" t="s">
        <v>73</v>
      </c>
      <c r="B13" s="29">
        <v>22708</v>
      </c>
      <c r="C13" s="29">
        <v>15424.856399999997</v>
      </c>
      <c r="D13" s="29">
        <v>14798</v>
      </c>
      <c r="E13" s="29">
        <v>19052</v>
      </c>
      <c r="F13" s="29">
        <v>14919</v>
      </c>
      <c r="G13" s="29">
        <v>15920</v>
      </c>
      <c r="H13" s="29">
        <v>21063</v>
      </c>
      <c r="I13" s="29">
        <v>14224</v>
      </c>
      <c r="J13" s="29">
        <v>15217</v>
      </c>
      <c r="K13" s="29">
        <v>18889</v>
      </c>
      <c r="L13" s="29">
        <v>15213</v>
      </c>
      <c r="M13" s="29">
        <v>13033</v>
      </c>
      <c r="N13" s="29">
        <v>19284.435400000002</v>
      </c>
      <c r="O13" s="29">
        <v>14019.539500000003</v>
      </c>
      <c r="P13" s="29">
        <v>14573</v>
      </c>
      <c r="Q13" s="29">
        <v>16468</v>
      </c>
      <c r="R13" s="29">
        <v>13123</v>
      </c>
      <c r="S13" s="29">
        <v>13193.386999999999</v>
      </c>
      <c r="T13" s="29">
        <v>19338.3197</v>
      </c>
      <c r="U13" s="29">
        <v>12689</v>
      </c>
      <c r="V13" s="29">
        <v>12882</v>
      </c>
      <c r="W13" s="29">
        <v>15537</v>
      </c>
      <c r="X13" s="29">
        <v>11189</v>
      </c>
      <c r="Y13" s="29">
        <v>11570</v>
      </c>
      <c r="Z13" s="29">
        <v>15044</v>
      </c>
      <c r="AA13" s="29">
        <v>10903</v>
      </c>
      <c r="AB13" s="29">
        <v>9729</v>
      </c>
      <c r="AC13" s="29">
        <v>13236</v>
      </c>
      <c r="AD13" s="29">
        <v>10719</v>
      </c>
      <c r="AE13" s="29">
        <v>12415</v>
      </c>
      <c r="AF13" s="29">
        <v>17635</v>
      </c>
      <c r="AG13" s="29">
        <v>13628</v>
      </c>
      <c r="AH13" s="29">
        <v>11831</v>
      </c>
      <c r="AI13" s="29">
        <v>17591</v>
      </c>
      <c r="AJ13" s="29">
        <v>15073</v>
      </c>
      <c r="AK13" s="29">
        <v>15967</v>
      </c>
    </row>
    <row r="14" spans="1:37">
      <c r="A14" s="33" t="s">
        <v>74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25</v>
      </c>
      <c r="W14" s="29">
        <v>445</v>
      </c>
      <c r="X14" s="29">
        <v>366</v>
      </c>
      <c r="Y14" s="29">
        <v>500</v>
      </c>
      <c r="Z14" s="29">
        <v>545</v>
      </c>
      <c r="AA14" s="29">
        <v>462</v>
      </c>
      <c r="AB14" s="29">
        <v>328</v>
      </c>
      <c r="AC14" s="29">
        <v>429</v>
      </c>
      <c r="AD14" s="29">
        <v>286</v>
      </c>
      <c r="AE14" s="29">
        <v>357</v>
      </c>
      <c r="AF14" s="29">
        <v>539</v>
      </c>
      <c r="AG14" s="29">
        <v>616</v>
      </c>
      <c r="AH14" s="29">
        <v>531</v>
      </c>
      <c r="AI14" s="29">
        <v>638</v>
      </c>
      <c r="AJ14" s="29">
        <v>572</v>
      </c>
      <c r="AK14" s="29">
        <v>553</v>
      </c>
    </row>
    <row r="15" spans="1:37">
      <c r="A15" s="33" t="s">
        <v>75</v>
      </c>
      <c r="B15" s="29">
        <v>4565</v>
      </c>
      <c r="C15" s="29">
        <v>4034.2376000000004</v>
      </c>
      <c r="D15" s="29">
        <v>4321</v>
      </c>
      <c r="E15" s="29">
        <v>5195</v>
      </c>
      <c r="F15" s="29">
        <v>4287</v>
      </c>
      <c r="G15" s="29">
        <v>4531</v>
      </c>
      <c r="H15" s="29">
        <v>5695</v>
      </c>
      <c r="I15" s="29">
        <v>4255</v>
      </c>
      <c r="J15" s="29">
        <v>4570</v>
      </c>
      <c r="K15" s="29">
        <v>6136</v>
      </c>
      <c r="L15" s="29">
        <v>5066</v>
      </c>
      <c r="M15" s="29">
        <v>4285</v>
      </c>
      <c r="N15" s="29">
        <v>5212</v>
      </c>
      <c r="O15" s="29">
        <v>3956.5790000000002</v>
      </c>
      <c r="P15" s="29">
        <v>4060</v>
      </c>
      <c r="Q15" s="29">
        <v>5812</v>
      </c>
      <c r="R15" s="29">
        <v>4225</v>
      </c>
      <c r="S15" s="29">
        <v>4245.3199000000004</v>
      </c>
      <c r="T15" s="29">
        <v>5852.9287000000004</v>
      </c>
      <c r="U15" s="29">
        <v>3846</v>
      </c>
      <c r="V15" s="29">
        <v>4285</v>
      </c>
      <c r="W15" s="29">
        <v>4857</v>
      </c>
      <c r="X15" s="29">
        <v>3401</v>
      </c>
      <c r="Y15" s="29">
        <v>3319</v>
      </c>
      <c r="Z15" s="29">
        <v>3655</v>
      </c>
      <c r="AA15" s="29">
        <v>4040</v>
      </c>
      <c r="AB15" s="29">
        <v>3765</v>
      </c>
      <c r="AC15" s="29">
        <v>4427</v>
      </c>
      <c r="AD15" s="29">
        <v>3236</v>
      </c>
      <c r="AE15" s="29">
        <v>3152</v>
      </c>
      <c r="AF15" s="29">
        <v>4540</v>
      </c>
      <c r="AG15" s="29">
        <v>3470</v>
      </c>
      <c r="AH15" s="29">
        <v>4551</v>
      </c>
      <c r="AI15" s="29">
        <v>4847</v>
      </c>
      <c r="AJ15" s="29">
        <v>3682</v>
      </c>
      <c r="AK15" s="29">
        <v>4195</v>
      </c>
    </row>
    <row r="16" spans="1:37">
      <c r="A16" s="33" t="s">
        <v>38</v>
      </c>
      <c r="B16" s="29">
        <v>39800</v>
      </c>
      <c r="C16" s="29">
        <v>26253.022199999999</v>
      </c>
      <c r="D16" s="29">
        <v>26652</v>
      </c>
      <c r="E16" s="29">
        <v>33733</v>
      </c>
      <c r="F16" s="29">
        <v>26894</v>
      </c>
      <c r="G16" s="29">
        <v>28459</v>
      </c>
      <c r="H16" s="29">
        <v>38494</v>
      </c>
      <c r="I16" s="29">
        <v>26998</v>
      </c>
      <c r="J16" s="29">
        <v>27513</v>
      </c>
      <c r="K16" s="29">
        <v>35754</v>
      </c>
      <c r="L16" s="29">
        <v>27513</v>
      </c>
      <c r="M16" s="29">
        <v>23802</v>
      </c>
      <c r="N16" s="29">
        <v>32840.435400000002</v>
      </c>
      <c r="O16" s="29">
        <v>23413.053100000005</v>
      </c>
      <c r="P16" s="29">
        <v>24301</v>
      </c>
      <c r="Q16" s="29">
        <v>29959</v>
      </c>
      <c r="R16" s="29">
        <v>23254</v>
      </c>
      <c r="S16" s="29">
        <v>23574.0173</v>
      </c>
      <c r="T16" s="29">
        <v>33641.045800000007</v>
      </c>
      <c r="U16" s="29">
        <v>22152</v>
      </c>
      <c r="V16" s="29">
        <v>23564</v>
      </c>
      <c r="W16" s="29">
        <v>29645</v>
      </c>
      <c r="X16" s="29">
        <v>20591</v>
      </c>
      <c r="Y16" s="29">
        <v>20526</v>
      </c>
      <c r="Z16" s="29">
        <v>26543</v>
      </c>
      <c r="AA16" s="29">
        <v>21022</v>
      </c>
      <c r="AB16" s="29">
        <v>19342</v>
      </c>
      <c r="AC16" s="29">
        <v>26129</v>
      </c>
      <c r="AD16" s="29">
        <v>19199</v>
      </c>
      <c r="AE16" s="29">
        <v>21313</v>
      </c>
      <c r="AF16" s="29">
        <v>30166</v>
      </c>
      <c r="AG16" s="29">
        <v>23136</v>
      </c>
      <c r="AH16" s="29">
        <v>22610</v>
      </c>
      <c r="AI16" s="29">
        <v>30923</v>
      </c>
      <c r="AJ16" s="29">
        <v>25284</v>
      </c>
      <c r="AK16" s="29">
        <v>26343</v>
      </c>
    </row>
    <row r="18" spans="1:42">
      <c r="A18" s="29" t="s">
        <v>588</v>
      </c>
      <c r="B18" s="35">
        <v>44713</v>
      </c>
      <c r="C18" s="35">
        <v>44743</v>
      </c>
      <c r="D18" s="35">
        <v>44774</v>
      </c>
      <c r="E18" s="35">
        <v>44805</v>
      </c>
      <c r="F18" s="35">
        <v>44835</v>
      </c>
      <c r="G18" s="35">
        <v>44866</v>
      </c>
      <c r="H18" s="35">
        <v>44896</v>
      </c>
      <c r="I18" s="35">
        <v>44927</v>
      </c>
      <c r="J18" s="35">
        <v>44958</v>
      </c>
      <c r="K18" s="35">
        <v>44986</v>
      </c>
      <c r="L18" s="35">
        <v>45017</v>
      </c>
      <c r="M18" s="35">
        <v>45047</v>
      </c>
      <c r="N18" s="35">
        <v>45078</v>
      </c>
      <c r="O18" s="35">
        <v>45108</v>
      </c>
      <c r="P18" s="35">
        <v>45139</v>
      </c>
      <c r="Q18" s="35">
        <v>45170</v>
      </c>
      <c r="R18" s="35">
        <v>45200</v>
      </c>
      <c r="S18" s="35">
        <v>45231</v>
      </c>
      <c r="T18" s="35">
        <v>45261</v>
      </c>
      <c r="U18" s="35">
        <v>45292</v>
      </c>
      <c r="V18" s="35">
        <v>45323</v>
      </c>
      <c r="W18" s="35">
        <v>45352</v>
      </c>
      <c r="X18" s="35">
        <v>45383</v>
      </c>
      <c r="Y18" s="35">
        <v>45413</v>
      </c>
      <c r="Z18" s="35">
        <v>45444</v>
      </c>
      <c r="AA18" s="35">
        <v>45474</v>
      </c>
      <c r="AB18" s="35">
        <v>45505</v>
      </c>
      <c r="AC18" s="35">
        <v>45536</v>
      </c>
      <c r="AD18" s="35">
        <v>45566</v>
      </c>
      <c r="AE18" s="35">
        <v>45597</v>
      </c>
      <c r="AF18" s="35">
        <v>45627</v>
      </c>
      <c r="AG18" s="35">
        <v>45658</v>
      </c>
      <c r="AH18" s="35">
        <v>45689</v>
      </c>
      <c r="AI18" s="35">
        <v>45717</v>
      </c>
      <c r="AJ18" s="35">
        <v>45748</v>
      </c>
      <c r="AK18" s="35">
        <v>45778</v>
      </c>
      <c r="AL18" s="29" t="s">
        <v>63</v>
      </c>
      <c r="AM18" s="29" t="s">
        <v>64</v>
      </c>
      <c r="AN18" s="29" t="s">
        <v>81</v>
      </c>
      <c r="AO18" s="29" t="s">
        <v>82</v>
      </c>
      <c r="AP18" s="29" t="s">
        <v>78</v>
      </c>
    </row>
    <row r="19" spans="1:42" ht="15">
      <c r="A19" s="29" t="s">
        <v>1406</v>
      </c>
      <c r="B19" s="38">
        <v>1</v>
      </c>
      <c r="C19" s="38">
        <v>0</v>
      </c>
      <c r="D19" s="38">
        <v>1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  <c r="AF19" s="38">
        <v>0</v>
      </c>
      <c r="AG19" s="38">
        <v>0</v>
      </c>
      <c r="AH19" s="38">
        <v>0</v>
      </c>
      <c r="AI19" s="38">
        <v>0</v>
      </c>
      <c r="AJ19" s="38">
        <v>0</v>
      </c>
      <c r="AK19" s="38">
        <v>0</v>
      </c>
      <c r="AL19" s="34">
        <f>+SUM(F19:Q19)</f>
        <v>0</v>
      </c>
      <c r="AM19" s="34">
        <f>+SUM(R19:AC19)</f>
        <v>0</v>
      </c>
      <c r="AN19" s="36">
        <f>+AM19/$AM$31</f>
        <v>0</v>
      </c>
      <c r="AO19" s="36" t="e">
        <f>+AM19/AL19-1</f>
        <v>#DIV/0!</v>
      </c>
      <c r="AP19" s="36">
        <f>+(AM19-AL19)/$AL$31</f>
        <v>0</v>
      </c>
    </row>
    <row r="20" spans="1:42" ht="15">
      <c r="A20" s="29" t="s">
        <v>65</v>
      </c>
      <c r="B20" s="38">
        <v>715</v>
      </c>
      <c r="C20" s="38">
        <v>503</v>
      </c>
      <c r="D20" s="38">
        <v>477</v>
      </c>
      <c r="E20" s="38">
        <v>646</v>
      </c>
      <c r="F20" s="38">
        <v>507</v>
      </c>
      <c r="G20" s="38">
        <v>455</v>
      </c>
      <c r="H20" s="38">
        <v>726</v>
      </c>
      <c r="I20" s="38">
        <v>520</v>
      </c>
      <c r="J20" s="38">
        <v>495</v>
      </c>
      <c r="K20" s="38">
        <v>772</v>
      </c>
      <c r="L20" s="38">
        <v>654</v>
      </c>
      <c r="M20" s="38">
        <v>439</v>
      </c>
      <c r="N20" s="38">
        <v>587</v>
      </c>
      <c r="O20" s="38">
        <v>391.98700000000002</v>
      </c>
      <c r="P20" s="38">
        <v>399</v>
      </c>
      <c r="Q20" s="38">
        <v>635</v>
      </c>
      <c r="R20" s="38">
        <v>505</v>
      </c>
      <c r="S20" s="38">
        <v>489.21440000000001</v>
      </c>
      <c r="T20" s="38">
        <v>690.62099999999998</v>
      </c>
      <c r="U20" s="38">
        <v>475</v>
      </c>
      <c r="V20" s="38">
        <v>459</v>
      </c>
      <c r="W20" s="38">
        <v>723</v>
      </c>
      <c r="X20" s="38">
        <v>421</v>
      </c>
      <c r="Y20" s="38">
        <v>426</v>
      </c>
      <c r="Z20" s="38">
        <v>559</v>
      </c>
      <c r="AA20" s="38">
        <v>450</v>
      </c>
      <c r="AB20" s="38">
        <v>414</v>
      </c>
      <c r="AC20" s="38">
        <v>693</v>
      </c>
      <c r="AD20" s="38">
        <v>430</v>
      </c>
      <c r="AE20" s="38">
        <v>416</v>
      </c>
      <c r="AF20" s="38">
        <v>657</v>
      </c>
      <c r="AG20" s="38">
        <v>433</v>
      </c>
      <c r="AH20" s="38">
        <v>477</v>
      </c>
      <c r="AI20" s="38">
        <v>715</v>
      </c>
      <c r="AJ20" s="38">
        <v>416</v>
      </c>
      <c r="AK20" s="38">
        <v>521</v>
      </c>
      <c r="AL20" s="34">
        <f t="shared" ref="AL20:AL31" si="0">+SUM(F20:Q20)</f>
        <v>6580.9870000000001</v>
      </c>
      <c r="AM20" s="34">
        <f t="shared" ref="AM20:AM31" si="1">+SUM(R20:AC20)</f>
        <v>6304.8353999999999</v>
      </c>
      <c r="AN20" s="36">
        <f t="shared" ref="AN20:AN31" si="2">+AM20/$AM$31</f>
        <v>2.1742081529174659E-2</v>
      </c>
      <c r="AO20" s="36">
        <f t="shared" ref="AO20:AO31" si="3">+AM20/AL20-1</f>
        <v>-4.196203396238285E-2</v>
      </c>
      <c r="AP20" s="36">
        <f t="shared" ref="AP20:AP31" si="4">+(AM20-AL20)/$AL$31</f>
        <v>-7.9826331169674612E-4</v>
      </c>
    </row>
    <row r="21" spans="1:42" ht="15">
      <c r="A21" s="29" t="s">
        <v>66</v>
      </c>
      <c r="B21" s="38">
        <v>551</v>
      </c>
      <c r="C21" s="38">
        <v>380</v>
      </c>
      <c r="D21" s="38">
        <v>392</v>
      </c>
      <c r="E21" s="38">
        <v>525</v>
      </c>
      <c r="F21" s="38">
        <v>401</v>
      </c>
      <c r="G21" s="38">
        <v>381</v>
      </c>
      <c r="H21" s="38">
        <v>465</v>
      </c>
      <c r="I21" s="38">
        <v>357</v>
      </c>
      <c r="J21" s="38">
        <v>347</v>
      </c>
      <c r="K21" s="38">
        <v>408</v>
      </c>
      <c r="L21" s="38">
        <v>318</v>
      </c>
      <c r="M21" s="38">
        <v>289</v>
      </c>
      <c r="N21" s="38">
        <v>360</v>
      </c>
      <c r="O21" s="38">
        <v>316.18420000000003</v>
      </c>
      <c r="P21" s="38">
        <v>288</v>
      </c>
      <c r="Q21" s="38">
        <v>389</v>
      </c>
      <c r="R21" s="38">
        <v>341</v>
      </c>
      <c r="S21" s="38">
        <v>321</v>
      </c>
      <c r="T21" s="38">
        <v>465</v>
      </c>
      <c r="U21" s="38">
        <v>310</v>
      </c>
      <c r="V21" s="38">
        <v>317</v>
      </c>
      <c r="W21" s="38">
        <v>413</v>
      </c>
      <c r="X21" s="38">
        <v>281</v>
      </c>
      <c r="Y21" s="38">
        <v>275</v>
      </c>
      <c r="Z21" s="38">
        <v>307</v>
      </c>
      <c r="AA21" s="38">
        <v>292</v>
      </c>
      <c r="AB21" s="38">
        <v>246</v>
      </c>
      <c r="AC21" s="38">
        <v>269</v>
      </c>
      <c r="AD21" s="38">
        <v>198</v>
      </c>
      <c r="AE21" s="38">
        <v>319</v>
      </c>
      <c r="AF21" s="38">
        <v>360</v>
      </c>
      <c r="AG21" s="38">
        <v>295</v>
      </c>
      <c r="AH21" s="38">
        <v>318</v>
      </c>
      <c r="AI21" s="38">
        <v>413</v>
      </c>
      <c r="AJ21" s="38">
        <v>295</v>
      </c>
      <c r="AK21" s="38">
        <v>300</v>
      </c>
      <c r="AL21" s="34">
        <f t="shared" si="0"/>
        <v>4319.1841999999997</v>
      </c>
      <c r="AM21" s="34">
        <f t="shared" si="1"/>
        <v>3837</v>
      </c>
      <c r="AN21" s="36">
        <f t="shared" si="2"/>
        <v>1.3231807261366912E-2</v>
      </c>
      <c r="AO21" s="36">
        <f t="shared" si="3"/>
        <v>-0.1116377949335895</v>
      </c>
      <c r="AP21" s="36">
        <f t="shared" si="4"/>
        <v>-1.3938356914819459E-3</v>
      </c>
    </row>
    <row r="22" spans="1:42" ht="15">
      <c r="A22" s="29" t="s">
        <v>67</v>
      </c>
      <c r="B22" s="38">
        <v>6329</v>
      </c>
      <c r="C22" s="38">
        <v>3425.4641000000001</v>
      </c>
      <c r="D22" s="38">
        <v>3265</v>
      </c>
      <c r="E22" s="38">
        <v>4704</v>
      </c>
      <c r="F22" s="38">
        <v>4018</v>
      </c>
      <c r="G22" s="38">
        <v>3603</v>
      </c>
      <c r="H22" s="38">
        <v>5156</v>
      </c>
      <c r="I22" s="38">
        <v>3566</v>
      </c>
      <c r="J22" s="38">
        <v>3051</v>
      </c>
      <c r="K22" s="38">
        <v>4396</v>
      </c>
      <c r="L22" s="38">
        <v>2682</v>
      </c>
      <c r="M22" s="38">
        <v>2551</v>
      </c>
      <c r="N22" s="38">
        <v>3448</v>
      </c>
      <c r="O22" s="38">
        <v>2185.7764999999999</v>
      </c>
      <c r="P22" s="38">
        <v>2309</v>
      </c>
      <c r="Q22" s="38">
        <v>2969</v>
      </c>
      <c r="R22" s="38">
        <v>2106</v>
      </c>
      <c r="S22" s="38">
        <v>2225</v>
      </c>
      <c r="T22" s="38">
        <v>2903.9104000000002</v>
      </c>
      <c r="U22" s="38">
        <v>1963</v>
      </c>
      <c r="V22" s="38">
        <v>2118</v>
      </c>
      <c r="W22" s="38">
        <v>3195</v>
      </c>
      <c r="X22" s="38">
        <v>1988</v>
      </c>
      <c r="Y22" s="38">
        <v>1738</v>
      </c>
      <c r="Z22" s="38">
        <v>2809</v>
      </c>
      <c r="AA22" s="38">
        <v>2022</v>
      </c>
      <c r="AB22" s="38">
        <v>2448</v>
      </c>
      <c r="AC22" s="38">
        <v>3005</v>
      </c>
      <c r="AD22" s="38">
        <v>1802</v>
      </c>
      <c r="AE22" s="38">
        <v>1945</v>
      </c>
      <c r="AF22" s="38">
        <v>2741</v>
      </c>
      <c r="AG22" s="38">
        <v>1899</v>
      </c>
      <c r="AH22" s="38">
        <v>1947</v>
      </c>
      <c r="AI22" s="38">
        <v>2808</v>
      </c>
      <c r="AJ22" s="38">
        <v>2260</v>
      </c>
      <c r="AK22" s="38">
        <v>2087</v>
      </c>
      <c r="AL22" s="34">
        <f t="shared" si="0"/>
        <v>39934.7765</v>
      </c>
      <c r="AM22" s="34">
        <f t="shared" si="1"/>
        <v>28520.910400000001</v>
      </c>
      <c r="AN22" s="36">
        <f t="shared" si="2"/>
        <v>9.8353711058513191E-2</v>
      </c>
      <c r="AO22" s="36">
        <f t="shared" si="3"/>
        <v>-0.28581269510798435</v>
      </c>
      <c r="AP22" s="36">
        <f t="shared" si="4"/>
        <v>-3.2993727185535837E-2</v>
      </c>
    </row>
    <row r="23" spans="1:42" ht="15">
      <c r="A23" s="29" t="s">
        <v>68</v>
      </c>
      <c r="B23" s="38">
        <v>48</v>
      </c>
      <c r="C23" s="38">
        <v>36</v>
      </c>
      <c r="D23" s="38">
        <v>33</v>
      </c>
      <c r="E23" s="38">
        <v>72</v>
      </c>
      <c r="F23" s="38">
        <v>45</v>
      </c>
      <c r="G23" s="38">
        <v>33</v>
      </c>
      <c r="H23" s="38">
        <v>56</v>
      </c>
      <c r="I23" s="38">
        <v>44</v>
      </c>
      <c r="J23" s="38">
        <v>40</v>
      </c>
      <c r="K23" s="38">
        <v>65</v>
      </c>
      <c r="L23" s="38">
        <v>24</v>
      </c>
      <c r="M23" s="38">
        <v>25</v>
      </c>
      <c r="N23" s="38">
        <v>48</v>
      </c>
      <c r="O23" s="38">
        <v>20</v>
      </c>
      <c r="P23" s="38">
        <v>21</v>
      </c>
      <c r="Q23" s="38">
        <v>39</v>
      </c>
      <c r="R23" s="38">
        <v>18</v>
      </c>
      <c r="S23" s="38">
        <v>21</v>
      </c>
      <c r="T23" s="38">
        <v>29</v>
      </c>
      <c r="U23" s="38">
        <v>14</v>
      </c>
      <c r="V23" s="38">
        <v>13</v>
      </c>
      <c r="W23" s="38">
        <v>43</v>
      </c>
      <c r="X23" s="38">
        <v>16</v>
      </c>
      <c r="Y23" s="38">
        <v>8</v>
      </c>
      <c r="Z23" s="38">
        <v>25</v>
      </c>
      <c r="AA23" s="38">
        <v>13</v>
      </c>
      <c r="AB23" s="38">
        <v>10</v>
      </c>
      <c r="AC23" s="38">
        <v>33</v>
      </c>
      <c r="AD23" s="38">
        <v>22</v>
      </c>
      <c r="AE23" s="38">
        <v>15</v>
      </c>
      <c r="AF23" s="38">
        <v>20</v>
      </c>
      <c r="AG23" s="38">
        <v>12</v>
      </c>
      <c r="AH23" s="38">
        <v>18</v>
      </c>
      <c r="AI23" s="38">
        <v>26</v>
      </c>
      <c r="AJ23" s="38">
        <v>15</v>
      </c>
      <c r="AK23" s="38">
        <v>13</v>
      </c>
      <c r="AL23" s="34">
        <f t="shared" si="0"/>
        <v>460</v>
      </c>
      <c r="AM23" s="34">
        <f t="shared" si="1"/>
        <v>243</v>
      </c>
      <c r="AN23" s="36">
        <f t="shared" si="2"/>
        <v>8.3797997511393272E-4</v>
      </c>
      <c r="AO23" s="36">
        <f t="shared" si="3"/>
        <v>-0.47173913043478266</v>
      </c>
      <c r="AP23" s="36">
        <f t="shared" si="4"/>
        <v>-6.2727552054086893E-4</v>
      </c>
    </row>
    <row r="24" spans="1:42" ht="15">
      <c r="A24" s="29" t="s">
        <v>69</v>
      </c>
      <c r="B24" s="38">
        <v>0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102</v>
      </c>
      <c r="P24" s="38">
        <v>233</v>
      </c>
      <c r="Q24" s="38">
        <v>396</v>
      </c>
      <c r="R24" s="38">
        <v>527</v>
      </c>
      <c r="S24" s="38">
        <v>473</v>
      </c>
      <c r="T24" s="38">
        <v>644.19669999999996</v>
      </c>
      <c r="U24" s="38">
        <v>474</v>
      </c>
      <c r="V24" s="38">
        <v>556</v>
      </c>
      <c r="W24" s="38">
        <v>888</v>
      </c>
      <c r="X24" s="38">
        <v>579</v>
      </c>
      <c r="Y24" s="38">
        <v>456</v>
      </c>
      <c r="Z24" s="38">
        <v>710</v>
      </c>
      <c r="AA24" s="38">
        <v>580</v>
      </c>
      <c r="AB24" s="38">
        <v>525</v>
      </c>
      <c r="AC24" s="38">
        <v>900</v>
      </c>
      <c r="AD24" s="38">
        <v>629</v>
      </c>
      <c r="AE24" s="38">
        <v>850</v>
      </c>
      <c r="AF24" s="38">
        <v>893</v>
      </c>
      <c r="AG24" s="38">
        <v>552</v>
      </c>
      <c r="AH24" s="38">
        <v>673</v>
      </c>
      <c r="AI24" s="38">
        <v>1227</v>
      </c>
      <c r="AJ24" s="38">
        <v>965</v>
      </c>
      <c r="AK24" s="38">
        <v>634</v>
      </c>
      <c r="AL24" s="34">
        <f t="shared" si="0"/>
        <v>731</v>
      </c>
      <c r="AM24" s="34">
        <f t="shared" si="1"/>
        <v>7312.1967000000004</v>
      </c>
      <c r="AN24" s="36">
        <f t="shared" si="2"/>
        <v>2.5215944068700334E-2</v>
      </c>
      <c r="AO24" s="36">
        <f t="shared" si="3"/>
        <v>9.0030050615595076</v>
      </c>
      <c r="AP24" s="36">
        <f t="shared" si="4"/>
        <v>1.9024071823844926E-2</v>
      </c>
    </row>
    <row r="25" spans="1:42" ht="15">
      <c r="A25" s="29" t="s">
        <v>70</v>
      </c>
      <c r="B25" s="38">
        <v>401</v>
      </c>
      <c r="C25" s="38">
        <v>298.30939999999998</v>
      </c>
      <c r="D25" s="38">
        <v>299</v>
      </c>
      <c r="E25" s="38">
        <v>371</v>
      </c>
      <c r="F25" s="38">
        <v>335</v>
      </c>
      <c r="G25" s="38">
        <v>300</v>
      </c>
      <c r="H25" s="38">
        <v>611</v>
      </c>
      <c r="I25" s="38">
        <v>411</v>
      </c>
      <c r="J25" s="38">
        <v>344</v>
      </c>
      <c r="K25" s="38">
        <v>365</v>
      </c>
      <c r="L25" s="38">
        <v>344</v>
      </c>
      <c r="M25" s="38">
        <v>292</v>
      </c>
      <c r="N25" s="38">
        <v>417</v>
      </c>
      <c r="O25" s="38">
        <v>321.19740000000002</v>
      </c>
      <c r="P25" s="38">
        <v>302</v>
      </c>
      <c r="Q25" s="38">
        <v>419</v>
      </c>
      <c r="R25" s="38">
        <v>347</v>
      </c>
      <c r="S25" s="38">
        <v>336</v>
      </c>
      <c r="T25" s="38">
        <v>524</v>
      </c>
      <c r="U25" s="38">
        <v>410</v>
      </c>
      <c r="V25" s="38">
        <v>425</v>
      </c>
      <c r="W25" s="38">
        <v>530</v>
      </c>
      <c r="X25" s="38">
        <v>294</v>
      </c>
      <c r="Y25" s="38">
        <v>338</v>
      </c>
      <c r="Z25" s="38">
        <v>401</v>
      </c>
      <c r="AA25" s="38">
        <v>341</v>
      </c>
      <c r="AB25" s="38">
        <v>287</v>
      </c>
      <c r="AC25" s="38">
        <v>451</v>
      </c>
      <c r="AD25" s="38">
        <v>284</v>
      </c>
      <c r="AE25" s="38">
        <v>315</v>
      </c>
      <c r="AF25" s="38">
        <v>502</v>
      </c>
      <c r="AG25" s="38">
        <v>443</v>
      </c>
      <c r="AH25" s="38">
        <v>430</v>
      </c>
      <c r="AI25" s="38">
        <v>442</v>
      </c>
      <c r="AJ25" s="38">
        <v>352</v>
      </c>
      <c r="AK25" s="38">
        <v>337</v>
      </c>
      <c r="AL25" s="34">
        <f t="shared" si="0"/>
        <v>4461.1974</v>
      </c>
      <c r="AM25" s="34">
        <f t="shared" si="1"/>
        <v>4684</v>
      </c>
      <c r="AN25" s="36">
        <f t="shared" si="2"/>
        <v>1.6152667503842224E-2</v>
      </c>
      <c r="AO25" s="36">
        <f t="shared" si="3"/>
        <v>4.9942331626033898E-2</v>
      </c>
      <c r="AP25" s="36">
        <f t="shared" si="4"/>
        <v>6.4404892577354369E-4</v>
      </c>
    </row>
    <row r="26" spans="1:42" ht="15">
      <c r="A26" s="29" t="s">
        <v>71</v>
      </c>
      <c r="B26" s="38">
        <v>3128</v>
      </c>
      <c r="C26" s="38">
        <v>1527.1547</v>
      </c>
      <c r="D26" s="38">
        <v>2208</v>
      </c>
      <c r="E26" s="38">
        <v>2635</v>
      </c>
      <c r="F26" s="38">
        <v>1994</v>
      </c>
      <c r="G26" s="38">
        <v>2309</v>
      </c>
      <c r="H26" s="38">
        <v>3378</v>
      </c>
      <c r="I26" s="38">
        <v>2758</v>
      </c>
      <c r="J26" s="38">
        <v>2580</v>
      </c>
      <c r="K26" s="38">
        <v>3547</v>
      </c>
      <c r="L26" s="38">
        <v>2403</v>
      </c>
      <c r="M26" s="38">
        <v>2139</v>
      </c>
      <c r="N26" s="38">
        <v>2454</v>
      </c>
      <c r="O26" s="38">
        <v>1522.5921000000001</v>
      </c>
      <c r="P26" s="38">
        <v>1449</v>
      </c>
      <c r="Q26" s="38">
        <v>1875</v>
      </c>
      <c r="R26" s="38">
        <v>1299</v>
      </c>
      <c r="S26" s="38">
        <v>1415.6353000000001</v>
      </c>
      <c r="T26" s="38">
        <v>1886.2068999999999</v>
      </c>
      <c r="U26" s="38">
        <v>1264</v>
      </c>
      <c r="V26" s="38">
        <v>1616</v>
      </c>
      <c r="W26" s="38">
        <v>1887</v>
      </c>
      <c r="X26" s="38">
        <v>1421</v>
      </c>
      <c r="Y26" s="38">
        <v>1279</v>
      </c>
      <c r="Z26" s="38">
        <v>1657</v>
      </c>
      <c r="AA26" s="38">
        <v>1230</v>
      </c>
      <c r="AB26" s="38">
        <v>1086</v>
      </c>
      <c r="AC26" s="38">
        <v>1816</v>
      </c>
      <c r="AD26" s="38">
        <v>1039</v>
      </c>
      <c r="AE26" s="38">
        <v>970</v>
      </c>
      <c r="AF26" s="38">
        <v>1461</v>
      </c>
      <c r="AG26" s="38">
        <v>1177</v>
      </c>
      <c r="AH26" s="38">
        <v>1234</v>
      </c>
      <c r="AI26" s="38">
        <v>1446</v>
      </c>
      <c r="AJ26" s="38">
        <v>1071</v>
      </c>
      <c r="AK26" s="38">
        <v>1140</v>
      </c>
      <c r="AL26" s="34">
        <f t="shared" si="0"/>
        <v>28408.592100000002</v>
      </c>
      <c r="AM26" s="34">
        <f t="shared" si="1"/>
        <v>17856.842199999999</v>
      </c>
      <c r="AN26" s="36">
        <f t="shared" si="2"/>
        <v>6.1578914330738366E-2</v>
      </c>
      <c r="AO26" s="36">
        <f t="shared" si="3"/>
        <v>-0.37142811804461096</v>
      </c>
      <c r="AP26" s="36">
        <f t="shared" si="4"/>
        <v>-3.0501633231057895E-2</v>
      </c>
    </row>
    <row r="27" spans="1:42" ht="15">
      <c r="A27" s="29" t="s">
        <v>72</v>
      </c>
      <c r="B27" s="38">
        <v>1354</v>
      </c>
      <c r="C27" s="38">
        <v>624</v>
      </c>
      <c r="D27" s="38">
        <v>858</v>
      </c>
      <c r="E27" s="38">
        <v>533</v>
      </c>
      <c r="F27" s="38">
        <v>388</v>
      </c>
      <c r="G27" s="38">
        <v>927</v>
      </c>
      <c r="H27" s="38">
        <v>1344</v>
      </c>
      <c r="I27" s="38">
        <v>863</v>
      </c>
      <c r="J27" s="38">
        <v>869</v>
      </c>
      <c r="K27" s="38">
        <v>1176</v>
      </c>
      <c r="L27" s="38">
        <v>809</v>
      </c>
      <c r="M27" s="38">
        <v>749</v>
      </c>
      <c r="N27" s="38">
        <v>1030</v>
      </c>
      <c r="O27" s="38">
        <v>577.19740000000002</v>
      </c>
      <c r="P27" s="38">
        <v>667</v>
      </c>
      <c r="Q27" s="38">
        <v>957</v>
      </c>
      <c r="R27" s="38">
        <v>763</v>
      </c>
      <c r="S27" s="38">
        <v>854.46070000000009</v>
      </c>
      <c r="T27" s="38">
        <v>1306.8624000000002</v>
      </c>
      <c r="U27" s="38">
        <v>707</v>
      </c>
      <c r="V27" s="38">
        <v>868</v>
      </c>
      <c r="W27" s="38">
        <v>1127</v>
      </c>
      <c r="X27" s="38">
        <v>635</v>
      </c>
      <c r="Y27" s="38">
        <v>617</v>
      </c>
      <c r="Z27" s="38">
        <v>831</v>
      </c>
      <c r="AA27" s="38">
        <v>689</v>
      </c>
      <c r="AB27" s="38">
        <v>504</v>
      </c>
      <c r="AC27" s="38">
        <v>870</v>
      </c>
      <c r="AD27" s="38">
        <v>554</v>
      </c>
      <c r="AE27" s="38">
        <v>559</v>
      </c>
      <c r="AF27" s="38">
        <v>818</v>
      </c>
      <c r="AG27" s="38">
        <v>611</v>
      </c>
      <c r="AH27" s="38">
        <v>600</v>
      </c>
      <c r="AI27" s="38">
        <v>770</v>
      </c>
      <c r="AJ27" s="38">
        <v>583</v>
      </c>
      <c r="AK27" s="38">
        <v>596</v>
      </c>
      <c r="AL27" s="34">
        <f t="shared" si="0"/>
        <v>10356.197400000001</v>
      </c>
      <c r="AM27" s="34">
        <f t="shared" si="1"/>
        <v>9772.3231000000014</v>
      </c>
      <c r="AN27" s="36">
        <f t="shared" si="2"/>
        <v>3.3699634025281117E-2</v>
      </c>
      <c r="AO27" s="36">
        <f t="shared" si="3"/>
        <v>-5.6379216950808497E-2</v>
      </c>
      <c r="AP27" s="36">
        <f t="shared" si="4"/>
        <v>-1.6877882740227426E-3</v>
      </c>
    </row>
    <row r="28" spans="1:42" ht="15">
      <c r="A28" s="29" t="s">
        <v>73</v>
      </c>
      <c r="B28" s="38">
        <v>22708</v>
      </c>
      <c r="C28" s="38">
        <v>15424.856399999997</v>
      </c>
      <c r="D28" s="38">
        <v>14798</v>
      </c>
      <c r="E28" s="38">
        <v>19052</v>
      </c>
      <c r="F28" s="38">
        <v>14919</v>
      </c>
      <c r="G28" s="38">
        <v>15920</v>
      </c>
      <c r="H28" s="38">
        <v>21063</v>
      </c>
      <c r="I28" s="38">
        <v>14224</v>
      </c>
      <c r="J28" s="38">
        <v>15217</v>
      </c>
      <c r="K28" s="38">
        <v>18889</v>
      </c>
      <c r="L28" s="38">
        <v>15213</v>
      </c>
      <c r="M28" s="38">
        <v>13033</v>
      </c>
      <c r="N28" s="38">
        <v>19284.435400000002</v>
      </c>
      <c r="O28" s="38">
        <v>14019.539500000003</v>
      </c>
      <c r="P28" s="38">
        <v>14573</v>
      </c>
      <c r="Q28" s="38">
        <v>16468</v>
      </c>
      <c r="R28" s="38">
        <v>13123</v>
      </c>
      <c r="S28" s="38">
        <v>13193.386999999999</v>
      </c>
      <c r="T28" s="38">
        <v>19338.3197</v>
      </c>
      <c r="U28" s="38">
        <v>12689</v>
      </c>
      <c r="V28" s="38">
        <v>12882</v>
      </c>
      <c r="W28" s="38">
        <v>15537</v>
      </c>
      <c r="X28" s="38">
        <v>11189</v>
      </c>
      <c r="Y28" s="38">
        <v>11570</v>
      </c>
      <c r="Z28" s="38">
        <v>15044</v>
      </c>
      <c r="AA28" s="38">
        <v>10903</v>
      </c>
      <c r="AB28" s="38">
        <v>9729</v>
      </c>
      <c r="AC28" s="38">
        <v>13236</v>
      </c>
      <c r="AD28" s="38">
        <v>10719</v>
      </c>
      <c r="AE28" s="38">
        <v>12415</v>
      </c>
      <c r="AF28" s="38">
        <v>17635</v>
      </c>
      <c r="AG28" s="38">
        <v>13628</v>
      </c>
      <c r="AH28" s="38">
        <v>11831</v>
      </c>
      <c r="AI28" s="38">
        <v>17591</v>
      </c>
      <c r="AJ28" s="38">
        <v>15073</v>
      </c>
      <c r="AK28" s="38">
        <v>15967</v>
      </c>
      <c r="AL28" s="34">
        <f t="shared" si="0"/>
        <v>192822.97490000003</v>
      </c>
      <c r="AM28" s="34">
        <f t="shared" si="1"/>
        <v>158433.70669999998</v>
      </c>
      <c r="AN28" s="36">
        <f t="shared" si="2"/>
        <v>0.54635503538137487</v>
      </c>
      <c r="AO28" s="36">
        <f t="shared" si="3"/>
        <v>-0.17834632111570048</v>
      </c>
      <c r="AP28" s="36">
        <f t="shared" si="4"/>
        <v>-9.9408046595274566E-2</v>
      </c>
    </row>
    <row r="29" spans="1:42" ht="15">
      <c r="A29" s="29" t="s">
        <v>74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25</v>
      </c>
      <c r="W29" s="38">
        <v>445</v>
      </c>
      <c r="X29" s="38">
        <v>366</v>
      </c>
      <c r="Y29" s="38">
        <v>500</v>
      </c>
      <c r="Z29" s="38">
        <v>545</v>
      </c>
      <c r="AA29" s="38">
        <v>462</v>
      </c>
      <c r="AB29" s="38">
        <v>328</v>
      </c>
      <c r="AC29" s="38">
        <v>429</v>
      </c>
      <c r="AD29" s="38">
        <v>286</v>
      </c>
      <c r="AE29" s="38">
        <v>357</v>
      </c>
      <c r="AF29" s="38">
        <v>539</v>
      </c>
      <c r="AG29" s="38">
        <v>616</v>
      </c>
      <c r="AH29" s="38">
        <v>531</v>
      </c>
      <c r="AI29" s="38">
        <v>638</v>
      </c>
      <c r="AJ29" s="38">
        <v>572</v>
      </c>
      <c r="AK29" s="38">
        <v>553</v>
      </c>
      <c r="AL29" s="34">
        <f t="shared" si="0"/>
        <v>0</v>
      </c>
      <c r="AM29" s="34">
        <f t="shared" si="1"/>
        <v>3100</v>
      </c>
      <c r="AN29" s="36">
        <f t="shared" si="2"/>
        <v>1.0690279517914368E-2</v>
      </c>
      <c r="AO29" s="36" t="e">
        <f t="shared" si="3"/>
        <v>#DIV/0!</v>
      </c>
      <c r="AP29" s="36">
        <f t="shared" si="4"/>
        <v>8.9610788648695552E-3</v>
      </c>
    </row>
    <row r="30" spans="1:42" ht="15">
      <c r="A30" s="29" t="s">
        <v>75</v>
      </c>
      <c r="B30" s="38">
        <v>4565</v>
      </c>
      <c r="C30" s="38">
        <v>4034.2376000000004</v>
      </c>
      <c r="D30" s="38">
        <v>4321</v>
      </c>
      <c r="E30" s="38">
        <v>5195</v>
      </c>
      <c r="F30" s="38">
        <v>4287</v>
      </c>
      <c r="G30" s="38">
        <v>4531</v>
      </c>
      <c r="H30" s="38">
        <v>5695</v>
      </c>
      <c r="I30" s="38">
        <v>4255</v>
      </c>
      <c r="J30" s="38">
        <v>4570</v>
      </c>
      <c r="K30" s="38">
        <v>6136</v>
      </c>
      <c r="L30" s="38">
        <v>5066</v>
      </c>
      <c r="M30" s="38">
        <v>4285</v>
      </c>
      <c r="N30" s="38">
        <v>5212</v>
      </c>
      <c r="O30" s="38">
        <v>3956.5790000000002</v>
      </c>
      <c r="P30" s="38">
        <v>4060</v>
      </c>
      <c r="Q30" s="38">
        <v>5812</v>
      </c>
      <c r="R30" s="38">
        <v>4225</v>
      </c>
      <c r="S30" s="38">
        <v>4245.3199000000004</v>
      </c>
      <c r="T30" s="38">
        <v>5852.9287000000004</v>
      </c>
      <c r="U30" s="38">
        <v>3846</v>
      </c>
      <c r="V30" s="38">
        <v>4285</v>
      </c>
      <c r="W30" s="38">
        <v>4857</v>
      </c>
      <c r="X30" s="38">
        <v>3401</v>
      </c>
      <c r="Y30" s="38">
        <v>3319</v>
      </c>
      <c r="Z30" s="38">
        <v>3655</v>
      </c>
      <c r="AA30" s="38">
        <v>4040</v>
      </c>
      <c r="AB30" s="38">
        <v>3765</v>
      </c>
      <c r="AC30" s="38">
        <v>4427</v>
      </c>
      <c r="AD30" s="38">
        <v>3236</v>
      </c>
      <c r="AE30" s="38">
        <v>3152</v>
      </c>
      <c r="AF30" s="38">
        <v>4540</v>
      </c>
      <c r="AG30" s="38">
        <v>3470</v>
      </c>
      <c r="AH30" s="38">
        <v>4551</v>
      </c>
      <c r="AI30" s="38">
        <v>4847</v>
      </c>
      <c r="AJ30" s="38">
        <v>3682</v>
      </c>
      <c r="AK30" s="38">
        <v>4195</v>
      </c>
      <c r="AL30" s="34">
        <f t="shared" si="0"/>
        <v>57865.578999999998</v>
      </c>
      <c r="AM30" s="34">
        <f t="shared" si="1"/>
        <v>49918.248599999999</v>
      </c>
      <c r="AN30" s="36">
        <f t="shared" si="2"/>
        <v>0.17214194534797986</v>
      </c>
      <c r="AO30" s="36">
        <f t="shared" si="3"/>
        <v>-0.13734124046352325</v>
      </c>
      <c r="AP30" s="36">
        <f t="shared" si="4"/>
        <v>-2.2973114348250098E-2</v>
      </c>
    </row>
    <row r="31" spans="1:42" ht="15">
      <c r="A31" s="29" t="s">
        <v>38</v>
      </c>
      <c r="B31" s="38">
        <v>39800</v>
      </c>
      <c r="C31" s="38">
        <v>26253.022199999999</v>
      </c>
      <c r="D31" s="38">
        <v>26652</v>
      </c>
      <c r="E31" s="38">
        <v>33733</v>
      </c>
      <c r="F31" s="38">
        <v>26894</v>
      </c>
      <c r="G31" s="38">
        <v>28459</v>
      </c>
      <c r="H31" s="38">
        <v>38494</v>
      </c>
      <c r="I31" s="38">
        <v>26998</v>
      </c>
      <c r="J31" s="38">
        <v>27513</v>
      </c>
      <c r="K31" s="38">
        <v>35754</v>
      </c>
      <c r="L31" s="38">
        <v>27513</v>
      </c>
      <c r="M31" s="38">
        <v>23802</v>
      </c>
      <c r="N31" s="38">
        <v>32840.435400000002</v>
      </c>
      <c r="O31" s="38">
        <v>23413.053100000005</v>
      </c>
      <c r="P31" s="38">
        <v>24301</v>
      </c>
      <c r="Q31" s="38">
        <v>29959</v>
      </c>
      <c r="R31" s="38">
        <v>23254</v>
      </c>
      <c r="S31" s="38">
        <v>23574.0173</v>
      </c>
      <c r="T31" s="38">
        <v>33641.045800000007</v>
      </c>
      <c r="U31" s="38">
        <v>22152</v>
      </c>
      <c r="V31" s="38">
        <v>23564</v>
      </c>
      <c r="W31" s="38">
        <v>29645</v>
      </c>
      <c r="X31" s="38">
        <v>20591</v>
      </c>
      <c r="Y31" s="38">
        <v>20526</v>
      </c>
      <c r="Z31" s="38">
        <v>26543</v>
      </c>
      <c r="AA31" s="38">
        <v>21022</v>
      </c>
      <c r="AB31" s="38">
        <v>19342</v>
      </c>
      <c r="AC31" s="38">
        <v>26129</v>
      </c>
      <c r="AD31" s="38">
        <v>19199</v>
      </c>
      <c r="AE31" s="38">
        <v>21313</v>
      </c>
      <c r="AF31" s="38">
        <v>30166</v>
      </c>
      <c r="AG31" s="38">
        <v>23136</v>
      </c>
      <c r="AH31" s="38">
        <v>22610</v>
      </c>
      <c r="AI31" s="38">
        <v>30923</v>
      </c>
      <c r="AJ31" s="38">
        <v>25284</v>
      </c>
      <c r="AK31" s="38">
        <v>26343</v>
      </c>
      <c r="AL31" s="34">
        <f t="shared" si="0"/>
        <v>345940.48850000004</v>
      </c>
      <c r="AM31" s="34">
        <f t="shared" si="1"/>
        <v>289983.06310000003</v>
      </c>
      <c r="AN31" s="36">
        <f t="shared" si="2"/>
        <v>1</v>
      </c>
      <c r="AO31" s="36">
        <f t="shared" si="3"/>
        <v>-0.1617544845433726</v>
      </c>
      <c r="AP31" s="36">
        <f t="shared" si="4"/>
        <v>-0.16175448454337255</v>
      </c>
    </row>
    <row r="34" spans="4:7">
      <c r="E34" s="29" t="s">
        <v>81</v>
      </c>
      <c r="F34" s="29" t="s">
        <v>82</v>
      </c>
      <c r="G34" s="29" t="s">
        <v>78</v>
      </c>
    </row>
    <row r="35" spans="4:7" ht="15">
      <c r="D35" s="29" t="s">
        <v>1406</v>
      </c>
      <c r="E35" s="36">
        <v>0</v>
      </c>
      <c r="F35" s="36" t="e">
        <v>#DIV/0!</v>
      </c>
      <c r="G35" s="36">
        <v>0</v>
      </c>
    </row>
    <row r="36" spans="4:7" ht="15">
      <c r="D36" s="29" t="s">
        <v>65</v>
      </c>
      <c r="E36" s="36">
        <v>2.1742081529174659E-2</v>
      </c>
      <c r="F36" s="36">
        <v>-4.196203396238285E-2</v>
      </c>
      <c r="G36" s="36">
        <v>-7.9826331169674612E-4</v>
      </c>
    </row>
    <row r="37" spans="4:7" ht="15">
      <c r="D37" s="29" t="s">
        <v>66</v>
      </c>
      <c r="E37" s="36">
        <v>1.3231807261366912E-2</v>
      </c>
      <c r="F37" s="36">
        <v>-0.1116377949335895</v>
      </c>
      <c r="G37" s="36">
        <v>-1.3938356914819459E-3</v>
      </c>
    </row>
    <row r="38" spans="4:7" ht="15">
      <c r="D38" s="29" t="s">
        <v>67</v>
      </c>
      <c r="E38" s="36">
        <v>9.8353711058513191E-2</v>
      </c>
      <c r="F38" s="36">
        <v>-0.28581269510798435</v>
      </c>
      <c r="G38" s="36">
        <v>-3.2993727185535837E-2</v>
      </c>
    </row>
    <row r="39" spans="4:7" ht="15">
      <c r="D39" s="29" t="s">
        <v>68</v>
      </c>
      <c r="E39" s="36">
        <v>8.3797997511393272E-4</v>
      </c>
      <c r="F39" s="36">
        <v>-0.47173913043478266</v>
      </c>
      <c r="G39" s="36">
        <v>-6.2727552054086893E-4</v>
      </c>
    </row>
    <row r="40" spans="4:7" ht="15">
      <c r="D40" s="29" t="s">
        <v>69</v>
      </c>
      <c r="E40" s="36">
        <v>2.5215944068700334E-2</v>
      </c>
      <c r="F40" s="36">
        <v>9.0030050615595076</v>
      </c>
      <c r="G40" s="36">
        <v>1.9024071823844926E-2</v>
      </c>
    </row>
    <row r="41" spans="4:7" ht="15">
      <c r="D41" s="29" t="s">
        <v>70</v>
      </c>
      <c r="E41" s="36">
        <v>1.6152667503842224E-2</v>
      </c>
      <c r="F41" s="36">
        <v>4.9942331626033898E-2</v>
      </c>
      <c r="G41" s="36">
        <v>6.4404892577354369E-4</v>
      </c>
    </row>
    <row r="42" spans="4:7" ht="15">
      <c r="D42" s="29" t="s">
        <v>71</v>
      </c>
      <c r="E42" s="36">
        <v>6.1578914330738366E-2</v>
      </c>
      <c r="F42" s="36">
        <v>-0.37142811804461096</v>
      </c>
      <c r="G42" s="36">
        <v>-3.0501633231057895E-2</v>
      </c>
    </row>
    <row r="43" spans="4:7" ht="15">
      <c r="D43" s="29" t="s">
        <v>72</v>
      </c>
      <c r="E43" s="36">
        <v>3.3699634025281117E-2</v>
      </c>
      <c r="F43" s="36">
        <v>-5.6379216950808497E-2</v>
      </c>
      <c r="G43" s="36">
        <v>-1.6877882740227426E-3</v>
      </c>
    </row>
    <row r="44" spans="4:7" ht="15">
      <c r="D44" s="29" t="s">
        <v>73</v>
      </c>
      <c r="E44" s="36">
        <v>0.54635503538137487</v>
      </c>
      <c r="F44" s="36">
        <v>-0.17834632111570048</v>
      </c>
      <c r="G44" s="36">
        <v>-9.9408046595274566E-2</v>
      </c>
    </row>
    <row r="45" spans="4:7" ht="15">
      <c r="D45" s="29" t="s">
        <v>74</v>
      </c>
      <c r="E45" s="36">
        <v>1.0690279517914368E-2</v>
      </c>
      <c r="F45" s="36" t="e">
        <v>#DIV/0!</v>
      </c>
      <c r="G45" s="36">
        <v>8.9610788648695552E-3</v>
      </c>
    </row>
    <row r="46" spans="4:7" ht="15">
      <c r="D46" s="29" t="s">
        <v>75</v>
      </c>
      <c r="E46" s="36">
        <v>0.17214194534797986</v>
      </c>
      <c r="F46" s="36">
        <v>-0.13734124046352325</v>
      </c>
      <c r="G46" s="36">
        <v>-2.2973114348250098E-2</v>
      </c>
    </row>
    <row r="47" spans="4:7" ht="15">
      <c r="E47" s="36"/>
      <c r="F47" s="36"/>
      <c r="G47" s="36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1118-34B4-4360-8F8B-EBB302062E95}">
  <sheetPr>
    <outlinePr summaryBelow="0"/>
  </sheetPr>
  <dimension ref="A1:AS280"/>
  <sheetViews>
    <sheetView showGridLines="0" workbookViewId="0"/>
  </sheetViews>
  <sheetFormatPr defaultColWidth="9.42578125" defaultRowHeight="14.25"/>
  <cols>
    <col min="1" max="1" width="16.85546875" style="29" customWidth="1"/>
    <col min="2" max="2" width="13.7109375" style="29" customWidth="1"/>
    <col min="3" max="3" width="23" style="29" customWidth="1"/>
    <col min="4" max="4" width="22.42578125" style="29" customWidth="1"/>
    <col min="5" max="5" width="23" style="29" customWidth="1"/>
    <col min="6" max="6" width="29.28515625" style="29" customWidth="1"/>
    <col min="7" max="7" width="68.5703125" style="29" customWidth="1"/>
    <col min="8" max="8" width="10.7109375" style="29" customWidth="1"/>
    <col min="9" max="9" width="35.140625" style="29" customWidth="1"/>
    <col min="10" max="10" width="34.140625" style="29" customWidth="1"/>
    <col min="11" max="11" width="39.85546875" style="29" customWidth="1"/>
    <col min="12" max="12" width="35.42578125" style="29" customWidth="1"/>
    <col min="13" max="13" width="35.7109375" style="29" customWidth="1"/>
    <col min="14" max="14" width="36" style="29" customWidth="1"/>
    <col min="15" max="15" width="35" style="29" customWidth="1"/>
    <col min="16" max="16" width="38.28515625" style="29" customWidth="1"/>
    <col min="17" max="17" width="35.7109375" style="29" customWidth="1"/>
    <col min="18" max="18" width="38.7109375" style="29" customWidth="1"/>
    <col min="19" max="19" width="35.5703125" style="29" customWidth="1"/>
    <col min="20" max="20" width="37.7109375" style="29" customWidth="1"/>
    <col min="21" max="21" width="35.140625" style="29" customWidth="1"/>
    <col min="22" max="22" width="34.140625" style="29" customWidth="1"/>
    <col min="23" max="23" width="39.85546875" style="29" customWidth="1"/>
    <col min="24" max="24" width="35.42578125" style="29" customWidth="1"/>
    <col min="25" max="25" width="35.7109375" style="29" customWidth="1"/>
    <col min="26" max="26" width="36" style="29" customWidth="1"/>
    <col min="27" max="27" width="35" style="29" customWidth="1"/>
    <col min="28" max="28" width="38.28515625" style="29" customWidth="1"/>
    <col min="29" max="29" width="35.7109375" style="29" customWidth="1"/>
    <col min="30" max="30" width="38.7109375" style="29" customWidth="1"/>
    <col min="31" max="31" width="35.5703125" style="29" customWidth="1"/>
    <col min="32" max="32" width="37.7109375" style="29" customWidth="1"/>
    <col min="33" max="33" width="35.140625" style="29" customWidth="1"/>
    <col min="34" max="34" width="34.140625" style="29" customWidth="1"/>
    <col min="35" max="35" width="39.85546875" style="29" customWidth="1"/>
    <col min="36" max="36" width="35.42578125" style="29" customWidth="1"/>
    <col min="37" max="37" width="35.7109375" style="29" customWidth="1"/>
    <col min="38" max="38" width="36" style="29" customWidth="1"/>
    <col min="39" max="39" width="35" style="29" customWidth="1"/>
    <col min="40" max="40" width="38.28515625" style="29" customWidth="1"/>
    <col min="41" max="41" width="35.7109375" style="29" customWidth="1"/>
    <col min="42" max="42" width="38.7109375" style="29" customWidth="1"/>
    <col min="43" max="43" width="35.5703125" style="29" customWidth="1"/>
    <col min="44" max="44" width="37.7109375" style="29" customWidth="1"/>
    <col min="45" max="45" width="35.140625" style="29" customWidth="1"/>
    <col min="46" max="16384" width="9.42578125" style="29"/>
  </cols>
  <sheetData>
    <row r="1" spans="1:45" ht="15.75">
      <c r="A1" s="28" t="s">
        <v>632</v>
      </c>
      <c r="B1" s="28" t="s">
        <v>1407</v>
      </c>
      <c r="C1" s="28" t="s">
        <v>634</v>
      </c>
      <c r="D1" s="28" t="s">
        <v>586</v>
      </c>
      <c r="E1" s="28" t="s">
        <v>635</v>
      </c>
      <c r="F1" s="28" t="s">
        <v>636</v>
      </c>
      <c r="G1" s="28" t="s">
        <v>637</v>
      </c>
      <c r="H1" s="28" t="s">
        <v>638</v>
      </c>
      <c r="I1" s="28" t="s">
        <v>639</v>
      </c>
      <c r="J1" s="28" t="s">
        <v>640</v>
      </c>
      <c r="K1" s="28" t="s">
        <v>641</v>
      </c>
      <c r="L1" s="28" t="s">
        <v>642</v>
      </c>
      <c r="M1" s="28" t="s">
        <v>643</v>
      </c>
      <c r="N1" s="28" t="s">
        <v>644</v>
      </c>
      <c r="O1" s="28" t="s">
        <v>645</v>
      </c>
      <c r="P1" s="28" t="s">
        <v>646</v>
      </c>
      <c r="Q1" s="28" t="s">
        <v>647</v>
      </c>
      <c r="R1" s="28" t="s">
        <v>648</v>
      </c>
      <c r="S1" s="28" t="s">
        <v>649</v>
      </c>
      <c r="T1" s="28" t="s">
        <v>650</v>
      </c>
      <c r="U1" s="28" t="s">
        <v>651</v>
      </c>
      <c r="V1" s="28" t="s">
        <v>652</v>
      </c>
      <c r="W1" s="28" t="s">
        <v>653</v>
      </c>
      <c r="X1" s="28" t="s">
        <v>654</v>
      </c>
      <c r="Y1" s="28" t="s">
        <v>655</v>
      </c>
      <c r="Z1" s="28" t="s">
        <v>656</v>
      </c>
      <c r="AA1" s="28" t="s">
        <v>657</v>
      </c>
      <c r="AB1" s="28" t="s">
        <v>658</v>
      </c>
      <c r="AC1" s="28" t="s">
        <v>659</v>
      </c>
      <c r="AD1" s="28" t="s">
        <v>660</v>
      </c>
      <c r="AE1" s="28" t="s">
        <v>661</v>
      </c>
      <c r="AF1" s="28" t="s">
        <v>662</v>
      </c>
      <c r="AG1" s="28" t="s">
        <v>663</v>
      </c>
      <c r="AH1" s="28" t="s">
        <v>664</v>
      </c>
      <c r="AI1" s="28" t="s">
        <v>665</v>
      </c>
      <c r="AJ1" s="28" t="s">
        <v>666</v>
      </c>
      <c r="AK1" s="28" t="s">
        <v>667</v>
      </c>
      <c r="AL1" s="28" t="s">
        <v>668</v>
      </c>
      <c r="AM1" s="28" t="s">
        <v>669</v>
      </c>
      <c r="AN1" s="28" t="s">
        <v>670</v>
      </c>
      <c r="AO1" s="28" t="s">
        <v>671</v>
      </c>
      <c r="AP1" s="28" t="s">
        <v>672</v>
      </c>
      <c r="AQ1" s="28" t="s">
        <v>673</v>
      </c>
      <c r="AR1" s="28" t="s">
        <v>674</v>
      </c>
      <c r="AS1" s="28" t="s">
        <v>675</v>
      </c>
    </row>
    <row r="2" spans="1:45">
      <c r="A2" s="30" t="s">
        <v>676</v>
      </c>
      <c r="B2" s="30" t="s">
        <v>1407</v>
      </c>
      <c r="C2" s="30" t="s">
        <v>677</v>
      </c>
      <c r="D2" s="30" t="s">
        <v>1406</v>
      </c>
      <c r="E2" s="30" t="s">
        <v>1408</v>
      </c>
      <c r="F2" s="30" t="s">
        <v>1406</v>
      </c>
      <c r="G2" s="30" t="s">
        <v>1409</v>
      </c>
      <c r="H2" s="30" t="s">
        <v>680</v>
      </c>
      <c r="I2" s="32">
        <v>1</v>
      </c>
      <c r="J2" s="31">
        <v>0</v>
      </c>
      <c r="K2" s="32">
        <v>1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  <c r="S2" s="31">
        <v>0</v>
      </c>
      <c r="T2" s="31">
        <v>0</v>
      </c>
      <c r="U2" s="31">
        <v>0</v>
      </c>
      <c r="V2" s="31">
        <v>0</v>
      </c>
      <c r="W2" s="31">
        <v>0</v>
      </c>
      <c r="X2" s="31">
        <v>0</v>
      </c>
      <c r="Y2" s="31">
        <v>0</v>
      </c>
      <c r="Z2" s="31">
        <v>0</v>
      </c>
      <c r="AA2" s="31">
        <v>0</v>
      </c>
      <c r="AB2" s="31">
        <v>0</v>
      </c>
      <c r="AC2" s="31">
        <v>0</v>
      </c>
      <c r="AD2" s="31">
        <v>0</v>
      </c>
      <c r="AE2" s="31">
        <v>0</v>
      </c>
      <c r="AF2" s="31">
        <v>0</v>
      </c>
      <c r="AG2" s="31">
        <v>0</v>
      </c>
      <c r="AH2" s="31">
        <v>0</v>
      </c>
      <c r="AI2" s="31">
        <v>0</v>
      </c>
      <c r="AJ2" s="31">
        <v>0</v>
      </c>
      <c r="AK2" s="31">
        <v>0</v>
      </c>
      <c r="AL2" s="31">
        <v>0</v>
      </c>
      <c r="AM2" s="31">
        <v>0</v>
      </c>
      <c r="AN2" s="31">
        <v>0</v>
      </c>
      <c r="AO2" s="31">
        <v>0</v>
      </c>
      <c r="AP2" s="31">
        <v>0</v>
      </c>
      <c r="AQ2" s="31">
        <v>0</v>
      </c>
      <c r="AR2" s="31">
        <v>0</v>
      </c>
      <c r="AS2" s="31">
        <v>0</v>
      </c>
    </row>
    <row r="3" spans="1:45">
      <c r="A3" s="30" t="s">
        <v>676</v>
      </c>
      <c r="B3" s="30" t="s">
        <v>1407</v>
      </c>
      <c r="C3" s="30" t="s">
        <v>677</v>
      </c>
      <c r="D3" s="30" t="s">
        <v>1406</v>
      </c>
      <c r="E3" s="30" t="s">
        <v>1410</v>
      </c>
      <c r="F3" s="30" t="s">
        <v>65</v>
      </c>
      <c r="G3" s="30" t="s">
        <v>1411</v>
      </c>
      <c r="H3" s="30" t="s">
        <v>680</v>
      </c>
      <c r="I3" s="32">
        <v>4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2">
        <v>1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2">
        <v>1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</row>
    <row r="4" spans="1:45">
      <c r="A4" s="30" t="s">
        <v>676</v>
      </c>
      <c r="B4" s="30" t="s">
        <v>1407</v>
      </c>
      <c r="C4" s="30" t="s">
        <v>677</v>
      </c>
      <c r="D4" s="30" t="s">
        <v>1406</v>
      </c>
      <c r="E4" s="30" t="s">
        <v>1412</v>
      </c>
      <c r="F4" s="30" t="s">
        <v>65</v>
      </c>
      <c r="G4" s="30" t="s">
        <v>397</v>
      </c>
      <c r="H4" s="30" t="s">
        <v>680</v>
      </c>
      <c r="I4" s="32">
        <v>27</v>
      </c>
      <c r="J4" s="32">
        <v>8</v>
      </c>
      <c r="K4" s="32">
        <v>15</v>
      </c>
      <c r="L4" s="32">
        <v>31</v>
      </c>
      <c r="M4" s="32">
        <v>15</v>
      </c>
      <c r="N4" s="32">
        <v>11</v>
      </c>
      <c r="O4" s="32">
        <v>21</v>
      </c>
      <c r="P4" s="32">
        <v>20</v>
      </c>
      <c r="Q4" s="32">
        <v>14</v>
      </c>
      <c r="R4" s="32">
        <v>32</v>
      </c>
      <c r="S4" s="32">
        <v>10</v>
      </c>
      <c r="T4" s="32">
        <v>12</v>
      </c>
      <c r="U4" s="32">
        <v>27</v>
      </c>
      <c r="V4" s="32">
        <v>9.1974</v>
      </c>
      <c r="W4" s="32">
        <v>4</v>
      </c>
      <c r="X4" s="32">
        <v>25</v>
      </c>
      <c r="Y4" s="32">
        <v>21</v>
      </c>
      <c r="Z4" s="32">
        <v>22</v>
      </c>
      <c r="AA4" s="32">
        <v>10</v>
      </c>
      <c r="AB4" s="32">
        <v>8</v>
      </c>
      <c r="AC4" s="32">
        <v>6</v>
      </c>
      <c r="AD4" s="32">
        <v>29</v>
      </c>
      <c r="AE4" s="32">
        <v>6</v>
      </c>
      <c r="AF4" s="32">
        <v>9</v>
      </c>
      <c r="AG4" s="32">
        <v>6</v>
      </c>
      <c r="AH4" s="32">
        <v>12</v>
      </c>
      <c r="AI4" s="32">
        <v>6</v>
      </c>
      <c r="AJ4" s="32">
        <v>27</v>
      </c>
      <c r="AK4" s="32">
        <v>12</v>
      </c>
      <c r="AL4" s="32">
        <v>13</v>
      </c>
      <c r="AM4" s="32">
        <v>12</v>
      </c>
      <c r="AN4" s="32">
        <v>9</v>
      </c>
      <c r="AO4" s="32">
        <v>16</v>
      </c>
      <c r="AP4" s="32">
        <v>27</v>
      </c>
      <c r="AQ4" s="32">
        <v>8</v>
      </c>
      <c r="AR4" s="32">
        <v>15</v>
      </c>
      <c r="AS4" s="32">
        <v>6</v>
      </c>
    </row>
    <row r="5" spans="1:45">
      <c r="A5" s="30" t="s">
        <v>676</v>
      </c>
      <c r="B5" s="30" t="s">
        <v>1407</v>
      </c>
      <c r="C5" s="30" t="s">
        <v>677</v>
      </c>
      <c r="D5" s="30" t="s">
        <v>1406</v>
      </c>
      <c r="E5" s="30" t="s">
        <v>1413</v>
      </c>
      <c r="F5" s="30" t="s">
        <v>65</v>
      </c>
      <c r="G5" s="30" t="s">
        <v>398</v>
      </c>
      <c r="H5" s="30" t="s">
        <v>680</v>
      </c>
      <c r="I5" s="32">
        <v>23</v>
      </c>
      <c r="J5" s="32">
        <v>16</v>
      </c>
      <c r="K5" s="32">
        <v>13</v>
      </c>
      <c r="L5" s="32">
        <v>22</v>
      </c>
      <c r="M5" s="32">
        <v>12</v>
      </c>
      <c r="N5" s="32">
        <v>22</v>
      </c>
      <c r="O5" s="32">
        <v>16</v>
      </c>
      <c r="P5" s="32">
        <v>15</v>
      </c>
      <c r="Q5" s="32">
        <v>16</v>
      </c>
      <c r="R5" s="32">
        <v>29</v>
      </c>
      <c r="S5" s="32">
        <v>16</v>
      </c>
      <c r="T5" s="32">
        <v>21</v>
      </c>
      <c r="U5" s="32">
        <v>26</v>
      </c>
      <c r="V5" s="32">
        <v>15</v>
      </c>
      <c r="W5" s="32">
        <v>10</v>
      </c>
      <c r="X5" s="32">
        <v>22</v>
      </c>
      <c r="Y5" s="32">
        <v>11</v>
      </c>
      <c r="Z5" s="32">
        <v>17</v>
      </c>
      <c r="AA5" s="32">
        <v>20</v>
      </c>
      <c r="AB5" s="32">
        <v>24</v>
      </c>
      <c r="AC5" s="32">
        <v>24</v>
      </c>
      <c r="AD5" s="32">
        <v>31</v>
      </c>
      <c r="AE5" s="32">
        <v>17</v>
      </c>
      <c r="AF5" s="32">
        <v>19</v>
      </c>
      <c r="AG5" s="32">
        <v>19</v>
      </c>
      <c r="AH5" s="32">
        <v>17</v>
      </c>
      <c r="AI5" s="32">
        <v>14</v>
      </c>
      <c r="AJ5" s="32">
        <v>33</v>
      </c>
      <c r="AK5" s="32">
        <v>17</v>
      </c>
      <c r="AL5" s="32">
        <v>13</v>
      </c>
      <c r="AM5" s="32">
        <v>23</v>
      </c>
      <c r="AN5" s="32">
        <v>17</v>
      </c>
      <c r="AO5" s="32">
        <v>23</v>
      </c>
      <c r="AP5" s="32">
        <v>27</v>
      </c>
      <c r="AQ5" s="32">
        <v>21</v>
      </c>
      <c r="AR5" s="32">
        <v>21</v>
      </c>
      <c r="AS5" s="32">
        <v>25</v>
      </c>
    </row>
    <row r="6" spans="1:45">
      <c r="A6" s="30" t="s">
        <v>676</v>
      </c>
      <c r="B6" s="30" t="s">
        <v>1407</v>
      </c>
      <c r="C6" s="30" t="s">
        <v>677</v>
      </c>
      <c r="D6" s="30" t="s">
        <v>1406</v>
      </c>
      <c r="E6" s="30" t="s">
        <v>1414</v>
      </c>
      <c r="F6" s="30" t="s">
        <v>65</v>
      </c>
      <c r="G6" s="30" t="s">
        <v>399</v>
      </c>
      <c r="H6" s="30" t="s">
        <v>680</v>
      </c>
      <c r="I6" s="32">
        <v>100</v>
      </c>
      <c r="J6" s="32">
        <v>82</v>
      </c>
      <c r="K6" s="32">
        <v>77</v>
      </c>
      <c r="L6" s="32">
        <v>124</v>
      </c>
      <c r="M6" s="32">
        <v>75</v>
      </c>
      <c r="N6" s="32">
        <v>73</v>
      </c>
      <c r="O6" s="32">
        <v>116</v>
      </c>
      <c r="P6" s="32">
        <v>88</v>
      </c>
      <c r="Q6" s="32">
        <v>86</v>
      </c>
      <c r="R6" s="32">
        <v>127</v>
      </c>
      <c r="S6" s="32">
        <v>126</v>
      </c>
      <c r="T6" s="32">
        <v>74</v>
      </c>
      <c r="U6" s="32">
        <v>91</v>
      </c>
      <c r="V6" s="32">
        <v>67.197400000000002</v>
      </c>
      <c r="W6" s="32">
        <v>78</v>
      </c>
      <c r="X6" s="32">
        <v>118</v>
      </c>
      <c r="Y6" s="32">
        <v>87</v>
      </c>
      <c r="Z6" s="32">
        <v>91.740200000000002</v>
      </c>
      <c r="AA6" s="32">
        <v>126.19670000000001</v>
      </c>
      <c r="AB6" s="32">
        <v>75</v>
      </c>
      <c r="AC6" s="32">
        <v>77</v>
      </c>
      <c r="AD6" s="32">
        <v>121</v>
      </c>
      <c r="AE6" s="32">
        <v>66</v>
      </c>
      <c r="AF6" s="32">
        <v>74</v>
      </c>
      <c r="AG6" s="32">
        <v>91</v>
      </c>
      <c r="AH6" s="32">
        <v>77</v>
      </c>
      <c r="AI6" s="32">
        <v>93</v>
      </c>
      <c r="AJ6" s="32">
        <v>126</v>
      </c>
      <c r="AK6" s="32">
        <v>70</v>
      </c>
      <c r="AL6" s="32">
        <v>74</v>
      </c>
      <c r="AM6" s="32">
        <v>103</v>
      </c>
      <c r="AN6" s="32">
        <v>72</v>
      </c>
      <c r="AO6" s="32">
        <v>84</v>
      </c>
      <c r="AP6" s="32">
        <v>119</v>
      </c>
      <c r="AQ6" s="32">
        <v>84</v>
      </c>
      <c r="AR6" s="32">
        <v>107</v>
      </c>
      <c r="AS6" s="32">
        <v>169</v>
      </c>
    </row>
    <row r="7" spans="1:45">
      <c r="A7" s="30" t="s">
        <v>676</v>
      </c>
      <c r="B7" s="30" t="s">
        <v>1407</v>
      </c>
      <c r="C7" s="30" t="s">
        <v>677</v>
      </c>
      <c r="D7" s="30" t="s">
        <v>1406</v>
      </c>
      <c r="E7" s="30" t="s">
        <v>1415</v>
      </c>
      <c r="F7" s="30" t="s">
        <v>65</v>
      </c>
      <c r="G7" s="30" t="s">
        <v>400</v>
      </c>
      <c r="H7" s="30" t="s">
        <v>680</v>
      </c>
      <c r="I7" s="32">
        <v>45</v>
      </c>
      <c r="J7" s="32">
        <v>30</v>
      </c>
      <c r="K7" s="32">
        <v>31</v>
      </c>
      <c r="L7" s="32">
        <v>23</v>
      </c>
      <c r="M7" s="32">
        <v>37</v>
      </c>
      <c r="N7" s="32">
        <v>26</v>
      </c>
      <c r="O7" s="32">
        <v>32</v>
      </c>
      <c r="P7" s="32">
        <v>30</v>
      </c>
      <c r="Q7" s="32">
        <v>25</v>
      </c>
      <c r="R7" s="32">
        <v>61</v>
      </c>
      <c r="S7" s="32">
        <v>24</v>
      </c>
      <c r="T7" s="32">
        <v>22</v>
      </c>
      <c r="U7" s="32">
        <v>35</v>
      </c>
      <c r="V7" s="32">
        <v>18</v>
      </c>
      <c r="W7" s="32">
        <v>24</v>
      </c>
      <c r="X7" s="32">
        <v>42</v>
      </c>
      <c r="Y7" s="32">
        <v>21</v>
      </c>
      <c r="Z7" s="32">
        <v>18</v>
      </c>
      <c r="AA7" s="32">
        <v>33</v>
      </c>
      <c r="AB7" s="32">
        <v>29</v>
      </c>
      <c r="AC7" s="32">
        <v>17</v>
      </c>
      <c r="AD7" s="32">
        <v>33</v>
      </c>
      <c r="AE7" s="32">
        <v>17</v>
      </c>
      <c r="AF7" s="32">
        <v>17</v>
      </c>
      <c r="AG7" s="32">
        <v>23</v>
      </c>
      <c r="AH7" s="32">
        <v>21</v>
      </c>
      <c r="AI7" s="32">
        <v>13</v>
      </c>
      <c r="AJ7" s="32">
        <v>30</v>
      </c>
      <c r="AK7" s="32">
        <v>16</v>
      </c>
      <c r="AL7" s="32">
        <v>10</v>
      </c>
      <c r="AM7" s="32">
        <v>28</v>
      </c>
      <c r="AN7" s="32">
        <v>14</v>
      </c>
      <c r="AO7" s="32">
        <v>24</v>
      </c>
      <c r="AP7" s="32">
        <v>34</v>
      </c>
      <c r="AQ7" s="32">
        <v>23</v>
      </c>
      <c r="AR7" s="32">
        <v>16</v>
      </c>
      <c r="AS7" s="32">
        <v>23</v>
      </c>
    </row>
    <row r="8" spans="1:45">
      <c r="A8" s="30" t="s">
        <v>676</v>
      </c>
      <c r="B8" s="30" t="s">
        <v>1407</v>
      </c>
      <c r="C8" s="30" t="s">
        <v>677</v>
      </c>
      <c r="D8" s="30" t="s">
        <v>1406</v>
      </c>
      <c r="E8" s="30" t="s">
        <v>1416</v>
      </c>
      <c r="F8" s="30" t="s">
        <v>65</v>
      </c>
      <c r="G8" s="30" t="s">
        <v>401</v>
      </c>
      <c r="H8" s="30" t="s">
        <v>680</v>
      </c>
      <c r="I8" s="32">
        <v>33</v>
      </c>
      <c r="J8" s="32">
        <v>13</v>
      </c>
      <c r="K8" s="32">
        <v>20</v>
      </c>
      <c r="L8" s="32">
        <v>33</v>
      </c>
      <c r="M8" s="32">
        <v>19</v>
      </c>
      <c r="N8" s="32">
        <v>16</v>
      </c>
      <c r="O8" s="32">
        <v>30</v>
      </c>
      <c r="P8" s="32">
        <v>23</v>
      </c>
      <c r="Q8" s="32">
        <v>25</v>
      </c>
      <c r="R8" s="32">
        <v>44</v>
      </c>
      <c r="S8" s="32">
        <v>20</v>
      </c>
      <c r="T8" s="32">
        <v>17</v>
      </c>
      <c r="U8" s="32">
        <v>21</v>
      </c>
      <c r="V8" s="32">
        <v>17.197399999999998</v>
      </c>
      <c r="W8" s="32">
        <v>17</v>
      </c>
      <c r="X8" s="32">
        <v>36</v>
      </c>
      <c r="Y8" s="32">
        <v>13</v>
      </c>
      <c r="Z8" s="32">
        <v>11</v>
      </c>
      <c r="AA8" s="32">
        <v>21</v>
      </c>
      <c r="AB8" s="32">
        <v>22</v>
      </c>
      <c r="AC8" s="32">
        <v>20</v>
      </c>
      <c r="AD8" s="32">
        <v>35</v>
      </c>
      <c r="AE8" s="32">
        <v>16</v>
      </c>
      <c r="AF8" s="32">
        <v>22</v>
      </c>
      <c r="AG8" s="32">
        <v>18</v>
      </c>
      <c r="AH8" s="32">
        <v>14</v>
      </c>
      <c r="AI8" s="32">
        <v>20</v>
      </c>
      <c r="AJ8" s="32">
        <v>32</v>
      </c>
      <c r="AK8" s="32">
        <v>14</v>
      </c>
      <c r="AL8" s="32">
        <v>14</v>
      </c>
      <c r="AM8" s="32">
        <v>36</v>
      </c>
      <c r="AN8" s="32">
        <v>13</v>
      </c>
      <c r="AO8" s="32">
        <v>20</v>
      </c>
      <c r="AP8" s="32">
        <v>41</v>
      </c>
      <c r="AQ8" s="32">
        <v>12</v>
      </c>
      <c r="AR8" s="32">
        <v>11</v>
      </c>
      <c r="AS8" s="32">
        <v>19</v>
      </c>
    </row>
    <row r="9" spans="1:45">
      <c r="A9" s="30" t="s">
        <v>676</v>
      </c>
      <c r="B9" s="30" t="s">
        <v>1407</v>
      </c>
      <c r="C9" s="30" t="s">
        <v>677</v>
      </c>
      <c r="D9" s="30" t="s">
        <v>1406</v>
      </c>
      <c r="E9" s="30" t="s">
        <v>1417</v>
      </c>
      <c r="F9" s="30" t="s">
        <v>65</v>
      </c>
      <c r="G9" s="30" t="s">
        <v>402</v>
      </c>
      <c r="H9" s="30" t="s">
        <v>680</v>
      </c>
      <c r="I9" s="32">
        <v>77</v>
      </c>
      <c r="J9" s="32">
        <v>44</v>
      </c>
      <c r="K9" s="32">
        <v>30</v>
      </c>
      <c r="L9" s="32">
        <v>49</v>
      </c>
      <c r="M9" s="32">
        <v>28</v>
      </c>
      <c r="N9" s="32">
        <v>28</v>
      </c>
      <c r="O9" s="32">
        <v>23</v>
      </c>
      <c r="P9" s="32">
        <v>30</v>
      </c>
      <c r="Q9" s="32">
        <v>20</v>
      </c>
      <c r="R9" s="32">
        <v>24</v>
      </c>
      <c r="S9" s="32">
        <v>28</v>
      </c>
      <c r="T9" s="32">
        <v>27</v>
      </c>
      <c r="U9" s="32">
        <v>43</v>
      </c>
      <c r="V9" s="32">
        <v>27.197399999999998</v>
      </c>
      <c r="W9" s="32">
        <v>34</v>
      </c>
      <c r="X9" s="32">
        <v>50</v>
      </c>
      <c r="Y9" s="32">
        <v>37</v>
      </c>
      <c r="Z9" s="32">
        <v>45.930199999999999</v>
      </c>
      <c r="AA9" s="32">
        <v>48</v>
      </c>
      <c r="AB9" s="32">
        <v>42</v>
      </c>
      <c r="AC9" s="32">
        <v>33</v>
      </c>
      <c r="AD9" s="32">
        <v>73</v>
      </c>
      <c r="AE9" s="32">
        <v>41</v>
      </c>
      <c r="AF9" s="32">
        <v>18</v>
      </c>
      <c r="AG9" s="32">
        <v>33</v>
      </c>
      <c r="AH9" s="32">
        <v>25</v>
      </c>
      <c r="AI9" s="32">
        <v>23</v>
      </c>
      <c r="AJ9" s="32">
        <v>48</v>
      </c>
      <c r="AK9" s="32">
        <v>36</v>
      </c>
      <c r="AL9" s="32">
        <v>25</v>
      </c>
      <c r="AM9" s="32">
        <v>42</v>
      </c>
      <c r="AN9" s="32">
        <v>28</v>
      </c>
      <c r="AO9" s="32">
        <v>37</v>
      </c>
      <c r="AP9" s="32">
        <v>57</v>
      </c>
      <c r="AQ9" s="32">
        <v>24</v>
      </c>
      <c r="AR9" s="32">
        <v>24</v>
      </c>
      <c r="AS9" s="32">
        <v>32</v>
      </c>
    </row>
    <row r="10" spans="1:45">
      <c r="A10" s="30" t="s">
        <v>676</v>
      </c>
      <c r="B10" s="30" t="s">
        <v>1407</v>
      </c>
      <c r="C10" s="30" t="s">
        <v>677</v>
      </c>
      <c r="D10" s="30" t="s">
        <v>1406</v>
      </c>
      <c r="E10" s="30" t="s">
        <v>1418</v>
      </c>
      <c r="F10" s="30" t="s">
        <v>65</v>
      </c>
      <c r="G10" s="30" t="s">
        <v>403</v>
      </c>
      <c r="H10" s="30" t="s">
        <v>680</v>
      </c>
      <c r="I10" s="32">
        <v>18</v>
      </c>
      <c r="J10" s="32">
        <v>23</v>
      </c>
      <c r="K10" s="32">
        <v>15</v>
      </c>
      <c r="L10" s="32">
        <v>23</v>
      </c>
      <c r="M10" s="32">
        <v>17</v>
      </c>
      <c r="N10" s="32">
        <v>19</v>
      </c>
      <c r="O10" s="32">
        <v>22</v>
      </c>
      <c r="P10" s="32">
        <v>22</v>
      </c>
      <c r="Q10" s="32">
        <v>19</v>
      </c>
      <c r="R10" s="32">
        <v>27</v>
      </c>
      <c r="S10" s="32">
        <v>22</v>
      </c>
      <c r="T10" s="32">
        <v>11</v>
      </c>
      <c r="U10" s="32">
        <v>23</v>
      </c>
      <c r="V10" s="32">
        <v>18</v>
      </c>
      <c r="W10" s="32">
        <v>14</v>
      </c>
      <c r="X10" s="32">
        <v>26</v>
      </c>
      <c r="Y10" s="32">
        <v>16</v>
      </c>
      <c r="Z10" s="32">
        <v>19</v>
      </c>
      <c r="AA10" s="32">
        <v>27</v>
      </c>
      <c r="AB10" s="32">
        <v>17</v>
      </c>
      <c r="AC10" s="32">
        <v>17</v>
      </c>
      <c r="AD10" s="32">
        <v>21</v>
      </c>
      <c r="AE10" s="32">
        <v>18</v>
      </c>
      <c r="AF10" s="32">
        <v>14</v>
      </c>
      <c r="AG10" s="32">
        <v>21</v>
      </c>
      <c r="AH10" s="32">
        <v>18</v>
      </c>
      <c r="AI10" s="32">
        <v>9</v>
      </c>
      <c r="AJ10" s="32">
        <v>27</v>
      </c>
      <c r="AK10" s="32">
        <v>20</v>
      </c>
      <c r="AL10" s="32">
        <v>18</v>
      </c>
      <c r="AM10" s="32">
        <v>21</v>
      </c>
      <c r="AN10" s="32">
        <v>10</v>
      </c>
      <c r="AO10" s="32">
        <v>12</v>
      </c>
      <c r="AP10" s="32">
        <v>29</v>
      </c>
      <c r="AQ10" s="32">
        <v>6</v>
      </c>
      <c r="AR10" s="32">
        <v>12</v>
      </c>
      <c r="AS10" s="32">
        <v>20</v>
      </c>
    </row>
    <row r="11" spans="1:45">
      <c r="A11" s="30" t="s">
        <v>676</v>
      </c>
      <c r="B11" s="30" t="s">
        <v>1407</v>
      </c>
      <c r="C11" s="30" t="s">
        <v>677</v>
      </c>
      <c r="D11" s="30" t="s">
        <v>1406</v>
      </c>
      <c r="E11" s="30" t="s">
        <v>1419</v>
      </c>
      <c r="F11" s="30" t="s">
        <v>65</v>
      </c>
      <c r="G11" s="30" t="s">
        <v>404</v>
      </c>
      <c r="H11" s="30" t="s">
        <v>680</v>
      </c>
      <c r="I11" s="32">
        <v>21</v>
      </c>
      <c r="J11" s="32">
        <v>17</v>
      </c>
      <c r="K11" s="32">
        <v>12</v>
      </c>
      <c r="L11" s="32">
        <v>20</v>
      </c>
      <c r="M11" s="32">
        <v>16</v>
      </c>
      <c r="N11" s="32">
        <v>10</v>
      </c>
      <c r="O11" s="32">
        <v>26</v>
      </c>
      <c r="P11" s="32">
        <v>8</v>
      </c>
      <c r="Q11" s="32">
        <v>16</v>
      </c>
      <c r="R11" s="32">
        <v>28</v>
      </c>
      <c r="S11" s="32">
        <v>11</v>
      </c>
      <c r="T11" s="32">
        <v>11</v>
      </c>
      <c r="U11" s="32">
        <v>16</v>
      </c>
      <c r="V11" s="32">
        <v>13</v>
      </c>
      <c r="W11" s="32">
        <v>11</v>
      </c>
      <c r="X11" s="32">
        <v>18</v>
      </c>
      <c r="Y11" s="32">
        <v>20</v>
      </c>
      <c r="Z11" s="32">
        <v>24</v>
      </c>
      <c r="AA11" s="32">
        <v>28</v>
      </c>
      <c r="AB11" s="32">
        <v>13</v>
      </c>
      <c r="AC11" s="32">
        <v>12</v>
      </c>
      <c r="AD11" s="32">
        <v>20</v>
      </c>
      <c r="AE11" s="32">
        <v>10</v>
      </c>
      <c r="AF11" s="32">
        <v>14</v>
      </c>
      <c r="AG11" s="32">
        <v>22</v>
      </c>
      <c r="AH11" s="32">
        <v>18</v>
      </c>
      <c r="AI11" s="32">
        <v>5</v>
      </c>
      <c r="AJ11" s="32">
        <v>20</v>
      </c>
      <c r="AK11" s="32">
        <v>14</v>
      </c>
      <c r="AL11" s="32">
        <v>9</v>
      </c>
      <c r="AM11" s="32">
        <v>16</v>
      </c>
      <c r="AN11" s="32">
        <v>11</v>
      </c>
      <c r="AO11" s="32">
        <v>14</v>
      </c>
      <c r="AP11" s="32">
        <v>21</v>
      </c>
      <c r="AQ11" s="32">
        <v>10</v>
      </c>
      <c r="AR11" s="32">
        <v>14</v>
      </c>
      <c r="AS11" s="32">
        <v>14</v>
      </c>
    </row>
    <row r="12" spans="1:45">
      <c r="A12" s="30" t="s">
        <v>676</v>
      </c>
      <c r="B12" s="30" t="s">
        <v>1407</v>
      </c>
      <c r="C12" s="30" t="s">
        <v>677</v>
      </c>
      <c r="D12" s="30" t="s">
        <v>1406</v>
      </c>
      <c r="E12" s="30" t="s">
        <v>1420</v>
      </c>
      <c r="F12" s="30" t="s">
        <v>65</v>
      </c>
      <c r="G12" s="30" t="s">
        <v>405</v>
      </c>
      <c r="H12" s="30" t="s">
        <v>680</v>
      </c>
      <c r="I12" s="32">
        <v>61</v>
      </c>
      <c r="J12" s="32">
        <v>42</v>
      </c>
      <c r="K12" s="32">
        <v>39</v>
      </c>
      <c r="L12" s="32">
        <v>51</v>
      </c>
      <c r="M12" s="32">
        <v>46</v>
      </c>
      <c r="N12" s="32">
        <v>41</v>
      </c>
      <c r="O12" s="32">
        <v>63</v>
      </c>
      <c r="P12" s="32">
        <v>52</v>
      </c>
      <c r="Q12" s="32">
        <v>22</v>
      </c>
      <c r="R12" s="32">
        <v>48</v>
      </c>
      <c r="S12" s="32">
        <v>51</v>
      </c>
      <c r="T12" s="32">
        <v>38</v>
      </c>
      <c r="U12" s="32">
        <v>49</v>
      </c>
      <c r="V12" s="32">
        <v>21</v>
      </c>
      <c r="W12" s="32">
        <v>18</v>
      </c>
      <c r="X12" s="32">
        <v>25</v>
      </c>
      <c r="Y12" s="32">
        <v>29</v>
      </c>
      <c r="Z12" s="32">
        <v>25.909500000000001</v>
      </c>
      <c r="AA12" s="32">
        <v>35</v>
      </c>
      <c r="AB12" s="32">
        <v>19</v>
      </c>
      <c r="AC12" s="32">
        <v>30</v>
      </c>
      <c r="AD12" s="32">
        <v>30</v>
      </c>
      <c r="AE12" s="32">
        <v>24</v>
      </c>
      <c r="AF12" s="32">
        <v>22</v>
      </c>
      <c r="AG12" s="32">
        <v>42</v>
      </c>
      <c r="AH12" s="32">
        <v>19</v>
      </c>
      <c r="AI12" s="32">
        <v>22</v>
      </c>
      <c r="AJ12" s="32">
        <v>34</v>
      </c>
      <c r="AK12" s="32">
        <v>26</v>
      </c>
      <c r="AL12" s="32">
        <v>29</v>
      </c>
      <c r="AM12" s="32">
        <v>36</v>
      </c>
      <c r="AN12" s="32">
        <v>33</v>
      </c>
      <c r="AO12" s="32">
        <v>31</v>
      </c>
      <c r="AP12" s="32">
        <v>35</v>
      </c>
      <c r="AQ12" s="32">
        <v>34</v>
      </c>
      <c r="AR12" s="32">
        <v>77</v>
      </c>
      <c r="AS12" s="32">
        <v>147</v>
      </c>
    </row>
    <row r="13" spans="1:45">
      <c r="A13" s="30" t="s">
        <v>676</v>
      </c>
      <c r="B13" s="30" t="s">
        <v>1407</v>
      </c>
      <c r="C13" s="30" t="s">
        <v>677</v>
      </c>
      <c r="D13" s="30" t="s">
        <v>1406</v>
      </c>
      <c r="E13" s="30" t="s">
        <v>1421</v>
      </c>
      <c r="F13" s="30" t="s">
        <v>65</v>
      </c>
      <c r="G13" s="30" t="s">
        <v>406</v>
      </c>
      <c r="H13" s="30" t="s">
        <v>680</v>
      </c>
      <c r="I13" s="32">
        <v>11</v>
      </c>
      <c r="J13" s="32">
        <v>15</v>
      </c>
      <c r="K13" s="32">
        <v>13</v>
      </c>
      <c r="L13" s="32">
        <v>19</v>
      </c>
      <c r="M13" s="32">
        <v>13</v>
      </c>
      <c r="N13" s="32">
        <v>7</v>
      </c>
      <c r="O13" s="32">
        <v>15</v>
      </c>
      <c r="P13" s="32">
        <v>25</v>
      </c>
      <c r="Q13" s="32">
        <v>15</v>
      </c>
      <c r="R13" s="32">
        <v>18</v>
      </c>
      <c r="S13" s="32">
        <v>24</v>
      </c>
      <c r="T13" s="32">
        <v>10</v>
      </c>
      <c r="U13" s="32">
        <v>26</v>
      </c>
      <c r="V13" s="32">
        <v>13</v>
      </c>
      <c r="W13" s="32">
        <v>14</v>
      </c>
      <c r="X13" s="32">
        <v>18</v>
      </c>
      <c r="Y13" s="32">
        <v>17</v>
      </c>
      <c r="Z13" s="32">
        <v>10</v>
      </c>
      <c r="AA13" s="32">
        <v>31</v>
      </c>
      <c r="AB13" s="32">
        <v>24</v>
      </c>
      <c r="AC13" s="32">
        <v>22</v>
      </c>
      <c r="AD13" s="32">
        <v>26</v>
      </c>
      <c r="AE13" s="32">
        <v>23</v>
      </c>
      <c r="AF13" s="32">
        <v>17</v>
      </c>
      <c r="AG13" s="32">
        <v>28</v>
      </c>
      <c r="AH13" s="32">
        <v>22</v>
      </c>
      <c r="AI13" s="32">
        <v>20</v>
      </c>
      <c r="AJ13" s="32">
        <v>28</v>
      </c>
      <c r="AK13" s="32">
        <v>18</v>
      </c>
      <c r="AL13" s="32">
        <v>17</v>
      </c>
      <c r="AM13" s="32">
        <v>19</v>
      </c>
      <c r="AN13" s="32">
        <v>24</v>
      </c>
      <c r="AO13" s="32">
        <v>14</v>
      </c>
      <c r="AP13" s="32">
        <v>19</v>
      </c>
      <c r="AQ13" s="32">
        <v>15</v>
      </c>
      <c r="AR13" s="32">
        <v>20</v>
      </c>
      <c r="AS13" s="32">
        <v>10</v>
      </c>
    </row>
    <row r="14" spans="1:45">
      <c r="A14" s="30" t="s">
        <v>676</v>
      </c>
      <c r="B14" s="30" t="s">
        <v>1407</v>
      </c>
      <c r="C14" s="30" t="s">
        <v>677</v>
      </c>
      <c r="D14" s="30" t="s">
        <v>1406</v>
      </c>
      <c r="E14" s="30" t="s">
        <v>1422</v>
      </c>
      <c r="F14" s="30" t="s">
        <v>65</v>
      </c>
      <c r="G14" s="30" t="s">
        <v>407</v>
      </c>
      <c r="H14" s="30" t="s">
        <v>680</v>
      </c>
      <c r="I14" s="32">
        <v>52</v>
      </c>
      <c r="J14" s="32">
        <v>48</v>
      </c>
      <c r="K14" s="32">
        <v>48</v>
      </c>
      <c r="L14" s="32">
        <v>52</v>
      </c>
      <c r="M14" s="32">
        <v>52</v>
      </c>
      <c r="N14" s="32">
        <v>39</v>
      </c>
      <c r="O14" s="32">
        <v>63</v>
      </c>
      <c r="P14" s="32">
        <v>43</v>
      </c>
      <c r="Q14" s="32">
        <v>32</v>
      </c>
      <c r="R14" s="32">
        <v>77</v>
      </c>
      <c r="S14" s="32">
        <v>47</v>
      </c>
      <c r="T14" s="32">
        <v>43</v>
      </c>
      <c r="U14" s="32">
        <v>57</v>
      </c>
      <c r="V14" s="32">
        <v>45.197400000000002</v>
      </c>
      <c r="W14" s="32">
        <v>39</v>
      </c>
      <c r="X14" s="32">
        <v>67</v>
      </c>
      <c r="Y14" s="32">
        <v>41</v>
      </c>
      <c r="Z14" s="32">
        <v>41</v>
      </c>
      <c r="AA14" s="32">
        <v>67</v>
      </c>
      <c r="AB14" s="32">
        <v>39</v>
      </c>
      <c r="AC14" s="32">
        <v>41</v>
      </c>
      <c r="AD14" s="32">
        <v>74</v>
      </c>
      <c r="AE14" s="32">
        <v>33</v>
      </c>
      <c r="AF14" s="32">
        <v>32</v>
      </c>
      <c r="AG14" s="32">
        <v>53</v>
      </c>
      <c r="AH14" s="32">
        <v>36</v>
      </c>
      <c r="AI14" s="32">
        <v>39</v>
      </c>
      <c r="AJ14" s="32">
        <v>53</v>
      </c>
      <c r="AK14" s="32">
        <v>31</v>
      </c>
      <c r="AL14" s="32">
        <v>31</v>
      </c>
      <c r="AM14" s="32">
        <v>63</v>
      </c>
      <c r="AN14" s="32">
        <v>40</v>
      </c>
      <c r="AO14" s="32">
        <v>33</v>
      </c>
      <c r="AP14" s="32">
        <v>62</v>
      </c>
      <c r="AQ14" s="32">
        <v>31</v>
      </c>
      <c r="AR14" s="32">
        <v>39</v>
      </c>
      <c r="AS14" s="32">
        <v>53</v>
      </c>
    </row>
    <row r="15" spans="1:45">
      <c r="A15" s="30" t="s">
        <v>676</v>
      </c>
      <c r="B15" s="30" t="s">
        <v>1407</v>
      </c>
      <c r="C15" s="30" t="s">
        <v>677</v>
      </c>
      <c r="D15" s="30" t="s">
        <v>1406</v>
      </c>
      <c r="E15" s="30" t="s">
        <v>1423</v>
      </c>
      <c r="F15" s="30" t="s">
        <v>65</v>
      </c>
      <c r="G15" s="30" t="s">
        <v>408</v>
      </c>
      <c r="H15" s="30" t="s">
        <v>680</v>
      </c>
      <c r="I15" s="32">
        <v>34</v>
      </c>
      <c r="J15" s="32">
        <v>17</v>
      </c>
      <c r="K15" s="32">
        <v>19</v>
      </c>
      <c r="L15" s="32">
        <v>27</v>
      </c>
      <c r="M15" s="32">
        <v>22</v>
      </c>
      <c r="N15" s="32">
        <v>25</v>
      </c>
      <c r="O15" s="32">
        <v>32</v>
      </c>
      <c r="P15" s="32">
        <v>17</v>
      </c>
      <c r="Q15" s="32">
        <v>26</v>
      </c>
      <c r="R15" s="32">
        <v>37</v>
      </c>
      <c r="S15" s="32">
        <v>26</v>
      </c>
      <c r="T15" s="32">
        <v>10</v>
      </c>
      <c r="U15" s="32">
        <v>22</v>
      </c>
      <c r="V15" s="32">
        <v>20</v>
      </c>
      <c r="W15" s="32">
        <v>14</v>
      </c>
      <c r="X15" s="32">
        <v>26</v>
      </c>
      <c r="Y15" s="32">
        <v>14</v>
      </c>
      <c r="Z15" s="32">
        <v>17</v>
      </c>
      <c r="AA15" s="32">
        <v>20</v>
      </c>
      <c r="AB15" s="32">
        <v>13</v>
      </c>
      <c r="AC15" s="32">
        <v>21</v>
      </c>
      <c r="AD15" s="32">
        <v>32</v>
      </c>
      <c r="AE15" s="32">
        <v>10</v>
      </c>
      <c r="AF15" s="32">
        <v>17</v>
      </c>
      <c r="AG15" s="32">
        <v>13</v>
      </c>
      <c r="AH15" s="32">
        <v>28</v>
      </c>
      <c r="AI15" s="32">
        <v>20</v>
      </c>
      <c r="AJ15" s="32">
        <v>23</v>
      </c>
      <c r="AK15" s="32">
        <v>13</v>
      </c>
      <c r="AL15" s="32">
        <v>12</v>
      </c>
      <c r="AM15" s="32">
        <v>31</v>
      </c>
      <c r="AN15" s="32">
        <v>27</v>
      </c>
      <c r="AO15" s="32">
        <v>20</v>
      </c>
      <c r="AP15" s="32">
        <v>40</v>
      </c>
      <c r="AQ15" s="32">
        <v>24</v>
      </c>
      <c r="AR15" s="32">
        <v>16</v>
      </c>
      <c r="AS15" s="32">
        <v>32</v>
      </c>
    </row>
    <row r="16" spans="1:45">
      <c r="A16" s="30" t="s">
        <v>676</v>
      </c>
      <c r="B16" s="30" t="s">
        <v>1407</v>
      </c>
      <c r="C16" s="30" t="s">
        <v>677</v>
      </c>
      <c r="D16" s="30" t="s">
        <v>1406</v>
      </c>
      <c r="E16" s="30" t="s">
        <v>1424</v>
      </c>
      <c r="F16" s="30" t="s">
        <v>65</v>
      </c>
      <c r="G16" s="30" t="s">
        <v>409</v>
      </c>
      <c r="H16" s="30" t="s">
        <v>680</v>
      </c>
      <c r="I16" s="32">
        <v>101</v>
      </c>
      <c r="J16" s="32">
        <v>65</v>
      </c>
      <c r="K16" s="32">
        <v>65</v>
      </c>
      <c r="L16" s="32">
        <v>82</v>
      </c>
      <c r="M16" s="32">
        <v>61</v>
      </c>
      <c r="N16" s="32">
        <v>59</v>
      </c>
      <c r="O16" s="32">
        <v>112</v>
      </c>
      <c r="P16" s="32">
        <v>64</v>
      </c>
      <c r="Q16" s="32">
        <v>92</v>
      </c>
      <c r="R16" s="32">
        <v>84</v>
      </c>
      <c r="S16" s="32">
        <v>121</v>
      </c>
      <c r="T16" s="32">
        <v>68</v>
      </c>
      <c r="U16" s="32">
        <v>67</v>
      </c>
      <c r="V16" s="32">
        <v>47</v>
      </c>
      <c r="W16" s="32">
        <v>51</v>
      </c>
      <c r="X16" s="32">
        <v>78</v>
      </c>
      <c r="Y16" s="32">
        <v>75</v>
      </c>
      <c r="Z16" s="32">
        <v>73.799300000000002</v>
      </c>
      <c r="AA16" s="32">
        <v>94.227599999999995</v>
      </c>
      <c r="AB16" s="32">
        <v>62</v>
      </c>
      <c r="AC16" s="32">
        <v>66</v>
      </c>
      <c r="AD16" s="32">
        <v>66</v>
      </c>
      <c r="AE16" s="32">
        <v>49</v>
      </c>
      <c r="AF16" s="32">
        <v>61</v>
      </c>
      <c r="AG16" s="32">
        <v>87</v>
      </c>
      <c r="AH16" s="32">
        <v>65</v>
      </c>
      <c r="AI16" s="32">
        <v>55</v>
      </c>
      <c r="AJ16" s="32">
        <v>88</v>
      </c>
      <c r="AK16" s="32">
        <v>58</v>
      </c>
      <c r="AL16" s="32">
        <v>65</v>
      </c>
      <c r="AM16" s="32">
        <v>97</v>
      </c>
      <c r="AN16" s="32">
        <v>60</v>
      </c>
      <c r="AO16" s="32">
        <v>68</v>
      </c>
      <c r="AP16" s="32">
        <v>82</v>
      </c>
      <c r="AQ16" s="32">
        <v>61</v>
      </c>
      <c r="AR16" s="32">
        <v>71</v>
      </c>
      <c r="AS16" s="32">
        <v>73</v>
      </c>
    </row>
    <row r="17" spans="1:45">
      <c r="A17" s="30" t="s">
        <v>676</v>
      </c>
      <c r="B17" s="30" t="s">
        <v>1407</v>
      </c>
      <c r="C17" s="30" t="s">
        <v>677</v>
      </c>
      <c r="D17" s="30" t="s">
        <v>1406</v>
      </c>
      <c r="E17" s="30" t="s">
        <v>1425</v>
      </c>
      <c r="F17" s="30" t="s">
        <v>65</v>
      </c>
      <c r="G17" s="30" t="s">
        <v>410</v>
      </c>
      <c r="H17" s="30" t="s">
        <v>680</v>
      </c>
      <c r="I17" s="32">
        <v>83</v>
      </c>
      <c r="J17" s="32">
        <v>67</v>
      </c>
      <c r="K17" s="32">
        <v>67</v>
      </c>
      <c r="L17" s="32">
        <v>67</v>
      </c>
      <c r="M17" s="32">
        <v>66</v>
      </c>
      <c r="N17" s="32">
        <v>62</v>
      </c>
      <c r="O17" s="32">
        <v>129</v>
      </c>
      <c r="P17" s="32">
        <v>61</v>
      </c>
      <c r="Q17" s="32">
        <v>70</v>
      </c>
      <c r="R17" s="32">
        <v>97</v>
      </c>
      <c r="S17" s="32">
        <v>102</v>
      </c>
      <c r="T17" s="32">
        <v>53</v>
      </c>
      <c r="U17" s="32">
        <v>53</v>
      </c>
      <c r="V17" s="32">
        <v>38</v>
      </c>
      <c r="W17" s="32">
        <v>50</v>
      </c>
      <c r="X17" s="32">
        <v>51</v>
      </c>
      <c r="Y17" s="32">
        <v>79</v>
      </c>
      <c r="Z17" s="32">
        <v>48.8352</v>
      </c>
      <c r="AA17" s="32">
        <v>86.196700000000007</v>
      </c>
      <c r="AB17" s="32">
        <v>64</v>
      </c>
      <c r="AC17" s="32">
        <v>51</v>
      </c>
      <c r="AD17" s="32">
        <v>91</v>
      </c>
      <c r="AE17" s="32">
        <v>58</v>
      </c>
      <c r="AF17" s="32">
        <v>75</v>
      </c>
      <c r="AG17" s="32">
        <v>73</v>
      </c>
      <c r="AH17" s="32">
        <v>57</v>
      </c>
      <c r="AI17" s="32">
        <v>56</v>
      </c>
      <c r="AJ17" s="32">
        <v>90</v>
      </c>
      <c r="AK17" s="32">
        <v>66</v>
      </c>
      <c r="AL17" s="32">
        <v>61</v>
      </c>
      <c r="AM17" s="32">
        <v>95</v>
      </c>
      <c r="AN17" s="32">
        <v>62</v>
      </c>
      <c r="AO17" s="32">
        <v>60</v>
      </c>
      <c r="AP17" s="32">
        <v>90</v>
      </c>
      <c r="AQ17" s="32">
        <v>45</v>
      </c>
      <c r="AR17" s="32">
        <v>54</v>
      </c>
      <c r="AS17" s="32">
        <v>78</v>
      </c>
    </row>
    <row r="18" spans="1:45">
      <c r="A18" s="30" t="s">
        <v>676</v>
      </c>
      <c r="B18" s="30" t="s">
        <v>1407</v>
      </c>
      <c r="C18" s="30" t="s">
        <v>677</v>
      </c>
      <c r="D18" s="30" t="s">
        <v>1406</v>
      </c>
      <c r="E18" s="30" t="s">
        <v>1426</v>
      </c>
      <c r="F18" s="30" t="s">
        <v>65</v>
      </c>
      <c r="G18" s="30" t="s">
        <v>411</v>
      </c>
      <c r="H18" s="30" t="s">
        <v>680</v>
      </c>
      <c r="I18" s="32">
        <v>16</v>
      </c>
      <c r="J18" s="32">
        <v>15</v>
      </c>
      <c r="K18" s="32">
        <v>12</v>
      </c>
      <c r="L18" s="32">
        <v>23</v>
      </c>
      <c r="M18" s="32">
        <v>27</v>
      </c>
      <c r="N18" s="32">
        <v>17</v>
      </c>
      <c r="O18" s="32">
        <v>23</v>
      </c>
      <c r="P18" s="32">
        <v>20</v>
      </c>
      <c r="Q18" s="32">
        <v>13</v>
      </c>
      <c r="R18" s="32">
        <v>27</v>
      </c>
      <c r="S18" s="32">
        <v>19</v>
      </c>
      <c r="T18" s="32">
        <v>18</v>
      </c>
      <c r="U18" s="32">
        <v>23</v>
      </c>
      <c r="V18" s="32">
        <v>14</v>
      </c>
      <c r="W18" s="32">
        <v>17</v>
      </c>
      <c r="X18" s="32">
        <v>21</v>
      </c>
      <c r="Y18" s="32">
        <v>15</v>
      </c>
      <c r="Z18" s="32">
        <v>14</v>
      </c>
      <c r="AA18" s="32">
        <v>28</v>
      </c>
      <c r="AB18" s="32">
        <v>16</v>
      </c>
      <c r="AC18" s="32">
        <v>19</v>
      </c>
      <c r="AD18" s="32">
        <v>39</v>
      </c>
      <c r="AE18" s="32">
        <v>28</v>
      </c>
      <c r="AF18" s="32">
        <v>15</v>
      </c>
      <c r="AG18" s="32">
        <v>27</v>
      </c>
      <c r="AH18" s="32">
        <v>19</v>
      </c>
      <c r="AI18" s="32">
        <v>19</v>
      </c>
      <c r="AJ18" s="32">
        <v>33</v>
      </c>
      <c r="AK18" s="32">
        <v>19</v>
      </c>
      <c r="AL18" s="32">
        <v>25</v>
      </c>
      <c r="AM18" s="32">
        <v>33</v>
      </c>
      <c r="AN18" s="32">
        <v>12</v>
      </c>
      <c r="AO18" s="32">
        <v>20</v>
      </c>
      <c r="AP18" s="32">
        <v>32</v>
      </c>
      <c r="AQ18" s="32">
        <v>18</v>
      </c>
      <c r="AR18" s="32">
        <v>24</v>
      </c>
      <c r="AS18" s="32">
        <v>23</v>
      </c>
    </row>
    <row r="19" spans="1:45">
      <c r="A19" s="30" t="s">
        <v>676</v>
      </c>
      <c r="B19" s="30" t="s">
        <v>1407</v>
      </c>
      <c r="C19" s="30" t="s">
        <v>677</v>
      </c>
      <c r="D19" s="30" t="s">
        <v>1406</v>
      </c>
      <c r="E19" s="30" t="s">
        <v>1427</v>
      </c>
      <c r="F19" s="30" t="s">
        <v>65</v>
      </c>
      <c r="G19" s="30" t="s">
        <v>412</v>
      </c>
      <c r="H19" s="30" t="s">
        <v>680</v>
      </c>
      <c r="I19" s="32">
        <v>9</v>
      </c>
      <c r="J19" s="32">
        <v>1</v>
      </c>
      <c r="K19" s="32">
        <v>1</v>
      </c>
      <c r="L19" s="31">
        <v>0</v>
      </c>
      <c r="M19" s="32">
        <v>1</v>
      </c>
      <c r="N19" s="31">
        <v>0</v>
      </c>
      <c r="O19" s="32">
        <v>3</v>
      </c>
      <c r="P19" s="32">
        <v>1</v>
      </c>
      <c r="Q19" s="32">
        <v>4</v>
      </c>
      <c r="R19" s="32">
        <v>12</v>
      </c>
      <c r="S19" s="32">
        <v>7</v>
      </c>
      <c r="T19" s="32">
        <v>4</v>
      </c>
      <c r="U19" s="32">
        <v>8</v>
      </c>
      <c r="V19" s="32">
        <v>7</v>
      </c>
      <c r="W19" s="32">
        <v>2</v>
      </c>
      <c r="X19" s="32">
        <v>10</v>
      </c>
      <c r="Y19" s="32">
        <v>8</v>
      </c>
      <c r="Z19" s="32">
        <v>9</v>
      </c>
      <c r="AA19" s="32">
        <v>16</v>
      </c>
      <c r="AB19" s="32">
        <v>7</v>
      </c>
      <c r="AC19" s="32">
        <v>2</v>
      </c>
      <c r="AD19" s="32">
        <v>2</v>
      </c>
      <c r="AE19" s="32">
        <v>4</v>
      </c>
      <c r="AF19" s="31">
        <v>0</v>
      </c>
      <c r="AG19" s="32">
        <v>1</v>
      </c>
      <c r="AH19" s="31">
        <v>0</v>
      </c>
      <c r="AI19" s="31">
        <v>0</v>
      </c>
      <c r="AJ19" s="32">
        <v>1</v>
      </c>
      <c r="AK19" s="31">
        <v>0</v>
      </c>
      <c r="AL19" s="31">
        <v>0</v>
      </c>
      <c r="AM19" s="32">
        <v>2</v>
      </c>
      <c r="AN19" s="32">
        <v>1</v>
      </c>
      <c r="AO19" s="32">
        <v>1</v>
      </c>
      <c r="AP19" s="31">
        <v>0</v>
      </c>
      <c r="AQ19" s="31">
        <v>0</v>
      </c>
      <c r="AR19" s="31">
        <v>0</v>
      </c>
      <c r="AS19" s="31">
        <v>0</v>
      </c>
    </row>
    <row r="20" spans="1:45">
      <c r="A20" s="30" t="s">
        <v>676</v>
      </c>
      <c r="B20" s="30" t="s">
        <v>1407</v>
      </c>
      <c r="C20" s="30" t="s">
        <v>677</v>
      </c>
      <c r="D20" s="30" t="s">
        <v>1406</v>
      </c>
      <c r="E20" s="30" t="s">
        <v>1428</v>
      </c>
      <c r="F20" s="30" t="s">
        <v>65</v>
      </c>
      <c r="G20" s="30" t="s">
        <v>413</v>
      </c>
      <c r="H20" s="30" t="s">
        <v>680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2">
        <v>2</v>
      </c>
      <c r="W20" s="32">
        <v>2</v>
      </c>
      <c r="X20" s="32">
        <v>2</v>
      </c>
      <c r="Y20" s="32">
        <v>1</v>
      </c>
      <c r="Z20" s="32">
        <v>1</v>
      </c>
      <c r="AA20" s="31">
        <v>0</v>
      </c>
      <c r="AB20" s="32">
        <v>1</v>
      </c>
      <c r="AC20" s="32">
        <v>1</v>
      </c>
      <c r="AD20" s="31">
        <v>0</v>
      </c>
      <c r="AE20" s="32">
        <v>1</v>
      </c>
      <c r="AF20" s="31">
        <v>0</v>
      </c>
      <c r="AG20" s="32">
        <v>1</v>
      </c>
      <c r="AH20" s="32">
        <v>2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</row>
    <row r="21" spans="1:45">
      <c r="A21" s="30" t="s">
        <v>676</v>
      </c>
      <c r="B21" s="30" t="s">
        <v>1407</v>
      </c>
      <c r="C21" s="30" t="s">
        <v>677</v>
      </c>
      <c r="D21" s="30" t="s">
        <v>73</v>
      </c>
      <c r="E21" s="30" t="s">
        <v>1429</v>
      </c>
      <c r="F21" s="30" t="s">
        <v>73</v>
      </c>
      <c r="G21" s="30" t="s">
        <v>1430</v>
      </c>
      <c r="H21" s="30" t="s">
        <v>680</v>
      </c>
      <c r="I21" s="32">
        <v>1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2">
        <v>2</v>
      </c>
      <c r="AL21" s="31">
        <v>0</v>
      </c>
      <c r="AM21" s="31">
        <v>0</v>
      </c>
      <c r="AN21" s="31">
        <v>0</v>
      </c>
      <c r="AO21" s="31">
        <v>0</v>
      </c>
      <c r="AP21" s="32">
        <v>2</v>
      </c>
      <c r="AQ21" s="31">
        <v>0</v>
      </c>
      <c r="AR21" s="31">
        <v>0</v>
      </c>
      <c r="AS21" s="31">
        <v>0</v>
      </c>
    </row>
    <row r="22" spans="1:45">
      <c r="A22" s="30" t="s">
        <v>676</v>
      </c>
      <c r="B22" s="30" t="s">
        <v>1407</v>
      </c>
      <c r="C22" s="30" t="s">
        <v>677</v>
      </c>
      <c r="D22" s="30" t="s">
        <v>73</v>
      </c>
      <c r="E22" s="30" t="s">
        <v>1431</v>
      </c>
      <c r="F22" s="30" t="s">
        <v>73</v>
      </c>
      <c r="G22" s="30" t="s">
        <v>1432</v>
      </c>
      <c r="H22" s="30" t="s">
        <v>680</v>
      </c>
      <c r="I22" s="31">
        <v>0</v>
      </c>
      <c r="J22" s="31">
        <v>0</v>
      </c>
      <c r="K22" s="31">
        <v>0</v>
      </c>
      <c r="L22" s="31">
        <v>0</v>
      </c>
      <c r="M22" s="32">
        <v>1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</row>
    <row r="23" spans="1:45">
      <c r="A23" s="30" t="s">
        <v>676</v>
      </c>
      <c r="B23" s="30" t="s">
        <v>1407</v>
      </c>
      <c r="C23" s="30" t="s">
        <v>677</v>
      </c>
      <c r="D23" s="30" t="s">
        <v>73</v>
      </c>
      <c r="E23" s="30" t="s">
        <v>1433</v>
      </c>
      <c r="F23" s="30" t="s">
        <v>73</v>
      </c>
      <c r="G23" s="30" t="s">
        <v>415</v>
      </c>
      <c r="H23" s="30" t="s">
        <v>680</v>
      </c>
      <c r="I23" s="32">
        <v>677</v>
      </c>
      <c r="J23" s="32">
        <v>601.15470000000005</v>
      </c>
      <c r="K23" s="32">
        <v>453</v>
      </c>
      <c r="L23" s="32">
        <v>549</v>
      </c>
      <c r="M23" s="32">
        <v>442</v>
      </c>
      <c r="N23" s="32">
        <v>465</v>
      </c>
      <c r="O23" s="32">
        <v>595</v>
      </c>
      <c r="P23" s="32">
        <v>390</v>
      </c>
      <c r="Q23" s="32">
        <v>486</v>
      </c>
      <c r="R23" s="32">
        <v>545</v>
      </c>
      <c r="S23" s="32">
        <v>423</v>
      </c>
      <c r="T23" s="32">
        <v>382</v>
      </c>
      <c r="U23" s="32">
        <v>613.21770000000004</v>
      </c>
      <c r="V23" s="32">
        <v>414</v>
      </c>
      <c r="W23" s="32">
        <v>501</v>
      </c>
      <c r="X23" s="32">
        <v>502</v>
      </c>
      <c r="Y23" s="32">
        <v>427</v>
      </c>
      <c r="Z23" s="32">
        <v>418.77269999999999</v>
      </c>
      <c r="AA23" s="32">
        <v>708.67740000000003</v>
      </c>
      <c r="AB23" s="32">
        <v>382</v>
      </c>
      <c r="AC23" s="32">
        <v>375</v>
      </c>
      <c r="AD23" s="32">
        <v>471</v>
      </c>
      <c r="AE23" s="32">
        <v>277</v>
      </c>
      <c r="AF23" s="32">
        <v>357</v>
      </c>
      <c r="AG23" s="32">
        <v>505</v>
      </c>
      <c r="AH23" s="32">
        <v>322</v>
      </c>
      <c r="AI23" s="32">
        <v>379</v>
      </c>
      <c r="AJ23" s="32">
        <v>429</v>
      </c>
      <c r="AK23" s="32">
        <v>338</v>
      </c>
      <c r="AL23" s="32">
        <v>422</v>
      </c>
      <c r="AM23" s="32">
        <v>450</v>
      </c>
      <c r="AN23" s="32">
        <v>364</v>
      </c>
      <c r="AO23" s="32">
        <v>285</v>
      </c>
      <c r="AP23" s="32">
        <v>499</v>
      </c>
      <c r="AQ23" s="32">
        <v>314</v>
      </c>
      <c r="AR23" s="32">
        <v>448</v>
      </c>
      <c r="AS23" s="32">
        <v>651</v>
      </c>
    </row>
    <row r="24" spans="1:45">
      <c r="A24" s="30" t="s">
        <v>676</v>
      </c>
      <c r="B24" s="30" t="s">
        <v>1407</v>
      </c>
      <c r="C24" s="30" t="s">
        <v>677</v>
      </c>
      <c r="D24" s="30" t="s">
        <v>73</v>
      </c>
      <c r="E24" s="30" t="s">
        <v>1434</v>
      </c>
      <c r="F24" s="30" t="s">
        <v>73</v>
      </c>
      <c r="G24" s="30" t="s">
        <v>1435</v>
      </c>
      <c r="H24" s="30" t="s">
        <v>680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2">
        <v>20</v>
      </c>
      <c r="O24" s="32">
        <v>154</v>
      </c>
      <c r="P24" s="32">
        <v>114</v>
      </c>
      <c r="Q24" s="32">
        <v>50</v>
      </c>
      <c r="R24" s="32">
        <v>43</v>
      </c>
      <c r="S24" s="32">
        <v>29</v>
      </c>
      <c r="T24" s="32">
        <v>16</v>
      </c>
      <c r="U24" s="32">
        <v>29</v>
      </c>
      <c r="V24" s="32">
        <v>45.592100000000002</v>
      </c>
      <c r="W24" s="32">
        <v>11</v>
      </c>
      <c r="X24" s="32">
        <v>11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</row>
    <row r="25" spans="1:45">
      <c r="A25" s="30" t="s">
        <v>676</v>
      </c>
      <c r="B25" s="30" t="s">
        <v>1407</v>
      </c>
      <c r="C25" s="30" t="s">
        <v>677</v>
      </c>
      <c r="D25" s="30" t="s">
        <v>73</v>
      </c>
      <c r="E25" s="30" t="s">
        <v>1436</v>
      </c>
      <c r="F25" s="30" t="s">
        <v>73</v>
      </c>
      <c r="G25" s="30" t="s">
        <v>416</v>
      </c>
      <c r="H25" s="30" t="s">
        <v>680</v>
      </c>
      <c r="I25" s="32">
        <v>675</v>
      </c>
      <c r="J25" s="32">
        <v>487</v>
      </c>
      <c r="K25" s="32">
        <v>403</v>
      </c>
      <c r="L25" s="32">
        <v>584</v>
      </c>
      <c r="M25" s="32">
        <v>404</v>
      </c>
      <c r="N25" s="32">
        <v>437</v>
      </c>
      <c r="O25" s="32">
        <v>600</v>
      </c>
      <c r="P25" s="32">
        <v>440</v>
      </c>
      <c r="Q25" s="32">
        <v>439</v>
      </c>
      <c r="R25" s="32">
        <v>477</v>
      </c>
      <c r="S25" s="32">
        <v>422</v>
      </c>
      <c r="T25" s="32">
        <v>342</v>
      </c>
      <c r="U25" s="32">
        <v>542</v>
      </c>
      <c r="V25" s="32">
        <v>381</v>
      </c>
      <c r="W25" s="32">
        <v>430</v>
      </c>
      <c r="X25" s="32">
        <v>470</v>
      </c>
      <c r="Y25" s="32">
        <v>345</v>
      </c>
      <c r="Z25" s="32">
        <v>340.16550000000001</v>
      </c>
      <c r="AA25" s="32">
        <v>523.73379999999997</v>
      </c>
      <c r="AB25" s="32">
        <v>378</v>
      </c>
      <c r="AC25" s="32">
        <v>341</v>
      </c>
      <c r="AD25" s="32">
        <v>418</v>
      </c>
      <c r="AE25" s="32">
        <v>317</v>
      </c>
      <c r="AF25" s="32">
        <v>349</v>
      </c>
      <c r="AG25" s="32">
        <v>396</v>
      </c>
      <c r="AH25" s="32">
        <v>355</v>
      </c>
      <c r="AI25" s="32">
        <v>326</v>
      </c>
      <c r="AJ25" s="32">
        <v>442</v>
      </c>
      <c r="AK25" s="32">
        <v>324</v>
      </c>
      <c r="AL25" s="32">
        <v>403</v>
      </c>
      <c r="AM25" s="32">
        <v>539</v>
      </c>
      <c r="AN25" s="32">
        <v>394</v>
      </c>
      <c r="AO25" s="32">
        <v>376</v>
      </c>
      <c r="AP25" s="32">
        <v>547</v>
      </c>
      <c r="AQ25" s="32">
        <v>444</v>
      </c>
      <c r="AR25" s="32">
        <v>467</v>
      </c>
      <c r="AS25" s="32">
        <v>681</v>
      </c>
    </row>
    <row r="26" spans="1:45">
      <c r="A26" s="30" t="s">
        <v>676</v>
      </c>
      <c r="B26" s="30" t="s">
        <v>1407</v>
      </c>
      <c r="C26" s="30" t="s">
        <v>677</v>
      </c>
      <c r="D26" s="30" t="s">
        <v>73</v>
      </c>
      <c r="E26" s="30" t="s">
        <v>1437</v>
      </c>
      <c r="F26" s="30" t="s">
        <v>73</v>
      </c>
      <c r="G26" s="30" t="s">
        <v>417</v>
      </c>
      <c r="H26" s="30" t="s">
        <v>680</v>
      </c>
      <c r="I26" s="32">
        <v>1090</v>
      </c>
      <c r="J26" s="32">
        <v>775</v>
      </c>
      <c r="K26" s="32">
        <v>719</v>
      </c>
      <c r="L26" s="32">
        <v>957</v>
      </c>
      <c r="M26" s="32">
        <v>735</v>
      </c>
      <c r="N26" s="32">
        <v>803</v>
      </c>
      <c r="O26" s="32">
        <v>992</v>
      </c>
      <c r="P26" s="32">
        <v>655</v>
      </c>
      <c r="Q26" s="32">
        <v>688</v>
      </c>
      <c r="R26" s="32">
        <v>793</v>
      </c>
      <c r="S26" s="32">
        <v>746</v>
      </c>
      <c r="T26" s="32">
        <v>599</v>
      </c>
      <c r="U26" s="32">
        <v>950</v>
      </c>
      <c r="V26" s="32">
        <v>635.59209999999996</v>
      </c>
      <c r="W26" s="32">
        <v>643</v>
      </c>
      <c r="X26" s="32">
        <v>691</v>
      </c>
      <c r="Y26" s="32">
        <v>561</v>
      </c>
      <c r="Z26" s="32">
        <v>571.41070000000002</v>
      </c>
      <c r="AA26" s="32">
        <v>804.06370000000004</v>
      </c>
      <c r="AB26" s="32">
        <v>572</v>
      </c>
      <c r="AC26" s="32">
        <v>529</v>
      </c>
      <c r="AD26" s="32">
        <v>538</v>
      </c>
      <c r="AE26" s="32">
        <v>339</v>
      </c>
      <c r="AF26" s="32">
        <v>248</v>
      </c>
      <c r="AG26" s="32">
        <v>386</v>
      </c>
      <c r="AH26" s="32">
        <v>326</v>
      </c>
      <c r="AI26" s="32">
        <v>295</v>
      </c>
      <c r="AJ26" s="32">
        <v>417</v>
      </c>
      <c r="AK26" s="32">
        <v>278</v>
      </c>
      <c r="AL26" s="32">
        <v>397</v>
      </c>
      <c r="AM26" s="32">
        <v>716</v>
      </c>
      <c r="AN26" s="32">
        <v>594</v>
      </c>
      <c r="AO26" s="32">
        <v>479</v>
      </c>
      <c r="AP26" s="32">
        <v>714</v>
      </c>
      <c r="AQ26" s="32">
        <v>625</v>
      </c>
      <c r="AR26" s="32">
        <v>656</v>
      </c>
      <c r="AS26" s="32">
        <v>956</v>
      </c>
    </row>
    <row r="27" spans="1:45">
      <c r="A27" s="30" t="s">
        <v>676</v>
      </c>
      <c r="B27" s="30" t="s">
        <v>1407</v>
      </c>
      <c r="C27" s="30" t="s">
        <v>677</v>
      </c>
      <c r="D27" s="30" t="s">
        <v>73</v>
      </c>
      <c r="E27" s="30" t="s">
        <v>1438</v>
      </c>
      <c r="F27" s="30" t="s">
        <v>73</v>
      </c>
      <c r="G27" s="30" t="s">
        <v>1439</v>
      </c>
      <c r="H27" s="30" t="s">
        <v>680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2">
        <v>1</v>
      </c>
      <c r="AQ27" s="31">
        <v>0</v>
      </c>
      <c r="AR27" s="31">
        <v>0</v>
      </c>
      <c r="AS27" s="31">
        <v>0</v>
      </c>
    </row>
    <row r="28" spans="1:45">
      <c r="A28" s="30" t="s">
        <v>676</v>
      </c>
      <c r="B28" s="30" t="s">
        <v>1407</v>
      </c>
      <c r="C28" s="30" t="s">
        <v>677</v>
      </c>
      <c r="D28" s="30" t="s">
        <v>73</v>
      </c>
      <c r="E28" s="30" t="s">
        <v>1440</v>
      </c>
      <c r="F28" s="30" t="s">
        <v>73</v>
      </c>
      <c r="G28" s="30" t="s">
        <v>418</v>
      </c>
      <c r="H28" s="30" t="s">
        <v>680</v>
      </c>
      <c r="I28" s="32">
        <v>192</v>
      </c>
      <c r="J28" s="32">
        <v>101</v>
      </c>
      <c r="K28" s="32">
        <v>117</v>
      </c>
      <c r="L28" s="32">
        <v>228</v>
      </c>
      <c r="M28" s="32">
        <v>128</v>
      </c>
      <c r="N28" s="32">
        <v>160</v>
      </c>
      <c r="O28" s="32">
        <v>201</v>
      </c>
      <c r="P28" s="32">
        <v>120</v>
      </c>
      <c r="Q28" s="32">
        <v>152</v>
      </c>
      <c r="R28" s="32">
        <v>185</v>
      </c>
      <c r="S28" s="32">
        <v>126</v>
      </c>
      <c r="T28" s="32">
        <v>126</v>
      </c>
      <c r="U28" s="32">
        <v>164</v>
      </c>
      <c r="V28" s="32">
        <v>140.19739999999999</v>
      </c>
      <c r="W28" s="32">
        <v>143</v>
      </c>
      <c r="X28" s="32">
        <v>185</v>
      </c>
      <c r="Y28" s="32">
        <v>235</v>
      </c>
      <c r="Z28" s="32">
        <v>181</v>
      </c>
      <c r="AA28" s="32">
        <v>305</v>
      </c>
      <c r="AB28" s="32">
        <v>245</v>
      </c>
      <c r="AC28" s="32">
        <v>249</v>
      </c>
      <c r="AD28" s="32">
        <v>329</v>
      </c>
      <c r="AE28" s="32">
        <v>248</v>
      </c>
      <c r="AF28" s="32">
        <v>227</v>
      </c>
      <c r="AG28" s="32">
        <v>282</v>
      </c>
      <c r="AH28" s="32">
        <v>249</v>
      </c>
      <c r="AI28" s="32">
        <v>204</v>
      </c>
      <c r="AJ28" s="32">
        <v>300</v>
      </c>
      <c r="AK28" s="32">
        <v>262</v>
      </c>
      <c r="AL28" s="32">
        <v>262</v>
      </c>
      <c r="AM28" s="32">
        <v>412</v>
      </c>
      <c r="AN28" s="32">
        <v>332</v>
      </c>
      <c r="AO28" s="32">
        <v>291</v>
      </c>
      <c r="AP28" s="32">
        <v>409</v>
      </c>
      <c r="AQ28" s="32">
        <v>445</v>
      </c>
      <c r="AR28" s="32">
        <v>368</v>
      </c>
      <c r="AS28" s="32">
        <v>535</v>
      </c>
    </row>
    <row r="29" spans="1:45">
      <c r="A29" s="30" t="s">
        <v>676</v>
      </c>
      <c r="B29" s="30" t="s">
        <v>1407</v>
      </c>
      <c r="C29" s="30" t="s">
        <v>677</v>
      </c>
      <c r="D29" s="30" t="s">
        <v>73</v>
      </c>
      <c r="E29" s="30" t="s">
        <v>1441</v>
      </c>
      <c r="F29" s="30" t="s">
        <v>73</v>
      </c>
      <c r="G29" s="30" t="s">
        <v>419</v>
      </c>
      <c r="H29" s="30" t="s">
        <v>680</v>
      </c>
      <c r="I29" s="32">
        <v>900</v>
      </c>
      <c r="J29" s="32">
        <v>646.15470000000005</v>
      </c>
      <c r="K29" s="32">
        <v>552</v>
      </c>
      <c r="L29" s="32">
        <v>731</v>
      </c>
      <c r="M29" s="32">
        <v>543</v>
      </c>
      <c r="N29" s="32">
        <v>623</v>
      </c>
      <c r="O29" s="32">
        <v>738</v>
      </c>
      <c r="P29" s="32">
        <v>561</v>
      </c>
      <c r="Q29" s="32">
        <v>550</v>
      </c>
      <c r="R29" s="32">
        <v>684</v>
      </c>
      <c r="S29" s="32">
        <v>526</v>
      </c>
      <c r="T29" s="32">
        <v>484</v>
      </c>
      <c r="U29" s="32">
        <v>623</v>
      </c>
      <c r="V29" s="32">
        <v>490.19740000000002</v>
      </c>
      <c r="W29" s="32">
        <v>463</v>
      </c>
      <c r="X29" s="32">
        <v>578</v>
      </c>
      <c r="Y29" s="32">
        <v>465</v>
      </c>
      <c r="Z29" s="32">
        <v>497.8288</v>
      </c>
      <c r="AA29" s="32">
        <v>684.29909999999995</v>
      </c>
      <c r="AB29" s="32">
        <v>433</v>
      </c>
      <c r="AC29" s="32">
        <v>465</v>
      </c>
      <c r="AD29" s="32">
        <v>570</v>
      </c>
      <c r="AE29" s="32">
        <v>415</v>
      </c>
      <c r="AF29" s="32">
        <v>429</v>
      </c>
      <c r="AG29" s="32">
        <v>501</v>
      </c>
      <c r="AH29" s="32">
        <v>336</v>
      </c>
      <c r="AI29" s="32">
        <v>294</v>
      </c>
      <c r="AJ29" s="32">
        <v>404</v>
      </c>
      <c r="AK29" s="32">
        <v>286</v>
      </c>
      <c r="AL29" s="32">
        <v>349</v>
      </c>
      <c r="AM29" s="32">
        <v>570</v>
      </c>
      <c r="AN29" s="32">
        <v>420</v>
      </c>
      <c r="AO29" s="32">
        <v>402</v>
      </c>
      <c r="AP29" s="32">
        <v>547</v>
      </c>
      <c r="AQ29" s="32">
        <v>489</v>
      </c>
      <c r="AR29" s="32">
        <v>488</v>
      </c>
      <c r="AS29" s="32">
        <v>692</v>
      </c>
    </row>
    <row r="30" spans="1:45">
      <c r="A30" s="30" t="s">
        <v>676</v>
      </c>
      <c r="B30" s="30" t="s">
        <v>1407</v>
      </c>
      <c r="C30" s="30" t="s">
        <v>677</v>
      </c>
      <c r="D30" s="30" t="s">
        <v>73</v>
      </c>
      <c r="E30" s="30" t="s">
        <v>1442</v>
      </c>
      <c r="F30" s="30" t="s">
        <v>73</v>
      </c>
      <c r="G30" s="30" t="s">
        <v>420</v>
      </c>
      <c r="H30" s="30" t="s">
        <v>680</v>
      </c>
      <c r="I30" s="32">
        <v>739</v>
      </c>
      <c r="J30" s="32">
        <v>500</v>
      </c>
      <c r="K30" s="32">
        <v>444</v>
      </c>
      <c r="L30" s="32">
        <v>561</v>
      </c>
      <c r="M30" s="32">
        <v>501</v>
      </c>
      <c r="N30" s="32">
        <v>495</v>
      </c>
      <c r="O30" s="32">
        <v>830</v>
      </c>
      <c r="P30" s="32">
        <v>524</v>
      </c>
      <c r="Q30" s="32">
        <v>554</v>
      </c>
      <c r="R30" s="32">
        <v>668</v>
      </c>
      <c r="S30" s="32">
        <v>588</v>
      </c>
      <c r="T30" s="32">
        <v>416</v>
      </c>
      <c r="U30" s="32">
        <v>691</v>
      </c>
      <c r="V30" s="32">
        <v>506</v>
      </c>
      <c r="W30" s="32">
        <v>534</v>
      </c>
      <c r="X30" s="32">
        <v>601</v>
      </c>
      <c r="Y30" s="32">
        <v>473</v>
      </c>
      <c r="Z30" s="32">
        <v>481.89150000000001</v>
      </c>
      <c r="AA30" s="32">
        <v>798.51220000000001</v>
      </c>
      <c r="AB30" s="32">
        <v>444</v>
      </c>
      <c r="AC30" s="32">
        <v>412</v>
      </c>
      <c r="AD30" s="32">
        <v>432</v>
      </c>
      <c r="AE30" s="32">
        <v>363</v>
      </c>
      <c r="AF30" s="32">
        <v>398</v>
      </c>
      <c r="AG30" s="32">
        <v>542</v>
      </c>
      <c r="AH30" s="32">
        <v>332</v>
      </c>
      <c r="AI30" s="32">
        <v>363</v>
      </c>
      <c r="AJ30" s="32">
        <v>519</v>
      </c>
      <c r="AK30" s="32">
        <v>360</v>
      </c>
      <c r="AL30" s="32">
        <v>414</v>
      </c>
      <c r="AM30" s="32">
        <v>672</v>
      </c>
      <c r="AN30" s="32">
        <v>502</v>
      </c>
      <c r="AO30" s="32">
        <v>438</v>
      </c>
      <c r="AP30" s="32">
        <v>616</v>
      </c>
      <c r="AQ30" s="32">
        <v>502</v>
      </c>
      <c r="AR30" s="32">
        <v>529</v>
      </c>
      <c r="AS30" s="32">
        <v>913</v>
      </c>
    </row>
    <row r="31" spans="1:45">
      <c r="A31" s="30" t="s">
        <v>676</v>
      </c>
      <c r="B31" s="30" t="s">
        <v>1407</v>
      </c>
      <c r="C31" s="30" t="s">
        <v>677</v>
      </c>
      <c r="D31" s="30" t="s">
        <v>73</v>
      </c>
      <c r="E31" s="30" t="s">
        <v>1443</v>
      </c>
      <c r="F31" s="30" t="s">
        <v>73</v>
      </c>
      <c r="G31" s="30" t="s">
        <v>421</v>
      </c>
      <c r="H31" s="30" t="s">
        <v>680</v>
      </c>
      <c r="I31" s="32">
        <v>224</v>
      </c>
      <c r="J31" s="32">
        <v>123</v>
      </c>
      <c r="K31" s="32">
        <v>140</v>
      </c>
      <c r="L31" s="32">
        <v>203</v>
      </c>
      <c r="M31" s="32">
        <v>135</v>
      </c>
      <c r="N31" s="32">
        <v>138</v>
      </c>
      <c r="O31" s="32">
        <v>221</v>
      </c>
      <c r="P31" s="32">
        <v>152</v>
      </c>
      <c r="Q31" s="32">
        <v>168</v>
      </c>
      <c r="R31" s="32">
        <v>246</v>
      </c>
      <c r="S31" s="32">
        <v>119</v>
      </c>
      <c r="T31" s="32">
        <v>142</v>
      </c>
      <c r="U31" s="32">
        <v>172</v>
      </c>
      <c r="V31" s="32">
        <v>136</v>
      </c>
      <c r="W31" s="32">
        <v>148</v>
      </c>
      <c r="X31" s="32">
        <v>173</v>
      </c>
      <c r="Y31" s="32">
        <v>126</v>
      </c>
      <c r="Z31" s="32">
        <v>136</v>
      </c>
      <c r="AA31" s="32">
        <v>232</v>
      </c>
      <c r="AB31" s="32">
        <v>132</v>
      </c>
      <c r="AC31" s="32">
        <v>151</v>
      </c>
      <c r="AD31" s="32">
        <v>263</v>
      </c>
      <c r="AE31" s="32">
        <v>176</v>
      </c>
      <c r="AF31" s="32">
        <v>125</v>
      </c>
      <c r="AG31" s="32">
        <v>187</v>
      </c>
      <c r="AH31" s="32">
        <v>170</v>
      </c>
      <c r="AI31" s="32">
        <v>138</v>
      </c>
      <c r="AJ31" s="32">
        <v>217</v>
      </c>
      <c r="AK31" s="32">
        <v>186</v>
      </c>
      <c r="AL31" s="32">
        <v>202</v>
      </c>
      <c r="AM31" s="32">
        <v>285</v>
      </c>
      <c r="AN31" s="32">
        <v>234</v>
      </c>
      <c r="AO31" s="32">
        <v>187</v>
      </c>
      <c r="AP31" s="32">
        <v>229</v>
      </c>
      <c r="AQ31" s="32">
        <v>273</v>
      </c>
      <c r="AR31" s="32">
        <v>236</v>
      </c>
      <c r="AS31" s="32">
        <v>352</v>
      </c>
    </row>
    <row r="32" spans="1:45">
      <c r="A32" s="30" t="s">
        <v>676</v>
      </c>
      <c r="B32" s="30" t="s">
        <v>1407</v>
      </c>
      <c r="C32" s="30" t="s">
        <v>677</v>
      </c>
      <c r="D32" s="30" t="s">
        <v>73</v>
      </c>
      <c r="E32" s="30" t="s">
        <v>1444</v>
      </c>
      <c r="F32" s="30" t="s">
        <v>73</v>
      </c>
      <c r="G32" s="30" t="s">
        <v>422</v>
      </c>
      <c r="H32" s="30" t="s">
        <v>680</v>
      </c>
      <c r="I32" s="32">
        <v>642</v>
      </c>
      <c r="J32" s="32">
        <v>497</v>
      </c>
      <c r="K32" s="32">
        <v>461</v>
      </c>
      <c r="L32" s="32">
        <v>613</v>
      </c>
      <c r="M32" s="32">
        <v>504</v>
      </c>
      <c r="N32" s="32">
        <v>504</v>
      </c>
      <c r="O32" s="32">
        <v>680</v>
      </c>
      <c r="P32" s="32">
        <v>468</v>
      </c>
      <c r="Q32" s="32">
        <v>495</v>
      </c>
      <c r="R32" s="32">
        <v>615</v>
      </c>
      <c r="S32" s="32">
        <v>484</v>
      </c>
      <c r="T32" s="32">
        <v>461</v>
      </c>
      <c r="U32" s="32">
        <v>685</v>
      </c>
      <c r="V32" s="32">
        <v>467</v>
      </c>
      <c r="W32" s="32">
        <v>518</v>
      </c>
      <c r="X32" s="32">
        <v>541</v>
      </c>
      <c r="Y32" s="32">
        <v>461</v>
      </c>
      <c r="Z32" s="32">
        <v>431.40609999999998</v>
      </c>
      <c r="AA32" s="32">
        <v>618.24599999999998</v>
      </c>
      <c r="AB32" s="32">
        <v>426</v>
      </c>
      <c r="AC32" s="32">
        <v>463</v>
      </c>
      <c r="AD32" s="32">
        <v>403</v>
      </c>
      <c r="AE32" s="32">
        <v>322</v>
      </c>
      <c r="AF32" s="32">
        <v>419</v>
      </c>
      <c r="AG32" s="32">
        <v>570</v>
      </c>
      <c r="AH32" s="32">
        <v>404</v>
      </c>
      <c r="AI32" s="32">
        <v>341</v>
      </c>
      <c r="AJ32" s="32">
        <v>523</v>
      </c>
      <c r="AK32" s="32">
        <v>476</v>
      </c>
      <c r="AL32" s="32">
        <v>548</v>
      </c>
      <c r="AM32" s="32">
        <v>659</v>
      </c>
      <c r="AN32" s="32">
        <v>519</v>
      </c>
      <c r="AO32" s="32">
        <v>492</v>
      </c>
      <c r="AP32" s="32">
        <v>666</v>
      </c>
      <c r="AQ32" s="32">
        <v>553</v>
      </c>
      <c r="AR32" s="32">
        <v>588</v>
      </c>
      <c r="AS32" s="32">
        <v>1021</v>
      </c>
    </row>
    <row r="33" spans="1:45">
      <c r="A33" s="30" t="s">
        <v>676</v>
      </c>
      <c r="B33" s="30" t="s">
        <v>1407</v>
      </c>
      <c r="C33" s="30" t="s">
        <v>677</v>
      </c>
      <c r="D33" s="30" t="s">
        <v>73</v>
      </c>
      <c r="E33" s="30" t="s">
        <v>1445</v>
      </c>
      <c r="F33" s="30" t="s">
        <v>73</v>
      </c>
      <c r="G33" s="30" t="s">
        <v>423</v>
      </c>
      <c r="H33" s="30" t="s">
        <v>680</v>
      </c>
      <c r="I33" s="32">
        <v>910</v>
      </c>
      <c r="J33" s="32">
        <v>690</v>
      </c>
      <c r="K33" s="32">
        <v>634</v>
      </c>
      <c r="L33" s="32">
        <v>783</v>
      </c>
      <c r="M33" s="32">
        <v>607</v>
      </c>
      <c r="N33" s="32">
        <v>691</v>
      </c>
      <c r="O33" s="32">
        <v>945</v>
      </c>
      <c r="P33" s="32">
        <v>591</v>
      </c>
      <c r="Q33" s="32">
        <v>601</v>
      </c>
      <c r="R33" s="32">
        <v>754</v>
      </c>
      <c r="S33" s="32">
        <v>638</v>
      </c>
      <c r="T33" s="32">
        <v>519</v>
      </c>
      <c r="U33" s="32">
        <v>771</v>
      </c>
      <c r="V33" s="32">
        <v>568.19740000000002</v>
      </c>
      <c r="W33" s="32">
        <v>590</v>
      </c>
      <c r="X33" s="32">
        <v>635</v>
      </c>
      <c r="Y33" s="32">
        <v>519</v>
      </c>
      <c r="Z33" s="32">
        <v>565.52369999999996</v>
      </c>
      <c r="AA33" s="32">
        <v>690.67160000000001</v>
      </c>
      <c r="AB33" s="32">
        <v>529</v>
      </c>
      <c r="AC33" s="32">
        <v>472</v>
      </c>
      <c r="AD33" s="32">
        <v>451</v>
      </c>
      <c r="AE33" s="32">
        <v>401</v>
      </c>
      <c r="AF33" s="32">
        <v>465</v>
      </c>
      <c r="AG33" s="32">
        <v>523</v>
      </c>
      <c r="AH33" s="32">
        <v>425</v>
      </c>
      <c r="AI33" s="32">
        <v>434</v>
      </c>
      <c r="AJ33" s="32">
        <v>574</v>
      </c>
      <c r="AK33" s="32">
        <v>427</v>
      </c>
      <c r="AL33" s="32">
        <v>497</v>
      </c>
      <c r="AM33" s="32">
        <v>703</v>
      </c>
      <c r="AN33" s="32">
        <v>524</v>
      </c>
      <c r="AO33" s="32">
        <v>464</v>
      </c>
      <c r="AP33" s="32">
        <v>664</v>
      </c>
      <c r="AQ33" s="32">
        <v>592</v>
      </c>
      <c r="AR33" s="32">
        <v>602</v>
      </c>
      <c r="AS33" s="32">
        <v>862</v>
      </c>
    </row>
    <row r="34" spans="1:45">
      <c r="A34" s="30" t="s">
        <v>676</v>
      </c>
      <c r="B34" s="30" t="s">
        <v>1407</v>
      </c>
      <c r="C34" s="30" t="s">
        <v>677</v>
      </c>
      <c r="D34" s="30" t="s">
        <v>73</v>
      </c>
      <c r="E34" s="30" t="s">
        <v>1446</v>
      </c>
      <c r="F34" s="30" t="s">
        <v>73</v>
      </c>
      <c r="G34" s="30" t="s">
        <v>1447</v>
      </c>
      <c r="H34" s="30" t="s">
        <v>680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2">
        <v>2</v>
      </c>
      <c r="AP34" s="31">
        <v>0</v>
      </c>
      <c r="AQ34" s="31">
        <v>0</v>
      </c>
      <c r="AR34" s="31">
        <v>0</v>
      </c>
      <c r="AS34" s="31">
        <v>0</v>
      </c>
    </row>
    <row r="35" spans="1:45">
      <c r="A35" s="30" t="s">
        <v>676</v>
      </c>
      <c r="B35" s="30" t="s">
        <v>1407</v>
      </c>
      <c r="C35" s="30" t="s">
        <v>677</v>
      </c>
      <c r="D35" s="30" t="s">
        <v>73</v>
      </c>
      <c r="E35" s="30" t="s">
        <v>1448</v>
      </c>
      <c r="F35" s="30" t="s">
        <v>73</v>
      </c>
      <c r="G35" s="30" t="s">
        <v>424</v>
      </c>
      <c r="H35" s="30" t="s">
        <v>680</v>
      </c>
      <c r="I35" s="32">
        <v>1567</v>
      </c>
      <c r="J35" s="32">
        <v>1025</v>
      </c>
      <c r="K35" s="32">
        <v>1107</v>
      </c>
      <c r="L35" s="32">
        <v>1236</v>
      </c>
      <c r="M35" s="32">
        <v>980</v>
      </c>
      <c r="N35" s="32">
        <v>1057</v>
      </c>
      <c r="O35" s="32">
        <v>1481</v>
      </c>
      <c r="P35" s="32">
        <v>917</v>
      </c>
      <c r="Q35" s="32">
        <v>1124</v>
      </c>
      <c r="R35" s="32">
        <v>1485</v>
      </c>
      <c r="S35" s="32">
        <v>1195</v>
      </c>
      <c r="T35" s="32">
        <v>990</v>
      </c>
      <c r="U35" s="32">
        <v>1479.2176999999999</v>
      </c>
      <c r="V35" s="32">
        <v>1043.3947000000001</v>
      </c>
      <c r="W35" s="32">
        <v>1035</v>
      </c>
      <c r="X35" s="32">
        <v>1139</v>
      </c>
      <c r="Y35" s="32">
        <v>947</v>
      </c>
      <c r="Z35" s="32">
        <v>932.24400000000003</v>
      </c>
      <c r="AA35" s="32">
        <v>1389.9487999999999</v>
      </c>
      <c r="AB35" s="32">
        <v>801</v>
      </c>
      <c r="AC35" s="32">
        <v>874</v>
      </c>
      <c r="AD35" s="32">
        <v>1221</v>
      </c>
      <c r="AE35" s="32">
        <v>793</v>
      </c>
      <c r="AF35" s="32">
        <v>817</v>
      </c>
      <c r="AG35" s="32">
        <v>1138</v>
      </c>
      <c r="AH35" s="32">
        <v>712</v>
      </c>
      <c r="AI35" s="32">
        <v>652</v>
      </c>
      <c r="AJ35" s="32">
        <v>840</v>
      </c>
      <c r="AK35" s="32">
        <v>725</v>
      </c>
      <c r="AL35" s="32">
        <v>864</v>
      </c>
      <c r="AM35" s="32">
        <v>1046</v>
      </c>
      <c r="AN35" s="32">
        <v>717</v>
      </c>
      <c r="AO35" s="32">
        <v>667</v>
      </c>
      <c r="AP35" s="32">
        <v>1053</v>
      </c>
      <c r="AQ35" s="32">
        <v>867</v>
      </c>
      <c r="AR35" s="32">
        <v>1015</v>
      </c>
      <c r="AS35" s="32">
        <v>1520</v>
      </c>
    </row>
    <row r="36" spans="1:45">
      <c r="A36" s="30" t="s">
        <v>676</v>
      </c>
      <c r="B36" s="30" t="s">
        <v>1407</v>
      </c>
      <c r="C36" s="30" t="s">
        <v>677</v>
      </c>
      <c r="D36" s="30" t="s">
        <v>73</v>
      </c>
      <c r="E36" s="30" t="s">
        <v>1449</v>
      </c>
      <c r="F36" s="30" t="s">
        <v>73</v>
      </c>
      <c r="G36" s="30" t="s">
        <v>425</v>
      </c>
      <c r="H36" s="30" t="s">
        <v>680</v>
      </c>
      <c r="I36" s="32">
        <v>860</v>
      </c>
      <c r="J36" s="32">
        <v>617</v>
      </c>
      <c r="K36" s="32">
        <v>543</v>
      </c>
      <c r="L36" s="32">
        <v>706</v>
      </c>
      <c r="M36" s="32">
        <v>501</v>
      </c>
      <c r="N36" s="32">
        <v>525</v>
      </c>
      <c r="O36" s="32">
        <v>849</v>
      </c>
      <c r="P36" s="32">
        <v>571</v>
      </c>
      <c r="Q36" s="32">
        <v>554</v>
      </c>
      <c r="R36" s="32">
        <v>762</v>
      </c>
      <c r="S36" s="32">
        <v>612</v>
      </c>
      <c r="T36" s="32">
        <v>530</v>
      </c>
      <c r="U36" s="32">
        <v>685</v>
      </c>
      <c r="V36" s="32">
        <v>555</v>
      </c>
      <c r="W36" s="32">
        <v>563</v>
      </c>
      <c r="X36" s="32">
        <v>675</v>
      </c>
      <c r="Y36" s="32">
        <v>505</v>
      </c>
      <c r="Z36" s="32">
        <v>486.92959999999999</v>
      </c>
      <c r="AA36" s="32">
        <v>804.42430000000002</v>
      </c>
      <c r="AB36" s="32">
        <v>482</v>
      </c>
      <c r="AC36" s="32">
        <v>460</v>
      </c>
      <c r="AD36" s="32">
        <v>673</v>
      </c>
      <c r="AE36" s="32">
        <v>541</v>
      </c>
      <c r="AF36" s="32">
        <v>476</v>
      </c>
      <c r="AG36" s="32">
        <v>634</v>
      </c>
      <c r="AH36" s="32">
        <v>472</v>
      </c>
      <c r="AI36" s="32">
        <v>432</v>
      </c>
      <c r="AJ36" s="32">
        <v>584</v>
      </c>
      <c r="AK36" s="32">
        <v>461</v>
      </c>
      <c r="AL36" s="32">
        <v>487</v>
      </c>
      <c r="AM36" s="32">
        <v>709</v>
      </c>
      <c r="AN36" s="32">
        <v>526</v>
      </c>
      <c r="AO36" s="32">
        <v>405</v>
      </c>
      <c r="AP36" s="32">
        <v>731</v>
      </c>
      <c r="AQ36" s="32">
        <v>624</v>
      </c>
      <c r="AR36" s="32">
        <v>577</v>
      </c>
      <c r="AS36" s="32">
        <v>969</v>
      </c>
    </row>
    <row r="37" spans="1:45">
      <c r="A37" s="30" t="s">
        <v>676</v>
      </c>
      <c r="B37" s="30" t="s">
        <v>1407</v>
      </c>
      <c r="C37" s="30" t="s">
        <v>677</v>
      </c>
      <c r="D37" s="30" t="s">
        <v>73</v>
      </c>
      <c r="E37" s="30" t="s">
        <v>1450</v>
      </c>
      <c r="F37" s="30" t="s">
        <v>73</v>
      </c>
      <c r="G37" s="30" t="s">
        <v>426</v>
      </c>
      <c r="H37" s="30" t="s">
        <v>680</v>
      </c>
      <c r="I37" s="32">
        <v>1095</v>
      </c>
      <c r="J37" s="32">
        <v>712</v>
      </c>
      <c r="K37" s="32">
        <v>671</v>
      </c>
      <c r="L37" s="32">
        <v>910</v>
      </c>
      <c r="M37" s="32">
        <v>729</v>
      </c>
      <c r="N37" s="32">
        <v>771</v>
      </c>
      <c r="O37" s="32">
        <v>974</v>
      </c>
      <c r="P37" s="32">
        <v>654</v>
      </c>
      <c r="Q37" s="32">
        <v>774</v>
      </c>
      <c r="R37" s="32">
        <v>858</v>
      </c>
      <c r="S37" s="32">
        <v>734</v>
      </c>
      <c r="T37" s="32">
        <v>644</v>
      </c>
      <c r="U37" s="32">
        <v>931</v>
      </c>
      <c r="V37" s="32">
        <v>639.19740000000002</v>
      </c>
      <c r="W37" s="32">
        <v>696</v>
      </c>
      <c r="X37" s="32">
        <v>797</v>
      </c>
      <c r="Y37" s="32">
        <v>658</v>
      </c>
      <c r="Z37" s="32">
        <v>631.39670000000001</v>
      </c>
      <c r="AA37" s="32">
        <v>873.721</v>
      </c>
      <c r="AB37" s="32">
        <v>597</v>
      </c>
      <c r="AC37" s="32">
        <v>660</v>
      </c>
      <c r="AD37" s="32">
        <v>774</v>
      </c>
      <c r="AE37" s="32">
        <v>601</v>
      </c>
      <c r="AF37" s="32">
        <v>644</v>
      </c>
      <c r="AG37" s="32">
        <v>713</v>
      </c>
      <c r="AH37" s="32">
        <v>472</v>
      </c>
      <c r="AI37" s="32">
        <v>419</v>
      </c>
      <c r="AJ37" s="32">
        <v>556</v>
      </c>
      <c r="AK37" s="32">
        <v>415</v>
      </c>
      <c r="AL37" s="32">
        <v>518</v>
      </c>
      <c r="AM37" s="32">
        <v>774</v>
      </c>
      <c r="AN37" s="32">
        <v>595</v>
      </c>
      <c r="AO37" s="32">
        <v>571</v>
      </c>
      <c r="AP37" s="32">
        <v>748</v>
      </c>
      <c r="AQ37" s="32">
        <v>686</v>
      </c>
      <c r="AR37" s="32">
        <v>629</v>
      </c>
      <c r="AS37" s="32">
        <v>1046</v>
      </c>
    </row>
    <row r="38" spans="1:45">
      <c r="A38" s="30" t="s">
        <v>676</v>
      </c>
      <c r="B38" s="30" t="s">
        <v>1407</v>
      </c>
      <c r="C38" s="30" t="s">
        <v>677</v>
      </c>
      <c r="D38" s="30" t="s">
        <v>73</v>
      </c>
      <c r="E38" s="30" t="s">
        <v>1451</v>
      </c>
      <c r="F38" s="30" t="s">
        <v>73</v>
      </c>
      <c r="G38" s="30" t="s">
        <v>427</v>
      </c>
      <c r="H38" s="30" t="s">
        <v>680</v>
      </c>
      <c r="I38" s="32">
        <v>728</v>
      </c>
      <c r="J38" s="32">
        <v>438</v>
      </c>
      <c r="K38" s="32">
        <v>445</v>
      </c>
      <c r="L38" s="32">
        <v>547</v>
      </c>
      <c r="M38" s="32">
        <v>444</v>
      </c>
      <c r="N38" s="32">
        <v>453</v>
      </c>
      <c r="O38" s="32">
        <v>718</v>
      </c>
      <c r="P38" s="32">
        <v>409</v>
      </c>
      <c r="Q38" s="32">
        <v>471</v>
      </c>
      <c r="R38" s="32">
        <v>615</v>
      </c>
      <c r="S38" s="32">
        <v>496</v>
      </c>
      <c r="T38" s="32">
        <v>503</v>
      </c>
      <c r="U38" s="32">
        <v>671</v>
      </c>
      <c r="V38" s="32">
        <v>461</v>
      </c>
      <c r="W38" s="32">
        <v>500</v>
      </c>
      <c r="X38" s="32">
        <v>583</v>
      </c>
      <c r="Y38" s="32">
        <v>460</v>
      </c>
      <c r="Z38" s="32">
        <v>433.62619999999998</v>
      </c>
      <c r="AA38" s="32">
        <v>662.93050000000005</v>
      </c>
      <c r="AB38" s="32">
        <v>463</v>
      </c>
      <c r="AC38" s="32">
        <v>439</v>
      </c>
      <c r="AD38" s="32">
        <v>525</v>
      </c>
      <c r="AE38" s="32">
        <v>392</v>
      </c>
      <c r="AF38" s="32">
        <v>394</v>
      </c>
      <c r="AG38" s="32">
        <v>538</v>
      </c>
      <c r="AH38" s="32">
        <v>405</v>
      </c>
      <c r="AI38" s="32">
        <v>394</v>
      </c>
      <c r="AJ38" s="32">
        <v>482</v>
      </c>
      <c r="AK38" s="32">
        <v>386</v>
      </c>
      <c r="AL38" s="32">
        <v>460</v>
      </c>
      <c r="AM38" s="32">
        <v>601</v>
      </c>
      <c r="AN38" s="32">
        <v>418</v>
      </c>
      <c r="AO38" s="32">
        <v>376</v>
      </c>
      <c r="AP38" s="32">
        <v>594</v>
      </c>
      <c r="AQ38" s="32">
        <v>528</v>
      </c>
      <c r="AR38" s="32">
        <v>541</v>
      </c>
      <c r="AS38" s="32">
        <v>803</v>
      </c>
    </row>
    <row r="39" spans="1:45">
      <c r="A39" s="30" t="s">
        <v>676</v>
      </c>
      <c r="B39" s="30" t="s">
        <v>1407</v>
      </c>
      <c r="C39" s="30" t="s">
        <v>677</v>
      </c>
      <c r="D39" s="30" t="s">
        <v>73</v>
      </c>
      <c r="E39" s="30" t="s">
        <v>1452</v>
      </c>
      <c r="F39" s="30" t="s">
        <v>73</v>
      </c>
      <c r="G39" s="30" t="s">
        <v>428</v>
      </c>
      <c r="H39" s="30" t="s">
        <v>680</v>
      </c>
      <c r="I39" s="32">
        <v>1136</v>
      </c>
      <c r="J39" s="32">
        <v>753</v>
      </c>
      <c r="K39" s="32">
        <v>716</v>
      </c>
      <c r="L39" s="32">
        <v>888</v>
      </c>
      <c r="M39" s="32">
        <v>729</v>
      </c>
      <c r="N39" s="32">
        <v>793</v>
      </c>
      <c r="O39" s="32">
        <v>1040</v>
      </c>
      <c r="P39" s="32">
        <v>723</v>
      </c>
      <c r="Q39" s="32">
        <v>803</v>
      </c>
      <c r="R39" s="32">
        <v>997</v>
      </c>
      <c r="S39" s="32">
        <v>823</v>
      </c>
      <c r="T39" s="32">
        <v>676</v>
      </c>
      <c r="U39" s="32">
        <v>953</v>
      </c>
      <c r="V39" s="32">
        <v>688.19740000000002</v>
      </c>
      <c r="W39" s="32">
        <v>646</v>
      </c>
      <c r="X39" s="32">
        <v>840</v>
      </c>
      <c r="Y39" s="32">
        <v>703</v>
      </c>
      <c r="Z39" s="32">
        <v>686.37310000000002</v>
      </c>
      <c r="AA39" s="32">
        <v>938.44650000000001</v>
      </c>
      <c r="AB39" s="32">
        <v>679</v>
      </c>
      <c r="AC39" s="32">
        <v>694</v>
      </c>
      <c r="AD39" s="32">
        <v>949</v>
      </c>
      <c r="AE39" s="32">
        <v>507</v>
      </c>
      <c r="AF39" s="32">
        <v>430</v>
      </c>
      <c r="AG39" s="32">
        <v>796</v>
      </c>
      <c r="AH39" s="32">
        <v>628</v>
      </c>
      <c r="AI39" s="32">
        <v>506</v>
      </c>
      <c r="AJ39" s="32">
        <v>694</v>
      </c>
      <c r="AK39" s="32">
        <v>633</v>
      </c>
      <c r="AL39" s="32">
        <v>671</v>
      </c>
      <c r="AM39" s="32">
        <v>913</v>
      </c>
      <c r="AN39" s="32">
        <v>703</v>
      </c>
      <c r="AO39" s="32">
        <v>654</v>
      </c>
      <c r="AP39" s="32">
        <v>982</v>
      </c>
      <c r="AQ39" s="32">
        <v>712</v>
      </c>
      <c r="AR39" s="32">
        <v>781</v>
      </c>
      <c r="AS39" s="32">
        <v>1195</v>
      </c>
    </row>
    <row r="40" spans="1:45">
      <c r="A40" s="30" t="s">
        <v>676</v>
      </c>
      <c r="B40" s="30" t="s">
        <v>1407</v>
      </c>
      <c r="C40" s="30" t="s">
        <v>677</v>
      </c>
      <c r="D40" s="30" t="s">
        <v>73</v>
      </c>
      <c r="E40" s="30" t="s">
        <v>1453</v>
      </c>
      <c r="F40" s="30" t="s">
        <v>73</v>
      </c>
      <c r="G40" s="30" t="s">
        <v>429</v>
      </c>
      <c r="H40" s="30" t="s">
        <v>680</v>
      </c>
      <c r="I40" s="32">
        <v>607</v>
      </c>
      <c r="J40" s="32">
        <v>449</v>
      </c>
      <c r="K40" s="32">
        <v>360</v>
      </c>
      <c r="L40" s="32">
        <v>541</v>
      </c>
      <c r="M40" s="32">
        <v>408</v>
      </c>
      <c r="N40" s="32">
        <v>405</v>
      </c>
      <c r="O40" s="32">
        <v>591</v>
      </c>
      <c r="P40" s="32">
        <v>394</v>
      </c>
      <c r="Q40" s="32">
        <v>442</v>
      </c>
      <c r="R40" s="32">
        <v>528</v>
      </c>
      <c r="S40" s="32">
        <v>381</v>
      </c>
      <c r="T40" s="32">
        <v>358</v>
      </c>
      <c r="U40" s="32">
        <v>503</v>
      </c>
      <c r="V40" s="32">
        <v>368.19740000000002</v>
      </c>
      <c r="W40" s="32">
        <v>398</v>
      </c>
      <c r="X40" s="32">
        <v>440</v>
      </c>
      <c r="Y40" s="32">
        <v>328</v>
      </c>
      <c r="Z40" s="32">
        <v>313.46109999999999</v>
      </c>
      <c r="AA40" s="32">
        <v>508.90499999999997</v>
      </c>
      <c r="AB40" s="32">
        <v>345</v>
      </c>
      <c r="AC40" s="32">
        <v>389</v>
      </c>
      <c r="AD40" s="32">
        <v>451</v>
      </c>
      <c r="AE40" s="32">
        <v>394</v>
      </c>
      <c r="AF40" s="32">
        <v>398</v>
      </c>
      <c r="AG40" s="32">
        <v>401</v>
      </c>
      <c r="AH40" s="32">
        <v>323</v>
      </c>
      <c r="AI40" s="32">
        <v>329</v>
      </c>
      <c r="AJ40" s="32">
        <v>433</v>
      </c>
      <c r="AK40" s="32">
        <v>355</v>
      </c>
      <c r="AL40" s="32">
        <v>423</v>
      </c>
      <c r="AM40" s="32">
        <v>526</v>
      </c>
      <c r="AN40" s="32">
        <v>390</v>
      </c>
      <c r="AO40" s="32">
        <v>353</v>
      </c>
      <c r="AP40" s="32">
        <v>535</v>
      </c>
      <c r="AQ40" s="32">
        <v>427</v>
      </c>
      <c r="AR40" s="32">
        <v>448</v>
      </c>
      <c r="AS40" s="32">
        <v>611</v>
      </c>
    </row>
    <row r="41" spans="1:45">
      <c r="A41" s="30" t="s">
        <v>676</v>
      </c>
      <c r="B41" s="30" t="s">
        <v>1407</v>
      </c>
      <c r="C41" s="30" t="s">
        <v>677</v>
      </c>
      <c r="D41" s="30" t="s">
        <v>73</v>
      </c>
      <c r="E41" s="30" t="s">
        <v>1454</v>
      </c>
      <c r="F41" s="30" t="s">
        <v>73</v>
      </c>
      <c r="G41" s="30" t="s">
        <v>428</v>
      </c>
      <c r="H41" s="30" t="s">
        <v>680</v>
      </c>
      <c r="I41" s="32">
        <v>295</v>
      </c>
      <c r="J41" s="32">
        <v>168.15469999999999</v>
      </c>
      <c r="K41" s="32">
        <v>191</v>
      </c>
      <c r="L41" s="32">
        <v>278</v>
      </c>
      <c r="M41" s="32">
        <v>185</v>
      </c>
      <c r="N41" s="32">
        <v>220</v>
      </c>
      <c r="O41" s="32">
        <v>309</v>
      </c>
      <c r="P41" s="32">
        <v>188</v>
      </c>
      <c r="Q41" s="32">
        <v>227</v>
      </c>
      <c r="R41" s="32">
        <v>292</v>
      </c>
      <c r="S41" s="32">
        <v>227</v>
      </c>
      <c r="T41" s="32">
        <v>212</v>
      </c>
      <c r="U41" s="32">
        <v>270</v>
      </c>
      <c r="V41" s="32">
        <v>182</v>
      </c>
      <c r="W41" s="32">
        <v>201</v>
      </c>
      <c r="X41" s="32">
        <v>219</v>
      </c>
      <c r="Y41" s="32">
        <v>208</v>
      </c>
      <c r="Z41" s="32">
        <v>211</v>
      </c>
      <c r="AA41" s="32">
        <v>283</v>
      </c>
      <c r="AB41" s="32">
        <v>171</v>
      </c>
      <c r="AC41" s="32">
        <v>191</v>
      </c>
      <c r="AD41" s="32">
        <v>301</v>
      </c>
      <c r="AE41" s="32">
        <v>247</v>
      </c>
      <c r="AF41" s="32">
        <v>179</v>
      </c>
      <c r="AG41" s="32">
        <v>257</v>
      </c>
      <c r="AH41" s="32">
        <v>197</v>
      </c>
      <c r="AI41" s="32">
        <v>188</v>
      </c>
      <c r="AJ41" s="32">
        <v>242</v>
      </c>
      <c r="AK41" s="32">
        <v>242</v>
      </c>
      <c r="AL41" s="32">
        <v>230</v>
      </c>
      <c r="AM41" s="32">
        <v>333</v>
      </c>
      <c r="AN41" s="32">
        <v>271</v>
      </c>
      <c r="AO41" s="32">
        <v>235</v>
      </c>
      <c r="AP41" s="32">
        <v>295</v>
      </c>
      <c r="AQ41" s="32">
        <v>324</v>
      </c>
      <c r="AR41" s="32">
        <v>279</v>
      </c>
      <c r="AS41" s="32">
        <v>493</v>
      </c>
    </row>
    <row r="42" spans="1:45">
      <c r="A42" s="30" t="s">
        <v>676</v>
      </c>
      <c r="B42" s="30" t="s">
        <v>1407</v>
      </c>
      <c r="C42" s="30" t="s">
        <v>677</v>
      </c>
      <c r="D42" s="30" t="s">
        <v>73</v>
      </c>
      <c r="E42" s="30" t="s">
        <v>1455</v>
      </c>
      <c r="F42" s="30" t="s">
        <v>73</v>
      </c>
      <c r="G42" s="30" t="s">
        <v>430</v>
      </c>
      <c r="H42" s="30" t="s">
        <v>680</v>
      </c>
      <c r="I42" s="32">
        <v>1444</v>
      </c>
      <c r="J42" s="32">
        <v>915</v>
      </c>
      <c r="K42" s="32">
        <v>893</v>
      </c>
      <c r="L42" s="32">
        <v>1225</v>
      </c>
      <c r="M42" s="32">
        <v>980</v>
      </c>
      <c r="N42" s="32">
        <v>956</v>
      </c>
      <c r="O42" s="32">
        <v>1265</v>
      </c>
      <c r="P42" s="32">
        <v>880</v>
      </c>
      <c r="Q42" s="32">
        <v>917</v>
      </c>
      <c r="R42" s="32">
        <v>1229</v>
      </c>
      <c r="S42" s="32">
        <v>946</v>
      </c>
      <c r="T42" s="32">
        <v>824</v>
      </c>
      <c r="U42" s="32">
        <v>1258</v>
      </c>
      <c r="V42" s="32">
        <v>955.39469999999994</v>
      </c>
      <c r="W42" s="32">
        <v>934</v>
      </c>
      <c r="X42" s="32">
        <v>1072</v>
      </c>
      <c r="Y42" s="32">
        <v>834</v>
      </c>
      <c r="Z42" s="32">
        <v>868.14149999999995</v>
      </c>
      <c r="AA42" s="32">
        <v>1182.1187</v>
      </c>
      <c r="AB42" s="32">
        <v>765</v>
      </c>
      <c r="AC42" s="32">
        <v>741</v>
      </c>
      <c r="AD42" s="32">
        <v>958</v>
      </c>
      <c r="AE42" s="32">
        <v>648</v>
      </c>
      <c r="AF42" s="32">
        <v>731</v>
      </c>
      <c r="AG42" s="32">
        <v>981</v>
      </c>
      <c r="AH42" s="32">
        <v>628</v>
      </c>
      <c r="AI42" s="32">
        <v>475</v>
      </c>
      <c r="AJ42" s="32">
        <v>661</v>
      </c>
      <c r="AK42" s="32">
        <v>657</v>
      </c>
      <c r="AL42" s="32">
        <v>709</v>
      </c>
      <c r="AM42" s="32">
        <v>890</v>
      </c>
      <c r="AN42" s="32">
        <v>755</v>
      </c>
      <c r="AO42" s="32">
        <v>722</v>
      </c>
      <c r="AP42" s="32">
        <v>874</v>
      </c>
      <c r="AQ42" s="32">
        <v>785</v>
      </c>
      <c r="AR42" s="32">
        <v>873</v>
      </c>
      <c r="AS42" s="32">
        <v>1220</v>
      </c>
    </row>
    <row r="43" spans="1:45">
      <c r="A43" s="30" t="s">
        <v>676</v>
      </c>
      <c r="B43" s="30" t="s">
        <v>1407</v>
      </c>
      <c r="C43" s="30" t="s">
        <v>677</v>
      </c>
      <c r="D43" s="30" t="s">
        <v>73</v>
      </c>
      <c r="E43" s="30" t="s">
        <v>1456</v>
      </c>
      <c r="F43" s="30" t="s">
        <v>73</v>
      </c>
      <c r="G43" s="30" t="s">
        <v>431</v>
      </c>
      <c r="H43" s="30" t="s">
        <v>680</v>
      </c>
      <c r="I43" s="32">
        <v>824</v>
      </c>
      <c r="J43" s="32">
        <v>596</v>
      </c>
      <c r="K43" s="32">
        <v>634</v>
      </c>
      <c r="L43" s="32">
        <v>685</v>
      </c>
      <c r="M43" s="32">
        <v>551</v>
      </c>
      <c r="N43" s="32">
        <v>665</v>
      </c>
      <c r="O43" s="32">
        <v>787</v>
      </c>
      <c r="P43" s="32">
        <v>555</v>
      </c>
      <c r="Q43" s="32">
        <v>595</v>
      </c>
      <c r="R43" s="32">
        <v>748</v>
      </c>
      <c r="S43" s="32">
        <v>644</v>
      </c>
      <c r="T43" s="32">
        <v>504</v>
      </c>
      <c r="U43" s="32">
        <v>831</v>
      </c>
      <c r="V43" s="32">
        <v>643</v>
      </c>
      <c r="W43" s="32">
        <v>607</v>
      </c>
      <c r="X43" s="32">
        <v>672</v>
      </c>
      <c r="Y43" s="32">
        <v>545</v>
      </c>
      <c r="Z43" s="32">
        <v>584.84709999999995</v>
      </c>
      <c r="AA43" s="32">
        <v>839.40110000000004</v>
      </c>
      <c r="AB43" s="32">
        <v>473</v>
      </c>
      <c r="AC43" s="32">
        <v>554</v>
      </c>
      <c r="AD43" s="32">
        <v>373</v>
      </c>
      <c r="AE43" s="32">
        <v>327</v>
      </c>
      <c r="AF43" s="32">
        <v>301</v>
      </c>
      <c r="AG43" s="32">
        <v>365</v>
      </c>
      <c r="AH43" s="32">
        <v>268</v>
      </c>
      <c r="AI43" s="32">
        <v>232</v>
      </c>
      <c r="AJ43" s="32">
        <v>287</v>
      </c>
      <c r="AK43" s="32">
        <v>197</v>
      </c>
      <c r="AL43" s="32">
        <v>359</v>
      </c>
      <c r="AM43" s="32">
        <v>670</v>
      </c>
      <c r="AN43" s="32">
        <v>515</v>
      </c>
      <c r="AO43" s="32">
        <v>399</v>
      </c>
      <c r="AP43" s="32">
        <v>559</v>
      </c>
      <c r="AQ43" s="32">
        <v>511</v>
      </c>
      <c r="AR43" s="32">
        <v>638</v>
      </c>
      <c r="AS43" s="32">
        <v>947</v>
      </c>
    </row>
    <row r="44" spans="1:45">
      <c r="A44" s="30" t="s">
        <v>676</v>
      </c>
      <c r="B44" s="30" t="s">
        <v>1407</v>
      </c>
      <c r="C44" s="30" t="s">
        <v>677</v>
      </c>
      <c r="D44" s="30" t="s">
        <v>73</v>
      </c>
      <c r="E44" s="30" t="s">
        <v>1457</v>
      </c>
      <c r="F44" s="30" t="s">
        <v>73</v>
      </c>
      <c r="G44" s="30" t="s">
        <v>432</v>
      </c>
      <c r="H44" s="30" t="s">
        <v>680</v>
      </c>
      <c r="I44" s="32">
        <v>1551</v>
      </c>
      <c r="J44" s="32">
        <v>942.30939999999998</v>
      </c>
      <c r="K44" s="32">
        <v>1003</v>
      </c>
      <c r="L44" s="32">
        <v>1256</v>
      </c>
      <c r="M44" s="32">
        <v>1022</v>
      </c>
      <c r="N44" s="32">
        <v>1057</v>
      </c>
      <c r="O44" s="32">
        <v>1121</v>
      </c>
      <c r="P44" s="32">
        <v>763</v>
      </c>
      <c r="Q44" s="32">
        <v>842</v>
      </c>
      <c r="R44" s="32">
        <v>1068</v>
      </c>
      <c r="S44" s="32">
        <v>865</v>
      </c>
      <c r="T44" s="32">
        <v>663</v>
      </c>
      <c r="U44" s="32">
        <v>1103</v>
      </c>
      <c r="V44" s="32">
        <v>760</v>
      </c>
      <c r="W44" s="32">
        <v>798</v>
      </c>
      <c r="X44" s="32">
        <v>853</v>
      </c>
      <c r="Y44" s="32">
        <v>679</v>
      </c>
      <c r="Z44" s="32">
        <v>850.83190000000002</v>
      </c>
      <c r="AA44" s="32">
        <v>1104.9272000000001</v>
      </c>
      <c r="AB44" s="32">
        <v>791</v>
      </c>
      <c r="AC44" s="32">
        <v>811</v>
      </c>
      <c r="AD44" s="32">
        <v>783</v>
      </c>
      <c r="AE44" s="32">
        <v>568</v>
      </c>
      <c r="AF44" s="32">
        <v>653</v>
      </c>
      <c r="AG44" s="32">
        <v>979</v>
      </c>
      <c r="AH44" s="32">
        <v>658</v>
      </c>
      <c r="AI44" s="32">
        <v>493</v>
      </c>
      <c r="AJ44" s="32">
        <v>818</v>
      </c>
      <c r="AK44" s="32">
        <v>694</v>
      </c>
      <c r="AL44" s="32">
        <v>839</v>
      </c>
      <c r="AM44" s="32">
        <v>1035</v>
      </c>
      <c r="AN44" s="32">
        <v>816</v>
      </c>
      <c r="AO44" s="32">
        <v>744</v>
      </c>
      <c r="AP44" s="32">
        <v>1042</v>
      </c>
      <c r="AQ44" s="32">
        <v>884</v>
      </c>
      <c r="AR44" s="32">
        <v>951</v>
      </c>
      <c r="AS44" s="32">
        <v>1419</v>
      </c>
    </row>
    <row r="45" spans="1:45">
      <c r="A45" s="30" t="s">
        <v>676</v>
      </c>
      <c r="B45" s="30" t="s">
        <v>1407</v>
      </c>
      <c r="C45" s="30" t="s">
        <v>677</v>
      </c>
      <c r="D45" s="30" t="s">
        <v>73</v>
      </c>
      <c r="E45" s="30" t="s">
        <v>1458</v>
      </c>
      <c r="F45" s="30" t="s">
        <v>73</v>
      </c>
      <c r="G45" s="30" t="s">
        <v>433</v>
      </c>
      <c r="H45" s="30" t="s">
        <v>680</v>
      </c>
      <c r="I45" s="32">
        <v>769</v>
      </c>
      <c r="J45" s="32">
        <v>563</v>
      </c>
      <c r="K45" s="32">
        <v>516</v>
      </c>
      <c r="L45" s="32">
        <v>644</v>
      </c>
      <c r="M45" s="32">
        <v>486</v>
      </c>
      <c r="N45" s="32">
        <v>526</v>
      </c>
      <c r="O45" s="32">
        <v>705</v>
      </c>
      <c r="P45" s="32">
        <v>565</v>
      </c>
      <c r="Q45" s="32">
        <v>521</v>
      </c>
      <c r="R45" s="32">
        <v>626</v>
      </c>
      <c r="S45" s="32">
        <v>518</v>
      </c>
      <c r="T45" s="32">
        <v>448</v>
      </c>
      <c r="U45" s="32">
        <v>596</v>
      </c>
      <c r="V45" s="32">
        <v>466</v>
      </c>
      <c r="W45" s="32">
        <v>521</v>
      </c>
      <c r="X45" s="32">
        <v>582</v>
      </c>
      <c r="Y45" s="32">
        <v>397</v>
      </c>
      <c r="Z45" s="32">
        <v>400.48820000000001</v>
      </c>
      <c r="AA45" s="32">
        <v>613.96199999999999</v>
      </c>
      <c r="AB45" s="32">
        <v>371</v>
      </c>
      <c r="AC45" s="32">
        <v>418</v>
      </c>
      <c r="AD45" s="32">
        <v>495</v>
      </c>
      <c r="AE45" s="32">
        <v>406</v>
      </c>
      <c r="AF45" s="32">
        <v>364</v>
      </c>
      <c r="AG45" s="32">
        <v>494</v>
      </c>
      <c r="AH45" s="32">
        <v>397</v>
      </c>
      <c r="AI45" s="32">
        <v>344</v>
      </c>
      <c r="AJ45" s="32">
        <v>461</v>
      </c>
      <c r="AK45" s="32">
        <v>384</v>
      </c>
      <c r="AL45" s="32">
        <v>371</v>
      </c>
      <c r="AM45" s="32">
        <v>593</v>
      </c>
      <c r="AN45" s="32">
        <v>440</v>
      </c>
      <c r="AO45" s="32">
        <v>360</v>
      </c>
      <c r="AP45" s="32">
        <v>625</v>
      </c>
      <c r="AQ45" s="32">
        <v>424</v>
      </c>
      <c r="AR45" s="32">
        <v>494</v>
      </c>
      <c r="AS45" s="32">
        <v>709</v>
      </c>
    </row>
    <row r="46" spans="1:45">
      <c r="A46" s="30" t="s">
        <v>676</v>
      </c>
      <c r="B46" s="30" t="s">
        <v>1407</v>
      </c>
      <c r="C46" s="30" t="s">
        <v>677</v>
      </c>
      <c r="D46" s="30" t="s">
        <v>73</v>
      </c>
      <c r="E46" s="30" t="s">
        <v>1459</v>
      </c>
      <c r="F46" s="30" t="s">
        <v>73</v>
      </c>
      <c r="G46" s="30" t="s">
        <v>434</v>
      </c>
      <c r="H46" s="30" t="s">
        <v>680</v>
      </c>
      <c r="I46" s="32">
        <v>125</v>
      </c>
      <c r="J46" s="32">
        <v>78</v>
      </c>
      <c r="K46" s="32">
        <v>95</v>
      </c>
      <c r="L46" s="32">
        <v>133</v>
      </c>
      <c r="M46" s="32">
        <v>90</v>
      </c>
      <c r="N46" s="32">
        <v>110</v>
      </c>
      <c r="O46" s="32">
        <v>160</v>
      </c>
      <c r="P46" s="32">
        <v>99</v>
      </c>
      <c r="Q46" s="32">
        <v>103</v>
      </c>
      <c r="R46" s="32">
        <v>149</v>
      </c>
      <c r="S46" s="32">
        <v>108</v>
      </c>
      <c r="T46" s="32">
        <v>101</v>
      </c>
      <c r="U46" s="32">
        <v>142</v>
      </c>
      <c r="V46" s="32">
        <v>92.3947</v>
      </c>
      <c r="W46" s="32">
        <v>91</v>
      </c>
      <c r="X46" s="32">
        <v>146</v>
      </c>
      <c r="Y46" s="32">
        <v>193</v>
      </c>
      <c r="Z46" s="32">
        <v>196</v>
      </c>
      <c r="AA46" s="32">
        <v>331</v>
      </c>
      <c r="AB46" s="32">
        <v>214</v>
      </c>
      <c r="AC46" s="32">
        <v>223</v>
      </c>
      <c r="AD46" s="32">
        <v>245</v>
      </c>
      <c r="AE46" s="32">
        <v>164</v>
      </c>
      <c r="AF46" s="32">
        <v>232</v>
      </c>
      <c r="AG46" s="32">
        <v>264</v>
      </c>
      <c r="AH46" s="32">
        <v>227</v>
      </c>
      <c r="AI46" s="32">
        <v>224</v>
      </c>
      <c r="AJ46" s="32">
        <v>262</v>
      </c>
      <c r="AK46" s="32">
        <v>201</v>
      </c>
      <c r="AL46" s="32">
        <v>221</v>
      </c>
      <c r="AM46" s="32">
        <v>373</v>
      </c>
      <c r="AN46" s="32">
        <v>398</v>
      </c>
      <c r="AO46" s="32">
        <v>312</v>
      </c>
      <c r="AP46" s="32">
        <v>541</v>
      </c>
      <c r="AQ46" s="32">
        <v>474</v>
      </c>
      <c r="AR46" s="32">
        <v>524</v>
      </c>
      <c r="AS46" s="32">
        <v>708</v>
      </c>
    </row>
    <row r="47" spans="1:45">
      <c r="A47" s="30" t="s">
        <v>676</v>
      </c>
      <c r="B47" s="30" t="s">
        <v>1407</v>
      </c>
      <c r="C47" s="30" t="s">
        <v>677</v>
      </c>
      <c r="D47" s="30" t="s">
        <v>73</v>
      </c>
      <c r="E47" s="30" t="s">
        <v>1460</v>
      </c>
      <c r="F47" s="30" t="s">
        <v>73</v>
      </c>
      <c r="G47" s="30" t="s">
        <v>435</v>
      </c>
      <c r="H47" s="30" t="s">
        <v>680</v>
      </c>
      <c r="I47" s="32">
        <v>726</v>
      </c>
      <c r="J47" s="32">
        <v>438.15469999999999</v>
      </c>
      <c r="K47" s="32">
        <v>533</v>
      </c>
      <c r="L47" s="32">
        <v>625</v>
      </c>
      <c r="M47" s="32">
        <v>454</v>
      </c>
      <c r="N47" s="32">
        <v>489</v>
      </c>
      <c r="O47" s="32">
        <v>782</v>
      </c>
      <c r="P47" s="32">
        <v>505</v>
      </c>
      <c r="Q47" s="32">
        <v>533</v>
      </c>
      <c r="R47" s="32">
        <v>772</v>
      </c>
      <c r="S47" s="32">
        <v>533</v>
      </c>
      <c r="T47" s="32">
        <v>517</v>
      </c>
      <c r="U47" s="32">
        <v>683</v>
      </c>
      <c r="V47" s="32">
        <v>570</v>
      </c>
      <c r="W47" s="32">
        <v>620</v>
      </c>
      <c r="X47" s="32">
        <v>728</v>
      </c>
      <c r="Y47" s="32">
        <v>519</v>
      </c>
      <c r="Z47" s="32">
        <v>390</v>
      </c>
      <c r="AA47" s="32">
        <v>780</v>
      </c>
      <c r="AB47" s="32">
        <v>486</v>
      </c>
      <c r="AC47" s="32">
        <v>530</v>
      </c>
      <c r="AD47" s="32">
        <v>786</v>
      </c>
      <c r="AE47" s="32">
        <v>432</v>
      </c>
      <c r="AF47" s="32">
        <v>540</v>
      </c>
      <c r="AG47" s="32">
        <v>696</v>
      </c>
      <c r="AH47" s="32">
        <v>555</v>
      </c>
      <c r="AI47" s="32">
        <v>434</v>
      </c>
      <c r="AJ47" s="32">
        <v>548</v>
      </c>
      <c r="AK47" s="32">
        <v>427</v>
      </c>
      <c r="AL47" s="32">
        <v>465</v>
      </c>
      <c r="AM47" s="32">
        <v>670</v>
      </c>
      <c r="AN47" s="32">
        <v>432</v>
      </c>
      <c r="AO47" s="32">
        <v>404</v>
      </c>
      <c r="AP47" s="32">
        <v>685</v>
      </c>
      <c r="AQ47" s="32">
        <v>663</v>
      </c>
      <c r="AR47" s="32">
        <v>709</v>
      </c>
      <c r="AS47" s="32">
        <v>997</v>
      </c>
    </row>
    <row r="48" spans="1:45">
      <c r="A48" s="30" t="s">
        <v>676</v>
      </c>
      <c r="B48" s="30" t="s">
        <v>1407</v>
      </c>
      <c r="C48" s="30" t="s">
        <v>677</v>
      </c>
      <c r="D48" s="30" t="s">
        <v>73</v>
      </c>
      <c r="E48" s="30" t="s">
        <v>1461</v>
      </c>
      <c r="F48" s="30" t="s">
        <v>73</v>
      </c>
      <c r="G48" s="30" t="s">
        <v>436</v>
      </c>
      <c r="H48" s="30" t="s">
        <v>680</v>
      </c>
      <c r="I48" s="32">
        <v>1698</v>
      </c>
      <c r="J48" s="32">
        <v>1125.1547</v>
      </c>
      <c r="K48" s="32">
        <v>1099</v>
      </c>
      <c r="L48" s="32">
        <v>1399</v>
      </c>
      <c r="M48" s="32">
        <v>1200</v>
      </c>
      <c r="N48" s="32">
        <v>1263</v>
      </c>
      <c r="O48" s="32">
        <v>1356</v>
      </c>
      <c r="P48" s="32">
        <v>975</v>
      </c>
      <c r="Q48" s="32">
        <v>995</v>
      </c>
      <c r="R48" s="32">
        <v>1156</v>
      </c>
      <c r="S48" s="32">
        <v>990</v>
      </c>
      <c r="T48" s="32">
        <v>829</v>
      </c>
      <c r="U48" s="32">
        <v>1320</v>
      </c>
      <c r="V48" s="32">
        <v>850</v>
      </c>
      <c r="W48" s="32">
        <v>899</v>
      </c>
      <c r="X48" s="32">
        <v>1049</v>
      </c>
      <c r="Y48" s="32">
        <v>779</v>
      </c>
      <c r="Z48" s="32">
        <v>784.51969999999994</v>
      </c>
      <c r="AA48" s="32">
        <v>1107.4919</v>
      </c>
      <c r="AB48" s="32">
        <v>854</v>
      </c>
      <c r="AC48" s="32">
        <v>804</v>
      </c>
      <c r="AD48" s="32">
        <v>1063</v>
      </c>
      <c r="AE48" s="32">
        <v>798</v>
      </c>
      <c r="AF48" s="32">
        <v>699</v>
      </c>
      <c r="AG48" s="32">
        <v>823</v>
      </c>
      <c r="AH48" s="32">
        <v>557</v>
      </c>
      <c r="AI48" s="32">
        <v>477</v>
      </c>
      <c r="AJ48" s="32">
        <v>662</v>
      </c>
      <c r="AK48" s="32">
        <v>492</v>
      </c>
      <c r="AL48" s="32">
        <v>631</v>
      </c>
      <c r="AM48" s="32">
        <v>1063</v>
      </c>
      <c r="AN48" s="32">
        <v>814</v>
      </c>
      <c r="AO48" s="32">
        <v>651</v>
      </c>
      <c r="AP48" s="32">
        <v>1044</v>
      </c>
      <c r="AQ48" s="32">
        <v>934</v>
      </c>
      <c r="AR48" s="32">
        <v>909</v>
      </c>
      <c r="AS48" s="32">
        <v>1404</v>
      </c>
    </row>
    <row r="49" spans="1:45">
      <c r="A49" s="30" t="s">
        <v>676</v>
      </c>
      <c r="B49" s="30" t="s">
        <v>1407</v>
      </c>
      <c r="C49" s="30" t="s">
        <v>677</v>
      </c>
      <c r="D49" s="30" t="s">
        <v>73</v>
      </c>
      <c r="E49" s="30" t="s">
        <v>1462</v>
      </c>
      <c r="F49" s="30" t="s">
        <v>73</v>
      </c>
      <c r="G49" s="30" t="s">
        <v>437</v>
      </c>
      <c r="H49" s="30" t="s">
        <v>680</v>
      </c>
      <c r="I49" s="32">
        <v>1397</v>
      </c>
      <c r="J49" s="32">
        <v>855.30939999999998</v>
      </c>
      <c r="K49" s="32">
        <v>824</v>
      </c>
      <c r="L49" s="32">
        <v>1083</v>
      </c>
      <c r="M49" s="32">
        <v>881</v>
      </c>
      <c r="N49" s="32">
        <v>964</v>
      </c>
      <c r="O49" s="32">
        <v>1130</v>
      </c>
      <c r="P49" s="32">
        <v>811</v>
      </c>
      <c r="Q49" s="32">
        <v>846</v>
      </c>
      <c r="R49" s="32">
        <v>1126</v>
      </c>
      <c r="S49" s="32">
        <v>835</v>
      </c>
      <c r="T49" s="32">
        <v>697</v>
      </c>
      <c r="U49" s="32">
        <v>1096</v>
      </c>
      <c r="V49" s="32">
        <v>729.98680000000002</v>
      </c>
      <c r="W49" s="32">
        <v>797</v>
      </c>
      <c r="X49" s="32">
        <v>899</v>
      </c>
      <c r="Y49" s="32">
        <v>703</v>
      </c>
      <c r="Z49" s="32">
        <v>728.37829999999997</v>
      </c>
      <c r="AA49" s="32">
        <v>1021.6493</v>
      </c>
      <c r="AB49" s="32">
        <v>698</v>
      </c>
      <c r="AC49" s="32">
        <v>685</v>
      </c>
      <c r="AD49" s="32">
        <v>734</v>
      </c>
      <c r="AE49" s="32">
        <v>566</v>
      </c>
      <c r="AF49" s="32">
        <v>718</v>
      </c>
      <c r="AG49" s="32">
        <v>896</v>
      </c>
      <c r="AH49" s="32">
        <v>636</v>
      </c>
      <c r="AI49" s="32">
        <v>542</v>
      </c>
      <c r="AJ49" s="32">
        <v>893</v>
      </c>
      <c r="AK49" s="32">
        <v>674</v>
      </c>
      <c r="AL49" s="32">
        <v>676</v>
      </c>
      <c r="AM49" s="32">
        <v>956</v>
      </c>
      <c r="AN49" s="32">
        <v>787</v>
      </c>
      <c r="AO49" s="32">
        <v>576</v>
      </c>
      <c r="AP49" s="32">
        <v>906</v>
      </c>
      <c r="AQ49" s="32">
        <v>774</v>
      </c>
      <c r="AR49" s="32">
        <v>862</v>
      </c>
      <c r="AS49" s="32">
        <v>1157</v>
      </c>
    </row>
    <row r="50" spans="1:45">
      <c r="A50" s="30" t="s">
        <v>676</v>
      </c>
      <c r="B50" s="30" t="s">
        <v>1407</v>
      </c>
      <c r="C50" s="30" t="s">
        <v>677</v>
      </c>
      <c r="D50" s="30" t="s">
        <v>73</v>
      </c>
      <c r="E50" s="30" t="s">
        <v>1463</v>
      </c>
      <c r="F50" s="30" t="s">
        <v>73</v>
      </c>
      <c r="G50" s="30" t="s">
        <v>438</v>
      </c>
      <c r="H50" s="30" t="s">
        <v>680</v>
      </c>
      <c r="I50" s="32">
        <v>538</v>
      </c>
      <c r="J50" s="32">
        <v>394.15469999999999</v>
      </c>
      <c r="K50" s="32">
        <v>360</v>
      </c>
      <c r="L50" s="32">
        <v>478</v>
      </c>
      <c r="M50" s="32">
        <v>382</v>
      </c>
      <c r="N50" s="32">
        <v>394</v>
      </c>
      <c r="O50" s="32">
        <v>516</v>
      </c>
      <c r="P50" s="32">
        <v>328</v>
      </c>
      <c r="Q50" s="32">
        <v>386</v>
      </c>
      <c r="R50" s="32">
        <v>447</v>
      </c>
      <c r="S50" s="32">
        <v>328</v>
      </c>
      <c r="T50" s="32">
        <v>303</v>
      </c>
      <c r="U50" s="32">
        <v>435</v>
      </c>
      <c r="V50" s="32">
        <v>359</v>
      </c>
      <c r="W50" s="32">
        <v>371</v>
      </c>
      <c r="X50" s="32">
        <v>390</v>
      </c>
      <c r="Y50" s="32">
        <v>313</v>
      </c>
      <c r="Z50" s="32">
        <v>341.75900000000001</v>
      </c>
      <c r="AA50" s="32">
        <v>481.51220000000001</v>
      </c>
      <c r="AB50" s="32">
        <v>310</v>
      </c>
      <c r="AC50" s="32">
        <v>301</v>
      </c>
      <c r="AD50" s="32">
        <v>423</v>
      </c>
      <c r="AE50" s="32">
        <v>245</v>
      </c>
      <c r="AF50" s="32">
        <v>305</v>
      </c>
      <c r="AG50" s="32">
        <v>394</v>
      </c>
      <c r="AH50" s="32">
        <v>256</v>
      </c>
      <c r="AI50" s="32">
        <v>247</v>
      </c>
      <c r="AJ50" s="32">
        <v>324</v>
      </c>
      <c r="AK50" s="32">
        <v>305</v>
      </c>
      <c r="AL50" s="32">
        <v>342</v>
      </c>
      <c r="AM50" s="32">
        <v>424</v>
      </c>
      <c r="AN50" s="32">
        <v>346</v>
      </c>
      <c r="AO50" s="32">
        <v>322</v>
      </c>
      <c r="AP50" s="32">
        <v>468</v>
      </c>
      <c r="AQ50" s="32">
        <v>362</v>
      </c>
      <c r="AR50" s="32">
        <v>433</v>
      </c>
      <c r="AS50" s="32">
        <v>609</v>
      </c>
    </row>
    <row r="51" spans="1:45">
      <c r="A51" s="30" t="s">
        <v>676</v>
      </c>
      <c r="B51" s="30" t="s">
        <v>1407</v>
      </c>
      <c r="C51" s="30" t="s">
        <v>677</v>
      </c>
      <c r="D51" s="30" t="s">
        <v>73</v>
      </c>
      <c r="E51" s="30" t="s">
        <v>1464</v>
      </c>
      <c r="F51" s="30" t="s">
        <v>73</v>
      </c>
      <c r="G51" s="30" t="s">
        <v>439</v>
      </c>
      <c r="H51" s="30" t="s">
        <v>680</v>
      </c>
      <c r="I51" s="32">
        <v>477</v>
      </c>
      <c r="J51" s="32">
        <v>316.15469999999999</v>
      </c>
      <c r="K51" s="32">
        <v>394</v>
      </c>
      <c r="L51" s="32">
        <v>483</v>
      </c>
      <c r="M51" s="32">
        <v>348</v>
      </c>
      <c r="N51" s="32">
        <v>344</v>
      </c>
      <c r="O51" s="32">
        <v>531</v>
      </c>
      <c r="P51" s="32">
        <v>322</v>
      </c>
      <c r="Q51" s="32">
        <v>379</v>
      </c>
      <c r="R51" s="32">
        <v>405</v>
      </c>
      <c r="S51" s="32">
        <v>331</v>
      </c>
      <c r="T51" s="32">
        <v>300</v>
      </c>
      <c r="U51" s="32">
        <v>450</v>
      </c>
      <c r="V51" s="32">
        <v>329</v>
      </c>
      <c r="W51" s="32">
        <v>364</v>
      </c>
      <c r="X51" s="32">
        <v>420</v>
      </c>
      <c r="Y51" s="32">
        <v>309</v>
      </c>
      <c r="Z51" s="32">
        <v>278.56819999999999</v>
      </c>
      <c r="AA51" s="32">
        <v>407.19670000000002</v>
      </c>
      <c r="AB51" s="32">
        <v>275</v>
      </c>
      <c r="AC51" s="32">
        <v>252</v>
      </c>
      <c r="AD51" s="32">
        <v>362</v>
      </c>
      <c r="AE51" s="32">
        <v>283</v>
      </c>
      <c r="AF51" s="32">
        <v>265</v>
      </c>
      <c r="AG51" s="32">
        <v>344</v>
      </c>
      <c r="AH51" s="32">
        <v>268</v>
      </c>
      <c r="AI51" s="32">
        <v>263</v>
      </c>
      <c r="AJ51" s="32">
        <v>304</v>
      </c>
      <c r="AK51" s="32">
        <v>268</v>
      </c>
      <c r="AL51" s="32">
        <v>316</v>
      </c>
      <c r="AM51" s="32">
        <v>497</v>
      </c>
      <c r="AN51" s="32">
        <v>358</v>
      </c>
      <c r="AO51" s="32">
        <v>334</v>
      </c>
      <c r="AP51" s="32">
        <v>435</v>
      </c>
      <c r="AQ51" s="32">
        <v>381</v>
      </c>
      <c r="AR51" s="32">
        <v>450</v>
      </c>
      <c r="AS51" s="32">
        <v>632</v>
      </c>
    </row>
    <row r="52" spans="1:45">
      <c r="A52" s="30" t="s">
        <v>676</v>
      </c>
      <c r="B52" s="30" t="s">
        <v>1407</v>
      </c>
      <c r="C52" s="30" t="s">
        <v>677</v>
      </c>
      <c r="D52" s="30" t="s">
        <v>73</v>
      </c>
      <c r="E52" s="30" t="s">
        <v>1465</v>
      </c>
      <c r="F52" s="30" t="s">
        <v>73</v>
      </c>
      <c r="G52" s="30" t="s">
        <v>440</v>
      </c>
      <c r="H52" s="30" t="s">
        <v>680</v>
      </c>
      <c r="I52" s="32">
        <v>821</v>
      </c>
      <c r="J52" s="32">
        <v>619.15470000000005</v>
      </c>
      <c r="K52" s="32">
        <v>491</v>
      </c>
      <c r="L52" s="32">
        <v>726</v>
      </c>
      <c r="M52" s="32">
        <v>549</v>
      </c>
      <c r="N52" s="32">
        <v>592</v>
      </c>
      <c r="O52" s="32">
        <v>792</v>
      </c>
      <c r="P52" s="32">
        <v>550</v>
      </c>
      <c r="Q52" s="32">
        <v>522</v>
      </c>
      <c r="R52" s="32">
        <v>616</v>
      </c>
      <c r="S52" s="32">
        <v>546</v>
      </c>
      <c r="T52" s="32">
        <v>447</v>
      </c>
      <c r="U52" s="32">
        <v>638</v>
      </c>
      <c r="V52" s="32">
        <v>544</v>
      </c>
      <c r="W52" s="32">
        <v>551</v>
      </c>
      <c r="X52" s="32">
        <v>577</v>
      </c>
      <c r="Y52" s="32">
        <v>431</v>
      </c>
      <c r="Z52" s="32">
        <v>450.82339999999999</v>
      </c>
      <c r="AA52" s="32">
        <v>642.48069999999996</v>
      </c>
      <c r="AB52" s="32">
        <v>373</v>
      </c>
      <c r="AC52" s="32">
        <v>399</v>
      </c>
      <c r="AD52" s="32">
        <v>546</v>
      </c>
      <c r="AE52" s="32">
        <v>419</v>
      </c>
      <c r="AF52" s="32">
        <v>407</v>
      </c>
      <c r="AG52" s="32">
        <v>439</v>
      </c>
      <c r="AH52" s="32">
        <v>325</v>
      </c>
      <c r="AI52" s="32">
        <v>304</v>
      </c>
      <c r="AJ52" s="32">
        <v>360</v>
      </c>
      <c r="AK52" s="32">
        <v>264</v>
      </c>
      <c r="AL52" s="32">
        <v>339</v>
      </c>
      <c r="AM52" s="32">
        <v>556</v>
      </c>
      <c r="AN52" s="32">
        <v>461</v>
      </c>
      <c r="AO52" s="32">
        <v>328</v>
      </c>
      <c r="AP52" s="32">
        <v>580</v>
      </c>
      <c r="AQ52" s="32">
        <v>476</v>
      </c>
      <c r="AR52" s="32">
        <v>472</v>
      </c>
      <c r="AS52" s="32">
        <v>690</v>
      </c>
    </row>
    <row r="53" spans="1:45">
      <c r="A53" s="30" t="s">
        <v>676</v>
      </c>
      <c r="B53" s="30" t="s">
        <v>1407</v>
      </c>
      <c r="C53" s="30" t="s">
        <v>677</v>
      </c>
      <c r="D53" s="30" t="s">
        <v>73</v>
      </c>
      <c r="E53" s="30" t="s">
        <v>1466</v>
      </c>
      <c r="F53" s="30" t="s">
        <v>73</v>
      </c>
      <c r="G53" s="30" t="s">
        <v>1467</v>
      </c>
      <c r="H53" s="30" t="s">
        <v>680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2">
        <v>1</v>
      </c>
      <c r="AP53" s="31">
        <v>0</v>
      </c>
      <c r="AQ53" s="31">
        <v>0</v>
      </c>
      <c r="AR53" s="31">
        <v>0</v>
      </c>
      <c r="AS53" s="31">
        <v>0</v>
      </c>
    </row>
    <row r="54" spans="1:45">
      <c r="A54" s="30" t="s">
        <v>676</v>
      </c>
      <c r="B54" s="30" t="s">
        <v>1407</v>
      </c>
      <c r="C54" s="30" t="s">
        <v>677</v>
      </c>
      <c r="D54" s="30" t="s">
        <v>73</v>
      </c>
      <c r="E54" s="30" t="s">
        <v>1468</v>
      </c>
      <c r="F54" s="30" t="s">
        <v>73</v>
      </c>
      <c r="G54" s="30" t="s">
        <v>1469</v>
      </c>
      <c r="H54" s="30" t="s">
        <v>680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2">
        <v>1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</row>
    <row r="55" spans="1:45">
      <c r="A55" s="30" t="s">
        <v>676</v>
      </c>
      <c r="B55" s="30" t="s">
        <v>1407</v>
      </c>
      <c r="C55" s="30" t="s">
        <v>677</v>
      </c>
      <c r="D55" s="30" t="s">
        <v>73</v>
      </c>
      <c r="E55" s="30" t="s">
        <v>1470</v>
      </c>
      <c r="F55" s="30" t="s">
        <v>73</v>
      </c>
      <c r="G55" s="30" t="s">
        <v>1471</v>
      </c>
      <c r="H55" s="30" t="s">
        <v>680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2">
        <v>1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</row>
    <row r="56" spans="1:45">
      <c r="A56" s="30" t="s">
        <v>676</v>
      </c>
      <c r="B56" s="30" t="s">
        <v>1407</v>
      </c>
      <c r="C56" s="30" t="s">
        <v>677</v>
      </c>
      <c r="D56" s="30" t="s">
        <v>73</v>
      </c>
      <c r="E56" s="30" t="s">
        <v>1472</v>
      </c>
      <c r="F56" s="30" t="s">
        <v>73</v>
      </c>
      <c r="G56" s="30" t="s">
        <v>1473</v>
      </c>
      <c r="H56" s="30" t="s">
        <v>680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1">
        <v>0</v>
      </c>
      <c r="AG56" s="31">
        <v>0</v>
      </c>
      <c r="AH56" s="31">
        <v>0</v>
      </c>
      <c r="AI56" s="31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0</v>
      </c>
      <c r="AO56" s="32">
        <v>1</v>
      </c>
      <c r="AP56" s="31">
        <v>0</v>
      </c>
      <c r="AQ56" s="31">
        <v>0</v>
      </c>
      <c r="AR56" s="31">
        <v>0</v>
      </c>
      <c r="AS56" s="31">
        <v>0</v>
      </c>
    </row>
    <row r="57" spans="1:45">
      <c r="A57" s="30" t="s">
        <v>676</v>
      </c>
      <c r="B57" s="30" t="s">
        <v>1407</v>
      </c>
      <c r="C57" s="30" t="s">
        <v>677</v>
      </c>
      <c r="D57" s="30" t="s">
        <v>73</v>
      </c>
      <c r="E57" s="30" t="s">
        <v>1474</v>
      </c>
      <c r="F57" s="30" t="s">
        <v>73</v>
      </c>
      <c r="G57" s="30" t="s">
        <v>1475</v>
      </c>
      <c r="H57" s="30" t="s">
        <v>680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0</v>
      </c>
      <c r="AF57" s="31">
        <v>0</v>
      </c>
      <c r="AG57" s="31">
        <v>0</v>
      </c>
      <c r="AH57" s="31">
        <v>0</v>
      </c>
      <c r="AI57" s="31">
        <v>0</v>
      </c>
      <c r="AJ57" s="31">
        <v>0</v>
      </c>
      <c r="AK57" s="31">
        <v>0</v>
      </c>
      <c r="AL57" s="31">
        <v>0</v>
      </c>
      <c r="AM57" s="31">
        <v>0</v>
      </c>
      <c r="AN57" s="32">
        <v>1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</row>
    <row r="58" spans="1:45">
      <c r="A58" s="30" t="s">
        <v>676</v>
      </c>
      <c r="B58" s="30" t="s">
        <v>1407</v>
      </c>
      <c r="C58" s="30" t="s">
        <v>677</v>
      </c>
      <c r="D58" s="30" t="s">
        <v>67</v>
      </c>
      <c r="E58" s="30" t="s">
        <v>1476</v>
      </c>
      <c r="F58" s="30" t="s">
        <v>67</v>
      </c>
      <c r="G58" s="30" t="s">
        <v>1477</v>
      </c>
      <c r="H58" s="30" t="s">
        <v>680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2">
        <v>1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</row>
    <row r="59" spans="1:45">
      <c r="A59" s="30" t="s">
        <v>676</v>
      </c>
      <c r="B59" s="30" t="s">
        <v>1407</v>
      </c>
      <c r="C59" s="30" t="s">
        <v>677</v>
      </c>
      <c r="D59" s="30" t="s">
        <v>67</v>
      </c>
      <c r="E59" s="30" t="s">
        <v>1478</v>
      </c>
      <c r="F59" s="30" t="s">
        <v>67</v>
      </c>
      <c r="G59" s="30" t="s">
        <v>1479</v>
      </c>
      <c r="H59" s="30" t="s">
        <v>680</v>
      </c>
      <c r="I59" s="32">
        <v>1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</row>
    <row r="60" spans="1:45">
      <c r="A60" s="30" t="s">
        <v>676</v>
      </c>
      <c r="B60" s="30" t="s">
        <v>1407</v>
      </c>
      <c r="C60" s="30" t="s">
        <v>677</v>
      </c>
      <c r="D60" s="30" t="s">
        <v>67</v>
      </c>
      <c r="E60" s="30" t="s">
        <v>1480</v>
      </c>
      <c r="F60" s="30" t="s">
        <v>67</v>
      </c>
      <c r="G60" s="30" t="s">
        <v>1481</v>
      </c>
      <c r="H60" s="30" t="s">
        <v>680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2">
        <v>6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2">
        <v>1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</row>
    <row r="61" spans="1:45">
      <c r="A61" s="30" t="s">
        <v>676</v>
      </c>
      <c r="B61" s="30" t="s">
        <v>1407</v>
      </c>
      <c r="C61" s="30" t="s">
        <v>677</v>
      </c>
      <c r="D61" s="30" t="s">
        <v>67</v>
      </c>
      <c r="E61" s="30" t="s">
        <v>1482</v>
      </c>
      <c r="F61" s="30" t="s">
        <v>67</v>
      </c>
      <c r="G61" s="30" t="s">
        <v>1483</v>
      </c>
      <c r="H61" s="30" t="s">
        <v>680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2">
        <v>4</v>
      </c>
      <c r="S61" s="32">
        <v>1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</row>
    <row r="62" spans="1:45">
      <c r="A62" s="30" t="s">
        <v>676</v>
      </c>
      <c r="B62" s="30" t="s">
        <v>1407</v>
      </c>
      <c r="C62" s="30" t="s">
        <v>677</v>
      </c>
      <c r="D62" s="30" t="s">
        <v>67</v>
      </c>
      <c r="E62" s="30" t="s">
        <v>1484</v>
      </c>
      <c r="F62" s="30" t="s">
        <v>67</v>
      </c>
      <c r="G62" s="30" t="s">
        <v>1485</v>
      </c>
      <c r="H62" s="30" t="s">
        <v>680</v>
      </c>
      <c r="I62" s="31">
        <v>0</v>
      </c>
      <c r="J62" s="31">
        <v>0</v>
      </c>
      <c r="K62" s="32">
        <v>2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0</v>
      </c>
      <c r="AG62" s="31">
        <v>0</v>
      </c>
      <c r="AH62" s="31">
        <v>0</v>
      </c>
      <c r="AI62" s="31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</row>
    <row r="63" spans="1:45">
      <c r="A63" s="30" t="s">
        <v>676</v>
      </c>
      <c r="B63" s="30" t="s">
        <v>1407</v>
      </c>
      <c r="C63" s="30" t="s">
        <v>677</v>
      </c>
      <c r="D63" s="30" t="s">
        <v>67</v>
      </c>
      <c r="E63" s="30" t="s">
        <v>1486</v>
      </c>
      <c r="F63" s="30" t="s">
        <v>67</v>
      </c>
      <c r="G63" s="30" t="s">
        <v>1487</v>
      </c>
      <c r="H63" s="30" t="s">
        <v>680</v>
      </c>
      <c r="I63" s="32">
        <v>1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2">
        <v>6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</row>
    <row r="64" spans="1:45">
      <c r="A64" s="30" t="s">
        <v>676</v>
      </c>
      <c r="B64" s="30" t="s">
        <v>1407</v>
      </c>
      <c r="C64" s="30" t="s">
        <v>677</v>
      </c>
      <c r="D64" s="30" t="s">
        <v>67</v>
      </c>
      <c r="E64" s="30" t="s">
        <v>1488</v>
      </c>
      <c r="F64" s="30" t="s">
        <v>67</v>
      </c>
      <c r="G64" s="30" t="s">
        <v>1489</v>
      </c>
      <c r="H64" s="30" t="s">
        <v>680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2">
        <v>2</v>
      </c>
      <c r="P64" s="31">
        <v>0</v>
      </c>
      <c r="Q64" s="31">
        <v>0</v>
      </c>
      <c r="R64" s="32">
        <v>1</v>
      </c>
      <c r="S64" s="31">
        <v>0</v>
      </c>
      <c r="T64" s="31">
        <v>0</v>
      </c>
      <c r="U64" s="31">
        <v>0</v>
      </c>
      <c r="V64" s="31">
        <v>0</v>
      </c>
      <c r="W64" s="32">
        <v>1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</row>
    <row r="65" spans="1:45">
      <c r="A65" s="30" t="s">
        <v>676</v>
      </c>
      <c r="B65" s="30" t="s">
        <v>1407</v>
      </c>
      <c r="C65" s="30" t="s">
        <v>677</v>
      </c>
      <c r="D65" s="30" t="s">
        <v>67</v>
      </c>
      <c r="E65" s="30" t="s">
        <v>1490</v>
      </c>
      <c r="F65" s="30" t="s">
        <v>67</v>
      </c>
      <c r="G65" s="30" t="s">
        <v>1491</v>
      </c>
      <c r="H65" s="30" t="s">
        <v>680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2">
        <v>3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2">
        <v>1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0</v>
      </c>
      <c r="AD65" s="31">
        <v>0</v>
      </c>
      <c r="AE65" s="31">
        <v>0</v>
      </c>
      <c r="AF65" s="31">
        <v>0</v>
      </c>
      <c r="AG65" s="31">
        <v>0</v>
      </c>
      <c r="AH65" s="31">
        <v>0</v>
      </c>
      <c r="AI65" s="31">
        <v>0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</row>
    <row r="66" spans="1:45">
      <c r="A66" s="30" t="s">
        <v>676</v>
      </c>
      <c r="B66" s="30" t="s">
        <v>1407</v>
      </c>
      <c r="C66" s="30" t="s">
        <v>677</v>
      </c>
      <c r="D66" s="30" t="s">
        <v>67</v>
      </c>
      <c r="E66" s="30" t="s">
        <v>1492</v>
      </c>
      <c r="F66" s="30" t="s">
        <v>67</v>
      </c>
      <c r="G66" s="30" t="s">
        <v>1493</v>
      </c>
      <c r="H66" s="30" t="s">
        <v>680</v>
      </c>
      <c r="I66" s="32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2">
        <v>2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2">
        <v>1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2">
        <v>1</v>
      </c>
      <c r="AB66" s="31">
        <v>0</v>
      </c>
      <c r="AC66" s="31">
        <v>0</v>
      </c>
      <c r="AD66" s="31">
        <v>0</v>
      </c>
      <c r="AE66" s="31">
        <v>0</v>
      </c>
      <c r="AF66" s="31">
        <v>0</v>
      </c>
      <c r="AG66" s="31">
        <v>0</v>
      </c>
      <c r="AH66" s="31">
        <v>0</v>
      </c>
      <c r="AI66" s="31">
        <v>0</v>
      </c>
      <c r="AJ66" s="31">
        <v>0</v>
      </c>
      <c r="AK66" s="31">
        <v>0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</row>
    <row r="67" spans="1:45">
      <c r="A67" s="30" t="s">
        <v>676</v>
      </c>
      <c r="B67" s="30" t="s">
        <v>1407</v>
      </c>
      <c r="C67" s="30" t="s">
        <v>677</v>
      </c>
      <c r="D67" s="30" t="s">
        <v>67</v>
      </c>
      <c r="E67" s="30" t="s">
        <v>1494</v>
      </c>
      <c r="F67" s="30" t="s">
        <v>67</v>
      </c>
      <c r="G67" s="30" t="s">
        <v>1495</v>
      </c>
      <c r="H67" s="30" t="s">
        <v>680</v>
      </c>
      <c r="I67" s="31">
        <v>0</v>
      </c>
      <c r="J67" s="32">
        <v>1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0</v>
      </c>
      <c r="AJ67" s="31">
        <v>0</v>
      </c>
      <c r="AK67" s="31">
        <v>0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</row>
    <row r="68" spans="1:45">
      <c r="A68" s="30" t="s">
        <v>676</v>
      </c>
      <c r="B68" s="30" t="s">
        <v>1407</v>
      </c>
      <c r="C68" s="30" t="s">
        <v>677</v>
      </c>
      <c r="D68" s="30" t="s">
        <v>67</v>
      </c>
      <c r="E68" s="30" t="s">
        <v>1496</v>
      </c>
      <c r="F68" s="30" t="s">
        <v>67</v>
      </c>
      <c r="G68" s="30" t="s">
        <v>1497</v>
      </c>
      <c r="H68" s="30" t="s">
        <v>680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2">
        <v>1</v>
      </c>
      <c r="R68" s="31">
        <v>0</v>
      </c>
      <c r="S68" s="31">
        <v>0</v>
      </c>
      <c r="T68" s="31">
        <v>0</v>
      </c>
      <c r="U68" s="32">
        <v>3</v>
      </c>
      <c r="V68" s="32">
        <v>4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  <c r="AC68" s="31">
        <v>0</v>
      </c>
      <c r="AD68" s="31">
        <v>0</v>
      </c>
      <c r="AE68" s="31">
        <v>0</v>
      </c>
      <c r="AF68" s="31">
        <v>0</v>
      </c>
      <c r="AG68" s="31">
        <v>0</v>
      </c>
      <c r="AH68" s="31">
        <v>0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0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</row>
    <row r="69" spans="1:45">
      <c r="A69" s="30" t="s">
        <v>676</v>
      </c>
      <c r="B69" s="30" t="s">
        <v>1407</v>
      </c>
      <c r="C69" s="30" t="s">
        <v>677</v>
      </c>
      <c r="D69" s="30" t="s">
        <v>67</v>
      </c>
      <c r="E69" s="30" t="s">
        <v>1498</v>
      </c>
      <c r="F69" s="30" t="s">
        <v>67</v>
      </c>
      <c r="G69" s="30" t="s">
        <v>442</v>
      </c>
      <c r="H69" s="30" t="s">
        <v>680</v>
      </c>
      <c r="I69" s="32">
        <v>92</v>
      </c>
      <c r="J69" s="32">
        <v>64</v>
      </c>
      <c r="K69" s="32">
        <v>64</v>
      </c>
      <c r="L69" s="32">
        <v>101</v>
      </c>
      <c r="M69" s="32">
        <v>73</v>
      </c>
      <c r="N69" s="32">
        <v>80</v>
      </c>
      <c r="O69" s="32">
        <v>96</v>
      </c>
      <c r="P69" s="32">
        <v>55</v>
      </c>
      <c r="Q69" s="32">
        <v>46</v>
      </c>
      <c r="R69" s="32">
        <v>78</v>
      </c>
      <c r="S69" s="32">
        <v>48</v>
      </c>
      <c r="T69" s="32">
        <v>40</v>
      </c>
      <c r="U69" s="32">
        <v>58</v>
      </c>
      <c r="V69" s="32">
        <v>22</v>
      </c>
      <c r="W69" s="32">
        <v>32</v>
      </c>
      <c r="X69" s="32">
        <v>60</v>
      </c>
      <c r="Y69" s="32">
        <v>44</v>
      </c>
      <c r="Z69" s="32">
        <v>23</v>
      </c>
      <c r="AA69" s="32">
        <v>42</v>
      </c>
      <c r="AB69" s="32">
        <v>31</v>
      </c>
      <c r="AC69" s="32">
        <v>41</v>
      </c>
      <c r="AD69" s="32">
        <v>49</v>
      </c>
      <c r="AE69" s="32">
        <v>31</v>
      </c>
      <c r="AF69" s="32">
        <v>28</v>
      </c>
      <c r="AG69" s="32">
        <v>46</v>
      </c>
      <c r="AH69" s="32">
        <v>34</v>
      </c>
      <c r="AI69" s="32">
        <v>43</v>
      </c>
      <c r="AJ69" s="32">
        <v>72</v>
      </c>
      <c r="AK69" s="32">
        <v>43</v>
      </c>
      <c r="AL69" s="32">
        <v>40</v>
      </c>
      <c r="AM69" s="32">
        <v>49</v>
      </c>
      <c r="AN69" s="32">
        <v>33</v>
      </c>
      <c r="AO69" s="32">
        <v>31</v>
      </c>
      <c r="AP69" s="32">
        <v>50</v>
      </c>
      <c r="AQ69" s="32">
        <v>49</v>
      </c>
      <c r="AR69" s="32">
        <v>39</v>
      </c>
      <c r="AS69" s="32">
        <v>48</v>
      </c>
    </row>
    <row r="70" spans="1:45">
      <c r="A70" s="30" t="s">
        <v>676</v>
      </c>
      <c r="B70" s="30" t="s">
        <v>1407</v>
      </c>
      <c r="C70" s="30" t="s">
        <v>677</v>
      </c>
      <c r="D70" s="30" t="s">
        <v>67</v>
      </c>
      <c r="E70" s="30" t="s">
        <v>1499</v>
      </c>
      <c r="F70" s="30" t="s">
        <v>67</v>
      </c>
      <c r="G70" s="30" t="s">
        <v>443</v>
      </c>
      <c r="H70" s="30" t="s">
        <v>680</v>
      </c>
      <c r="I70" s="32">
        <v>100</v>
      </c>
      <c r="J70" s="32">
        <v>69</v>
      </c>
      <c r="K70" s="32">
        <v>66</v>
      </c>
      <c r="L70" s="32">
        <v>65</v>
      </c>
      <c r="M70" s="32">
        <v>86</v>
      </c>
      <c r="N70" s="32">
        <v>71</v>
      </c>
      <c r="O70" s="32">
        <v>121</v>
      </c>
      <c r="P70" s="32">
        <v>101</v>
      </c>
      <c r="Q70" s="32">
        <v>73</v>
      </c>
      <c r="R70" s="32">
        <v>95</v>
      </c>
      <c r="S70" s="32">
        <v>64</v>
      </c>
      <c r="T70" s="32">
        <v>42</v>
      </c>
      <c r="U70" s="32">
        <v>61</v>
      </c>
      <c r="V70" s="32">
        <v>44</v>
      </c>
      <c r="W70" s="32">
        <v>59</v>
      </c>
      <c r="X70" s="32">
        <v>61</v>
      </c>
      <c r="Y70" s="32">
        <v>48</v>
      </c>
      <c r="Z70" s="32">
        <v>36</v>
      </c>
      <c r="AA70" s="32">
        <v>48</v>
      </c>
      <c r="AB70" s="32">
        <v>36</v>
      </c>
      <c r="AC70" s="32">
        <v>43</v>
      </c>
      <c r="AD70" s="32">
        <v>57</v>
      </c>
      <c r="AE70" s="32">
        <v>40</v>
      </c>
      <c r="AF70" s="32">
        <v>30</v>
      </c>
      <c r="AG70" s="32">
        <v>40</v>
      </c>
      <c r="AH70" s="32">
        <v>44</v>
      </c>
      <c r="AI70" s="32">
        <v>47</v>
      </c>
      <c r="AJ70" s="32">
        <v>29</v>
      </c>
      <c r="AK70" s="32">
        <v>27</v>
      </c>
      <c r="AL70" s="32">
        <v>37</v>
      </c>
      <c r="AM70" s="32">
        <v>42</v>
      </c>
      <c r="AN70" s="32">
        <v>32</v>
      </c>
      <c r="AO70" s="32">
        <v>33</v>
      </c>
      <c r="AP70" s="32">
        <v>34</v>
      </c>
      <c r="AQ70" s="32">
        <v>34</v>
      </c>
      <c r="AR70" s="32">
        <v>22</v>
      </c>
      <c r="AS70" s="32">
        <v>49</v>
      </c>
    </row>
    <row r="71" spans="1:45">
      <c r="A71" s="30" t="s">
        <v>676</v>
      </c>
      <c r="B71" s="30" t="s">
        <v>1407</v>
      </c>
      <c r="C71" s="30" t="s">
        <v>677</v>
      </c>
      <c r="D71" s="30" t="s">
        <v>67</v>
      </c>
      <c r="E71" s="30" t="s">
        <v>1500</v>
      </c>
      <c r="F71" s="30" t="s">
        <v>67</v>
      </c>
      <c r="G71" s="30" t="s">
        <v>444</v>
      </c>
      <c r="H71" s="30" t="s">
        <v>680</v>
      </c>
      <c r="I71" s="32">
        <v>345</v>
      </c>
      <c r="J71" s="32">
        <v>189</v>
      </c>
      <c r="K71" s="32">
        <v>186</v>
      </c>
      <c r="L71" s="32">
        <v>238</v>
      </c>
      <c r="M71" s="32">
        <v>233</v>
      </c>
      <c r="N71" s="32">
        <v>200</v>
      </c>
      <c r="O71" s="32">
        <v>272</v>
      </c>
      <c r="P71" s="32">
        <v>176</v>
      </c>
      <c r="Q71" s="32">
        <v>167</v>
      </c>
      <c r="R71" s="32">
        <v>238</v>
      </c>
      <c r="S71" s="32">
        <v>135</v>
      </c>
      <c r="T71" s="32">
        <v>137</v>
      </c>
      <c r="U71" s="32">
        <v>190</v>
      </c>
      <c r="V71" s="32">
        <v>117</v>
      </c>
      <c r="W71" s="32">
        <v>120</v>
      </c>
      <c r="X71" s="32">
        <v>168</v>
      </c>
      <c r="Y71" s="32">
        <v>112</v>
      </c>
      <c r="Z71" s="32">
        <v>109</v>
      </c>
      <c r="AA71" s="32">
        <v>133</v>
      </c>
      <c r="AB71" s="32">
        <v>84</v>
      </c>
      <c r="AC71" s="32">
        <v>100</v>
      </c>
      <c r="AD71" s="32">
        <v>154</v>
      </c>
      <c r="AE71" s="32">
        <v>90</v>
      </c>
      <c r="AF71" s="32">
        <v>96</v>
      </c>
      <c r="AG71" s="32">
        <v>150</v>
      </c>
      <c r="AH71" s="32">
        <v>94</v>
      </c>
      <c r="AI71" s="32">
        <v>127</v>
      </c>
      <c r="AJ71" s="32">
        <v>147</v>
      </c>
      <c r="AK71" s="32">
        <v>88</v>
      </c>
      <c r="AL71" s="32">
        <v>85</v>
      </c>
      <c r="AM71" s="32">
        <v>149</v>
      </c>
      <c r="AN71" s="32">
        <v>90</v>
      </c>
      <c r="AO71" s="32">
        <v>94</v>
      </c>
      <c r="AP71" s="32">
        <v>155</v>
      </c>
      <c r="AQ71" s="32">
        <v>92</v>
      </c>
      <c r="AR71" s="32">
        <v>99</v>
      </c>
      <c r="AS71" s="32">
        <v>172</v>
      </c>
    </row>
    <row r="72" spans="1:45">
      <c r="A72" s="30" t="s">
        <v>676</v>
      </c>
      <c r="B72" s="30" t="s">
        <v>1407</v>
      </c>
      <c r="C72" s="30" t="s">
        <v>677</v>
      </c>
      <c r="D72" s="30" t="s">
        <v>67</v>
      </c>
      <c r="E72" s="30" t="s">
        <v>1501</v>
      </c>
      <c r="F72" s="30" t="s">
        <v>67</v>
      </c>
      <c r="G72" s="30" t="s">
        <v>445</v>
      </c>
      <c r="H72" s="30" t="s">
        <v>680</v>
      </c>
      <c r="I72" s="32">
        <v>400</v>
      </c>
      <c r="J72" s="32">
        <v>231</v>
      </c>
      <c r="K72" s="32">
        <v>247</v>
      </c>
      <c r="L72" s="32">
        <v>327</v>
      </c>
      <c r="M72" s="32">
        <v>275</v>
      </c>
      <c r="N72" s="32">
        <v>254</v>
      </c>
      <c r="O72" s="32">
        <v>353</v>
      </c>
      <c r="P72" s="32">
        <v>215</v>
      </c>
      <c r="Q72" s="32">
        <v>212</v>
      </c>
      <c r="R72" s="32">
        <v>334</v>
      </c>
      <c r="S72" s="32">
        <v>181</v>
      </c>
      <c r="T72" s="32">
        <v>187</v>
      </c>
      <c r="U72" s="32">
        <v>260</v>
      </c>
      <c r="V72" s="32">
        <v>127.1974</v>
      </c>
      <c r="W72" s="32">
        <v>167</v>
      </c>
      <c r="X72" s="32">
        <v>196</v>
      </c>
      <c r="Y72" s="32">
        <v>114</v>
      </c>
      <c r="Z72" s="32">
        <v>139</v>
      </c>
      <c r="AA72" s="32">
        <v>174</v>
      </c>
      <c r="AB72" s="32">
        <v>127</v>
      </c>
      <c r="AC72" s="32">
        <v>125</v>
      </c>
      <c r="AD72" s="32">
        <v>213</v>
      </c>
      <c r="AE72" s="32">
        <v>133</v>
      </c>
      <c r="AF72" s="32">
        <v>119</v>
      </c>
      <c r="AG72" s="32">
        <v>190</v>
      </c>
      <c r="AH72" s="32">
        <v>149</v>
      </c>
      <c r="AI72" s="32">
        <v>158</v>
      </c>
      <c r="AJ72" s="32">
        <v>203</v>
      </c>
      <c r="AK72" s="32">
        <v>110</v>
      </c>
      <c r="AL72" s="32">
        <v>126</v>
      </c>
      <c r="AM72" s="32">
        <v>197</v>
      </c>
      <c r="AN72" s="32">
        <v>123</v>
      </c>
      <c r="AO72" s="32">
        <v>128</v>
      </c>
      <c r="AP72" s="32">
        <v>198</v>
      </c>
      <c r="AQ72" s="32">
        <v>181</v>
      </c>
      <c r="AR72" s="32">
        <v>133</v>
      </c>
      <c r="AS72" s="32">
        <v>225</v>
      </c>
    </row>
    <row r="73" spans="1:45">
      <c r="A73" s="30" t="s">
        <v>676</v>
      </c>
      <c r="B73" s="30" t="s">
        <v>1407</v>
      </c>
      <c r="C73" s="30" t="s">
        <v>677</v>
      </c>
      <c r="D73" s="30" t="s">
        <v>67</v>
      </c>
      <c r="E73" s="30" t="s">
        <v>1502</v>
      </c>
      <c r="F73" s="30" t="s">
        <v>67</v>
      </c>
      <c r="G73" s="30" t="s">
        <v>446</v>
      </c>
      <c r="H73" s="30" t="s">
        <v>680</v>
      </c>
      <c r="I73" s="32">
        <v>116</v>
      </c>
      <c r="J73" s="32">
        <v>58</v>
      </c>
      <c r="K73" s="32">
        <v>43</v>
      </c>
      <c r="L73" s="32">
        <v>66</v>
      </c>
      <c r="M73" s="32">
        <v>51</v>
      </c>
      <c r="N73" s="32">
        <v>58</v>
      </c>
      <c r="O73" s="32">
        <v>87</v>
      </c>
      <c r="P73" s="32">
        <v>70</v>
      </c>
      <c r="Q73" s="32">
        <v>67</v>
      </c>
      <c r="R73" s="32">
        <v>84</v>
      </c>
      <c r="S73" s="32">
        <v>51</v>
      </c>
      <c r="T73" s="32">
        <v>46</v>
      </c>
      <c r="U73" s="32">
        <v>75</v>
      </c>
      <c r="V73" s="32">
        <v>39</v>
      </c>
      <c r="W73" s="32">
        <v>44</v>
      </c>
      <c r="X73" s="32">
        <v>42</v>
      </c>
      <c r="Y73" s="32">
        <v>40</v>
      </c>
      <c r="Z73" s="32">
        <v>41</v>
      </c>
      <c r="AA73" s="32">
        <v>46</v>
      </c>
      <c r="AB73" s="32">
        <v>35</v>
      </c>
      <c r="AC73" s="32">
        <v>44</v>
      </c>
      <c r="AD73" s="32">
        <v>64</v>
      </c>
      <c r="AE73" s="32">
        <v>51</v>
      </c>
      <c r="AF73" s="32">
        <v>25</v>
      </c>
      <c r="AG73" s="32">
        <v>52</v>
      </c>
      <c r="AH73" s="32">
        <v>42</v>
      </c>
      <c r="AI73" s="32">
        <v>62</v>
      </c>
      <c r="AJ73" s="32">
        <v>65</v>
      </c>
      <c r="AK73" s="32">
        <v>47</v>
      </c>
      <c r="AL73" s="32">
        <v>36</v>
      </c>
      <c r="AM73" s="32">
        <v>42</v>
      </c>
      <c r="AN73" s="32">
        <v>38</v>
      </c>
      <c r="AO73" s="32">
        <v>38</v>
      </c>
      <c r="AP73" s="32">
        <v>69</v>
      </c>
      <c r="AQ73" s="32">
        <v>47</v>
      </c>
      <c r="AR73" s="32">
        <v>44</v>
      </c>
      <c r="AS73" s="32">
        <v>81</v>
      </c>
    </row>
    <row r="74" spans="1:45">
      <c r="A74" s="30" t="s">
        <v>676</v>
      </c>
      <c r="B74" s="30" t="s">
        <v>1407</v>
      </c>
      <c r="C74" s="30" t="s">
        <v>677</v>
      </c>
      <c r="D74" s="30" t="s">
        <v>67</v>
      </c>
      <c r="E74" s="30" t="s">
        <v>1503</v>
      </c>
      <c r="F74" s="30" t="s">
        <v>67</v>
      </c>
      <c r="G74" s="30" t="s">
        <v>447</v>
      </c>
      <c r="H74" s="30" t="s">
        <v>680</v>
      </c>
      <c r="I74" s="32">
        <v>418</v>
      </c>
      <c r="J74" s="32">
        <v>214</v>
      </c>
      <c r="K74" s="32">
        <v>246</v>
      </c>
      <c r="L74" s="32">
        <v>328</v>
      </c>
      <c r="M74" s="32">
        <v>278</v>
      </c>
      <c r="N74" s="32">
        <v>255</v>
      </c>
      <c r="O74" s="32">
        <v>346</v>
      </c>
      <c r="P74" s="32">
        <v>271</v>
      </c>
      <c r="Q74" s="32">
        <v>221</v>
      </c>
      <c r="R74" s="32">
        <v>325</v>
      </c>
      <c r="S74" s="32">
        <v>194</v>
      </c>
      <c r="T74" s="32">
        <v>183</v>
      </c>
      <c r="U74" s="32">
        <v>278</v>
      </c>
      <c r="V74" s="32">
        <v>172</v>
      </c>
      <c r="W74" s="32">
        <v>206</v>
      </c>
      <c r="X74" s="32">
        <v>275</v>
      </c>
      <c r="Y74" s="32">
        <v>168</v>
      </c>
      <c r="Z74" s="32">
        <v>177</v>
      </c>
      <c r="AA74" s="32">
        <v>239</v>
      </c>
      <c r="AB74" s="32">
        <v>185</v>
      </c>
      <c r="AC74" s="32">
        <v>180</v>
      </c>
      <c r="AD74" s="32">
        <v>284</v>
      </c>
      <c r="AE74" s="32">
        <v>196</v>
      </c>
      <c r="AF74" s="32">
        <v>157</v>
      </c>
      <c r="AG74" s="32">
        <v>254</v>
      </c>
      <c r="AH74" s="32">
        <v>161</v>
      </c>
      <c r="AI74" s="32">
        <v>221</v>
      </c>
      <c r="AJ74" s="32">
        <v>271</v>
      </c>
      <c r="AK74" s="32">
        <v>87</v>
      </c>
      <c r="AL74" s="32">
        <v>188</v>
      </c>
      <c r="AM74" s="32">
        <v>216</v>
      </c>
      <c r="AN74" s="32">
        <v>162</v>
      </c>
      <c r="AO74" s="32">
        <v>184</v>
      </c>
      <c r="AP74" s="32">
        <v>251</v>
      </c>
      <c r="AQ74" s="32">
        <v>214</v>
      </c>
      <c r="AR74" s="32">
        <v>148</v>
      </c>
      <c r="AS74" s="32">
        <v>265</v>
      </c>
    </row>
    <row r="75" spans="1:45">
      <c r="A75" s="30" t="s">
        <v>676</v>
      </c>
      <c r="B75" s="30" t="s">
        <v>1407</v>
      </c>
      <c r="C75" s="30" t="s">
        <v>677</v>
      </c>
      <c r="D75" s="30" t="s">
        <v>67</v>
      </c>
      <c r="E75" s="30" t="s">
        <v>1504</v>
      </c>
      <c r="F75" s="30" t="s">
        <v>67</v>
      </c>
      <c r="G75" s="30" t="s">
        <v>448</v>
      </c>
      <c r="H75" s="30" t="s">
        <v>680</v>
      </c>
      <c r="I75" s="32">
        <v>106</v>
      </c>
      <c r="J75" s="32">
        <v>64</v>
      </c>
      <c r="K75" s="32">
        <v>79</v>
      </c>
      <c r="L75" s="32">
        <v>79</v>
      </c>
      <c r="M75" s="32">
        <v>60</v>
      </c>
      <c r="N75" s="32">
        <v>87</v>
      </c>
      <c r="O75" s="32">
        <v>118</v>
      </c>
      <c r="P75" s="32">
        <v>81</v>
      </c>
      <c r="Q75" s="32">
        <v>80</v>
      </c>
      <c r="R75" s="32">
        <v>64</v>
      </c>
      <c r="S75" s="32">
        <v>55</v>
      </c>
      <c r="T75" s="32">
        <v>71</v>
      </c>
      <c r="U75" s="32">
        <v>89</v>
      </c>
      <c r="V75" s="32">
        <v>43</v>
      </c>
      <c r="W75" s="32">
        <v>56</v>
      </c>
      <c r="X75" s="32">
        <v>54</v>
      </c>
      <c r="Y75" s="32">
        <v>56</v>
      </c>
      <c r="Z75" s="32">
        <v>33</v>
      </c>
      <c r="AA75" s="32">
        <v>88</v>
      </c>
      <c r="AB75" s="32">
        <v>55</v>
      </c>
      <c r="AC75" s="32">
        <v>58</v>
      </c>
      <c r="AD75" s="32">
        <v>90</v>
      </c>
      <c r="AE75" s="32">
        <v>52</v>
      </c>
      <c r="AF75" s="32">
        <v>60</v>
      </c>
      <c r="AG75" s="32">
        <v>83</v>
      </c>
      <c r="AH75" s="32">
        <v>69</v>
      </c>
      <c r="AI75" s="32">
        <v>85</v>
      </c>
      <c r="AJ75" s="32">
        <v>79</v>
      </c>
      <c r="AK75" s="32">
        <v>60</v>
      </c>
      <c r="AL75" s="32">
        <v>57</v>
      </c>
      <c r="AM75" s="32">
        <v>76</v>
      </c>
      <c r="AN75" s="32">
        <v>55</v>
      </c>
      <c r="AO75" s="32">
        <v>62</v>
      </c>
      <c r="AP75" s="32">
        <v>75</v>
      </c>
      <c r="AQ75" s="32">
        <v>60</v>
      </c>
      <c r="AR75" s="32">
        <v>59</v>
      </c>
      <c r="AS75" s="32">
        <v>113</v>
      </c>
    </row>
    <row r="76" spans="1:45">
      <c r="A76" s="30" t="s">
        <v>676</v>
      </c>
      <c r="B76" s="30" t="s">
        <v>1407</v>
      </c>
      <c r="C76" s="30" t="s">
        <v>677</v>
      </c>
      <c r="D76" s="30" t="s">
        <v>67</v>
      </c>
      <c r="E76" s="30" t="s">
        <v>1505</v>
      </c>
      <c r="F76" s="30" t="s">
        <v>67</v>
      </c>
      <c r="G76" s="30" t="s">
        <v>449</v>
      </c>
      <c r="H76" s="30" t="s">
        <v>680</v>
      </c>
      <c r="I76" s="32">
        <v>300</v>
      </c>
      <c r="J76" s="32">
        <v>154</v>
      </c>
      <c r="K76" s="32">
        <v>168</v>
      </c>
      <c r="L76" s="32">
        <v>221</v>
      </c>
      <c r="M76" s="32">
        <v>184</v>
      </c>
      <c r="N76" s="32">
        <v>189</v>
      </c>
      <c r="O76" s="32">
        <v>215</v>
      </c>
      <c r="P76" s="32">
        <v>164</v>
      </c>
      <c r="Q76" s="32">
        <v>125</v>
      </c>
      <c r="R76" s="32">
        <v>177</v>
      </c>
      <c r="S76" s="32">
        <v>95</v>
      </c>
      <c r="T76" s="32">
        <v>109</v>
      </c>
      <c r="U76" s="32">
        <v>167</v>
      </c>
      <c r="V76" s="32">
        <v>101</v>
      </c>
      <c r="W76" s="32">
        <v>92</v>
      </c>
      <c r="X76" s="32">
        <v>136</v>
      </c>
      <c r="Y76" s="32">
        <v>93</v>
      </c>
      <c r="Z76" s="32">
        <v>127</v>
      </c>
      <c r="AA76" s="32">
        <v>143</v>
      </c>
      <c r="AB76" s="32">
        <v>129</v>
      </c>
      <c r="AC76" s="32">
        <v>152</v>
      </c>
      <c r="AD76" s="32">
        <v>177</v>
      </c>
      <c r="AE76" s="32">
        <v>136</v>
      </c>
      <c r="AF76" s="32">
        <v>107</v>
      </c>
      <c r="AG76" s="32">
        <v>163</v>
      </c>
      <c r="AH76" s="32">
        <v>137</v>
      </c>
      <c r="AI76" s="32">
        <v>156</v>
      </c>
      <c r="AJ76" s="32">
        <v>189</v>
      </c>
      <c r="AK76" s="32">
        <v>120</v>
      </c>
      <c r="AL76" s="32">
        <v>120</v>
      </c>
      <c r="AM76" s="32">
        <v>176</v>
      </c>
      <c r="AN76" s="32">
        <v>111</v>
      </c>
      <c r="AO76" s="32">
        <v>118</v>
      </c>
      <c r="AP76" s="32">
        <v>137</v>
      </c>
      <c r="AQ76" s="32">
        <v>126</v>
      </c>
      <c r="AR76" s="32">
        <v>106</v>
      </c>
      <c r="AS76" s="32">
        <v>168</v>
      </c>
    </row>
    <row r="77" spans="1:45">
      <c r="A77" s="30" t="s">
        <v>676</v>
      </c>
      <c r="B77" s="30" t="s">
        <v>1407</v>
      </c>
      <c r="C77" s="30" t="s">
        <v>677</v>
      </c>
      <c r="D77" s="30" t="s">
        <v>67</v>
      </c>
      <c r="E77" s="30" t="s">
        <v>1506</v>
      </c>
      <c r="F77" s="30" t="s">
        <v>67</v>
      </c>
      <c r="G77" s="30" t="s">
        <v>450</v>
      </c>
      <c r="H77" s="30" t="s">
        <v>680</v>
      </c>
      <c r="I77" s="32">
        <v>218</v>
      </c>
      <c r="J77" s="32">
        <v>99</v>
      </c>
      <c r="K77" s="32">
        <v>113</v>
      </c>
      <c r="L77" s="32">
        <v>159</v>
      </c>
      <c r="M77" s="32">
        <v>134</v>
      </c>
      <c r="N77" s="32">
        <v>111</v>
      </c>
      <c r="O77" s="32">
        <v>174</v>
      </c>
      <c r="P77" s="32">
        <v>119</v>
      </c>
      <c r="Q77" s="32">
        <v>94</v>
      </c>
      <c r="R77" s="32">
        <v>146</v>
      </c>
      <c r="S77" s="32">
        <v>87</v>
      </c>
      <c r="T77" s="32">
        <v>79</v>
      </c>
      <c r="U77" s="32">
        <v>93</v>
      </c>
      <c r="V77" s="32">
        <v>63.197400000000002</v>
      </c>
      <c r="W77" s="32">
        <v>63</v>
      </c>
      <c r="X77" s="32">
        <v>105</v>
      </c>
      <c r="Y77" s="32">
        <v>62</v>
      </c>
      <c r="Z77" s="32">
        <v>73</v>
      </c>
      <c r="AA77" s="32">
        <v>88</v>
      </c>
      <c r="AB77" s="32">
        <v>69</v>
      </c>
      <c r="AC77" s="32">
        <v>70</v>
      </c>
      <c r="AD77" s="32">
        <v>131</v>
      </c>
      <c r="AE77" s="32">
        <v>86</v>
      </c>
      <c r="AF77" s="32">
        <v>62</v>
      </c>
      <c r="AG77" s="32">
        <v>133</v>
      </c>
      <c r="AH77" s="32">
        <v>86</v>
      </c>
      <c r="AI77" s="32">
        <v>100</v>
      </c>
      <c r="AJ77" s="32">
        <v>94</v>
      </c>
      <c r="AK77" s="32">
        <v>62</v>
      </c>
      <c r="AL77" s="32">
        <v>58</v>
      </c>
      <c r="AM77" s="32">
        <v>91</v>
      </c>
      <c r="AN77" s="32">
        <v>77</v>
      </c>
      <c r="AO77" s="32">
        <v>77</v>
      </c>
      <c r="AP77" s="32">
        <v>118</v>
      </c>
      <c r="AQ77" s="32">
        <v>75</v>
      </c>
      <c r="AR77" s="32">
        <v>84</v>
      </c>
      <c r="AS77" s="32">
        <v>108</v>
      </c>
    </row>
    <row r="78" spans="1:45">
      <c r="A78" s="30" t="s">
        <v>676</v>
      </c>
      <c r="B78" s="30" t="s">
        <v>1407</v>
      </c>
      <c r="C78" s="30" t="s">
        <v>677</v>
      </c>
      <c r="D78" s="30" t="s">
        <v>67</v>
      </c>
      <c r="E78" s="30" t="s">
        <v>1507</v>
      </c>
      <c r="F78" s="30" t="s">
        <v>67</v>
      </c>
      <c r="G78" s="30" t="s">
        <v>451</v>
      </c>
      <c r="H78" s="30" t="s">
        <v>680</v>
      </c>
      <c r="I78" s="32">
        <v>98</v>
      </c>
      <c r="J78" s="32">
        <v>55</v>
      </c>
      <c r="K78" s="32">
        <v>43</v>
      </c>
      <c r="L78" s="32">
        <v>60</v>
      </c>
      <c r="M78" s="32">
        <v>47</v>
      </c>
      <c r="N78" s="32">
        <v>47</v>
      </c>
      <c r="O78" s="32">
        <v>80</v>
      </c>
      <c r="P78" s="32">
        <v>47</v>
      </c>
      <c r="Q78" s="32">
        <v>52</v>
      </c>
      <c r="R78" s="32">
        <v>49</v>
      </c>
      <c r="S78" s="32">
        <v>41</v>
      </c>
      <c r="T78" s="32">
        <v>36</v>
      </c>
      <c r="U78" s="32">
        <v>56</v>
      </c>
      <c r="V78" s="32">
        <v>25</v>
      </c>
      <c r="W78" s="32">
        <v>22</v>
      </c>
      <c r="X78" s="32">
        <v>37</v>
      </c>
      <c r="Y78" s="32">
        <v>38</v>
      </c>
      <c r="Z78" s="32">
        <v>45</v>
      </c>
      <c r="AA78" s="32">
        <v>48</v>
      </c>
      <c r="AB78" s="32">
        <v>37</v>
      </c>
      <c r="AC78" s="32">
        <v>34</v>
      </c>
      <c r="AD78" s="32">
        <v>57</v>
      </c>
      <c r="AE78" s="32">
        <v>35</v>
      </c>
      <c r="AF78" s="32">
        <v>23</v>
      </c>
      <c r="AG78" s="32">
        <v>35</v>
      </c>
      <c r="AH78" s="32">
        <v>26</v>
      </c>
      <c r="AI78" s="32">
        <v>38</v>
      </c>
      <c r="AJ78" s="32">
        <v>26</v>
      </c>
      <c r="AK78" s="32">
        <v>34</v>
      </c>
      <c r="AL78" s="32">
        <v>16</v>
      </c>
      <c r="AM78" s="32">
        <v>29</v>
      </c>
      <c r="AN78" s="32">
        <v>21</v>
      </c>
      <c r="AO78" s="32">
        <v>11</v>
      </c>
      <c r="AP78" s="32">
        <v>20</v>
      </c>
      <c r="AQ78" s="32">
        <v>21</v>
      </c>
      <c r="AR78" s="32">
        <v>15</v>
      </c>
      <c r="AS78" s="32">
        <v>31</v>
      </c>
    </row>
    <row r="79" spans="1:45">
      <c r="A79" s="30" t="s">
        <v>676</v>
      </c>
      <c r="B79" s="30" t="s">
        <v>1407</v>
      </c>
      <c r="C79" s="30" t="s">
        <v>677</v>
      </c>
      <c r="D79" s="30" t="s">
        <v>67</v>
      </c>
      <c r="E79" s="30" t="s">
        <v>1508</v>
      </c>
      <c r="F79" s="30" t="s">
        <v>67</v>
      </c>
      <c r="G79" s="30" t="s">
        <v>452</v>
      </c>
      <c r="H79" s="30" t="s">
        <v>680</v>
      </c>
      <c r="I79" s="32">
        <v>485</v>
      </c>
      <c r="J79" s="32">
        <v>276.30939999999998</v>
      </c>
      <c r="K79" s="32">
        <v>252</v>
      </c>
      <c r="L79" s="32">
        <v>435</v>
      </c>
      <c r="M79" s="32">
        <v>321</v>
      </c>
      <c r="N79" s="32">
        <v>312</v>
      </c>
      <c r="O79" s="32">
        <v>398</v>
      </c>
      <c r="P79" s="32">
        <v>265</v>
      </c>
      <c r="Q79" s="32">
        <v>236</v>
      </c>
      <c r="R79" s="32">
        <v>398</v>
      </c>
      <c r="S79" s="32">
        <v>225</v>
      </c>
      <c r="T79" s="32">
        <v>217</v>
      </c>
      <c r="U79" s="32">
        <v>288</v>
      </c>
      <c r="V79" s="32">
        <v>192.19739999999999</v>
      </c>
      <c r="W79" s="32">
        <v>172</v>
      </c>
      <c r="X79" s="32">
        <v>276</v>
      </c>
      <c r="Y79" s="32">
        <v>154</v>
      </c>
      <c r="Z79" s="32">
        <v>192</v>
      </c>
      <c r="AA79" s="32">
        <v>256</v>
      </c>
      <c r="AB79" s="32">
        <v>159</v>
      </c>
      <c r="AC79" s="32">
        <v>190</v>
      </c>
      <c r="AD79" s="32">
        <v>300</v>
      </c>
      <c r="AE79" s="32">
        <v>159</v>
      </c>
      <c r="AF79" s="32">
        <v>163</v>
      </c>
      <c r="AG79" s="32">
        <v>285</v>
      </c>
      <c r="AH79" s="32">
        <v>190</v>
      </c>
      <c r="AI79" s="32">
        <v>184</v>
      </c>
      <c r="AJ79" s="32">
        <v>190</v>
      </c>
      <c r="AK79" s="32">
        <v>145</v>
      </c>
      <c r="AL79" s="32">
        <v>143</v>
      </c>
      <c r="AM79" s="32">
        <v>235</v>
      </c>
      <c r="AN79" s="32">
        <v>168</v>
      </c>
      <c r="AO79" s="32">
        <v>178</v>
      </c>
      <c r="AP79" s="32">
        <v>290</v>
      </c>
      <c r="AQ79" s="32">
        <v>210</v>
      </c>
      <c r="AR79" s="32">
        <v>205</v>
      </c>
      <c r="AS79" s="32">
        <v>303</v>
      </c>
    </row>
    <row r="80" spans="1:45">
      <c r="A80" s="30" t="s">
        <v>676</v>
      </c>
      <c r="B80" s="30" t="s">
        <v>1407</v>
      </c>
      <c r="C80" s="30" t="s">
        <v>677</v>
      </c>
      <c r="D80" s="30" t="s">
        <v>67</v>
      </c>
      <c r="E80" s="30" t="s">
        <v>1509</v>
      </c>
      <c r="F80" s="30" t="s">
        <v>67</v>
      </c>
      <c r="G80" s="30" t="s">
        <v>453</v>
      </c>
      <c r="H80" s="30" t="s">
        <v>680</v>
      </c>
      <c r="I80" s="32">
        <v>97</v>
      </c>
      <c r="J80" s="32">
        <v>58</v>
      </c>
      <c r="K80" s="32">
        <v>42</v>
      </c>
      <c r="L80" s="32">
        <v>62</v>
      </c>
      <c r="M80" s="32">
        <v>52</v>
      </c>
      <c r="N80" s="32">
        <v>45</v>
      </c>
      <c r="O80" s="32">
        <v>78</v>
      </c>
      <c r="P80" s="32">
        <v>55</v>
      </c>
      <c r="Q80" s="32">
        <v>38</v>
      </c>
      <c r="R80" s="32">
        <v>61</v>
      </c>
      <c r="S80" s="32">
        <v>50</v>
      </c>
      <c r="T80" s="32">
        <v>42</v>
      </c>
      <c r="U80" s="32">
        <v>58</v>
      </c>
      <c r="V80" s="32">
        <v>28</v>
      </c>
      <c r="W80" s="32">
        <v>45</v>
      </c>
      <c r="X80" s="32">
        <v>30</v>
      </c>
      <c r="Y80" s="32">
        <v>24</v>
      </c>
      <c r="Z80" s="32">
        <v>25</v>
      </c>
      <c r="AA80" s="32">
        <v>34</v>
      </c>
      <c r="AB80" s="32">
        <v>12</v>
      </c>
      <c r="AC80" s="32">
        <v>10</v>
      </c>
      <c r="AD80" s="32">
        <v>20</v>
      </c>
      <c r="AE80" s="32">
        <v>9</v>
      </c>
      <c r="AF80" s="32">
        <v>4</v>
      </c>
      <c r="AG80" s="32">
        <v>8</v>
      </c>
      <c r="AH80" s="32">
        <v>6</v>
      </c>
      <c r="AI80" s="32">
        <v>7</v>
      </c>
      <c r="AJ80" s="32">
        <v>8</v>
      </c>
      <c r="AK80" s="32">
        <v>4</v>
      </c>
      <c r="AL80" s="32">
        <v>1</v>
      </c>
      <c r="AM80" s="32">
        <v>9</v>
      </c>
      <c r="AN80" s="32">
        <v>5</v>
      </c>
      <c r="AO80" s="32">
        <v>6</v>
      </c>
      <c r="AP80" s="32">
        <v>30</v>
      </c>
      <c r="AQ80" s="32">
        <v>40</v>
      </c>
      <c r="AR80" s="32">
        <v>46</v>
      </c>
      <c r="AS80" s="32">
        <v>53</v>
      </c>
    </row>
    <row r="81" spans="1:45">
      <c r="A81" s="30" t="s">
        <v>676</v>
      </c>
      <c r="B81" s="30" t="s">
        <v>1407</v>
      </c>
      <c r="C81" s="30" t="s">
        <v>677</v>
      </c>
      <c r="D81" s="30" t="s">
        <v>67</v>
      </c>
      <c r="E81" s="30" t="s">
        <v>1510</v>
      </c>
      <c r="F81" s="30" t="s">
        <v>67</v>
      </c>
      <c r="G81" s="30" t="s">
        <v>454</v>
      </c>
      <c r="H81" s="30" t="s">
        <v>680</v>
      </c>
      <c r="I81" s="32">
        <v>268</v>
      </c>
      <c r="J81" s="32">
        <v>156</v>
      </c>
      <c r="K81" s="32">
        <v>143</v>
      </c>
      <c r="L81" s="32">
        <v>191</v>
      </c>
      <c r="M81" s="32">
        <v>181</v>
      </c>
      <c r="N81" s="32">
        <v>180</v>
      </c>
      <c r="O81" s="32">
        <v>200</v>
      </c>
      <c r="P81" s="32">
        <v>168</v>
      </c>
      <c r="Q81" s="32">
        <v>139</v>
      </c>
      <c r="R81" s="32">
        <v>188</v>
      </c>
      <c r="S81" s="32">
        <v>132</v>
      </c>
      <c r="T81" s="32">
        <v>105</v>
      </c>
      <c r="U81" s="32">
        <v>153</v>
      </c>
      <c r="V81" s="32">
        <v>87</v>
      </c>
      <c r="W81" s="32">
        <v>89</v>
      </c>
      <c r="X81" s="32">
        <v>127</v>
      </c>
      <c r="Y81" s="32">
        <v>85</v>
      </c>
      <c r="Z81" s="32">
        <v>81</v>
      </c>
      <c r="AA81" s="32">
        <v>113</v>
      </c>
      <c r="AB81" s="32">
        <v>84</v>
      </c>
      <c r="AC81" s="32">
        <v>126</v>
      </c>
      <c r="AD81" s="32">
        <v>136</v>
      </c>
      <c r="AE81" s="32">
        <v>86</v>
      </c>
      <c r="AF81" s="32">
        <v>116</v>
      </c>
      <c r="AG81" s="32">
        <v>149</v>
      </c>
      <c r="AH81" s="32">
        <v>106</v>
      </c>
      <c r="AI81" s="32">
        <v>130</v>
      </c>
      <c r="AJ81" s="32">
        <v>172</v>
      </c>
      <c r="AK81" s="32">
        <v>100</v>
      </c>
      <c r="AL81" s="32">
        <v>112</v>
      </c>
      <c r="AM81" s="32">
        <v>126</v>
      </c>
      <c r="AN81" s="32">
        <v>107</v>
      </c>
      <c r="AO81" s="32">
        <v>100</v>
      </c>
      <c r="AP81" s="32">
        <v>153</v>
      </c>
      <c r="AQ81" s="32">
        <v>121</v>
      </c>
      <c r="AR81" s="32">
        <v>117</v>
      </c>
      <c r="AS81" s="32">
        <v>152</v>
      </c>
    </row>
    <row r="82" spans="1:45">
      <c r="A82" s="30" t="s">
        <v>676</v>
      </c>
      <c r="B82" s="30" t="s">
        <v>1407</v>
      </c>
      <c r="C82" s="30" t="s">
        <v>677</v>
      </c>
      <c r="D82" s="30" t="s">
        <v>67</v>
      </c>
      <c r="E82" s="30" t="s">
        <v>1511</v>
      </c>
      <c r="F82" s="30" t="s">
        <v>67</v>
      </c>
      <c r="G82" s="30" t="s">
        <v>455</v>
      </c>
      <c r="H82" s="30" t="s">
        <v>680</v>
      </c>
      <c r="I82" s="32">
        <v>235</v>
      </c>
      <c r="J82" s="32">
        <v>126</v>
      </c>
      <c r="K82" s="32">
        <v>104</v>
      </c>
      <c r="L82" s="32">
        <v>135</v>
      </c>
      <c r="M82" s="32">
        <v>127</v>
      </c>
      <c r="N82" s="32">
        <v>132</v>
      </c>
      <c r="O82" s="32">
        <v>174</v>
      </c>
      <c r="P82" s="32">
        <v>115</v>
      </c>
      <c r="Q82" s="32">
        <v>77</v>
      </c>
      <c r="R82" s="32">
        <v>136</v>
      </c>
      <c r="S82" s="32">
        <v>96</v>
      </c>
      <c r="T82" s="32">
        <v>81</v>
      </c>
      <c r="U82" s="32">
        <v>96</v>
      </c>
      <c r="V82" s="32">
        <v>56</v>
      </c>
      <c r="W82" s="32">
        <v>61</v>
      </c>
      <c r="X82" s="32">
        <v>71</v>
      </c>
      <c r="Y82" s="32">
        <v>55</v>
      </c>
      <c r="Z82" s="32">
        <v>72</v>
      </c>
      <c r="AA82" s="32">
        <v>79.455200000000005</v>
      </c>
      <c r="AB82" s="32">
        <v>49</v>
      </c>
      <c r="AC82" s="32">
        <v>64</v>
      </c>
      <c r="AD82" s="32">
        <v>94</v>
      </c>
      <c r="AE82" s="32">
        <v>45</v>
      </c>
      <c r="AF82" s="32">
        <v>59</v>
      </c>
      <c r="AG82" s="32">
        <v>75</v>
      </c>
      <c r="AH82" s="32">
        <v>41</v>
      </c>
      <c r="AI82" s="32">
        <v>72</v>
      </c>
      <c r="AJ82" s="32">
        <v>89</v>
      </c>
      <c r="AK82" s="32">
        <v>40</v>
      </c>
      <c r="AL82" s="32">
        <v>60</v>
      </c>
      <c r="AM82" s="32">
        <v>85</v>
      </c>
      <c r="AN82" s="32">
        <v>52</v>
      </c>
      <c r="AO82" s="32">
        <v>46</v>
      </c>
      <c r="AP82" s="32">
        <v>62</v>
      </c>
      <c r="AQ82" s="32">
        <v>57</v>
      </c>
      <c r="AR82" s="32">
        <v>66</v>
      </c>
      <c r="AS82" s="32">
        <v>88</v>
      </c>
    </row>
    <row r="83" spans="1:45">
      <c r="A83" s="30" t="s">
        <v>676</v>
      </c>
      <c r="B83" s="30" t="s">
        <v>1407</v>
      </c>
      <c r="C83" s="30" t="s">
        <v>677</v>
      </c>
      <c r="D83" s="30" t="s">
        <v>67</v>
      </c>
      <c r="E83" s="30" t="s">
        <v>1512</v>
      </c>
      <c r="F83" s="30" t="s">
        <v>67</v>
      </c>
      <c r="G83" s="30" t="s">
        <v>456</v>
      </c>
      <c r="H83" s="30" t="s">
        <v>680</v>
      </c>
      <c r="I83" s="32">
        <v>233</v>
      </c>
      <c r="J83" s="32">
        <v>133</v>
      </c>
      <c r="K83" s="32">
        <v>122</v>
      </c>
      <c r="L83" s="32">
        <v>165</v>
      </c>
      <c r="M83" s="32">
        <v>166</v>
      </c>
      <c r="N83" s="32">
        <v>129</v>
      </c>
      <c r="O83" s="32">
        <v>218</v>
      </c>
      <c r="P83" s="32">
        <v>139</v>
      </c>
      <c r="Q83" s="32">
        <v>128</v>
      </c>
      <c r="R83" s="32">
        <v>157</v>
      </c>
      <c r="S83" s="32">
        <v>93</v>
      </c>
      <c r="T83" s="32">
        <v>115</v>
      </c>
      <c r="U83" s="32">
        <v>105</v>
      </c>
      <c r="V83" s="32">
        <v>105</v>
      </c>
      <c r="W83" s="32">
        <v>90</v>
      </c>
      <c r="X83" s="32">
        <v>90</v>
      </c>
      <c r="Y83" s="32">
        <v>51</v>
      </c>
      <c r="Z83" s="32">
        <v>77</v>
      </c>
      <c r="AA83" s="32">
        <v>113</v>
      </c>
      <c r="AB83" s="32">
        <v>67</v>
      </c>
      <c r="AC83" s="32">
        <v>70</v>
      </c>
      <c r="AD83" s="32">
        <v>98</v>
      </c>
      <c r="AE83" s="32">
        <v>63</v>
      </c>
      <c r="AF83" s="32">
        <v>46</v>
      </c>
      <c r="AG83" s="32">
        <v>99</v>
      </c>
      <c r="AH83" s="32">
        <v>69</v>
      </c>
      <c r="AI83" s="32">
        <v>99</v>
      </c>
      <c r="AJ83" s="32">
        <v>107</v>
      </c>
      <c r="AK83" s="32">
        <v>54</v>
      </c>
      <c r="AL83" s="32">
        <v>58</v>
      </c>
      <c r="AM83" s="32">
        <v>83</v>
      </c>
      <c r="AN83" s="32">
        <v>48</v>
      </c>
      <c r="AO83" s="32">
        <v>54</v>
      </c>
      <c r="AP83" s="32">
        <v>87</v>
      </c>
      <c r="AQ83" s="32">
        <v>68</v>
      </c>
      <c r="AR83" s="32">
        <v>76</v>
      </c>
      <c r="AS83" s="32">
        <v>86</v>
      </c>
    </row>
    <row r="84" spans="1:45">
      <c r="A84" s="30" t="s">
        <v>676</v>
      </c>
      <c r="B84" s="30" t="s">
        <v>1407</v>
      </c>
      <c r="C84" s="30" t="s">
        <v>677</v>
      </c>
      <c r="D84" s="30" t="s">
        <v>67</v>
      </c>
      <c r="E84" s="30" t="s">
        <v>1513</v>
      </c>
      <c r="F84" s="30" t="s">
        <v>67</v>
      </c>
      <c r="G84" s="30" t="s">
        <v>457</v>
      </c>
      <c r="H84" s="30" t="s">
        <v>680</v>
      </c>
      <c r="I84" s="32">
        <v>232</v>
      </c>
      <c r="J84" s="32">
        <v>118</v>
      </c>
      <c r="K84" s="32">
        <v>118</v>
      </c>
      <c r="L84" s="32">
        <v>178</v>
      </c>
      <c r="M84" s="32">
        <v>150</v>
      </c>
      <c r="N84" s="32">
        <v>131</v>
      </c>
      <c r="O84" s="32">
        <v>184</v>
      </c>
      <c r="P84" s="32">
        <v>134</v>
      </c>
      <c r="Q84" s="32">
        <v>117</v>
      </c>
      <c r="R84" s="32">
        <v>173</v>
      </c>
      <c r="S84" s="32">
        <v>107</v>
      </c>
      <c r="T84" s="32">
        <v>96</v>
      </c>
      <c r="U84" s="32">
        <v>121</v>
      </c>
      <c r="V84" s="32">
        <v>85</v>
      </c>
      <c r="W84" s="32">
        <v>88</v>
      </c>
      <c r="X84" s="32">
        <v>128</v>
      </c>
      <c r="Y84" s="32">
        <v>101</v>
      </c>
      <c r="Z84" s="32">
        <v>99</v>
      </c>
      <c r="AA84" s="32">
        <v>128.2276</v>
      </c>
      <c r="AB84" s="32">
        <v>87</v>
      </c>
      <c r="AC84" s="32">
        <v>86</v>
      </c>
      <c r="AD84" s="32">
        <v>134</v>
      </c>
      <c r="AE84" s="32">
        <v>76</v>
      </c>
      <c r="AF84" s="32">
        <v>55</v>
      </c>
      <c r="AG84" s="32">
        <v>108</v>
      </c>
      <c r="AH84" s="32">
        <v>77</v>
      </c>
      <c r="AI84" s="32">
        <v>102</v>
      </c>
      <c r="AJ84" s="32">
        <v>106</v>
      </c>
      <c r="AK84" s="32">
        <v>68</v>
      </c>
      <c r="AL84" s="32">
        <v>74</v>
      </c>
      <c r="AM84" s="32">
        <v>83</v>
      </c>
      <c r="AN84" s="32">
        <v>85</v>
      </c>
      <c r="AO84" s="32">
        <v>75</v>
      </c>
      <c r="AP84" s="32">
        <v>105</v>
      </c>
      <c r="AQ84" s="32">
        <v>58</v>
      </c>
      <c r="AR84" s="32">
        <v>91</v>
      </c>
      <c r="AS84" s="32">
        <v>149</v>
      </c>
    </row>
    <row r="85" spans="1:45">
      <c r="A85" s="30" t="s">
        <v>676</v>
      </c>
      <c r="B85" s="30" t="s">
        <v>1407</v>
      </c>
      <c r="C85" s="30" t="s">
        <v>677</v>
      </c>
      <c r="D85" s="30" t="s">
        <v>67</v>
      </c>
      <c r="E85" s="30" t="s">
        <v>1514</v>
      </c>
      <c r="F85" s="30" t="s">
        <v>67</v>
      </c>
      <c r="G85" s="30" t="s">
        <v>458</v>
      </c>
      <c r="H85" s="30" t="s">
        <v>680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2">
        <v>8</v>
      </c>
      <c r="O85" s="32">
        <v>4</v>
      </c>
      <c r="P85" s="32">
        <v>6</v>
      </c>
      <c r="Q85" s="32">
        <v>7</v>
      </c>
      <c r="R85" s="32">
        <v>13</v>
      </c>
      <c r="S85" s="32">
        <v>8</v>
      </c>
      <c r="T85" s="32">
        <v>6</v>
      </c>
      <c r="U85" s="32">
        <v>16</v>
      </c>
      <c r="V85" s="32">
        <v>11</v>
      </c>
      <c r="W85" s="32">
        <v>11</v>
      </c>
      <c r="X85" s="32">
        <v>11</v>
      </c>
      <c r="Y85" s="32">
        <v>11</v>
      </c>
      <c r="Z85" s="32">
        <v>8</v>
      </c>
      <c r="AA85" s="32">
        <v>8</v>
      </c>
      <c r="AB85" s="32">
        <v>9</v>
      </c>
      <c r="AC85" s="32">
        <v>6</v>
      </c>
      <c r="AD85" s="32">
        <v>14</v>
      </c>
      <c r="AE85" s="32">
        <v>3</v>
      </c>
      <c r="AF85" s="32">
        <v>8</v>
      </c>
      <c r="AG85" s="32">
        <v>9</v>
      </c>
      <c r="AH85" s="32">
        <v>5</v>
      </c>
      <c r="AI85" s="32">
        <v>6</v>
      </c>
      <c r="AJ85" s="32">
        <v>14</v>
      </c>
      <c r="AK85" s="32">
        <v>6</v>
      </c>
      <c r="AL85" s="32">
        <v>11</v>
      </c>
      <c r="AM85" s="32">
        <v>17</v>
      </c>
      <c r="AN85" s="32">
        <v>11</v>
      </c>
      <c r="AO85" s="32">
        <v>16</v>
      </c>
      <c r="AP85" s="32">
        <v>20</v>
      </c>
      <c r="AQ85" s="31">
        <v>0</v>
      </c>
      <c r="AR85" s="31">
        <v>0</v>
      </c>
      <c r="AS85" s="31">
        <v>0</v>
      </c>
    </row>
    <row r="86" spans="1:45">
      <c r="A86" s="30" t="s">
        <v>676</v>
      </c>
      <c r="B86" s="30" t="s">
        <v>1407</v>
      </c>
      <c r="C86" s="30" t="s">
        <v>677</v>
      </c>
      <c r="D86" s="30" t="s">
        <v>67</v>
      </c>
      <c r="E86" s="30" t="s">
        <v>1515</v>
      </c>
      <c r="F86" s="30" t="s">
        <v>67</v>
      </c>
      <c r="G86" s="30" t="s">
        <v>459</v>
      </c>
      <c r="H86" s="30" t="s">
        <v>680</v>
      </c>
      <c r="I86" s="32">
        <v>40</v>
      </c>
      <c r="J86" s="32">
        <v>15</v>
      </c>
      <c r="K86" s="32">
        <v>14</v>
      </c>
      <c r="L86" s="32">
        <v>23</v>
      </c>
      <c r="M86" s="32">
        <v>21</v>
      </c>
      <c r="N86" s="32">
        <v>14</v>
      </c>
      <c r="O86" s="32">
        <v>37</v>
      </c>
      <c r="P86" s="32">
        <v>25</v>
      </c>
      <c r="Q86" s="32">
        <v>23</v>
      </c>
      <c r="R86" s="32">
        <v>27</v>
      </c>
      <c r="S86" s="32">
        <v>22</v>
      </c>
      <c r="T86" s="32">
        <v>24</v>
      </c>
      <c r="U86" s="32">
        <v>18</v>
      </c>
      <c r="V86" s="32">
        <v>11</v>
      </c>
      <c r="W86" s="32">
        <v>15</v>
      </c>
      <c r="X86" s="32">
        <v>25</v>
      </c>
      <c r="Y86" s="32">
        <v>15</v>
      </c>
      <c r="Z86" s="32">
        <v>7</v>
      </c>
      <c r="AA86" s="32">
        <v>8</v>
      </c>
      <c r="AB86" s="31">
        <v>0</v>
      </c>
      <c r="AC86" s="31">
        <v>0</v>
      </c>
      <c r="AD86" s="31">
        <v>0</v>
      </c>
      <c r="AE86" s="31">
        <v>0</v>
      </c>
      <c r="AF86" s="31">
        <v>0</v>
      </c>
      <c r="AG86" s="31">
        <v>0</v>
      </c>
      <c r="AH86" s="31">
        <v>0</v>
      </c>
      <c r="AI86" s="31">
        <v>0</v>
      </c>
      <c r="AJ86" s="31">
        <v>0</v>
      </c>
      <c r="AK86" s="31">
        <v>0</v>
      </c>
      <c r="AL86" s="31">
        <v>0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</row>
    <row r="87" spans="1:45">
      <c r="A87" s="30" t="s">
        <v>676</v>
      </c>
      <c r="B87" s="30" t="s">
        <v>1407</v>
      </c>
      <c r="C87" s="30" t="s">
        <v>677</v>
      </c>
      <c r="D87" s="30" t="s">
        <v>67</v>
      </c>
      <c r="E87" s="30" t="s">
        <v>1516</v>
      </c>
      <c r="F87" s="30" t="s">
        <v>67</v>
      </c>
      <c r="G87" s="30" t="s">
        <v>460</v>
      </c>
      <c r="H87" s="30" t="s">
        <v>680</v>
      </c>
      <c r="I87" s="32">
        <v>110</v>
      </c>
      <c r="J87" s="32">
        <v>49</v>
      </c>
      <c r="K87" s="32">
        <v>45</v>
      </c>
      <c r="L87" s="32">
        <v>72</v>
      </c>
      <c r="M87" s="32">
        <v>58</v>
      </c>
      <c r="N87" s="32">
        <v>41</v>
      </c>
      <c r="O87" s="32">
        <v>55</v>
      </c>
      <c r="P87" s="32">
        <v>37</v>
      </c>
      <c r="Q87" s="32">
        <v>36</v>
      </c>
      <c r="R87" s="32">
        <v>54</v>
      </c>
      <c r="S87" s="32">
        <v>40</v>
      </c>
      <c r="T87" s="32">
        <v>42</v>
      </c>
      <c r="U87" s="32">
        <v>58</v>
      </c>
      <c r="V87" s="32">
        <v>31</v>
      </c>
      <c r="W87" s="32">
        <v>40</v>
      </c>
      <c r="X87" s="32">
        <v>39</v>
      </c>
      <c r="Y87" s="32">
        <v>24</v>
      </c>
      <c r="Z87" s="32">
        <v>17</v>
      </c>
      <c r="AA87" s="32">
        <v>31</v>
      </c>
      <c r="AB87" s="32">
        <v>15</v>
      </c>
      <c r="AC87" s="32">
        <v>20</v>
      </c>
      <c r="AD87" s="32">
        <v>21</v>
      </c>
      <c r="AE87" s="32">
        <v>15</v>
      </c>
      <c r="AF87" s="32">
        <v>18</v>
      </c>
      <c r="AG87" s="32">
        <v>20</v>
      </c>
      <c r="AH87" s="32">
        <v>13</v>
      </c>
      <c r="AI87" s="32">
        <v>14</v>
      </c>
      <c r="AJ87" s="32">
        <v>31</v>
      </c>
      <c r="AK87" s="32">
        <v>23</v>
      </c>
      <c r="AL87" s="32">
        <v>25</v>
      </c>
      <c r="AM87" s="32">
        <v>33</v>
      </c>
      <c r="AN87" s="32">
        <v>19</v>
      </c>
      <c r="AO87" s="32">
        <v>27</v>
      </c>
      <c r="AP87" s="32">
        <v>25</v>
      </c>
      <c r="AQ87" s="32">
        <v>18</v>
      </c>
      <c r="AR87" s="32">
        <v>20</v>
      </c>
      <c r="AS87" s="32">
        <v>26</v>
      </c>
    </row>
    <row r="88" spans="1:45">
      <c r="A88" s="30" t="s">
        <v>676</v>
      </c>
      <c r="B88" s="30" t="s">
        <v>1407</v>
      </c>
      <c r="C88" s="30" t="s">
        <v>677</v>
      </c>
      <c r="D88" s="30" t="s">
        <v>67</v>
      </c>
      <c r="E88" s="30" t="s">
        <v>1517</v>
      </c>
      <c r="F88" s="30" t="s">
        <v>67</v>
      </c>
      <c r="G88" s="30" t="s">
        <v>461</v>
      </c>
      <c r="H88" s="30" t="s">
        <v>680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2">
        <v>22</v>
      </c>
      <c r="Q88" s="32">
        <v>33</v>
      </c>
      <c r="R88" s="32">
        <v>26</v>
      </c>
      <c r="S88" s="32">
        <v>26</v>
      </c>
      <c r="T88" s="32">
        <v>18</v>
      </c>
      <c r="U88" s="32">
        <v>20</v>
      </c>
      <c r="V88" s="32">
        <v>16</v>
      </c>
      <c r="W88" s="32">
        <v>8</v>
      </c>
      <c r="X88" s="32">
        <v>10</v>
      </c>
      <c r="Y88" s="32">
        <v>9</v>
      </c>
      <c r="Z88" s="32">
        <v>16</v>
      </c>
      <c r="AA88" s="32">
        <v>10</v>
      </c>
      <c r="AB88" s="32">
        <v>12</v>
      </c>
      <c r="AC88" s="32">
        <v>8</v>
      </c>
      <c r="AD88" s="32">
        <v>9</v>
      </c>
      <c r="AE88" s="32">
        <v>9</v>
      </c>
      <c r="AF88" s="32">
        <v>6</v>
      </c>
      <c r="AG88" s="32">
        <v>8</v>
      </c>
      <c r="AH88" s="32">
        <v>6</v>
      </c>
      <c r="AI88" s="32">
        <v>6</v>
      </c>
      <c r="AJ88" s="32">
        <v>13</v>
      </c>
      <c r="AK88" s="32">
        <v>10</v>
      </c>
      <c r="AL88" s="32">
        <v>10</v>
      </c>
      <c r="AM88" s="32">
        <v>12</v>
      </c>
      <c r="AN88" s="32">
        <v>10</v>
      </c>
      <c r="AO88" s="32">
        <v>12</v>
      </c>
      <c r="AP88" s="32">
        <v>10</v>
      </c>
      <c r="AQ88" s="32">
        <v>13</v>
      </c>
      <c r="AR88" s="32">
        <v>14</v>
      </c>
      <c r="AS88" s="32">
        <v>24</v>
      </c>
    </row>
    <row r="89" spans="1:45">
      <c r="A89" s="30" t="s">
        <v>676</v>
      </c>
      <c r="B89" s="30" t="s">
        <v>1407</v>
      </c>
      <c r="C89" s="30" t="s">
        <v>677</v>
      </c>
      <c r="D89" s="30" t="s">
        <v>67</v>
      </c>
      <c r="E89" s="30" t="s">
        <v>1518</v>
      </c>
      <c r="F89" s="30" t="s">
        <v>67</v>
      </c>
      <c r="G89" s="30" t="s">
        <v>462</v>
      </c>
      <c r="H89" s="30" t="s">
        <v>680</v>
      </c>
      <c r="I89" s="32">
        <v>112</v>
      </c>
      <c r="J89" s="32">
        <v>59</v>
      </c>
      <c r="K89" s="32">
        <v>45</v>
      </c>
      <c r="L89" s="32">
        <v>74</v>
      </c>
      <c r="M89" s="32">
        <v>68</v>
      </c>
      <c r="N89" s="32">
        <v>60</v>
      </c>
      <c r="O89" s="32">
        <v>97</v>
      </c>
      <c r="P89" s="32">
        <v>49</v>
      </c>
      <c r="Q89" s="32">
        <v>50</v>
      </c>
      <c r="R89" s="32">
        <v>66</v>
      </c>
      <c r="S89" s="32">
        <v>52</v>
      </c>
      <c r="T89" s="32">
        <v>32</v>
      </c>
      <c r="U89" s="32">
        <v>45</v>
      </c>
      <c r="V89" s="32">
        <v>45</v>
      </c>
      <c r="W89" s="32">
        <v>28</v>
      </c>
      <c r="X89" s="32">
        <v>39</v>
      </c>
      <c r="Y89" s="32">
        <v>23</v>
      </c>
      <c r="Z89" s="32">
        <v>22</v>
      </c>
      <c r="AA89" s="32">
        <v>30</v>
      </c>
      <c r="AB89" s="32">
        <v>21</v>
      </c>
      <c r="AC89" s="32">
        <v>23</v>
      </c>
      <c r="AD89" s="32">
        <v>12</v>
      </c>
      <c r="AE89" s="32">
        <v>12</v>
      </c>
      <c r="AF89" s="32">
        <v>9</v>
      </c>
      <c r="AG89" s="32">
        <v>7</v>
      </c>
      <c r="AH89" s="32">
        <v>17</v>
      </c>
      <c r="AI89" s="32">
        <v>12</v>
      </c>
      <c r="AJ89" s="32">
        <v>25</v>
      </c>
      <c r="AK89" s="32">
        <v>23</v>
      </c>
      <c r="AL89" s="32">
        <v>23</v>
      </c>
      <c r="AM89" s="32">
        <v>34</v>
      </c>
      <c r="AN89" s="32">
        <v>20</v>
      </c>
      <c r="AO89" s="32">
        <v>14</v>
      </c>
      <c r="AP89" s="32">
        <v>26</v>
      </c>
      <c r="AQ89" s="32">
        <v>21</v>
      </c>
      <c r="AR89" s="32">
        <v>17</v>
      </c>
      <c r="AS89" s="32">
        <v>22</v>
      </c>
    </row>
    <row r="90" spans="1:45">
      <c r="A90" s="30" t="s">
        <v>676</v>
      </c>
      <c r="B90" s="30" t="s">
        <v>1407</v>
      </c>
      <c r="C90" s="30" t="s">
        <v>677</v>
      </c>
      <c r="D90" s="30" t="s">
        <v>67</v>
      </c>
      <c r="E90" s="30" t="s">
        <v>1519</v>
      </c>
      <c r="F90" s="30" t="s">
        <v>67</v>
      </c>
      <c r="G90" s="30" t="s">
        <v>463</v>
      </c>
      <c r="H90" s="30" t="s">
        <v>680</v>
      </c>
      <c r="I90" s="32">
        <v>102</v>
      </c>
      <c r="J90" s="32">
        <v>48</v>
      </c>
      <c r="K90" s="32">
        <v>37</v>
      </c>
      <c r="L90" s="32">
        <v>40</v>
      </c>
      <c r="M90" s="32">
        <v>43</v>
      </c>
      <c r="N90" s="32">
        <v>42</v>
      </c>
      <c r="O90" s="32">
        <v>67</v>
      </c>
      <c r="P90" s="32">
        <v>41</v>
      </c>
      <c r="Q90" s="32">
        <v>42</v>
      </c>
      <c r="R90" s="32">
        <v>55</v>
      </c>
      <c r="S90" s="32">
        <v>36</v>
      </c>
      <c r="T90" s="32">
        <v>28</v>
      </c>
      <c r="U90" s="32">
        <v>25</v>
      </c>
      <c r="V90" s="32">
        <v>25</v>
      </c>
      <c r="W90" s="32">
        <v>22</v>
      </c>
      <c r="X90" s="32">
        <v>23</v>
      </c>
      <c r="Y90" s="32">
        <v>18</v>
      </c>
      <c r="Z90" s="32">
        <v>17</v>
      </c>
      <c r="AA90" s="32">
        <v>22</v>
      </c>
      <c r="AB90" s="32">
        <v>26</v>
      </c>
      <c r="AC90" s="32">
        <v>10</v>
      </c>
      <c r="AD90" s="32">
        <v>14</v>
      </c>
      <c r="AE90" s="32">
        <v>7</v>
      </c>
      <c r="AF90" s="32">
        <v>5</v>
      </c>
      <c r="AG90" s="32">
        <v>17</v>
      </c>
      <c r="AH90" s="32">
        <v>9</v>
      </c>
      <c r="AI90" s="32">
        <v>11</v>
      </c>
      <c r="AJ90" s="32">
        <v>19</v>
      </c>
      <c r="AK90" s="32">
        <v>8</v>
      </c>
      <c r="AL90" s="32">
        <v>14</v>
      </c>
      <c r="AM90" s="32">
        <v>21</v>
      </c>
      <c r="AN90" s="32">
        <v>11</v>
      </c>
      <c r="AO90" s="32">
        <v>26</v>
      </c>
      <c r="AP90" s="32">
        <v>16</v>
      </c>
      <c r="AQ90" s="32">
        <v>21</v>
      </c>
      <c r="AR90" s="32">
        <v>17</v>
      </c>
      <c r="AS90" s="32">
        <v>30</v>
      </c>
    </row>
    <row r="91" spans="1:45">
      <c r="A91" s="30" t="s">
        <v>676</v>
      </c>
      <c r="B91" s="30" t="s">
        <v>1407</v>
      </c>
      <c r="C91" s="30" t="s">
        <v>677</v>
      </c>
      <c r="D91" s="30" t="s">
        <v>67</v>
      </c>
      <c r="E91" s="30" t="s">
        <v>1520</v>
      </c>
      <c r="F91" s="30" t="s">
        <v>67</v>
      </c>
      <c r="G91" s="30" t="s">
        <v>464</v>
      </c>
      <c r="H91" s="30" t="s">
        <v>680</v>
      </c>
      <c r="I91" s="32">
        <v>46</v>
      </c>
      <c r="J91" s="32">
        <v>26</v>
      </c>
      <c r="K91" s="32">
        <v>23</v>
      </c>
      <c r="L91" s="32">
        <v>43</v>
      </c>
      <c r="M91" s="32">
        <v>33</v>
      </c>
      <c r="N91" s="32">
        <v>32</v>
      </c>
      <c r="O91" s="32">
        <v>37</v>
      </c>
      <c r="P91" s="32">
        <v>40</v>
      </c>
      <c r="Q91" s="32">
        <v>27</v>
      </c>
      <c r="R91" s="32">
        <v>34</v>
      </c>
      <c r="S91" s="32">
        <v>24</v>
      </c>
      <c r="T91" s="32">
        <v>26</v>
      </c>
      <c r="U91" s="32">
        <v>31</v>
      </c>
      <c r="V91" s="32">
        <v>19</v>
      </c>
      <c r="W91" s="32">
        <v>25</v>
      </c>
      <c r="X91" s="32">
        <v>21</v>
      </c>
      <c r="Y91" s="32">
        <v>29</v>
      </c>
      <c r="Z91" s="32">
        <v>22</v>
      </c>
      <c r="AA91" s="32">
        <v>25</v>
      </c>
      <c r="AB91" s="32">
        <v>15</v>
      </c>
      <c r="AC91" s="32">
        <v>14</v>
      </c>
      <c r="AD91" s="32">
        <v>33</v>
      </c>
      <c r="AE91" s="32">
        <v>13</v>
      </c>
      <c r="AF91" s="32">
        <v>10</v>
      </c>
      <c r="AG91" s="32">
        <v>9</v>
      </c>
      <c r="AH91" s="32">
        <v>10</v>
      </c>
      <c r="AI91" s="32">
        <v>14</v>
      </c>
      <c r="AJ91" s="32">
        <v>36</v>
      </c>
      <c r="AK91" s="32">
        <v>18</v>
      </c>
      <c r="AL91" s="32">
        <v>9</v>
      </c>
      <c r="AM91" s="32">
        <v>26</v>
      </c>
      <c r="AN91" s="32">
        <v>24</v>
      </c>
      <c r="AO91" s="32">
        <v>14</v>
      </c>
      <c r="AP91" s="32">
        <v>34</v>
      </c>
      <c r="AQ91" s="32">
        <v>25</v>
      </c>
      <c r="AR91" s="32">
        <v>32</v>
      </c>
      <c r="AS91" s="32">
        <v>33</v>
      </c>
    </row>
    <row r="92" spans="1:45">
      <c r="A92" s="30" t="s">
        <v>676</v>
      </c>
      <c r="B92" s="30" t="s">
        <v>1407</v>
      </c>
      <c r="C92" s="30" t="s">
        <v>677</v>
      </c>
      <c r="D92" s="30" t="s">
        <v>67</v>
      </c>
      <c r="E92" s="30" t="s">
        <v>1521</v>
      </c>
      <c r="F92" s="30" t="s">
        <v>67</v>
      </c>
      <c r="G92" s="30" t="s">
        <v>465</v>
      </c>
      <c r="H92" s="30" t="s">
        <v>680</v>
      </c>
      <c r="I92" s="32">
        <v>111</v>
      </c>
      <c r="J92" s="32">
        <v>50</v>
      </c>
      <c r="K92" s="32">
        <v>53</v>
      </c>
      <c r="L92" s="32">
        <v>69</v>
      </c>
      <c r="M92" s="32">
        <v>71</v>
      </c>
      <c r="N92" s="32">
        <v>49</v>
      </c>
      <c r="O92" s="32">
        <v>67</v>
      </c>
      <c r="P92" s="32">
        <v>60</v>
      </c>
      <c r="Q92" s="32">
        <v>45</v>
      </c>
      <c r="R92" s="32">
        <v>51</v>
      </c>
      <c r="S92" s="32">
        <v>30</v>
      </c>
      <c r="T92" s="32">
        <v>22</v>
      </c>
      <c r="U92" s="32">
        <v>35</v>
      </c>
      <c r="V92" s="32">
        <v>21</v>
      </c>
      <c r="W92" s="32">
        <v>21</v>
      </c>
      <c r="X92" s="32">
        <v>23</v>
      </c>
      <c r="Y92" s="32">
        <v>17</v>
      </c>
      <c r="Z92" s="32">
        <v>21</v>
      </c>
      <c r="AA92" s="32">
        <v>42</v>
      </c>
      <c r="AB92" s="32">
        <v>25</v>
      </c>
      <c r="AC92" s="32">
        <v>21</v>
      </c>
      <c r="AD92" s="32">
        <v>43</v>
      </c>
      <c r="AE92" s="32">
        <v>33</v>
      </c>
      <c r="AF92" s="32">
        <v>17</v>
      </c>
      <c r="AG92" s="32">
        <v>36</v>
      </c>
      <c r="AH92" s="32">
        <v>27</v>
      </c>
      <c r="AI92" s="32">
        <v>38</v>
      </c>
      <c r="AJ92" s="32">
        <v>27</v>
      </c>
      <c r="AK92" s="32">
        <v>22</v>
      </c>
      <c r="AL92" s="32">
        <v>23</v>
      </c>
      <c r="AM92" s="32">
        <v>27</v>
      </c>
      <c r="AN92" s="32">
        <v>18</v>
      </c>
      <c r="AO92" s="32">
        <v>16</v>
      </c>
      <c r="AP92" s="32">
        <v>22</v>
      </c>
      <c r="AQ92" s="32">
        <v>19</v>
      </c>
      <c r="AR92" s="32">
        <v>24</v>
      </c>
      <c r="AS92" s="32">
        <v>32</v>
      </c>
    </row>
    <row r="93" spans="1:45">
      <c r="A93" s="30" t="s">
        <v>676</v>
      </c>
      <c r="B93" s="30" t="s">
        <v>1407</v>
      </c>
      <c r="C93" s="30" t="s">
        <v>677</v>
      </c>
      <c r="D93" s="30" t="s">
        <v>67</v>
      </c>
      <c r="E93" s="30" t="s">
        <v>1522</v>
      </c>
      <c r="F93" s="30" t="s">
        <v>67</v>
      </c>
      <c r="G93" s="30" t="s">
        <v>466</v>
      </c>
      <c r="H93" s="30" t="s">
        <v>680</v>
      </c>
      <c r="I93" s="32">
        <v>205</v>
      </c>
      <c r="J93" s="32">
        <v>85</v>
      </c>
      <c r="K93" s="32">
        <v>86</v>
      </c>
      <c r="L93" s="32">
        <v>123</v>
      </c>
      <c r="M93" s="32">
        <v>111</v>
      </c>
      <c r="N93" s="32">
        <v>72</v>
      </c>
      <c r="O93" s="32">
        <v>131</v>
      </c>
      <c r="P93" s="32">
        <v>88</v>
      </c>
      <c r="Q93" s="32">
        <v>74</v>
      </c>
      <c r="R93" s="32">
        <v>108</v>
      </c>
      <c r="S93" s="32">
        <v>49</v>
      </c>
      <c r="T93" s="32">
        <v>58</v>
      </c>
      <c r="U93" s="32">
        <v>86</v>
      </c>
      <c r="V93" s="32">
        <v>40</v>
      </c>
      <c r="W93" s="32">
        <v>52</v>
      </c>
      <c r="X93" s="32">
        <v>53</v>
      </c>
      <c r="Y93" s="32">
        <v>51</v>
      </c>
      <c r="Z93" s="32">
        <v>53</v>
      </c>
      <c r="AA93" s="32">
        <v>71</v>
      </c>
      <c r="AB93" s="32">
        <v>37</v>
      </c>
      <c r="AC93" s="32">
        <v>50</v>
      </c>
      <c r="AD93" s="32">
        <v>68</v>
      </c>
      <c r="AE93" s="32">
        <v>38</v>
      </c>
      <c r="AF93" s="32">
        <v>40</v>
      </c>
      <c r="AG93" s="32">
        <v>65</v>
      </c>
      <c r="AH93" s="32">
        <v>36</v>
      </c>
      <c r="AI93" s="32">
        <v>67</v>
      </c>
      <c r="AJ93" s="32">
        <v>66</v>
      </c>
      <c r="AK93" s="32">
        <v>54</v>
      </c>
      <c r="AL93" s="32">
        <v>29</v>
      </c>
      <c r="AM93" s="32">
        <v>53</v>
      </c>
      <c r="AN93" s="32">
        <v>40</v>
      </c>
      <c r="AO93" s="32">
        <v>47</v>
      </c>
      <c r="AP93" s="32">
        <v>46</v>
      </c>
      <c r="AQ93" s="32">
        <v>46</v>
      </c>
      <c r="AR93" s="32">
        <v>55</v>
      </c>
      <c r="AS93" s="32">
        <v>74</v>
      </c>
    </row>
    <row r="94" spans="1:45">
      <c r="A94" s="30" t="s">
        <v>676</v>
      </c>
      <c r="B94" s="30" t="s">
        <v>1407</v>
      </c>
      <c r="C94" s="30" t="s">
        <v>677</v>
      </c>
      <c r="D94" s="30" t="s">
        <v>67</v>
      </c>
      <c r="E94" s="30" t="s">
        <v>1523</v>
      </c>
      <c r="F94" s="30" t="s">
        <v>67</v>
      </c>
      <c r="G94" s="30" t="s">
        <v>467</v>
      </c>
      <c r="H94" s="30" t="s">
        <v>680</v>
      </c>
      <c r="I94" s="32">
        <v>65</v>
      </c>
      <c r="J94" s="32">
        <v>43</v>
      </c>
      <c r="K94" s="32">
        <v>33</v>
      </c>
      <c r="L94" s="32">
        <v>49</v>
      </c>
      <c r="M94" s="32">
        <v>36</v>
      </c>
      <c r="N94" s="32">
        <v>31</v>
      </c>
      <c r="O94" s="32">
        <v>45</v>
      </c>
      <c r="P94" s="32">
        <v>30</v>
      </c>
      <c r="Q94" s="32">
        <v>18</v>
      </c>
      <c r="R94" s="32">
        <v>32</v>
      </c>
      <c r="S94" s="32">
        <v>32</v>
      </c>
      <c r="T94" s="32">
        <v>17</v>
      </c>
      <c r="U94" s="32">
        <v>32</v>
      </c>
      <c r="V94" s="32">
        <v>21</v>
      </c>
      <c r="W94" s="32">
        <v>27</v>
      </c>
      <c r="X94" s="32">
        <v>27</v>
      </c>
      <c r="Y94" s="32">
        <v>25</v>
      </c>
      <c r="Z94" s="32">
        <v>39</v>
      </c>
      <c r="AA94" s="32">
        <v>45</v>
      </c>
      <c r="AB94" s="32">
        <v>33</v>
      </c>
      <c r="AC94" s="32">
        <v>48</v>
      </c>
      <c r="AD94" s="32">
        <v>41</v>
      </c>
      <c r="AE94" s="32">
        <v>29</v>
      </c>
      <c r="AF94" s="32">
        <v>26</v>
      </c>
      <c r="AG94" s="32">
        <v>28</v>
      </c>
      <c r="AH94" s="32">
        <v>33</v>
      </c>
      <c r="AI94" s="32">
        <v>27</v>
      </c>
      <c r="AJ94" s="32">
        <v>9</v>
      </c>
      <c r="AK94" s="32">
        <v>11</v>
      </c>
      <c r="AL94" s="32">
        <v>34</v>
      </c>
      <c r="AM94" s="32">
        <v>48</v>
      </c>
      <c r="AN94" s="32">
        <v>22</v>
      </c>
      <c r="AO94" s="32">
        <v>35</v>
      </c>
      <c r="AP94" s="32">
        <v>37</v>
      </c>
      <c r="AQ94" s="32">
        <v>44</v>
      </c>
      <c r="AR94" s="32">
        <v>32</v>
      </c>
      <c r="AS94" s="32">
        <v>47</v>
      </c>
    </row>
    <row r="95" spans="1:45">
      <c r="A95" s="30" t="s">
        <v>676</v>
      </c>
      <c r="B95" s="30" t="s">
        <v>1407</v>
      </c>
      <c r="C95" s="30" t="s">
        <v>677</v>
      </c>
      <c r="D95" s="30" t="s">
        <v>67</v>
      </c>
      <c r="E95" s="30" t="s">
        <v>1524</v>
      </c>
      <c r="F95" s="30" t="s">
        <v>69</v>
      </c>
      <c r="G95" s="30" t="s">
        <v>468</v>
      </c>
      <c r="H95" s="30" t="s">
        <v>680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2">
        <v>4</v>
      </c>
      <c r="W95" s="32">
        <v>11</v>
      </c>
      <c r="X95" s="32">
        <v>16</v>
      </c>
      <c r="Y95" s="32">
        <v>18</v>
      </c>
      <c r="Z95" s="32">
        <v>20</v>
      </c>
      <c r="AA95" s="32">
        <v>23</v>
      </c>
      <c r="AB95" s="32">
        <v>24</v>
      </c>
      <c r="AC95" s="32">
        <v>18</v>
      </c>
      <c r="AD95" s="32">
        <v>31</v>
      </c>
      <c r="AE95" s="32">
        <v>26</v>
      </c>
      <c r="AF95" s="32">
        <v>23</v>
      </c>
      <c r="AG95" s="32">
        <v>31</v>
      </c>
      <c r="AH95" s="32">
        <v>16</v>
      </c>
      <c r="AI95" s="32">
        <v>21</v>
      </c>
      <c r="AJ95" s="32">
        <v>38</v>
      </c>
      <c r="AK95" s="32">
        <v>27</v>
      </c>
      <c r="AL95" s="32">
        <v>42</v>
      </c>
      <c r="AM95" s="32">
        <v>42</v>
      </c>
      <c r="AN95" s="32">
        <v>35</v>
      </c>
      <c r="AO95" s="32">
        <v>35</v>
      </c>
      <c r="AP95" s="32">
        <v>65</v>
      </c>
      <c r="AQ95" s="32">
        <v>54</v>
      </c>
      <c r="AR95" s="32">
        <v>23</v>
      </c>
      <c r="AS95" s="32">
        <v>31</v>
      </c>
    </row>
    <row r="96" spans="1:45">
      <c r="A96" s="30" t="s">
        <v>676</v>
      </c>
      <c r="B96" s="30" t="s">
        <v>1407</v>
      </c>
      <c r="C96" s="30" t="s">
        <v>677</v>
      </c>
      <c r="D96" s="30" t="s">
        <v>67</v>
      </c>
      <c r="E96" s="30" t="s">
        <v>1525</v>
      </c>
      <c r="F96" s="30" t="s">
        <v>69</v>
      </c>
      <c r="G96" s="30" t="s">
        <v>469</v>
      </c>
      <c r="H96" s="30" t="s">
        <v>680</v>
      </c>
      <c r="I96" s="31">
        <v>0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2">
        <v>20</v>
      </c>
      <c r="W96" s="32">
        <v>52</v>
      </c>
      <c r="X96" s="32">
        <v>71</v>
      </c>
      <c r="Y96" s="32">
        <v>98</v>
      </c>
      <c r="Z96" s="32">
        <v>82</v>
      </c>
      <c r="AA96" s="32">
        <v>127</v>
      </c>
      <c r="AB96" s="32">
        <v>90</v>
      </c>
      <c r="AC96" s="32">
        <v>131</v>
      </c>
      <c r="AD96" s="32">
        <v>194</v>
      </c>
      <c r="AE96" s="32">
        <v>145</v>
      </c>
      <c r="AF96" s="32">
        <v>104</v>
      </c>
      <c r="AG96" s="32">
        <v>178</v>
      </c>
      <c r="AH96" s="32">
        <v>103</v>
      </c>
      <c r="AI96" s="32">
        <v>105</v>
      </c>
      <c r="AJ96" s="32">
        <v>179</v>
      </c>
      <c r="AK96" s="32">
        <v>105</v>
      </c>
      <c r="AL96" s="32">
        <v>169</v>
      </c>
      <c r="AM96" s="32">
        <v>166</v>
      </c>
      <c r="AN96" s="32">
        <v>104</v>
      </c>
      <c r="AO96" s="32">
        <v>144</v>
      </c>
      <c r="AP96" s="32">
        <v>268</v>
      </c>
      <c r="AQ96" s="32">
        <v>226</v>
      </c>
      <c r="AR96" s="32">
        <v>121</v>
      </c>
      <c r="AS96" s="32">
        <v>172</v>
      </c>
    </row>
    <row r="97" spans="1:45">
      <c r="A97" s="30" t="s">
        <v>676</v>
      </c>
      <c r="B97" s="30" t="s">
        <v>1407</v>
      </c>
      <c r="C97" s="30" t="s">
        <v>677</v>
      </c>
      <c r="D97" s="30" t="s">
        <v>67</v>
      </c>
      <c r="E97" s="30" t="s">
        <v>1526</v>
      </c>
      <c r="F97" s="30" t="s">
        <v>69</v>
      </c>
      <c r="G97" s="30" t="s">
        <v>470</v>
      </c>
      <c r="H97" s="30" t="s">
        <v>680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2">
        <v>9</v>
      </c>
      <c r="W97" s="32">
        <v>27</v>
      </c>
      <c r="X97" s="32">
        <v>43</v>
      </c>
      <c r="Y97" s="32">
        <v>47</v>
      </c>
      <c r="Z97" s="32">
        <v>55</v>
      </c>
      <c r="AA97" s="32">
        <v>69</v>
      </c>
      <c r="AB97" s="32">
        <v>44</v>
      </c>
      <c r="AC97" s="32">
        <v>65</v>
      </c>
      <c r="AD97" s="32">
        <v>85</v>
      </c>
      <c r="AE97" s="32">
        <v>69</v>
      </c>
      <c r="AF97" s="32">
        <v>47</v>
      </c>
      <c r="AG97" s="32">
        <v>83</v>
      </c>
      <c r="AH97" s="32">
        <v>63</v>
      </c>
      <c r="AI97" s="32">
        <v>54</v>
      </c>
      <c r="AJ97" s="32">
        <v>121</v>
      </c>
      <c r="AK97" s="32">
        <v>71</v>
      </c>
      <c r="AL97" s="32">
        <v>106</v>
      </c>
      <c r="AM97" s="32">
        <v>99</v>
      </c>
      <c r="AN97" s="32">
        <v>59</v>
      </c>
      <c r="AO97" s="32">
        <v>68</v>
      </c>
      <c r="AP97" s="32">
        <v>127</v>
      </c>
      <c r="AQ97" s="32">
        <v>100</v>
      </c>
      <c r="AR97" s="32">
        <v>92</v>
      </c>
      <c r="AS97" s="32">
        <v>95</v>
      </c>
    </row>
    <row r="98" spans="1:45">
      <c r="A98" s="30" t="s">
        <v>676</v>
      </c>
      <c r="B98" s="30" t="s">
        <v>1407</v>
      </c>
      <c r="C98" s="30" t="s">
        <v>677</v>
      </c>
      <c r="D98" s="30" t="s">
        <v>67</v>
      </c>
      <c r="E98" s="30" t="s">
        <v>1527</v>
      </c>
      <c r="F98" s="30" t="s">
        <v>69</v>
      </c>
      <c r="G98" s="30" t="s">
        <v>471</v>
      </c>
      <c r="H98" s="30" t="s">
        <v>680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2">
        <v>3</v>
      </c>
      <c r="X98" s="32">
        <v>3</v>
      </c>
      <c r="Y98" s="32">
        <v>4</v>
      </c>
      <c r="Z98" s="32">
        <v>1</v>
      </c>
      <c r="AA98" s="32">
        <v>9</v>
      </c>
      <c r="AB98" s="32">
        <v>6</v>
      </c>
      <c r="AC98" s="32">
        <v>6</v>
      </c>
      <c r="AD98" s="32">
        <v>15</v>
      </c>
      <c r="AE98" s="32">
        <v>7</v>
      </c>
      <c r="AF98" s="32">
        <v>4</v>
      </c>
      <c r="AG98" s="32">
        <v>10</v>
      </c>
      <c r="AH98" s="32">
        <v>3</v>
      </c>
      <c r="AI98" s="32">
        <v>5</v>
      </c>
      <c r="AJ98" s="32">
        <v>4</v>
      </c>
      <c r="AK98" s="32">
        <v>9</v>
      </c>
      <c r="AL98" s="32">
        <v>13</v>
      </c>
      <c r="AM98" s="32">
        <v>23</v>
      </c>
      <c r="AN98" s="32">
        <v>21</v>
      </c>
      <c r="AO98" s="32">
        <v>25</v>
      </c>
      <c r="AP98" s="32">
        <v>29</v>
      </c>
      <c r="AQ98" s="32">
        <v>33</v>
      </c>
      <c r="AR98" s="32">
        <v>11</v>
      </c>
      <c r="AS98" s="32">
        <v>18</v>
      </c>
    </row>
    <row r="99" spans="1:45">
      <c r="A99" s="30" t="s">
        <v>676</v>
      </c>
      <c r="B99" s="30" t="s">
        <v>1407</v>
      </c>
      <c r="C99" s="30" t="s">
        <v>677</v>
      </c>
      <c r="D99" s="30" t="s">
        <v>67</v>
      </c>
      <c r="E99" s="30" t="s">
        <v>1528</v>
      </c>
      <c r="F99" s="30" t="s">
        <v>69</v>
      </c>
      <c r="G99" s="30" t="s">
        <v>472</v>
      </c>
      <c r="H99" s="30" t="s">
        <v>680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2">
        <v>19</v>
      </c>
      <c r="W99" s="32">
        <v>26</v>
      </c>
      <c r="X99" s="32">
        <v>64</v>
      </c>
      <c r="Y99" s="32">
        <v>102</v>
      </c>
      <c r="Z99" s="32">
        <v>98</v>
      </c>
      <c r="AA99" s="32">
        <v>116</v>
      </c>
      <c r="AB99" s="32">
        <v>96</v>
      </c>
      <c r="AC99" s="32">
        <v>88</v>
      </c>
      <c r="AD99" s="32">
        <v>166</v>
      </c>
      <c r="AE99" s="32">
        <v>58</v>
      </c>
      <c r="AF99" s="32">
        <v>60</v>
      </c>
      <c r="AG99" s="32">
        <v>56</v>
      </c>
      <c r="AH99" s="32">
        <v>120</v>
      </c>
      <c r="AI99" s="32">
        <v>95</v>
      </c>
      <c r="AJ99" s="32">
        <v>127</v>
      </c>
      <c r="AK99" s="32">
        <v>98</v>
      </c>
      <c r="AL99" s="32">
        <v>117</v>
      </c>
      <c r="AM99" s="32">
        <v>115</v>
      </c>
      <c r="AN99" s="32">
        <v>86</v>
      </c>
      <c r="AO99" s="32">
        <v>83</v>
      </c>
      <c r="AP99" s="32">
        <v>100</v>
      </c>
      <c r="AQ99" s="32">
        <v>94</v>
      </c>
      <c r="AR99" s="32">
        <v>83</v>
      </c>
      <c r="AS99" s="32">
        <v>93</v>
      </c>
    </row>
    <row r="100" spans="1:45">
      <c r="A100" s="30" t="s">
        <v>676</v>
      </c>
      <c r="B100" s="30" t="s">
        <v>1407</v>
      </c>
      <c r="C100" s="30" t="s">
        <v>677</v>
      </c>
      <c r="D100" s="30" t="s">
        <v>67</v>
      </c>
      <c r="E100" s="30" t="s">
        <v>1529</v>
      </c>
      <c r="F100" s="30" t="s">
        <v>69</v>
      </c>
      <c r="G100" s="30" t="s">
        <v>473</v>
      </c>
      <c r="H100" s="30" t="s">
        <v>680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2">
        <v>12</v>
      </c>
      <c r="W100" s="32">
        <v>15</v>
      </c>
      <c r="X100" s="32">
        <v>24</v>
      </c>
      <c r="Y100" s="32">
        <v>33</v>
      </c>
      <c r="Z100" s="32">
        <v>23</v>
      </c>
      <c r="AA100" s="32">
        <v>38</v>
      </c>
      <c r="AB100" s="32">
        <v>35</v>
      </c>
      <c r="AC100" s="32">
        <v>34</v>
      </c>
      <c r="AD100" s="32">
        <v>38</v>
      </c>
      <c r="AE100" s="32">
        <v>26</v>
      </c>
      <c r="AF100" s="32">
        <v>25</v>
      </c>
      <c r="AG100" s="32">
        <v>42</v>
      </c>
      <c r="AH100" s="32">
        <v>38</v>
      </c>
      <c r="AI100" s="32">
        <v>37</v>
      </c>
      <c r="AJ100" s="32">
        <v>60</v>
      </c>
      <c r="AK100" s="32">
        <v>45</v>
      </c>
      <c r="AL100" s="32">
        <v>58</v>
      </c>
      <c r="AM100" s="32">
        <v>66</v>
      </c>
      <c r="AN100" s="32">
        <v>29</v>
      </c>
      <c r="AO100" s="32">
        <v>56</v>
      </c>
      <c r="AP100" s="32">
        <v>102</v>
      </c>
      <c r="AQ100" s="32">
        <v>75</v>
      </c>
      <c r="AR100" s="32">
        <v>40</v>
      </c>
      <c r="AS100" s="32">
        <v>72</v>
      </c>
    </row>
    <row r="101" spans="1:45">
      <c r="A101" s="30" t="s">
        <v>676</v>
      </c>
      <c r="B101" s="30" t="s">
        <v>1407</v>
      </c>
      <c r="C101" s="30" t="s">
        <v>677</v>
      </c>
      <c r="D101" s="30" t="s">
        <v>67</v>
      </c>
      <c r="E101" s="30" t="s">
        <v>1530</v>
      </c>
      <c r="F101" s="30" t="s">
        <v>69</v>
      </c>
      <c r="G101" s="30" t="s">
        <v>474</v>
      </c>
      <c r="H101" s="30" t="s">
        <v>680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2">
        <v>8</v>
      </c>
      <c r="W101" s="32">
        <v>35</v>
      </c>
      <c r="X101" s="32">
        <v>75</v>
      </c>
      <c r="Y101" s="32">
        <v>78</v>
      </c>
      <c r="Z101" s="32">
        <v>73</v>
      </c>
      <c r="AA101" s="32">
        <v>110</v>
      </c>
      <c r="AB101" s="32">
        <v>77</v>
      </c>
      <c r="AC101" s="32">
        <v>91</v>
      </c>
      <c r="AD101" s="32">
        <v>142</v>
      </c>
      <c r="AE101" s="32">
        <v>100</v>
      </c>
      <c r="AF101" s="32">
        <v>85</v>
      </c>
      <c r="AG101" s="32">
        <v>139</v>
      </c>
      <c r="AH101" s="32">
        <v>95</v>
      </c>
      <c r="AI101" s="32">
        <v>74</v>
      </c>
      <c r="AJ101" s="32">
        <v>158</v>
      </c>
      <c r="AK101" s="32">
        <v>104</v>
      </c>
      <c r="AL101" s="32">
        <v>142</v>
      </c>
      <c r="AM101" s="32">
        <v>177</v>
      </c>
      <c r="AN101" s="32">
        <v>105</v>
      </c>
      <c r="AO101" s="32">
        <v>116</v>
      </c>
      <c r="AP101" s="32">
        <v>220</v>
      </c>
      <c r="AQ101" s="32">
        <v>169</v>
      </c>
      <c r="AR101" s="32">
        <v>115</v>
      </c>
      <c r="AS101" s="32">
        <v>138</v>
      </c>
    </row>
    <row r="102" spans="1:45">
      <c r="A102" s="30" t="s">
        <v>676</v>
      </c>
      <c r="B102" s="30" t="s">
        <v>1407</v>
      </c>
      <c r="C102" s="30" t="s">
        <v>677</v>
      </c>
      <c r="D102" s="30" t="s">
        <v>67</v>
      </c>
      <c r="E102" s="30" t="s">
        <v>1531</v>
      </c>
      <c r="F102" s="30" t="s">
        <v>69</v>
      </c>
      <c r="G102" s="30" t="s">
        <v>475</v>
      </c>
      <c r="H102" s="30" t="s">
        <v>680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2">
        <v>17</v>
      </c>
      <c r="W102" s="32">
        <v>39</v>
      </c>
      <c r="X102" s="32">
        <v>61</v>
      </c>
      <c r="Y102" s="32">
        <v>96</v>
      </c>
      <c r="Z102" s="32">
        <v>71</v>
      </c>
      <c r="AA102" s="32">
        <v>82</v>
      </c>
      <c r="AB102" s="32">
        <v>66</v>
      </c>
      <c r="AC102" s="32">
        <v>80</v>
      </c>
      <c r="AD102" s="32">
        <v>136</v>
      </c>
      <c r="AE102" s="32">
        <v>90</v>
      </c>
      <c r="AF102" s="32">
        <v>76</v>
      </c>
      <c r="AG102" s="32">
        <v>111</v>
      </c>
      <c r="AH102" s="32">
        <v>85</v>
      </c>
      <c r="AI102" s="32">
        <v>82</v>
      </c>
      <c r="AJ102" s="32">
        <v>127</v>
      </c>
      <c r="AK102" s="32">
        <v>100</v>
      </c>
      <c r="AL102" s="32">
        <v>134</v>
      </c>
      <c r="AM102" s="32">
        <v>121</v>
      </c>
      <c r="AN102" s="32">
        <v>78</v>
      </c>
      <c r="AO102" s="32">
        <v>70</v>
      </c>
      <c r="AP102" s="32">
        <v>188</v>
      </c>
      <c r="AQ102" s="32">
        <v>133</v>
      </c>
      <c r="AR102" s="32">
        <v>99</v>
      </c>
      <c r="AS102" s="32">
        <v>129</v>
      </c>
    </row>
    <row r="103" spans="1:45">
      <c r="A103" s="30" t="s">
        <v>676</v>
      </c>
      <c r="B103" s="30" t="s">
        <v>1407</v>
      </c>
      <c r="C103" s="30" t="s">
        <v>677</v>
      </c>
      <c r="D103" s="30" t="s">
        <v>67</v>
      </c>
      <c r="E103" s="30" t="s">
        <v>1532</v>
      </c>
      <c r="F103" s="30" t="s">
        <v>69</v>
      </c>
      <c r="G103" s="30" t="s">
        <v>476</v>
      </c>
      <c r="H103" s="30" t="s">
        <v>680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2">
        <v>13</v>
      </c>
      <c r="W103" s="32">
        <v>25</v>
      </c>
      <c r="X103" s="32">
        <v>39</v>
      </c>
      <c r="Y103" s="32">
        <v>51</v>
      </c>
      <c r="Z103" s="32">
        <v>50</v>
      </c>
      <c r="AA103" s="32">
        <v>70.196700000000007</v>
      </c>
      <c r="AB103" s="32">
        <v>36</v>
      </c>
      <c r="AC103" s="32">
        <v>43</v>
      </c>
      <c r="AD103" s="32">
        <v>81</v>
      </c>
      <c r="AE103" s="32">
        <v>58</v>
      </c>
      <c r="AF103" s="32">
        <v>32</v>
      </c>
      <c r="AG103" s="32">
        <v>60</v>
      </c>
      <c r="AH103" s="32">
        <v>57</v>
      </c>
      <c r="AI103" s="32">
        <v>52</v>
      </c>
      <c r="AJ103" s="32">
        <v>86</v>
      </c>
      <c r="AK103" s="32">
        <v>70</v>
      </c>
      <c r="AL103" s="32">
        <v>69</v>
      </c>
      <c r="AM103" s="32">
        <v>84</v>
      </c>
      <c r="AN103" s="32">
        <v>35</v>
      </c>
      <c r="AO103" s="32">
        <v>76</v>
      </c>
      <c r="AP103" s="32">
        <v>128</v>
      </c>
      <c r="AQ103" s="32">
        <v>81</v>
      </c>
      <c r="AR103" s="32">
        <v>50</v>
      </c>
      <c r="AS103" s="32">
        <v>85</v>
      </c>
    </row>
    <row r="104" spans="1:45">
      <c r="A104" s="30" t="s">
        <v>676</v>
      </c>
      <c r="B104" s="30" t="s">
        <v>1407</v>
      </c>
      <c r="C104" s="30" t="s">
        <v>677</v>
      </c>
      <c r="D104" s="30" t="s">
        <v>67</v>
      </c>
      <c r="E104" s="30" t="s">
        <v>1533</v>
      </c>
      <c r="F104" s="30" t="s">
        <v>67</v>
      </c>
      <c r="G104" s="30" t="s">
        <v>477</v>
      </c>
      <c r="H104" s="30" t="s">
        <v>680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2">
        <v>70</v>
      </c>
      <c r="AE104" s="32">
        <v>38</v>
      </c>
      <c r="AF104" s="32">
        <v>50</v>
      </c>
      <c r="AG104" s="32">
        <v>64</v>
      </c>
      <c r="AH104" s="32">
        <v>55</v>
      </c>
      <c r="AI104" s="32">
        <v>69</v>
      </c>
      <c r="AJ104" s="32">
        <v>83</v>
      </c>
      <c r="AK104" s="32">
        <v>41</v>
      </c>
      <c r="AL104" s="32">
        <v>38</v>
      </c>
      <c r="AM104" s="32">
        <v>68</v>
      </c>
      <c r="AN104" s="32">
        <v>8</v>
      </c>
      <c r="AO104" s="32">
        <v>8</v>
      </c>
      <c r="AP104" s="32">
        <v>33</v>
      </c>
      <c r="AQ104" s="32">
        <v>31</v>
      </c>
      <c r="AR104" s="32">
        <v>15</v>
      </c>
      <c r="AS104" s="32">
        <v>13</v>
      </c>
    </row>
    <row r="105" spans="1:45">
      <c r="A105" s="30" t="s">
        <v>676</v>
      </c>
      <c r="B105" s="30" t="s">
        <v>1407</v>
      </c>
      <c r="C105" s="30" t="s">
        <v>677</v>
      </c>
      <c r="D105" s="30" t="s">
        <v>67</v>
      </c>
      <c r="E105" s="30" t="s">
        <v>1534</v>
      </c>
      <c r="F105" s="30" t="s">
        <v>67</v>
      </c>
      <c r="G105" s="30" t="s">
        <v>1535</v>
      </c>
      <c r="H105" s="30" t="s">
        <v>680</v>
      </c>
      <c r="I105" s="32">
        <v>10</v>
      </c>
      <c r="J105" s="32">
        <v>5</v>
      </c>
      <c r="K105" s="32">
        <v>4</v>
      </c>
      <c r="L105" s="32">
        <v>3</v>
      </c>
      <c r="M105" s="32">
        <v>1</v>
      </c>
      <c r="N105" s="32">
        <v>1</v>
      </c>
      <c r="O105" s="32">
        <v>1</v>
      </c>
      <c r="P105" s="31">
        <v>0</v>
      </c>
      <c r="Q105" s="31">
        <v>0</v>
      </c>
      <c r="R105" s="31">
        <v>0</v>
      </c>
      <c r="S105" s="32">
        <v>1</v>
      </c>
      <c r="T105" s="32">
        <v>1</v>
      </c>
      <c r="U105" s="32">
        <v>1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2">
        <v>1</v>
      </c>
      <c r="AB105" s="31">
        <v>0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</row>
    <row r="106" spans="1:45">
      <c r="A106" s="30" t="s">
        <v>676</v>
      </c>
      <c r="B106" s="30" t="s">
        <v>1407</v>
      </c>
      <c r="C106" s="30" t="s">
        <v>677</v>
      </c>
      <c r="D106" s="30" t="s">
        <v>67</v>
      </c>
      <c r="E106" s="30" t="s">
        <v>1536</v>
      </c>
      <c r="F106" s="30" t="s">
        <v>68</v>
      </c>
      <c r="G106" s="30" t="s">
        <v>479</v>
      </c>
      <c r="H106" s="30" t="s">
        <v>680</v>
      </c>
      <c r="I106" s="32">
        <v>8</v>
      </c>
      <c r="J106" s="32">
        <v>10</v>
      </c>
      <c r="K106" s="32">
        <v>6</v>
      </c>
      <c r="L106" s="32">
        <v>14</v>
      </c>
      <c r="M106" s="32">
        <v>6</v>
      </c>
      <c r="N106" s="32">
        <v>8</v>
      </c>
      <c r="O106" s="32">
        <v>11</v>
      </c>
      <c r="P106" s="32">
        <v>2</v>
      </c>
      <c r="Q106" s="32">
        <v>9</v>
      </c>
      <c r="R106" s="32">
        <v>14</v>
      </c>
      <c r="S106" s="32">
        <v>2</v>
      </c>
      <c r="T106" s="32">
        <v>2</v>
      </c>
      <c r="U106" s="32">
        <v>11</v>
      </c>
      <c r="V106" s="32">
        <v>5</v>
      </c>
      <c r="W106" s="32">
        <v>2</v>
      </c>
      <c r="X106" s="32">
        <v>12</v>
      </c>
      <c r="Y106" s="32">
        <v>4</v>
      </c>
      <c r="Z106" s="32">
        <v>7</v>
      </c>
      <c r="AA106" s="32">
        <v>6</v>
      </c>
      <c r="AB106" s="32">
        <v>6</v>
      </c>
      <c r="AC106" s="32">
        <v>4</v>
      </c>
      <c r="AD106" s="32">
        <v>11</v>
      </c>
      <c r="AE106" s="32">
        <v>2</v>
      </c>
      <c r="AF106" s="32">
        <v>1</v>
      </c>
      <c r="AG106" s="32">
        <v>4</v>
      </c>
      <c r="AH106" s="32">
        <v>1</v>
      </c>
      <c r="AI106" s="32">
        <v>1</v>
      </c>
      <c r="AJ106" s="32">
        <v>7</v>
      </c>
      <c r="AK106" s="31">
        <v>0</v>
      </c>
      <c r="AL106" s="31">
        <v>0</v>
      </c>
      <c r="AM106" s="31">
        <v>0</v>
      </c>
      <c r="AN106" s="31">
        <v>0</v>
      </c>
      <c r="AO106" s="31">
        <v>0</v>
      </c>
      <c r="AP106" s="31">
        <v>0</v>
      </c>
      <c r="AQ106" s="31">
        <v>0</v>
      </c>
      <c r="AR106" s="31">
        <v>0</v>
      </c>
      <c r="AS106" s="31">
        <v>0</v>
      </c>
    </row>
    <row r="107" spans="1:45">
      <c r="A107" s="30" t="s">
        <v>676</v>
      </c>
      <c r="B107" s="30" t="s">
        <v>1407</v>
      </c>
      <c r="C107" s="30" t="s">
        <v>677</v>
      </c>
      <c r="D107" s="30" t="s">
        <v>67</v>
      </c>
      <c r="E107" s="30" t="s">
        <v>1537</v>
      </c>
      <c r="F107" s="30" t="s">
        <v>68</v>
      </c>
      <c r="G107" s="30" t="s">
        <v>1538</v>
      </c>
      <c r="H107" s="30" t="s">
        <v>680</v>
      </c>
      <c r="I107" s="31">
        <v>0</v>
      </c>
      <c r="J107" s="32">
        <v>1</v>
      </c>
      <c r="K107" s="32">
        <v>1</v>
      </c>
      <c r="L107" s="32">
        <v>1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  <c r="AC107" s="31">
        <v>0</v>
      </c>
      <c r="AD107" s="31">
        <v>0</v>
      </c>
      <c r="AE107" s="31">
        <v>0</v>
      </c>
      <c r="AF107" s="31">
        <v>0</v>
      </c>
      <c r="AG107" s="31">
        <v>0</v>
      </c>
      <c r="AH107" s="31">
        <v>0</v>
      </c>
      <c r="AI107" s="31">
        <v>0</v>
      </c>
      <c r="AJ107" s="31">
        <v>0</v>
      </c>
      <c r="AK107" s="31">
        <v>0</v>
      </c>
      <c r="AL107" s="31">
        <v>0</v>
      </c>
      <c r="AM107" s="31">
        <v>0</v>
      </c>
      <c r="AN107" s="31">
        <v>0</v>
      </c>
      <c r="AO107" s="31">
        <v>0</v>
      </c>
      <c r="AP107" s="31">
        <v>0</v>
      </c>
      <c r="AQ107" s="31">
        <v>0</v>
      </c>
      <c r="AR107" s="31">
        <v>0</v>
      </c>
      <c r="AS107" s="31">
        <v>0</v>
      </c>
    </row>
    <row r="108" spans="1:45">
      <c r="A108" s="30" t="s">
        <v>676</v>
      </c>
      <c r="B108" s="30" t="s">
        <v>1407</v>
      </c>
      <c r="C108" s="30" t="s">
        <v>677</v>
      </c>
      <c r="D108" s="30" t="s">
        <v>67</v>
      </c>
      <c r="E108" s="30" t="s">
        <v>1539</v>
      </c>
      <c r="F108" s="30" t="s">
        <v>68</v>
      </c>
      <c r="G108" s="30" t="s">
        <v>481</v>
      </c>
      <c r="H108" s="30" t="s">
        <v>680</v>
      </c>
      <c r="I108" s="32">
        <v>9</v>
      </c>
      <c r="J108" s="32">
        <v>8</v>
      </c>
      <c r="K108" s="32">
        <v>10</v>
      </c>
      <c r="L108" s="32">
        <v>14</v>
      </c>
      <c r="M108" s="32">
        <v>8</v>
      </c>
      <c r="N108" s="32">
        <v>9</v>
      </c>
      <c r="O108" s="32">
        <v>13</v>
      </c>
      <c r="P108" s="32">
        <v>17</v>
      </c>
      <c r="Q108" s="32">
        <v>17</v>
      </c>
      <c r="R108" s="32">
        <v>18</v>
      </c>
      <c r="S108" s="32">
        <v>7</v>
      </c>
      <c r="T108" s="32">
        <v>5</v>
      </c>
      <c r="U108" s="32">
        <v>9</v>
      </c>
      <c r="V108" s="32">
        <v>3</v>
      </c>
      <c r="W108" s="32">
        <v>4</v>
      </c>
      <c r="X108" s="32">
        <v>3</v>
      </c>
      <c r="Y108" s="32">
        <v>3</v>
      </c>
      <c r="Z108" s="32">
        <v>4</v>
      </c>
      <c r="AA108" s="32">
        <v>11</v>
      </c>
      <c r="AB108" s="32">
        <v>4</v>
      </c>
      <c r="AC108" s="32">
        <v>2</v>
      </c>
      <c r="AD108" s="32">
        <v>3</v>
      </c>
      <c r="AE108" s="32">
        <v>3</v>
      </c>
      <c r="AF108" s="31">
        <v>0</v>
      </c>
      <c r="AG108" s="32">
        <v>1</v>
      </c>
      <c r="AH108" s="31">
        <v>0</v>
      </c>
      <c r="AI108" s="31">
        <v>0</v>
      </c>
      <c r="AJ108" s="31">
        <v>0</v>
      </c>
      <c r="AK108" s="31">
        <v>0</v>
      </c>
      <c r="AL108" s="31">
        <v>0</v>
      </c>
      <c r="AM108" s="31">
        <v>0</v>
      </c>
      <c r="AN108" s="31">
        <v>0</v>
      </c>
      <c r="AO108" s="32">
        <v>1</v>
      </c>
      <c r="AP108" s="31">
        <v>0</v>
      </c>
      <c r="AQ108" s="31">
        <v>0</v>
      </c>
      <c r="AR108" s="31">
        <v>0</v>
      </c>
      <c r="AS108" s="31">
        <v>0</v>
      </c>
    </row>
    <row r="109" spans="1:45">
      <c r="A109" s="30" t="s">
        <v>676</v>
      </c>
      <c r="B109" s="30" t="s">
        <v>1407</v>
      </c>
      <c r="C109" s="30" t="s">
        <v>677</v>
      </c>
      <c r="D109" s="30" t="s">
        <v>67</v>
      </c>
      <c r="E109" s="30" t="s">
        <v>1540</v>
      </c>
      <c r="F109" s="30" t="s">
        <v>68</v>
      </c>
      <c r="G109" s="30" t="s">
        <v>1541</v>
      </c>
      <c r="H109" s="30" t="s">
        <v>680</v>
      </c>
      <c r="I109" s="31">
        <v>0</v>
      </c>
      <c r="J109" s="31">
        <v>0</v>
      </c>
      <c r="K109" s="31">
        <v>0</v>
      </c>
      <c r="L109" s="32">
        <v>1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  <c r="AC109" s="31">
        <v>0</v>
      </c>
      <c r="AD109" s="31">
        <v>0</v>
      </c>
      <c r="AE109" s="31">
        <v>0</v>
      </c>
      <c r="AF109" s="31">
        <v>0</v>
      </c>
      <c r="AG109" s="31">
        <v>0</v>
      </c>
      <c r="AH109" s="31">
        <v>0</v>
      </c>
      <c r="AI109" s="31">
        <v>0</v>
      </c>
      <c r="AJ109" s="31">
        <v>0</v>
      </c>
      <c r="AK109" s="31">
        <v>0</v>
      </c>
      <c r="AL109" s="31">
        <v>0</v>
      </c>
      <c r="AM109" s="31">
        <v>0</v>
      </c>
      <c r="AN109" s="31">
        <v>0</v>
      </c>
      <c r="AO109" s="31">
        <v>0</v>
      </c>
      <c r="AP109" s="31">
        <v>0</v>
      </c>
      <c r="AQ109" s="31">
        <v>0</v>
      </c>
      <c r="AR109" s="31">
        <v>0</v>
      </c>
      <c r="AS109" s="31">
        <v>0</v>
      </c>
    </row>
    <row r="110" spans="1:45">
      <c r="A110" s="30" t="s">
        <v>676</v>
      </c>
      <c r="B110" s="30" t="s">
        <v>1407</v>
      </c>
      <c r="C110" s="30" t="s">
        <v>677</v>
      </c>
      <c r="D110" s="30" t="s">
        <v>67</v>
      </c>
      <c r="E110" s="30" t="s">
        <v>1542</v>
      </c>
      <c r="F110" s="30" t="s">
        <v>68</v>
      </c>
      <c r="G110" s="30" t="s">
        <v>482</v>
      </c>
      <c r="H110" s="30" t="s">
        <v>680</v>
      </c>
      <c r="I110" s="32">
        <v>10</v>
      </c>
      <c r="J110" s="32">
        <v>5</v>
      </c>
      <c r="K110" s="32">
        <v>2</v>
      </c>
      <c r="L110" s="32">
        <v>7</v>
      </c>
      <c r="M110" s="32">
        <v>3</v>
      </c>
      <c r="N110" s="32">
        <v>2</v>
      </c>
      <c r="O110" s="32">
        <v>7</v>
      </c>
      <c r="P110" s="32">
        <v>3</v>
      </c>
      <c r="Q110" s="32">
        <v>3</v>
      </c>
      <c r="R110" s="32">
        <v>2</v>
      </c>
      <c r="S110" s="32">
        <v>1</v>
      </c>
      <c r="T110" s="31">
        <v>0</v>
      </c>
      <c r="U110" s="32">
        <v>2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1">
        <v>0</v>
      </c>
      <c r="AG110" s="31">
        <v>0</v>
      </c>
      <c r="AH110" s="31">
        <v>0</v>
      </c>
      <c r="AI110" s="31">
        <v>0</v>
      </c>
      <c r="AJ110" s="31">
        <v>0</v>
      </c>
      <c r="AK110" s="31">
        <v>0</v>
      </c>
      <c r="AL110" s="31">
        <v>0</v>
      </c>
      <c r="AM110" s="31">
        <v>0</v>
      </c>
      <c r="AN110" s="31">
        <v>0</v>
      </c>
      <c r="AO110" s="31">
        <v>0</v>
      </c>
      <c r="AP110" s="31">
        <v>0</v>
      </c>
      <c r="AQ110" s="31">
        <v>0</v>
      </c>
      <c r="AR110" s="31">
        <v>0</v>
      </c>
      <c r="AS110" s="31">
        <v>0</v>
      </c>
    </row>
    <row r="111" spans="1:45">
      <c r="A111" s="30" t="s">
        <v>676</v>
      </c>
      <c r="B111" s="30" t="s">
        <v>1407</v>
      </c>
      <c r="C111" s="30" t="s">
        <v>677</v>
      </c>
      <c r="D111" s="30" t="s">
        <v>67</v>
      </c>
      <c r="E111" s="30" t="s">
        <v>1543</v>
      </c>
      <c r="F111" s="30" t="s">
        <v>68</v>
      </c>
      <c r="G111" s="30" t="s">
        <v>483</v>
      </c>
      <c r="H111" s="30" t="s">
        <v>680</v>
      </c>
      <c r="I111" s="32">
        <v>21</v>
      </c>
      <c r="J111" s="32">
        <v>12</v>
      </c>
      <c r="K111" s="32">
        <v>14</v>
      </c>
      <c r="L111" s="32">
        <v>35</v>
      </c>
      <c r="M111" s="32">
        <v>28</v>
      </c>
      <c r="N111" s="32">
        <v>14</v>
      </c>
      <c r="O111" s="32">
        <v>25</v>
      </c>
      <c r="P111" s="32">
        <v>22</v>
      </c>
      <c r="Q111" s="32">
        <v>11</v>
      </c>
      <c r="R111" s="32">
        <v>31</v>
      </c>
      <c r="S111" s="32">
        <v>14</v>
      </c>
      <c r="T111" s="32">
        <v>18</v>
      </c>
      <c r="U111" s="32">
        <v>26</v>
      </c>
      <c r="V111" s="32">
        <v>12</v>
      </c>
      <c r="W111" s="32">
        <v>15</v>
      </c>
      <c r="X111" s="32">
        <v>24</v>
      </c>
      <c r="Y111" s="32">
        <v>11</v>
      </c>
      <c r="Z111" s="32">
        <v>10</v>
      </c>
      <c r="AA111" s="32">
        <v>12</v>
      </c>
      <c r="AB111" s="32">
        <v>4</v>
      </c>
      <c r="AC111" s="32">
        <v>7</v>
      </c>
      <c r="AD111" s="32">
        <v>29</v>
      </c>
      <c r="AE111" s="32">
        <v>11</v>
      </c>
      <c r="AF111" s="32">
        <v>7</v>
      </c>
      <c r="AG111" s="32">
        <v>20</v>
      </c>
      <c r="AH111" s="32">
        <v>12</v>
      </c>
      <c r="AI111" s="32">
        <v>9</v>
      </c>
      <c r="AJ111" s="32">
        <v>26</v>
      </c>
      <c r="AK111" s="32">
        <v>22</v>
      </c>
      <c r="AL111" s="32">
        <v>15</v>
      </c>
      <c r="AM111" s="32">
        <v>20</v>
      </c>
      <c r="AN111" s="32">
        <v>12</v>
      </c>
      <c r="AO111" s="32">
        <v>17</v>
      </c>
      <c r="AP111" s="32">
        <v>26</v>
      </c>
      <c r="AQ111" s="32">
        <v>15</v>
      </c>
      <c r="AR111" s="32">
        <v>13</v>
      </c>
      <c r="AS111" s="32">
        <v>19</v>
      </c>
    </row>
    <row r="112" spans="1:45">
      <c r="A112" s="30" t="s">
        <v>676</v>
      </c>
      <c r="B112" s="30" t="s">
        <v>1407</v>
      </c>
      <c r="C112" s="30" t="s">
        <v>677</v>
      </c>
      <c r="D112" s="30" t="s">
        <v>67</v>
      </c>
      <c r="E112" s="30" t="s">
        <v>1544</v>
      </c>
      <c r="F112" s="30" t="s">
        <v>67</v>
      </c>
      <c r="G112" s="30" t="s">
        <v>484</v>
      </c>
      <c r="H112" s="30" t="s">
        <v>680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0</v>
      </c>
      <c r="AC112" s="31">
        <v>0</v>
      </c>
      <c r="AD112" s="32">
        <v>44</v>
      </c>
      <c r="AE112" s="32">
        <v>61</v>
      </c>
      <c r="AF112" s="32">
        <v>67</v>
      </c>
      <c r="AG112" s="32">
        <v>113</v>
      </c>
      <c r="AH112" s="32">
        <v>88</v>
      </c>
      <c r="AI112" s="32">
        <v>98</v>
      </c>
      <c r="AJ112" s="32">
        <v>136</v>
      </c>
      <c r="AK112" s="32">
        <v>76</v>
      </c>
      <c r="AL112" s="32">
        <v>87</v>
      </c>
      <c r="AM112" s="32">
        <v>126</v>
      </c>
      <c r="AN112" s="32">
        <v>78</v>
      </c>
      <c r="AO112" s="32">
        <v>73</v>
      </c>
      <c r="AP112" s="32">
        <v>96</v>
      </c>
      <c r="AQ112" s="32">
        <v>71</v>
      </c>
      <c r="AR112" s="32">
        <v>32</v>
      </c>
      <c r="AS112" s="32">
        <v>51</v>
      </c>
    </row>
    <row r="113" spans="1:45">
      <c r="A113" s="30" t="s">
        <v>676</v>
      </c>
      <c r="B113" s="30" t="s">
        <v>1407</v>
      </c>
      <c r="C113" s="30" t="s">
        <v>677</v>
      </c>
      <c r="D113" s="30" t="s">
        <v>67</v>
      </c>
      <c r="E113" s="30" t="s">
        <v>1545</v>
      </c>
      <c r="F113" s="30" t="s">
        <v>67</v>
      </c>
      <c r="G113" s="30" t="s">
        <v>485</v>
      </c>
      <c r="H113" s="30" t="s">
        <v>680</v>
      </c>
      <c r="I113" s="32">
        <v>218</v>
      </c>
      <c r="J113" s="32">
        <v>85</v>
      </c>
      <c r="K113" s="32">
        <v>86</v>
      </c>
      <c r="L113" s="32">
        <v>149</v>
      </c>
      <c r="M113" s="32">
        <v>119</v>
      </c>
      <c r="N113" s="32">
        <v>91</v>
      </c>
      <c r="O113" s="32">
        <v>141</v>
      </c>
      <c r="P113" s="32">
        <v>123</v>
      </c>
      <c r="Q113" s="32">
        <v>91</v>
      </c>
      <c r="R113" s="32">
        <v>116</v>
      </c>
      <c r="S113" s="32">
        <v>61</v>
      </c>
      <c r="T113" s="32">
        <v>58</v>
      </c>
      <c r="U113" s="32">
        <v>86</v>
      </c>
      <c r="V113" s="32">
        <v>72</v>
      </c>
      <c r="W113" s="32">
        <v>64</v>
      </c>
      <c r="X113" s="32">
        <v>92</v>
      </c>
      <c r="Y113" s="32">
        <v>44</v>
      </c>
      <c r="Z113" s="32">
        <v>50</v>
      </c>
      <c r="AA113" s="32">
        <v>58</v>
      </c>
      <c r="AB113" s="32">
        <v>37</v>
      </c>
      <c r="AC113" s="32">
        <v>31</v>
      </c>
      <c r="AD113" s="32">
        <v>62</v>
      </c>
      <c r="AE113" s="32">
        <v>30</v>
      </c>
      <c r="AF113" s="32">
        <v>25</v>
      </c>
      <c r="AG113" s="32">
        <v>38</v>
      </c>
      <c r="AH113" s="32">
        <v>27</v>
      </c>
      <c r="AI113" s="32">
        <v>18</v>
      </c>
      <c r="AJ113" s="32">
        <v>73</v>
      </c>
      <c r="AK113" s="32">
        <v>49</v>
      </c>
      <c r="AL113" s="32">
        <v>57</v>
      </c>
      <c r="AM113" s="32">
        <v>60</v>
      </c>
      <c r="AN113" s="32">
        <v>56</v>
      </c>
      <c r="AO113" s="32">
        <v>54</v>
      </c>
      <c r="AP113" s="32">
        <v>85</v>
      </c>
      <c r="AQ113" s="32">
        <v>60</v>
      </c>
      <c r="AR113" s="32">
        <v>60</v>
      </c>
      <c r="AS113" s="32">
        <v>77</v>
      </c>
    </row>
    <row r="114" spans="1:45">
      <c r="A114" s="30" t="s">
        <v>676</v>
      </c>
      <c r="B114" s="30" t="s">
        <v>1407</v>
      </c>
      <c r="C114" s="30" t="s">
        <v>677</v>
      </c>
      <c r="D114" s="30" t="s">
        <v>67</v>
      </c>
      <c r="E114" s="30" t="s">
        <v>1546</v>
      </c>
      <c r="F114" s="30" t="s">
        <v>67</v>
      </c>
      <c r="G114" s="30" t="s">
        <v>486</v>
      </c>
      <c r="H114" s="30" t="s">
        <v>680</v>
      </c>
      <c r="I114" s="32">
        <v>414</v>
      </c>
      <c r="J114" s="32">
        <v>215.15469999999999</v>
      </c>
      <c r="K114" s="32">
        <v>184</v>
      </c>
      <c r="L114" s="32">
        <v>338</v>
      </c>
      <c r="M114" s="32">
        <v>261</v>
      </c>
      <c r="N114" s="32">
        <v>231</v>
      </c>
      <c r="O114" s="32">
        <v>340</v>
      </c>
      <c r="P114" s="32">
        <v>237</v>
      </c>
      <c r="Q114" s="32">
        <v>195</v>
      </c>
      <c r="R114" s="32">
        <v>290</v>
      </c>
      <c r="S114" s="32">
        <v>165</v>
      </c>
      <c r="T114" s="32">
        <v>163</v>
      </c>
      <c r="U114" s="32">
        <v>197</v>
      </c>
      <c r="V114" s="32">
        <v>160.7895</v>
      </c>
      <c r="W114" s="32">
        <v>143</v>
      </c>
      <c r="X114" s="32">
        <v>195</v>
      </c>
      <c r="Y114" s="32">
        <v>156</v>
      </c>
      <c r="Z114" s="32">
        <v>157</v>
      </c>
      <c r="AA114" s="32">
        <v>211.2276</v>
      </c>
      <c r="AB114" s="32">
        <v>121</v>
      </c>
      <c r="AC114" s="32">
        <v>141</v>
      </c>
      <c r="AD114" s="32">
        <v>241</v>
      </c>
      <c r="AE114" s="32">
        <v>149</v>
      </c>
      <c r="AF114" s="32">
        <v>109</v>
      </c>
      <c r="AG114" s="32">
        <v>213</v>
      </c>
      <c r="AH114" s="32">
        <v>149</v>
      </c>
      <c r="AI114" s="32">
        <v>177</v>
      </c>
      <c r="AJ114" s="32">
        <v>249</v>
      </c>
      <c r="AK114" s="32">
        <v>150</v>
      </c>
      <c r="AL114" s="32">
        <v>141</v>
      </c>
      <c r="AM114" s="32">
        <v>195</v>
      </c>
      <c r="AN114" s="32">
        <v>116</v>
      </c>
      <c r="AO114" s="32">
        <v>124</v>
      </c>
      <c r="AP114" s="32">
        <v>183</v>
      </c>
      <c r="AQ114" s="32">
        <v>173</v>
      </c>
      <c r="AR114" s="32">
        <v>131</v>
      </c>
      <c r="AS114" s="32">
        <v>204</v>
      </c>
    </row>
    <row r="115" spans="1:45">
      <c r="A115" s="30" t="s">
        <v>676</v>
      </c>
      <c r="B115" s="30" t="s">
        <v>1407</v>
      </c>
      <c r="C115" s="30" t="s">
        <v>677</v>
      </c>
      <c r="D115" s="30" t="s">
        <v>67</v>
      </c>
      <c r="E115" s="30" t="s">
        <v>1547</v>
      </c>
      <c r="F115" s="30" t="s">
        <v>67</v>
      </c>
      <c r="G115" s="30" t="s">
        <v>487</v>
      </c>
      <c r="H115" s="30" t="s">
        <v>680</v>
      </c>
      <c r="I115" s="32">
        <v>306</v>
      </c>
      <c r="J115" s="32">
        <v>177</v>
      </c>
      <c r="K115" s="32">
        <v>157</v>
      </c>
      <c r="L115" s="32">
        <v>256</v>
      </c>
      <c r="M115" s="32">
        <v>193</v>
      </c>
      <c r="N115" s="32">
        <v>184</v>
      </c>
      <c r="O115" s="32">
        <v>290</v>
      </c>
      <c r="P115" s="32">
        <v>172</v>
      </c>
      <c r="Q115" s="32">
        <v>142</v>
      </c>
      <c r="R115" s="32">
        <v>222</v>
      </c>
      <c r="S115" s="32">
        <v>108</v>
      </c>
      <c r="T115" s="32">
        <v>133</v>
      </c>
      <c r="U115" s="32">
        <v>151</v>
      </c>
      <c r="V115" s="32">
        <v>111</v>
      </c>
      <c r="W115" s="32">
        <v>120</v>
      </c>
      <c r="X115" s="32">
        <v>163</v>
      </c>
      <c r="Y115" s="32">
        <v>125</v>
      </c>
      <c r="Z115" s="32">
        <v>135</v>
      </c>
      <c r="AA115" s="32">
        <v>176</v>
      </c>
      <c r="AB115" s="32">
        <v>113</v>
      </c>
      <c r="AC115" s="32">
        <v>107</v>
      </c>
      <c r="AD115" s="32">
        <v>176</v>
      </c>
      <c r="AE115" s="32">
        <v>125</v>
      </c>
      <c r="AF115" s="32">
        <v>81</v>
      </c>
      <c r="AG115" s="32">
        <v>157</v>
      </c>
      <c r="AH115" s="32">
        <v>112</v>
      </c>
      <c r="AI115" s="32">
        <v>133</v>
      </c>
      <c r="AJ115" s="32">
        <v>173</v>
      </c>
      <c r="AK115" s="32">
        <v>106</v>
      </c>
      <c r="AL115" s="32">
        <v>100</v>
      </c>
      <c r="AM115" s="32">
        <v>149</v>
      </c>
      <c r="AN115" s="32">
        <v>90</v>
      </c>
      <c r="AO115" s="32">
        <v>97</v>
      </c>
      <c r="AP115" s="32">
        <v>154</v>
      </c>
      <c r="AQ115" s="32">
        <v>108</v>
      </c>
      <c r="AR115" s="32">
        <v>127</v>
      </c>
      <c r="AS115" s="32">
        <v>181</v>
      </c>
    </row>
    <row r="116" spans="1:45">
      <c r="A116" s="30" t="s">
        <v>676</v>
      </c>
      <c r="B116" s="30" t="s">
        <v>1407</v>
      </c>
      <c r="C116" s="30" t="s">
        <v>677</v>
      </c>
      <c r="D116" s="30" t="s">
        <v>67</v>
      </c>
      <c r="E116" s="30" t="s">
        <v>1548</v>
      </c>
      <c r="F116" s="30" t="s">
        <v>67</v>
      </c>
      <c r="G116" s="30" t="s">
        <v>488</v>
      </c>
      <c r="H116" s="30" t="s">
        <v>680</v>
      </c>
      <c r="I116" s="32">
        <v>154</v>
      </c>
      <c r="J116" s="32">
        <v>99</v>
      </c>
      <c r="K116" s="32">
        <v>89</v>
      </c>
      <c r="L116" s="32">
        <v>142</v>
      </c>
      <c r="M116" s="32">
        <v>123</v>
      </c>
      <c r="N116" s="32">
        <v>115</v>
      </c>
      <c r="O116" s="32">
        <v>155</v>
      </c>
      <c r="P116" s="32">
        <v>105</v>
      </c>
      <c r="Q116" s="32">
        <v>83</v>
      </c>
      <c r="R116" s="32">
        <v>120</v>
      </c>
      <c r="S116" s="32">
        <v>79</v>
      </c>
      <c r="T116" s="32">
        <v>58</v>
      </c>
      <c r="U116" s="32">
        <v>97</v>
      </c>
      <c r="V116" s="32">
        <v>51</v>
      </c>
      <c r="W116" s="32">
        <v>68</v>
      </c>
      <c r="X116" s="32">
        <v>69</v>
      </c>
      <c r="Y116" s="32">
        <v>67</v>
      </c>
      <c r="Z116" s="32">
        <v>57</v>
      </c>
      <c r="AA116" s="32">
        <v>68</v>
      </c>
      <c r="AB116" s="32">
        <v>58</v>
      </c>
      <c r="AC116" s="32">
        <v>53</v>
      </c>
      <c r="AD116" s="32">
        <v>84</v>
      </c>
      <c r="AE116" s="32">
        <v>46</v>
      </c>
      <c r="AF116" s="32">
        <v>40</v>
      </c>
      <c r="AG116" s="32">
        <v>50</v>
      </c>
      <c r="AH116" s="32">
        <v>33</v>
      </c>
      <c r="AI116" s="32">
        <v>35</v>
      </c>
      <c r="AJ116" s="32">
        <v>78</v>
      </c>
      <c r="AK116" s="32">
        <v>54</v>
      </c>
      <c r="AL116" s="32">
        <v>48</v>
      </c>
      <c r="AM116" s="32">
        <v>83</v>
      </c>
      <c r="AN116" s="32">
        <v>67</v>
      </c>
      <c r="AO116" s="32">
        <v>53</v>
      </c>
      <c r="AP116" s="32">
        <v>66</v>
      </c>
      <c r="AQ116" s="32">
        <v>62</v>
      </c>
      <c r="AR116" s="32">
        <v>46</v>
      </c>
      <c r="AS116" s="32">
        <v>67</v>
      </c>
    </row>
    <row r="117" spans="1:45">
      <c r="A117" s="30" t="s">
        <v>676</v>
      </c>
      <c r="B117" s="30" t="s">
        <v>1407</v>
      </c>
      <c r="C117" s="30" t="s">
        <v>677</v>
      </c>
      <c r="D117" s="30" t="s">
        <v>67</v>
      </c>
      <c r="E117" s="30" t="s">
        <v>1549</v>
      </c>
      <c r="F117" s="30" t="s">
        <v>67</v>
      </c>
      <c r="G117" s="30" t="s">
        <v>489</v>
      </c>
      <c r="H117" s="30" t="s">
        <v>680</v>
      </c>
      <c r="I117" s="32">
        <v>242</v>
      </c>
      <c r="J117" s="32">
        <v>123</v>
      </c>
      <c r="K117" s="32">
        <v>106</v>
      </c>
      <c r="L117" s="32">
        <v>175</v>
      </c>
      <c r="M117" s="32">
        <v>162</v>
      </c>
      <c r="N117" s="32">
        <v>133</v>
      </c>
      <c r="O117" s="32">
        <v>174</v>
      </c>
      <c r="P117" s="32">
        <v>104</v>
      </c>
      <c r="Q117" s="32">
        <v>83</v>
      </c>
      <c r="R117" s="32">
        <v>141</v>
      </c>
      <c r="S117" s="32">
        <v>91</v>
      </c>
      <c r="T117" s="32">
        <v>81</v>
      </c>
      <c r="U117" s="32">
        <v>114</v>
      </c>
      <c r="V117" s="32">
        <v>83.197400000000002</v>
      </c>
      <c r="W117" s="32">
        <v>71</v>
      </c>
      <c r="X117" s="32">
        <v>99</v>
      </c>
      <c r="Y117" s="32">
        <v>85</v>
      </c>
      <c r="Z117" s="32">
        <v>103</v>
      </c>
      <c r="AA117" s="32">
        <v>109</v>
      </c>
      <c r="AB117" s="32">
        <v>75</v>
      </c>
      <c r="AC117" s="32">
        <v>92</v>
      </c>
      <c r="AD117" s="32">
        <v>147</v>
      </c>
      <c r="AE117" s="32">
        <v>80</v>
      </c>
      <c r="AF117" s="32">
        <v>72</v>
      </c>
      <c r="AG117" s="32">
        <v>102</v>
      </c>
      <c r="AH117" s="32">
        <v>71</v>
      </c>
      <c r="AI117" s="32">
        <v>91</v>
      </c>
      <c r="AJ117" s="32">
        <v>124</v>
      </c>
      <c r="AK117" s="32">
        <v>62</v>
      </c>
      <c r="AL117" s="32">
        <v>82</v>
      </c>
      <c r="AM117" s="32">
        <v>98</v>
      </c>
      <c r="AN117" s="32">
        <v>75</v>
      </c>
      <c r="AO117" s="32">
        <v>62</v>
      </c>
      <c r="AP117" s="32">
        <v>102</v>
      </c>
      <c r="AQ117" s="32">
        <v>80</v>
      </c>
      <c r="AR117" s="32">
        <v>76</v>
      </c>
      <c r="AS117" s="32">
        <v>119</v>
      </c>
    </row>
    <row r="118" spans="1:45">
      <c r="A118" s="30" t="s">
        <v>676</v>
      </c>
      <c r="B118" s="30" t="s">
        <v>1407</v>
      </c>
      <c r="C118" s="30" t="s">
        <v>677</v>
      </c>
      <c r="D118" s="30" t="s">
        <v>67</v>
      </c>
      <c r="E118" s="30" t="s">
        <v>1550</v>
      </c>
      <c r="F118" s="30" t="s">
        <v>67</v>
      </c>
      <c r="G118" s="30" t="s">
        <v>477</v>
      </c>
      <c r="H118" s="30" t="s">
        <v>680</v>
      </c>
      <c r="I118" s="31">
        <v>0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0</v>
      </c>
      <c r="AD118" s="31">
        <v>0</v>
      </c>
      <c r="AE118" s="31">
        <v>0</v>
      </c>
      <c r="AF118" s="31">
        <v>0</v>
      </c>
      <c r="AG118" s="31">
        <v>0</v>
      </c>
      <c r="AH118" s="31">
        <v>0</v>
      </c>
      <c r="AI118" s="31">
        <v>0</v>
      </c>
      <c r="AJ118" s="31">
        <v>0</v>
      </c>
      <c r="AK118" s="31">
        <v>0</v>
      </c>
      <c r="AL118" s="31">
        <v>0</v>
      </c>
      <c r="AM118" s="31">
        <v>0</v>
      </c>
      <c r="AN118" s="32">
        <v>26</v>
      </c>
      <c r="AO118" s="32">
        <v>33</v>
      </c>
      <c r="AP118" s="32">
        <v>16</v>
      </c>
      <c r="AQ118" s="32">
        <v>11</v>
      </c>
      <c r="AR118" s="32">
        <v>7</v>
      </c>
      <c r="AS118" s="32">
        <v>4</v>
      </c>
    </row>
    <row r="119" spans="1:45">
      <c r="A119" s="30" t="s">
        <v>676</v>
      </c>
      <c r="B119" s="30" t="s">
        <v>1407</v>
      </c>
      <c r="C119" s="30" t="s">
        <v>677</v>
      </c>
      <c r="D119" s="30" t="s">
        <v>67</v>
      </c>
      <c r="E119" s="30" t="s">
        <v>1551</v>
      </c>
      <c r="F119" s="30" t="s">
        <v>67</v>
      </c>
      <c r="G119" s="30" t="s">
        <v>490</v>
      </c>
      <c r="H119" s="30" t="s">
        <v>680</v>
      </c>
      <c r="I119" s="31">
        <v>0</v>
      </c>
      <c r="J119" s="31">
        <v>0</v>
      </c>
      <c r="K119" s="31">
        <v>0</v>
      </c>
      <c r="L119" s="31">
        <v>0</v>
      </c>
      <c r="M119" s="31">
        <v>0</v>
      </c>
      <c r="N119" s="31">
        <v>0</v>
      </c>
      <c r="O119" s="31">
        <v>0</v>
      </c>
      <c r="P119" s="31">
        <v>0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  <c r="AC119" s="31">
        <v>0</v>
      </c>
      <c r="AD119" s="31">
        <v>0</v>
      </c>
      <c r="AE119" s="31">
        <v>0</v>
      </c>
      <c r="AF119" s="31">
        <v>0</v>
      </c>
      <c r="AG119" s="31">
        <v>0</v>
      </c>
      <c r="AH119" s="31">
        <v>0</v>
      </c>
      <c r="AI119" s="31">
        <v>0</v>
      </c>
      <c r="AJ119" s="31">
        <v>0</v>
      </c>
      <c r="AK119" s="31">
        <v>0</v>
      </c>
      <c r="AL119" s="31">
        <v>0</v>
      </c>
      <c r="AM119" s="31">
        <v>0</v>
      </c>
      <c r="AN119" s="31">
        <v>0</v>
      </c>
      <c r="AO119" s="31">
        <v>0</v>
      </c>
      <c r="AP119" s="31">
        <v>0</v>
      </c>
      <c r="AQ119" s="32">
        <v>2</v>
      </c>
      <c r="AR119" s="32">
        <v>28</v>
      </c>
      <c r="AS119" s="32">
        <v>17</v>
      </c>
    </row>
    <row r="120" spans="1:45">
      <c r="A120" s="30" t="s">
        <v>676</v>
      </c>
      <c r="B120" s="30" t="s">
        <v>1407</v>
      </c>
      <c r="C120" s="30" t="s">
        <v>677</v>
      </c>
      <c r="D120" s="30" t="s">
        <v>67</v>
      </c>
      <c r="E120" s="30" t="s">
        <v>1552</v>
      </c>
      <c r="F120" s="30" t="s">
        <v>67</v>
      </c>
      <c r="G120" s="30" t="s">
        <v>1553</v>
      </c>
      <c r="H120" s="30" t="s">
        <v>680</v>
      </c>
      <c r="I120" s="31">
        <v>0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2">
        <v>1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  <c r="AC120" s="31">
        <v>0</v>
      </c>
      <c r="AD120" s="31">
        <v>0</v>
      </c>
      <c r="AE120" s="31">
        <v>0</v>
      </c>
      <c r="AF120" s="31">
        <v>0</v>
      </c>
      <c r="AG120" s="31">
        <v>0</v>
      </c>
      <c r="AH120" s="31">
        <v>0</v>
      </c>
      <c r="AI120" s="31">
        <v>0</v>
      </c>
      <c r="AJ120" s="31">
        <v>0</v>
      </c>
      <c r="AK120" s="31">
        <v>0</v>
      </c>
      <c r="AL120" s="32">
        <v>1</v>
      </c>
      <c r="AM120" s="31">
        <v>0</v>
      </c>
      <c r="AN120" s="31">
        <v>0</v>
      </c>
      <c r="AO120" s="31">
        <v>0</v>
      </c>
      <c r="AP120" s="31">
        <v>0</v>
      </c>
      <c r="AQ120" s="31">
        <v>0</v>
      </c>
      <c r="AR120" s="31">
        <v>0</v>
      </c>
      <c r="AS120" s="31">
        <v>0</v>
      </c>
    </row>
    <row r="121" spans="1:45">
      <c r="A121" s="30" t="s">
        <v>676</v>
      </c>
      <c r="B121" s="30" t="s">
        <v>1407</v>
      </c>
      <c r="C121" s="30" t="s">
        <v>677</v>
      </c>
      <c r="D121" s="30" t="s">
        <v>67</v>
      </c>
      <c r="E121" s="30" t="s">
        <v>1554</v>
      </c>
      <c r="F121" s="30" t="s">
        <v>67</v>
      </c>
      <c r="G121" s="30" t="s">
        <v>1555</v>
      </c>
      <c r="H121" s="30" t="s">
        <v>680</v>
      </c>
      <c r="I121" s="31">
        <v>0</v>
      </c>
      <c r="J121" s="31">
        <v>0</v>
      </c>
      <c r="K121" s="31">
        <v>0</v>
      </c>
      <c r="L121" s="31">
        <v>0</v>
      </c>
      <c r="M121" s="31">
        <v>0</v>
      </c>
      <c r="N121" s="32">
        <v>2</v>
      </c>
      <c r="O121" s="31">
        <v>0</v>
      </c>
      <c r="P121" s="31">
        <v>0</v>
      </c>
      <c r="Q121" s="32">
        <v>2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2">
        <v>1</v>
      </c>
      <c r="X121" s="32">
        <v>2</v>
      </c>
      <c r="Y121" s="32">
        <v>1</v>
      </c>
      <c r="Z121" s="31">
        <v>0</v>
      </c>
      <c r="AA121" s="31">
        <v>0</v>
      </c>
      <c r="AB121" s="31">
        <v>0</v>
      </c>
      <c r="AC121" s="31">
        <v>0</v>
      </c>
      <c r="AD121" s="32">
        <v>1</v>
      </c>
      <c r="AE121" s="31">
        <v>0</v>
      </c>
      <c r="AF121" s="31">
        <v>0</v>
      </c>
      <c r="AG121" s="31">
        <v>0</v>
      </c>
      <c r="AH121" s="31">
        <v>0</v>
      </c>
      <c r="AI121" s="31">
        <v>0</v>
      </c>
      <c r="AJ121" s="31">
        <v>0</v>
      </c>
      <c r="AK121" s="31">
        <v>0</v>
      </c>
      <c r="AL121" s="31">
        <v>0</v>
      </c>
      <c r="AM121" s="31">
        <v>0</v>
      </c>
      <c r="AN121" s="31">
        <v>0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</row>
    <row r="122" spans="1:45">
      <c r="A122" s="30" t="s">
        <v>676</v>
      </c>
      <c r="B122" s="30" t="s">
        <v>1407</v>
      </c>
      <c r="C122" s="30" t="s">
        <v>677</v>
      </c>
      <c r="D122" s="30" t="s">
        <v>67</v>
      </c>
      <c r="E122" s="30" t="s">
        <v>1556</v>
      </c>
      <c r="F122" s="30" t="s">
        <v>67</v>
      </c>
      <c r="G122" s="30" t="s">
        <v>1557</v>
      </c>
      <c r="H122" s="30" t="s">
        <v>680</v>
      </c>
      <c r="I122" s="32">
        <v>1</v>
      </c>
      <c r="J122" s="31">
        <v>0</v>
      </c>
      <c r="K122" s="31">
        <v>0</v>
      </c>
      <c r="L122" s="31">
        <v>0</v>
      </c>
      <c r="M122" s="31">
        <v>0</v>
      </c>
      <c r="N122" s="32">
        <v>1</v>
      </c>
      <c r="O122" s="32">
        <v>5</v>
      </c>
      <c r="P122" s="31">
        <v>0</v>
      </c>
      <c r="Q122" s="31">
        <v>0</v>
      </c>
      <c r="R122" s="32">
        <v>1</v>
      </c>
      <c r="S122" s="32">
        <v>2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>
        <v>0</v>
      </c>
      <c r="AG122" s="31">
        <v>0</v>
      </c>
      <c r="AH122" s="31">
        <v>0</v>
      </c>
      <c r="AI122" s="31">
        <v>0</v>
      </c>
      <c r="AJ122" s="31">
        <v>0</v>
      </c>
      <c r="AK122" s="31">
        <v>0</v>
      </c>
      <c r="AL122" s="31">
        <v>0</v>
      </c>
      <c r="AM122" s="31">
        <v>0</v>
      </c>
      <c r="AN122" s="31">
        <v>0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</row>
    <row r="123" spans="1:45">
      <c r="A123" s="30" t="s">
        <v>676</v>
      </c>
      <c r="B123" s="30" t="s">
        <v>1407</v>
      </c>
      <c r="C123" s="30" t="s">
        <v>677</v>
      </c>
      <c r="D123" s="30" t="s">
        <v>67</v>
      </c>
      <c r="E123" s="30" t="s">
        <v>1558</v>
      </c>
      <c r="F123" s="30" t="s">
        <v>67</v>
      </c>
      <c r="G123" s="30" t="s">
        <v>491</v>
      </c>
      <c r="H123" s="30" t="s">
        <v>680</v>
      </c>
      <c r="I123" s="32">
        <v>199</v>
      </c>
      <c r="J123" s="32">
        <v>131</v>
      </c>
      <c r="K123" s="32">
        <v>129</v>
      </c>
      <c r="L123" s="32">
        <v>168</v>
      </c>
      <c r="M123" s="32">
        <v>127</v>
      </c>
      <c r="N123" s="32">
        <v>98</v>
      </c>
      <c r="O123" s="32">
        <v>176</v>
      </c>
      <c r="P123" s="32">
        <v>114</v>
      </c>
      <c r="Q123" s="32">
        <v>94</v>
      </c>
      <c r="R123" s="32">
        <v>125</v>
      </c>
      <c r="S123" s="32">
        <v>85</v>
      </c>
      <c r="T123" s="32">
        <v>77</v>
      </c>
      <c r="U123" s="32">
        <v>132</v>
      </c>
      <c r="V123" s="32">
        <v>77</v>
      </c>
      <c r="W123" s="32">
        <v>79</v>
      </c>
      <c r="X123" s="32">
        <v>79</v>
      </c>
      <c r="Y123" s="32">
        <v>40</v>
      </c>
      <c r="Z123" s="32">
        <v>46</v>
      </c>
      <c r="AA123" s="32">
        <v>44</v>
      </c>
      <c r="AB123" s="32">
        <v>19</v>
      </c>
      <c r="AC123" s="32">
        <v>19</v>
      </c>
      <c r="AD123" s="32">
        <v>8</v>
      </c>
      <c r="AE123" s="32">
        <v>2</v>
      </c>
      <c r="AF123" s="32">
        <v>2</v>
      </c>
      <c r="AG123" s="32">
        <v>1</v>
      </c>
      <c r="AH123" s="31">
        <v>0</v>
      </c>
      <c r="AI123" s="31">
        <v>0</v>
      </c>
      <c r="AJ123" s="31">
        <v>0</v>
      </c>
      <c r="AK123" s="31">
        <v>0</v>
      </c>
      <c r="AL123" s="32">
        <v>2</v>
      </c>
      <c r="AM123" s="32">
        <v>2</v>
      </c>
      <c r="AN123" s="31">
        <v>0</v>
      </c>
      <c r="AO123" s="32">
        <v>1</v>
      </c>
      <c r="AP123" s="32">
        <v>2</v>
      </c>
      <c r="AQ123" s="31">
        <v>0</v>
      </c>
      <c r="AR123" s="31">
        <v>0</v>
      </c>
      <c r="AS123" s="32">
        <v>1</v>
      </c>
    </row>
    <row r="124" spans="1:45">
      <c r="A124" s="30" t="s">
        <v>676</v>
      </c>
      <c r="B124" s="30" t="s">
        <v>1407</v>
      </c>
      <c r="C124" s="30" t="s">
        <v>677</v>
      </c>
      <c r="D124" s="30" t="s">
        <v>67</v>
      </c>
      <c r="E124" s="30" t="s">
        <v>1559</v>
      </c>
      <c r="F124" s="30" t="s">
        <v>67</v>
      </c>
      <c r="G124" s="30" t="s">
        <v>492</v>
      </c>
      <c r="H124" s="30" t="s">
        <v>680</v>
      </c>
      <c r="I124" s="32">
        <v>18</v>
      </c>
      <c r="J124" s="32">
        <v>19</v>
      </c>
      <c r="K124" s="32">
        <v>13</v>
      </c>
      <c r="L124" s="32">
        <v>23</v>
      </c>
      <c r="M124" s="32">
        <v>16</v>
      </c>
      <c r="N124" s="32">
        <v>13</v>
      </c>
      <c r="O124" s="32">
        <v>31</v>
      </c>
      <c r="P124" s="32">
        <v>16</v>
      </c>
      <c r="Q124" s="32">
        <v>20</v>
      </c>
      <c r="R124" s="32">
        <v>15</v>
      </c>
      <c r="S124" s="32">
        <v>16</v>
      </c>
      <c r="T124" s="32">
        <v>20</v>
      </c>
      <c r="U124" s="32">
        <v>28</v>
      </c>
      <c r="V124" s="32">
        <v>13.1974</v>
      </c>
      <c r="W124" s="32">
        <v>20</v>
      </c>
      <c r="X124" s="32">
        <v>26</v>
      </c>
      <c r="Y124" s="32">
        <v>18</v>
      </c>
      <c r="Z124" s="32">
        <v>10</v>
      </c>
      <c r="AA124" s="32">
        <v>23</v>
      </c>
      <c r="AB124" s="32">
        <v>11</v>
      </c>
      <c r="AC124" s="32">
        <v>7</v>
      </c>
      <c r="AD124" s="32">
        <v>5</v>
      </c>
      <c r="AE124" s="32">
        <v>3</v>
      </c>
      <c r="AF124" s="32">
        <v>1</v>
      </c>
      <c r="AG124" s="32">
        <v>2</v>
      </c>
      <c r="AH124" s="31">
        <v>0</v>
      </c>
      <c r="AI124" s="32">
        <v>1</v>
      </c>
      <c r="AJ124" s="32">
        <v>2</v>
      </c>
      <c r="AK124" s="31">
        <v>0</v>
      </c>
      <c r="AL124" s="31">
        <v>0</v>
      </c>
      <c r="AM124" s="32">
        <v>1</v>
      </c>
      <c r="AN124" s="32">
        <v>1</v>
      </c>
      <c r="AO124" s="31">
        <v>0</v>
      </c>
      <c r="AP124" s="31">
        <v>0</v>
      </c>
      <c r="AQ124" s="31">
        <v>0</v>
      </c>
      <c r="AR124" s="32">
        <v>3</v>
      </c>
      <c r="AS124" s="32">
        <v>1</v>
      </c>
    </row>
    <row r="125" spans="1:45">
      <c r="A125" s="30" t="s">
        <v>676</v>
      </c>
      <c r="B125" s="30" t="s">
        <v>1407</v>
      </c>
      <c r="C125" s="30" t="s">
        <v>677</v>
      </c>
      <c r="D125" s="30" t="s">
        <v>67</v>
      </c>
      <c r="E125" s="30" t="s">
        <v>1560</v>
      </c>
      <c r="F125" s="30" t="s">
        <v>67</v>
      </c>
      <c r="G125" s="30" t="s">
        <v>449</v>
      </c>
      <c r="H125" s="30" t="s">
        <v>680</v>
      </c>
      <c r="I125" s="31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2">
        <v>1</v>
      </c>
      <c r="AB125" s="31">
        <v>0</v>
      </c>
      <c r="AC125" s="31">
        <v>0</v>
      </c>
      <c r="AD125" s="31">
        <v>0</v>
      </c>
      <c r="AE125" s="31">
        <v>0</v>
      </c>
      <c r="AF125" s="31">
        <v>0</v>
      </c>
      <c r="AG125" s="31">
        <v>0</v>
      </c>
      <c r="AH125" s="31">
        <v>0</v>
      </c>
      <c r="AI125" s="31">
        <v>0</v>
      </c>
      <c r="AJ125" s="31">
        <v>0</v>
      </c>
      <c r="AK125" s="31">
        <v>0</v>
      </c>
      <c r="AL125" s="31">
        <v>0</v>
      </c>
      <c r="AM125" s="31">
        <v>0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</row>
    <row r="126" spans="1:45">
      <c r="A126" s="30" t="s">
        <v>676</v>
      </c>
      <c r="B126" s="30" t="s">
        <v>1407</v>
      </c>
      <c r="C126" s="30" t="s">
        <v>677</v>
      </c>
      <c r="D126" s="30" t="s">
        <v>67</v>
      </c>
      <c r="E126" s="30" t="s">
        <v>1561</v>
      </c>
      <c r="F126" s="30" t="s">
        <v>67</v>
      </c>
      <c r="G126" s="30" t="s">
        <v>442</v>
      </c>
      <c r="H126" s="30" t="s">
        <v>680</v>
      </c>
      <c r="I126" s="31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Z126" s="31">
        <v>0</v>
      </c>
      <c r="AA126" s="31">
        <v>0</v>
      </c>
      <c r="AB126" s="32">
        <v>1</v>
      </c>
      <c r="AC126" s="31">
        <v>0</v>
      </c>
      <c r="AD126" s="31">
        <v>0</v>
      </c>
      <c r="AE126" s="31">
        <v>0</v>
      </c>
      <c r="AF126" s="31">
        <v>0</v>
      </c>
      <c r="AG126" s="31">
        <v>0</v>
      </c>
      <c r="AH126" s="31">
        <v>0</v>
      </c>
      <c r="AI126" s="31">
        <v>0</v>
      </c>
      <c r="AJ126" s="31">
        <v>0</v>
      </c>
      <c r="AK126" s="31">
        <v>0</v>
      </c>
      <c r="AL126" s="31">
        <v>0</v>
      </c>
      <c r="AM126" s="31">
        <v>0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</row>
    <row r="127" spans="1:45">
      <c r="A127" s="30" t="s">
        <v>676</v>
      </c>
      <c r="B127" s="30" t="s">
        <v>1407</v>
      </c>
      <c r="C127" s="30" t="s">
        <v>677</v>
      </c>
      <c r="D127" s="30" t="s">
        <v>67</v>
      </c>
      <c r="E127" s="30" t="s">
        <v>1562</v>
      </c>
      <c r="F127" s="30" t="s">
        <v>67</v>
      </c>
      <c r="G127" s="30" t="s">
        <v>493</v>
      </c>
      <c r="H127" s="30" t="s">
        <v>680</v>
      </c>
      <c r="I127" s="32">
        <v>59</v>
      </c>
      <c r="J127" s="32">
        <v>36</v>
      </c>
      <c r="K127" s="32">
        <v>36</v>
      </c>
      <c r="L127" s="32">
        <v>35</v>
      </c>
      <c r="M127" s="32">
        <v>28</v>
      </c>
      <c r="N127" s="32">
        <v>12</v>
      </c>
      <c r="O127" s="32">
        <v>25</v>
      </c>
      <c r="P127" s="32">
        <v>22</v>
      </c>
      <c r="Q127" s="32">
        <v>23</v>
      </c>
      <c r="R127" s="32">
        <v>17</v>
      </c>
      <c r="S127" s="32">
        <v>14</v>
      </c>
      <c r="T127" s="32">
        <v>7</v>
      </c>
      <c r="U127" s="32">
        <v>4</v>
      </c>
      <c r="V127" s="32">
        <v>1</v>
      </c>
      <c r="W127" s="32">
        <v>9</v>
      </c>
      <c r="X127" s="32">
        <v>4</v>
      </c>
      <c r="Y127" s="32">
        <v>3</v>
      </c>
      <c r="Z127" s="32">
        <v>3</v>
      </c>
      <c r="AA127" s="32">
        <v>4</v>
      </c>
      <c r="AB127" s="32">
        <v>3</v>
      </c>
      <c r="AC127" s="31">
        <v>0</v>
      </c>
      <c r="AD127" s="31">
        <v>0</v>
      </c>
      <c r="AE127" s="32">
        <v>1</v>
      </c>
      <c r="AF127" s="31">
        <v>0</v>
      </c>
      <c r="AG127" s="31">
        <v>0</v>
      </c>
      <c r="AH127" s="31">
        <v>0</v>
      </c>
      <c r="AI127" s="31">
        <v>0</v>
      </c>
      <c r="AJ127" s="31">
        <v>0</v>
      </c>
      <c r="AK127" s="31">
        <v>0</v>
      </c>
      <c r="AL127" s="31">
        <v>0</v>
      </c>
      <c r="AM127" s="31">
        <v>0</v>
      </c>
      <c r="AN127" s="31">
        <v>0</v>
      </c>
      <c r="AO127" s="31">
        <v>0</v>
      </c>
      <c r="AP127" s="31">
        <v>0</v>
      </c>
      <c r="AQ127" s="31">
        <v>0</v>
      </c>
      <c r="AR127" s="31">
        <v>0</v>
      </c>
      <c r="AS127" s="31">
        <v>0</v>
      </c>
    </row>
    <row r="128" spans="1:45">
      <c r="A128" s="30" t="s">
        <v>676</v>
      </c>
      <c r="B128" s="30" t="s">
        <v>1407</v>
      </c>
      <c r="C128" s="30" t="s">
        <v>677</v>
      </c>
      <c r="D128" s="30" t="s">
        <v>67</v>
      </c>
      <c r="E128" s="30" t="s">
        <v>1563</v>
      </c>
      <c r="F128" s="30" t="s">
        <v>67</v>
      </c>
      <c r="G128" s="30" t="s">
        <v>487</v>
      </c>
      <c r="H128" s="30" t="s">
        <v>680</v>
      </c>
      <c r="I128" s="32">
        <v>1</v>
      </c>
      <c r="J128" s="31">
        <v>0</v>
      </c>
      <c r="K128" s="31">
        <v>0</v>
      </c>
      <c r="L128" s="31">
        <v>0</v>
      </c>
      <c r="M128" s="31">
        <v>0</v>
      </c>
      <c r="N128" s="31">
        <v>0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1">
        <v>0</v>
      </c>
      <c r="AC128" s="31">
        <v>0</v>
      </c>
      <c r="AD128" s="31">
        <v>0</v>
      </c>
      <c r="AE128" s="31">
        <v>0</v>
      </c>
      <c r="AF128" s="31">
        <v>0</v>
      </c>
      <c r="AG128" s="31">
        <v>0</v>
      </c>
      <c r="AH128" s="31">
        <v>0</v>
      </c>
      <c r="AI128" s="31">
        <v>0</v>
      </c>
      <c r="AJ128" s="31">
        <v>0</v>
      </c>
      <c r="AK128" s="31">
        <v>0</v>
      </c>
      <c r="AL128" s="31">
        <v>0</v>
      </c>
      <c r="AM128" s="31">
        <v>0</v>
      </c>
      <c r="AN128" s="31">
        <v>0</v>
      </c>
      <c r="AO128" s="31">
        <v>0</v>
      </c>
      <c r="AP128" s="31">
        <v>0</v>
      </c>
      <c r="AQ128" s="31">
        <v>0</v>
      </c>
      <c r="AR128" s="31">
        <v>0</v>
      </c>
      <c r="AS128" s="31">
        <v>0</v>
      </c>
    </row>
    <row r="129" spans="1:45">
      <c r="A129" s="30" t="s">
        <v>676</v>
      </c>
      <c r="B129" s="30" t="s">
        <v>1407</v>
      </c>
      <c r="C129" s="30" t="s">
        <v>677</v>
      </c>
      <c r="D129" s="30" t="s">
        <v>67</v>
      </c>
      <c r="E129" s="30" t="s">
        <v>1564</v>
      </c>
      <c r="F129" s="30" t="s">
        <v>67</v>
      </c>
      <c r="G129" s="30" t="s">
        <v>494</v>
      </c>
      <c r="H129" s="30" t="s">
        <v>680</v>
      </c>
      <c r="I129" s="32">
        <v>121</v>
      </c>
      <c r="J129" s="32">
        <v>75</v>
      </c>
      <c r="K129" s="32">
        <v>62</v>
      </c>
      <c r="L129" s="32">
        <v>85</v>
      </c>
      <c r="M129" s="32">
        <v>101</v>
      </c>
      <c r="N129" s="32">
        <v>66</v>
      </c>
      <c r="O129" s="32">
        <v>103</v>
      </c>
      <c r="P129" s="32">
        <v>71</v>
      </c>
      <c r="Q129" s="32">
        <v>65</v>
      </c>
      <c r="R129" s="32">
        <v>136</v>
      </c>
      <c r="S129" s="32">
        <v>67</v>
      </c>
      <c r="T129" s="32">
        <v>71</v>
      </c>
      <c r="U129" s="32">
        <v>78</v>
      </c>
      <c r="V129" s="32">
        <v>39</v>
      </c>
      <c r="W129" s="32">
        <v>52</v>
      </c>
      <c r="X129" s="32">
        <v>92</v>
      </c>
      <c r="Y129" s="32">
        <v>81</v>
      </c>
      <c r="Z129" s="32">
        <v>60</v>
      </c>
      <c r="AA129" s="32">
        <v>99</v>
      </c>
      <c r="AB129" s="32">
        <v>62</v>
      </c>
      <c r="AC129" s="32">
        <v>61</v>
      </c>
      <c r="AD129" s="32">
        <v>33</v>
      </c>
      <c r="AE129" s="31">
        <v>0</v>
      </c>
      <c r="AF129" s="31">
        <v>0</v>
      </c>
      <c r="AG129" s="31">
        <v>0</v>
      </c>
      <c r="AH129" s="31">
        <v>0</v>
      </c>
      <c r="AI129" s="31">
        <v>0</v>
      </c>
      <c r="AJ129" s="31">
        <v>0</v>
      </c>
      <c r="AK129" s="31">
        <v>0</v>
      </c>
      <c r="AL129" s="31">
        <v>0</v>
      </c>
      <c r="AM129" s="31">
        <v>0</v>
      </c>
      <c r="AN129" s="31">
        <v>0</v>
      </c>
      <c r="AO129" s="31">
        <v>0</v>
      </c>
      <c r="AP129" s="32">
        <v>1</v>
      </c>
      <c r="AQ129" s="32">
        <v>2</v>
      </c>
      <c r="AR129" s="32">
        <v>1</v>
      </c>
      <c r="AS129" s="32">
        <v>3</v>
      </c>
    </row>
    <row r="130" spans="1:45">
      <c r="A130" s="30" t="s">
        <v>676</v>
      </c>
      <c r="B130" s="30" t="s">
        <v>1407</v>
      </c>
      <c r="C130" s="30" t="s">
        <v>677</v>
      </c>
      <c r="D130" s="30" t="s">
        <v>67</v>
      </c>
      <c r="E130" s="30" t="s">
        <v>1565</v>
      </c>
      <c r="F130" s="30" t="s">
        <v>67</v>
      </c>
      <c r="G130" s="30" t="s">
        <v>495</v>
      </c>
      <c r="H130" s="30" t="s">
        <v>680</v>
      </c>
      <c r="I130" s="32">
        <v>49</v>
      </c>
      <c r="J130" s="32">
        <v>20</v>
      </c>
      <c r="K130" s="32">
        <v>25</v>
      </c>
      <c r="L130" s="32">
        <v>27</v>
      </c>
      <c r="M130" s="32">
        <v>28</v>
      </c>
      <c r="N130" s="32">
        <v>26</v>
      </c>
      <c r="O130" s="32">
        <v>41</v>
      </c>
      <c r="P130" s="32">
        <v>28</v>
      </c>
      <c r="Q130" s="32">
        <v>25</v>
      </c>
      <c r="R130" s="32">
        <v>39</v>
      </c>
      <c r="S130" s="32">
        <v>19</v>
      </c>
      <c r="T130" s="32">
        <v>23</v>
      </c>
      <c r="U130" s="32">
        <v>41</v>
      </c>
      <c r="V130" s="32">
        <v>27</v>
      </c>
      <c r="W130" s="32">
        <v>26</v>
      </c>
      <c r="X130" s="32">
        <v>21</v>
      </c>
      <c r="Y130" s="32">
        <v>19</v>
      </c>
      <c r="Z130" s="32">
        <v>33</v>
      </c>
      <c r="AA130" s="32">
        <v>44</v>
      </c>
      <c r="AB130" s="32">
        <v>23</v>
      </c>
      <c r="AC130" s="32">
        <v>14</v>
      </c>
      <c r="AD130" s="32">
        <v>11</v>
      </c>
      <c r="AE130" s="32">
        <v>6</v>
      </c>
      <c r="AF130" s="32">
        <v>2</v>
      </c>
      <c r="AG130" s="31">
        <v>0</v>
      </c>
      <c r="AH130" s="31">
        <v>0</v>
      </c>
      <c r="AI130" s="31">
        <v>0</v>
      </c>
      <c r="AJ130" s="31">
        <v>0</v>
      </c>
      <c r="AK130" s="31">
        <v>0</v>
      </c>
      <c r="AL130" s="31">
        <v>0</v>
      </c>
      <c r="AM130" s="31">
        <v>0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1">
        <v>0</v>
      </c>
    </row>
    <row r="131" spans="1:45">
      <c r="A131" s="30" t="s">
        <v>676</v>
      </c>
      <c r="B131" s="30" t="s">
        <v>1407</v>
      </c>
      <c r="C131" s="30" t="s">
        <v>677</v>
      </c>
      <c r="D131" s="30" t="s">
        <v>66</v>
      </c>
      <c r="E131" s="30" t="s">
        <v>1566</v>
      </c>
      <c r="F131" s="30" t="s">
        <v>66</v>
      </c>
      <c r="G131" s="30" t="s">
        <v>504</v>
      </c>
      <c r="H131" s="30" t="s">
        <v>680</v>
      </c>
      <c r="I131" s="32">
        <v>93</v>
      </c>
      <c r="J131" s="32">
        <v>65</v>
      </c>
      <c r="K131" s="32">
        <v>87</v>
      </c>
      <c r="L131" s="32">
        <v>93</v>
      </c>
      <c r="M131" s="32">
        <v>77</v>
      </c>
      <c r="N131" s="32">
        <v>84</v>
      </c>
      <c r="O131" s="32">
        <v>74</v>
      </c>
      <c r="P131" s="32">
        <v>51</v>
      </c>
      <c r="Q131" s="32">
        <v>44</v>
      </c>
      <c r="R131" s="32">
        <v>58</v>
      </c>
      <c r="S131" s="32">
        <v>45</v>
      </c>
      <c r="T131" s="32">
        <v>44</v>
      </c>
      <c r="U131" s="32">
        <v>43</v>
      </c>
      <c r="V131" s="32">
        <v>44.197400000000002</v>
      </c>
      <c r="W131" s="32">
        <v>45</v>
      </c>
      <c r="X131" s="32">
        <v>62</v>
      </c>
      <c r="Y131" s="32">
        <v>47</v>
      </c>
      <c r="Z131" s="32">
        <v>45</v>
      </c>
      <c r="AA131" s="32">
        <v>62</v>
      </c>
      <c r="AB131" s="32">
        <v>38</v>
      </c>
      <c r="AC131" s="32">
        <v>50</v>
      </c>
      <c r="AD131" s="32">
        <v>64</v>
      </c>
      <c r="AE131" s="32">
        <v>48</v>
      </c>
      <c r="AF131" s="32">
        <v>39</v>
      </c>
      <c r="AG131" s="32">
        <v>46</v>
      </c>
      <c r="AH131" s="32">
        <v>43</v>
      </c>
      <c r="AI131" s="32">
        <v>36</v>
      </c>
      <c r="AJ131" s="32">
        <v>68</v>
      </c>
      <c r="AK131" s="32">
        <v>58</v>
      </c>
      <c r="AL131" s="32">
        <v>72</v>
      </c>
      <c r="AM131" s="32">
        <v>49</v>
      </c>
      <c r="AN131" s="32">
        <v>43</v>
      </c>
      <c r="AO131" s="32">
        <v>47</v>
      </c>
      <c r="AP131" s="32">
        <v>60</v>
      </c>
      <c r="AQ131" s="32">
        <v>43</v>
      </c>
      <c r="AR131" s="32">
        <v>45</v>
      </c>
      <c r="AS131" s="32">
        <v>38</v>
      </c>
    </row>
    <row r="132" spans="1:45">
      <c r="A132" s="30" t="s">
        <v>676</v>
      </c>
      <c r="B132" s="30" t="s">
        <v>1407</v>
      </c>
      <c r="C132" s="30" t="s">
        <v>677</v>
      </c>
      <c r="D132" s="30" t="s">
        <v>66</v>
      </c>
      <c r="E132" s="30" t="s">
        <v>1567</v>
      </c>
      <c r="F132" s="30" t="s">
        <v>66</v>
      </c>
      <c r="G132" s="30" t="s">
        <v>505</v>
      </c>
      <c r="H132" s="30" t="s">
        <v>680</v>
      </c>
      <c r="I132" s="32">
        <v>51</v>
      </c>
      <c r="J132" s="32">
        <v>35</v>
      </c>
      <c r="K132" s="32">
        <v>38</v>
      </c>
      <c r="L132" s="32">
        <v>51</v>
      </c>
      <c r="M132" s="32">
        <v>33</v>
      </c>
      <c r="N132" s="32">
        <v>41</v>
      </c>
      <c r="O132" s="32">
        <v>46</v>
      </c>
      <c r="P132" s="32">
        <v>34</v>
      </c>
      <c r="Q132" s="32">
        <v>39</v>
      </c>
      <c r="R132" s="32">
        <v>49</v>
      </c>
      <c r="S132" s="32">
        <v>35</v>
      </c>
      <c r="T132" s="32">
        <v>18</v>
      </c>
      <c r="U132" s="32">
        <v>49</v>
      </c>
      <c r="V132" s="32">
        <v>28</v>
      </c>
      <c r="W132" s="32">
        <v>26</v>
      </c>
      <c r="X132" s="32">
        <v>51</v>
      </c>
      <c r="Y132" s="32">
        <v>41</v>
      </c>
      <c r="Z132" s="32">
        <v>34</v>
      </c>
      <c r="AA132" s="32">
        <v>53</v>
      </c>
      <c r="AB132" s="32">
        <v>40</v>
      </c>
      <c r="AC132" s="32">
        <v>42</v>
      </c>
      <c r="AD132" s="32">
        <v>79</v>
      </c>
      <c r="AE132" s="32">
        <v>40</v>
      </c>
      <c r="AF132" s="32">
        <v>49</v>
      </c>
      <c r="AG132" s="32">
        <v>53</v>
      </c>
      <c r="AH132" s="32">
        <v>40</v>
      </c>
      <c r="AI132" s="32">
        <v>33</v>
      </c>
      <c r="AJ132" s="32">
        <v>80</v>
      </c>
      <c r="AK132" s="32">
        <v>89</v>
      </c>
      <c r="AL132" s="32">
        <v>111</v>
      </c>
      <c r="AM132" s="32">
        <v>117</v>
      </c>
      <c r="AN132" s="32">
        <v>93</v>
      </c>
      <c r="AO132" s="32">
        <v>49</v>
      </c>
      <c r="AP132" s="32">
        <v>80</v>
      </c>
      <c r="AQ132" s="32">
        <v>46</v>
      </c>
      <c r="AR132" s="32">
        <v>44</v>
      </c>
      <c r="AS132" s="32">
        <v>59</v>
      </c>
    </row>
    <row r="133" spans="1:45">
      <c r="A133" s="30" t="s">
        <v>676</v>
      </c>
      <c r="B133" s="30" t="s">
        <v>1407</v>
      </c>
      <c r="C133" s="30" t="s">
        <v>677</v>
      </c>
      <c r="D133" s="30" t="s">
        <v>66</v>
      </c>
      <c r="E133" s="30" t="s">
        <v>1568</v>
      </c>
      <c r="F133" s="30" t="s">
        <v>66</v>
      </c>
      <c r="G133" s="30" t="s">
        <v>506</v>
      </c>
      <c r="H133" s="30" t="s">
        <v>680</v>
      </c>
      <c r="I133" s="32">
        <v>83</v>
      </c>
      <c r="J133" s="32">
        <v>65</v>
      </c>
      <c r="K133" s="32">
        <v>56</v>
      </c>
      <c r="L133" s="32">
        <v>83</v>
      </c>
      <c r="M133" s="32">
        <v>63</v>
      </c>
      <c r="N133" s="32">
        <v>67</v>
      </c>
      <c r="O133" s="32">
        <v>84</v>
      </c>
      <c r="P133" s="32">
        <v>78</v>
      </c>
      <c r="Q133" s="32">
        <v>73</v>
      </c>
      <c r="R133" s="32">
        <v>81</v>
      </c>
      <c r="S133" s="32">
        <v>71</v>
      </c>
      <c r="T133" s="32">
        <v>62</v>
      </c>
      <c r="U133" s="32">
        <v>69</v>
      </c>
      <c r="V133" s="32">
        <v>82</v>
      </c>
      <c r="W133" s="32">
        <v>58</v>
      </c>
      <c r="X133" s="32">
        <v>83</v>
      </c>
      <c r="Y133" s="32">
        <v>77</v>
      </c>
      <c r="Z133" s="32">
        <v>63</v>
      </c>
      <c r="AA133" s="32">
        <v>105</v>
      </c>
      <c r="AB133" s="32">
        <v>73</v>
      </c>
      <c r="AC133" s="32">
        <v>80</v>
      </c>
      <c r="AD133" s="32">
        <v>94</v>
      </c>
      <c r="AE133" s="32">
        <v>76</v>
      </c>
      <c r="AF133" s="32">
        <v>65</v>
      </c>
      <c r="AG133" s="32">
        <v>103</v>
      </c>
      <c r="AH133" s="32">
        <v>74</v>
      </c>
      <c r="AI133" s="32">
        <v>66</v>
      </c>
      <c r="AJ133" s="32">
        <v>96</v>
      </c>
      <c r="AK133" s="32">
        <v>38</v>
      </c>
      <c r="AL133" s="32">
        <v>13</v>
      </c>
      <c r="AM133" s="32">
        <v>129</v>
      </c>
      <c r="AN133" s="32">
        <v>79</v>
      </c>
      <c r="AO133" s="32">
        <v>67</v>
      </c>
      <c r="AP133" s="32">
        <v>83</v>
      </c>
      <c r="AQ133" s="32">
        <v>61</v>
      </c>
      <c r="AR133" s="32">
        <v>51</v>
      </c>
      <c r="AS133" s="32">
        <v>84</v>
      </c>
    </row>
    <row r="134" spans="1:45">
      <c r="A134" s="30" t="s">
        <v>676</v>
      </c>
      <c r="B134" s="30" t="s">
        <v>1407</v>
      </c>
      <c r="C134" s="30" t="s">
        <v>677</v>
      </c>
      <c r="D134" s="30" t="s">
        <v>66</v>
      </c>
      <c r="E134" s="30" t="s">
        <v>1569</v>
      </c>
      <c r="F134" s="30" t="s">
        <v>66</v>
      </c>
      <c r="G134" s="30" t="s">
        <v>507</v>
      </c>
      <c r="H134" s="30" t="s">
        <v>680</v>
      </c>
      <c r="I134" s="32">
        <v>324</v>
      </c>
      <c r="J134" s="32">
        <v>215</v>
      </c>
      <c r="K134" s="32">
        <v>211</v>
      </c>
      <c r="L134" s="32">
        <v>298</v>
      </c>
      <c r="M134" s="32">
        <v>228</v>
      </c>
      <c r="N134" s="32">
        <v>189</v>
      </c>
      <c r="O134" s="32">
        <v>261</v>
      </c>
      <c r="P134" s="32">
        <v>194</v>
      </c>
      <c r="Q134" s="32">
        <v>191</v>
      </c>
      <c r="R134" s="32">
        <v>220</v>
      </c>
      <c r="S134" s="32">
        <v>167</v>
      </c>
      <c r="T134" s="32">
        <v>165</v>
      </c>
      <c r="U134" s="32">
        <v>199</v>
      </c>
      <c r="V134" s="32">
        <v>161.98679999999999</v>
      </c>
      <c r="W134" s="32">
        <v>159</v>
      </c>
      <c r="X134" s="32">
        <v>193</v>
      </c>
      <c r="Y134" s="32">
        <v>176</v>
      </c>
      <c r="Z134" s="32">
        <v>179</v>
      </c>
      <c r="AA134" s="32">
        <v>245</v>
      </c>
      <c r="AB134" s="32">
        <v>159</v>
      </c>
      <c r="AC134" s="32">
        <v>145</v>
      </c>
      <c r="AD134" s="32">
        <v>176</v>
      </c>
      <c r="AE134" s="32">
        <v>117</v>
      </c>
      <c r="AF134" s="32">
        <v>122</v>
      </c>
      <c r="AG134" s="32">
        <v>105</v>
      </c>
      <c r="AH134" s="32">
        <v>135</v>
      </c>
      <c r="AI134" s="32">
        <v>111</v>
      </c>
      <c r="AJ134" s="32">
        <v>25</v>
      </c>
      <c r="AK134" s="32">
        <v>13</v>
      </c>
      <c r="AL134" s="32">
        <v>123</v>
      </c>
      <c r="AM134" s="32">
        <v>65</v>
      </c>
      <c r="AN134" s="32">
        <v>80</v>
      </c>
      <c r="AO134" s="32">
        <v>155</v>
      </c>
      <c r="AP134" s="32">
        <v>190</v>
      </c>
      <c r="AQ134" s="32">
        <v>145</v>
      </c>
      <c r="AR134" s="32">
        <v>160</v>
      </c>
      <c r="AS134" s="32">
        <v>172</v>
      </c>
    </row>
    <row r="135" spans="1:45">
      <c r="A135" s="30" t="s">
        <v>676</v>
      </c>
      <c r="B135" s="30" t="s">
        <v>1407</v>
      </c>
      <c r="C135" s="30" t="s">
        <v>677</v>
      </c>
      <c r="D135" s="30" t="s">
        <v>70</v>
      </c>
      <c r="E135" s="30" t="s">
        <v>1570</v>
      </c>
      <c r="F135" s="30" t="s">
        <v>70</v>
      </c>
      <c r="G135" s="30" t="s">
        <v>496</v>
      </c>
      <c r="H135" s="30" t="s">
        <v>680</v>
      </c>
      <c r="I135" s="32">
        <v>14</v>
      </c>
      <c r="J135" s="32">
        <v>11</v>
      </c>
      <c r="K135" s="32">
        <v>14</v>
      </c>
      <c r="L135" s="32">
        <v>13</v>
      </c>
      <c r="M135" s="32">
        <v>12</v>
      </c>
      <c r="N135" s="32">
        <v>11</v>
      </c>
      <c r="O135" s="32">
        <v>23</v>
      </c>
      <c r="P135" s="32">
        <v>11</v>
      </c>
      <c r="Q135" s="32">
        <v>8</v>
      </c>
      <c r="R135" s="32">
        <v>7</v>
      </c>
      <c r="S135" s="32">
        <v>8</v>
      </c>
      <c r="T135" s="32">
        <v>11</v>
      </c>
      <c r="U135" s="32">
        <v>9</v>
      </c>
      <c r="V135" s="32">
        <v>12</v>
      </c>
      <c r="W135" s="32">
        <v>17</v>
      </c>
      <c r="X135" s="32">
        <v>12</v>
      </c>
      <c r="Y135" s="32">
        <v>13</v>
      </c>
      <c r="Z135" s="32">
        <v>7</v>
      </c>
      <c r="AA135" s="32">
        <v>10</v>
      </c>
      <c r="AB135" s="32">
        <v>21</v>
      </c>
      <c r="AC135" s="32">
        <v>15</v>
      </c>
      <c r="AD135" s="32">
        <v>25</v>
      </c>
      <c r="AE135" s="32">
        <v>12</v>
      </c>
      <c r="AF135" s="32">
        <v>13</v>
      </c>
      <c r="AG135" s="32">
        <v>16</v>
      </c>
      <c r="AH135" s="32">
        <v>15</v>
      </c>
      <c r="AI135" s="32">
        <v>13</v>
      </c>
      <c r="AJ135" s="32">
        <v>14</v>
      </c>
      <c r="AK135" s="32">
        <v>9</v>
      </c>
      <c r="AL135" s="32">
        <v>7</v>
      </c>
      <c r="AM135" s="32">
        <v>26</v>
      </c>
      <c r="AN135" s="32">
        <v>31</v>
      </c>
      <c r="AO135" s="32">
        <v>21</v>
      </c>
      <c r="AP135" s="32">
        <v>15</v>
      </c>
      <c r="AQ135" s="32">
        <v>4</v>
      </c>
      <c r="AR135" s="32">
        <v>14</v>
      </c>
      <c r="AS135" s="32">
        <v>7</v>
      </c>
    </row>
    <row r="136" spans="1:45">
      <c r="A136" s="30" t="s">
        <v>676</v>
      </c>
      <c r="B136" s="30" t="s">
        <v>1407</v>
      </c>
      <c r="C136" s="30" t="s">
        <v>677</v>
      </c>
      <c r="D136" s="30" t="s">
        <v>70</v>
      </c>
      <c r="E136" s="30" t="s">
        <v>1571</v>
      </c>
      <c r="F136" s="30" t="s">
        <v>70</v>
      </c>
      <c r="G136" s="30" t="s">
        <v>497</v>
      </c>
      <c r="H136" s="30" t="s">
        <v>680</v>
      </c>
      <c r="I136" s="32">
        <v>41</v>
      </c>
      <c r="J136" s="32">
        <v>15</v>
      </c>
      <c r="K136" s="32">
        <v>28</v>
      </c>
      <c r="L136" s="32">
        <v>17</v>
      </c>
      <c r="M136" s="32">
        <v>22</v>
      </c>
      <c r="N136" s="32">
        <v>19</v>
      </c>
      <c r="O136" s="32">
        <v>51</v>
      </c>
      <c r="P136" s="32">
        <v>35</v>
      </c>
      <c r="Q136" s="32">
        <v>21</v>
      </c>
      <c r="R136" s="32">
        <v>22</v>
      </c>
      <c r="S136" s="32">
        <v>22</v>
      </c>
      <c r="T136" s="32">
        <v>19</v>
      </c>
      <c r="U136" s="32">
        <v>28</v>
      </c>
      <c r="V136" s="32">
        <v>27</v>
      </c>
      <c r="W136" s="32">
        <v>18</v>
      </c>
      <c r="X136" s="32">
        <v>23</v>
      </c>
      <c r="Y136" s="32">
        <v>16</v>
      </c>
      <c r="Z136" s="32">
        <v>12</v>
      </c>
      <c r="AA136" s="32">
        <v>50</v>
      </c>
      <c r="AB136" s="32">
        <v>31</v>
      </c>
      <c r="AC136" s="32">
        <v>23</v>
      </c>
      <c r="AD136" s="32">
        <v>25</v>
      </c>
      <c r="AE136" s="32">
        <v>22</v>
      </c>
      <c r="AF136" s="32">
        <v>13</v>
      </c>
      <c r="AG136" s="32">
        <v>28</v>
      </c>
      <c r="AH136" s="32">
        <v>8</v>
      </c>
      <c r="AI136" s="32">
        <v>12</v>
      </c>
      <c r="AJ136" s="32">
        <v>32</v>
      </c>
      <c r="AK136" s="32">
        <v>23</v>
      </c>
      <c r="AL136" s="32">
        <v>23</v>
      </c>
      <c r="AM136" s="32">
        <v>21</v>
      </c>
      <c r="AN136" s="32">
        <v>42</v>
      </c>
      <c r="AO136" s="32">
        <v>27</v>
      </c>
      <c r="AP136" s="32">
        <v>24</v>
      </c>
      <c r="AQ136" s="32">
        <v>12</v>
      </c>
      <c r="AR136" s="32">
        <v>26</v>
      </c>
      <c r="AS136" s="32">
        <v>20</v>
      </c>
    </row>
    <row r="137" spans="1:45">
      <c r="A137" s="30" t="s">
        <v>676</v>
      </c>
      <c r="B137" s="30" t="s">
        <v>1407</v>
      </c>
      <c r="C137" s="30" t="s">
        <v>677</v>
      </c>
      <c r="D137" s="30" t="s">
        <v>70</v>
      </c>
      <c r="E137" s="30" t="s">
        <v>1572</v>
      </c>
      <c r="F137" s="30" t="s">
        <v>70</v>
      </c>
      <c r="G137" s="30" t="s">
        <v>497</v>
      </c>
      <c r="H137" s="30" t="s">
        <v>680</v>
      </c>
      <c r="I137" s="32">
        <v>7</v>
      </c>
      <c r="J137" s="32">
        <v>9</v>
      </c>
      <c r="K137" s="32">
        <v>5</v>
      </c>
      <c r="L137" s="32">
        <v>7</v>
      </c>
      <c r="M137" s="32">
        <v>6</v>
      </c>
      <c r="N137" s="32">
        <v>3</v>
      </c>
      <c r="O137" s="32">
        <v>8</v>
      </c>
      <c r="P137" s="32">
        <v>10</v>
      </c>
      <c r="Q137" s="32">
        <v>10</v>
      </c>
      <c r="R137" s="32">
        <v>4</v>
      </c>
      <c r="S137" s="32">
        <v>6</v>
      </c>
      <c r="T137" s="32">
        <v>7</v>
      </c>
      <c r="U137" s="32">
        <v>3</v>
      </c>
      <c r="V137" s="32">
        <v>3</v>
      </c>
      <c r="W137" s="32">
        <v>7</v>
      </c>
      <c r="X137" s="32">
        <v>7</v>
      </c>
      <c r="Y137" s="32">
        <v>6</v>
      </c>
      <c r="Z137" s="32">
        <v>10</v>
      </c>
      <c r="AA137" s="32">
        <v>17</v>
      </c>
      <c r="AB137" s="32">
        <v>5</v>
      </c>
      <c r="AC137" s="32">
        <v>14</v>
      </c>
      <c r="AD137" s="32">
        <v>31</v>
      </c>
      <c r="AE137" s="32">
        <v>11</v>
      </c>
      <c r="AF137" s="32">
        <v>11</v>
      </c>
      <c r="AG137" s="32">
        <v>13</v>
      </c>
      <c r="AH137" s="32">
        <v>19</v>
      </c>
      <c r="AI137" s="32">
        <v>14</v>
      </c>
      <c r="AJ137" s="32">
        <v>21</v>
      </c>
      <c r="AK137" s="32">
        <v>9</v>
      </c>
      <c r="AL137" s="32">
        <v>18</v>
      </c>
      <c r="AM137" s="32">
        <v>31</v>
      </c>
      <c r="AN137" s="32">
        <v>26</v>
      </c>
      <c r="AO137" s="32">
        <v>18</v>
      </c>
      <c r="AP137" s="32">
        <v>23</v>
      </c>
      <c r="AQ137" s="32">
        <v>19</v>
      </c>
      <c r="AR137" s="32">
        <v>33</v>
      </c>
      <c r="AS137" s="32">
        <v>47</v>
      </c>
    </row>
    <row r="138" spans="1:45">
      <c r="A138" s="30" t="s">
        <v>676</v>
      </c>
      <c r="B138" s="30" t="s">
        <v>1407</v>
      </c>
      <c r="C138" s="30" t="s">
        <v>677</v>
      </c>
      <c r="D138" s="30" t="s">
        <v>70</v>
      </c>
      <c r="E138" s="30" t="s">
        <v>1573</v>
      </c>
      <c r="F138" s="30" t="s">
        <v>70</v>
      </c>
      <c r="G138" s="30" t="s">
        <v>498</v>
      </c>
      <c r="H138" s="30" t="s">
        <v>680</v>
      </c>
      <c r="I138" s="32">
        <v>76</v>
      </c>
      <c r="J138" s="32">
        <v>85.154700000000005</v>
      </c>
      <c r="K138" s="32">
        <v>77</v>
      </c>
      <c r="L138" s="32">
        <v>88</v>
      </c>
      <c r="M138" s="32">
        <v>74</v>
      </c>
      <c r="N138" s="32">
        <v>83</v>
      </c>
      <c r="O138" s="32">
        <v>165</v>
      </c>
      <c r="P138" s="32">
        <v>96</v>
      </c>
      <c r="Q138" s="32">
        <v>70</v>
      </c>
      <c r="R138" s="32">
        <v>92</v>
      </c>
      <c r="S138" s="32">
        <v>73</v>
      </c>
      <c r="T138" s="32">
        <v>74</v>
      </c>
      <c r="U138" s="32">
        <v>112</v>
      </c>
      <c r="V138" s="32">
        <v>66</v>
      </c>
      <c r="W138" s="32">
        <v>73</v>
      </c>
      <c r="X138" s="32">
        <v>95</v>
      </c>
      <c r="Y138" s="32">
        <v>84</v>
      </c>
      <c r="Z138" s="32">
        <v>78</v>
      </c>
      <c r="AA138" s="32">
        <v>114</v>
      </c>
      <c r="AB138" s="32">
        <v>82</v>
      </c>
      <c r="AC138" s="32">
        <v>99</v>
      </c>
      <c r="AD138" s="32">
        <v>135</v>
      </c>
      <c r="AE138" s="32">
        <v>60</v>
      </c>
      <c r="AF138" s="32">
        <v>87</v>
      </c>
      <c r="AG138" s="32">
        <v>91</v>
      </c>
      <c r="AH138" s="32">
        <v>66</v>
      </c>
      <c r="AI138" s="32">
        <v>84</v>
      </c>
      <c r="AJ138" s="32">
        <v>94</v>
      </c>
      <c r="AK138" s="32">
        <v>63</v>
      </c>
      <c r="AL138" s="32">
        <v>68</v>
      </c>
      <c r="AM138" s="32">
        <v>96</v>
      </c>
      <c r="AN138" s="32">
        <v>71</v>
      </c>
      <c r="AO138" s="32">
        <v>80</v>
      </c>
      <c r="AP138" s="32">
        <v>121</v>
      </c>
      <c r="AQ138" s="32">
        <v>106</v>
      </c>
      <c r="AR138" s="32">
        <v>76</v>
      </c>
      <c r="AS138" s="32">
        <v>123</v>
      </c>
    </row>
    <row r="139" spans="1:45">
      <c r="A139" s="30" t="s">
        <v>676</v>
      </c>
      <c r="B139" s="30" t="s">
        <v>1407</v>
      </c>
      <c r="C139" s="30" t="s">
        <v>677</v>
      </c>
      <c r="D139" s="30" t="s">
        <v>70</v>
      </c>
      <c r="E139" s="30" t="s">
        <v>1574</v>
      </c>
      <c r="F139" s="30" t="s">
        <v>70</v>
      </c>
      <c r="G139" s="30" t="s">
        <v>499</v>
      </c>
      <c r="H139" s="30" t="s">
        <v>680</v>
      </c>
      <c r="I139" s="32">
        <v>29</v>
      </c>
      <c r="J139" s="32">
        <v>18</v>
      </c>
      <c r="K139" s="32">
        <v>18</v>
      </c>
      <c r="L139" s="32">
        <v>31</v>
      </c>
      <c r="M139" s="32">
        <v>15</v>
      </c>
      <c r="N139" s="32">
        <v>19</v>
      </c>
      <c r="O139" s="32">
        <v>51</v>
      </c>
      <c r="P139" s="32">
        <v>32</v>
      </c>
      <c r="Q139" s="32">
        <v>33</v>
      </c>
      <c r="R139" s="32">
        <v>27</v>
      </c>
      <c r="S139" s="32">
        <v>27</v>
      </c>
      <c r="T139" s="32">
        <v>27</v>
      </c>
      <c r="U139" s="32">
        <v>24</v>
      </c>
      <c r="V139" s="32">
        <v>13</v>
      </c>
      <c r="W139" s="32">
        <v>24</v>
      </c>
      <c r="X139" s="32">
        <v>39</v>
      </c>
      <c r="Y139" s="32">
        <v>17</v>
      </c>
      <c r="Z139" s="32">
        <v>7</v>
      </c>
      <c r="AA139" s="32">
        <v>30</v>
      </c>
      <c r="AB139" s="32">
        <v>27</v>
      </c>
      <c r="AC139" s="32">
        <v>20</v>
      </c>
      <c r="AD139" s="32">
        <v>17</v>
      </c>
      <c r="AE139" s="32">
        <v>20</v>
      </c>
      <c r="AF139" s="32">
        <v>19</v>
      </c>
      <c r="AG139" s="32">
        <v>13</v>
      </c>
      <c r="AH139" s="32">
        <v>16</v>
      </c>
      <c r="AI139" s="32">
        <v>24</v>
      </c>
      <c r="AJ139" s="32">
        <v>22</v>
      </c>
      <c r="AK139" s="32">
        <v>27</v>
      </c>
      <c r="AL139" s="32">
        <v>21</v>
      </c>
      <c r="AM139" s="32">
        <v>23</v>
      </c>
      <c r="AN139" s="32">
        <v>44</v>
      </c>
      <c r="AO139" s="32">
        <v>12</v>
      </c>
      <c r="AP139" s="32">
        <v>16</v>
      </c>
      <c r="AQ139" s="32">
        <v>22</v>
      </c>
      <c r="AR139" s="32">
        <v>27</v>
      </c>
      <c r="AS139" s="32">
        <v>39</v>
      </c>
    </row>
    <row r="140" spans="1:45">
      <c r="A140" s="30" t="s">
        <v>676</v>
      </c>
      <c r="B140" s="30" t="s">
        <v>1407</v>
      </c>
      <c r="C140" s="30" t="s">
        <v>677</v>
      </c>
      <c r="D140" s="30" t="s">
        <v>70</v>
      </c>
      <c r="E140" s="30" t="s">
        <v>1575</v>
      </c>
      <c r="F140" s="30" t="s">
        <v>70</v>
      </c>
      <c r="G140" s="30" t="s">
        <v>500</v>
      </c>
      <c r="H140" s="30" t="s">
        <v>680</v>
      </c>
      <c r="I140" s="32">
        <v>81</v>
      </c>
      <c r="J140" s="32">
        <v>74</v>
      </c>
      <c r="K140" s="32">
        <v>83</v>
      </c>
      <c r="L140" s="32">
        <v>89</v>
      </c>
      <c r="M140" s="32">
        <v>92</v>
      </c>
      <c r="N140" s="32">
        <v>70</v>
      </c>
      <c r="O140" s="32">
        <v>134</v>
      </c>
      <c r="P140" s="32">
        <v>84</v>
      </c>
      <c r="Q140" s="32">
        <v>87</v>
      </c>
      <c r="R140" s="32">
        <v>81</v>
      </c>
      <c r="S140" s="32">
        <v>97</v>
      </c>
      <c r="T140" s="32">
        <v>59</v>
      </c>
      <c r="U140" s="32">
        <v>97</v>
      </c>
      <c r="V140" s="32">
        <v>66</v>
      </c>
      <c r="W140" s="32">
        <v>63</v>
      </c>
      <c r="X140" s="32">
        <v>90</v>
      </c>
      <c r="Y140" s="32">
        <v>97</v>
      </c>
      <c r="Z140" s="32">
        <v>68</v>
      </c>
      <c r="AA140" s="32">
        <v>113</v>
      </c>
      <c r="AB140" s="32">
        <v>90</v>
      </c>
      <c r="AC140" s="32">
        <v>94</v>
      </c>
      <c r="AD140" s="32">
        <v>127</v>
      </c>
      <c r="AE140" s="32">
        <v>56</v>
      </c>
      <c r="AF140" s="32">
        <v>71</v>
      </c>
      <c r="AG140" s="32">
        <v>71</v>
      </c>
      <c r="AH140" s="32">
        <v>73</v>
      </c>
      <c r="AI140" s="32">
        <v>59</v>
      </c>
      <c r="AJ140" s="32">
        <v>54</v>
      </c>
      <c r="AK140" s="32">
        <v>42</v>
      </c>
      <c r="AL140" s="32">
        <v>71</v>
      </c>
      <c r="AM140" s="32">
        <v>102</v>
      </c>
      <c r="AN140" s="32">
        <v>62</v>
      </c>
      <c r="AO140" s="32">
        <v>81</v>
      </c>
      <c r="AP140" s="32">
        <v>53</v>
      </c>
      <c r="AQ140" s="32">
        <v>53</v>
      </c>
      <c r="AR140" s="32">
        <v>31</v>
      </c>
      <c r="AS140" s="32">
        <v>69</v>
      </c>
    </row>
    <row r="141" spans="1:45">
      <c r="A141" s="30" t="s">
        <v>676</v>
      </c>
      <c r="B141" s="30" t="s">
        <v>1407</v>
      </c>
      <c r="C141" s="30" t="s">
        <v>677</v>
      </c>
      <c r="D141" s="30" t="s">
        <v>70</v>
      </c>
      <c r="E141" s="30" t="s">
        <v>1576</v>
      </c>
      <c r="F141" s="30" t="s">
        <v>70</v>
      </c>
      <c r="G141" s="30" t="s">
        <v>501</v>
      </c>
      <c r="H141" s="30" t="s">
        <v>680</v>
      </c>
      <c r="I141" s="32">
        <v>146</v>
      </c>
      <c r="J141" s="32">
        <v>81.154700000000005</v>
      </c>
      <c r="K141" s="32">
        <v>68</v>
      </c>
      <c r="L141" s="32">
        <v>113</v>
      </c>
      <c r="M141" s="32">
        <v>93</v>
      </c>
      <c r="N141" s="32">
        <v>86</v>
      </c>
      <c r="O141" s="32">
        <v>163</v>
      </c>
      <c r="P141" s="32">
        <v>137</v>
      </c>
      <c r="Q141" s="32">
        <v>110</v>
      </c>
      <c r="R141" s="32">
        <v>128</v>
      </c>
      <c r="S141" s="32">
        <v>107</v>
      </c>
      <c r="T141" s="32">
        <v>88</v>
      </c>
      <c r="U141" s="32">
        <v>140</v>
      </c>
      <c r="V141" s="32">
        <v>124.1974</v>
      </c>
      <c r="W141" s="32">
        <v>92</v>
      </c>
      <c r="X141" s="32">
        <v>148</v>
      </c>
      <c r="Y141" s="32">
        <v>109</v>
      </c>
      <c r="Z141" s="32">
        <v>141</v>
      </c>
      <c r="AA141" s="32">
        <v>173</v>
      </c>
      <c r="AB141" s="32">
        <v>151</v>
      </c>
      <c r="AC141" s="32">
        <v>155</v>
      </c>
      <c r="AD141" s="32">
        <v>163</v>
      </c>
      <c r="AE141" s="32">
        <v>103</v>
      </c>
      <c r="AF141" s="32">
        <v>119</v>
      </c>
      <c r="AG141" s="32">
        <v>165</v>
      </c>
      <c r="AH141" s="32">
        <v>134</v>
      </c>
      <c r="AI141" s="32">
        <v>75</v>
      </c>
      <c r="AJ141" s="32">
        <v>208</v>
      </c>
      <c r="AK141" s="32">
        <v>101</v>
      </c>
      <c r="AL141" s="32">
        <v>99</v>
      </c>
      <c r="AM141" s="32">
        <v>194</v>
      </c>
      <c r="AN141" s="32">
        <v>158</v>
      </c>
      <c r="AO141" s="32">
        <v>183</v>
      </c>
      <c r="AP141" s="32">
        <v>186</v>
      </c>
      <c r="AQ141" s="32">
        <v>128</v>
      </c>
      <c r="AR141" s="32">
        <v>127</v>
      </c>
      <c r="AS141" s="32">
        <v>193</v>
      </c>
    </row>
    <row r="142" spans="1:45">
      <c r="A142" s="30" t="s">
        <v>676</v>
      </c>
      <c r="B142" s="30" t="s">
        <v>1407</v>
      </c>
      <c r="C142" s="30" t="s">
        <v>677</v>
      </c>
      <c r="D142" s="30" t="s">
        <v>70</v>
      </c>
      <c r="E142" s="30" t="s">
        <v>1577</v>
      </c>
      <c r="F142" s="30" t="s">
        <v>70</v>
      </c>
      <c r="G142" s="30" t="s">
        <v>502</v>
      </c>
      <c r="H142" s="30" t="s">
        <v>680</v>
      </c>
      <c r="I142" s="32">
        <v>7</v>
      </c>
      <c r="J142" s="32">
        <v>5</v>
      </c>
      <c r="K142" s="32">
        <v>6</v>
      </c>
      <c r="L142" s="32">
        <v>13</v>
      </c>
      <c r="M142" s="32">
        <v>21</v>
      </c>
      <c r="N142" s="32">
        <v>9</v>
      </c>
      <c r="O142" s="32">
        <v>16</v>
      </c>
      <c r="P142" s="32">
        <v>6</v>
      </c>
      <c r="Q142" s="32">
        <v>5</v>
      </c>
      <c r="R142" s="32">
        <v>4</v>
      </c>
      <c r="S142" s="32">
        <v>4</v>
      </c>
      <c r="T142" s="32">
        <v>7</v>
      </c>
      <c r="U142" s="32">
        <v>4</v>
      </c>
      <c r="V142" s="32">
        <v>10</v>
      </c>
      <c r="W142" s="32">
        <v>8</v>
      </c>
      <c r="X142" s="32">
        <v>5</v>
      </c>
      <c r="Y142" s="32">
        <v>5</v>
      </c>
      <c r="Z142" s="32">
        <v>13</v>
      </c>
      <c r="AA142" s="32">
        <v>17</v>
      </c>
      <c r="AB142" s="32">
        <v>3</v>
      </c>
      <c r="AC142" s="32">
        <v>5</v>
      </c>
      <c r="AD142" s="32">
        <v>7</v>
      </c>
      <c r="AE142" s="32">
        <v>10</v>
      </c>
      <c r="AF142" s="32">
        <v>5</v>
      </c>
      <c r="AG142" s="32">
        <v>4</v>
      </c>
      <c r="AH142" s="32">
        <v>10</v>
      </c>
      <c r="AI142" s="32">
        <v>6</v>
      </c>
      <c r="AJ142" s="32">
        <v>6</v>
      </c>
      <c r="AK142" s="32">
        <v>10</v>
      </c>
      <c r="AL142" s="32">
        <v>8</v>
      </c>
      <c r="AM142" s="32">
        <v>9</v>
      </c>
      <c r="AN142" s="32">
        <v>9</v>
      </c>
      <c r="AO142" s="32">
        <v>8</v>
      </c>
      <c r="AP142" s="32">
        <v>4</v>
      </c>
      <c r="AQ142" s="32">
        <v>8</v>
      </c>
      <c r="AR142" s="32">
        <v>3</v>
      </c>
      <c r="AS142" s="32">
        <v>9</v>
      </c>
    </row>
    <row r="143" spans="1:45">
      <c r="A143" s="30" t="s">
        <v>676</v>
      </c>
      <c r="B143" s="30" t="s">
        <v>1407</v>
      </c>
      <c r="C143" s="30" t="s">
        <v>677</v>
      </c>
      <c r="D143" s="30" t="s">
        <v>71</v>
      </c>
      <c r="E143" s="30" t="s">
        <v>1578</v>
      </c>
      <c r="F143" s="30" t="s">
        <v>71</v>
      </c>
      <c r="G143" s="30" t="s">
        <v>1579</v>
      </c>
      <c r="H143" s="30" t="s">
        <v>680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2">
        <v>2</v>
      </c>
      <c r="P143" s="31">
        <v>0</v>
      </c>
      <c r="Q143" s="32">
        <v>1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2">
        <v>1</v>
      </c>
      <c r="AB143" s="31">
        <v>0</v>
      </c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2">
        <v>1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2">
        <v>1</v>
      </c>
      <c r="AS143" s="31">
        <v>0</v>
      </c>
    </row>
    <row r="144" spans="1:45">
      <c r="A144" s="30" t="s">
        <v>676</v>
      </c>
      <c r="B144" s="30" t="s">
        <v>1407</v>
      </c>
      <c r="C144" s="30" t="s">
        <v>677</v>
      </c>
      <c r="D144" s="30" t="s">
        <v>71</v>
      </c>
      <c r="E144" s="30" t="s">
        <v>1580</v>
      </c>
      <c r="F144" s="30" t="s">
        <v>71</v>
      </c>
      <c r="G144" s="30" t="s">
        <v>1581</v>
      </c>
      <c r="H144" s="30" t="s">
        <v>680</v>
      </c>
      <c r="I144" s="31">
        <v>0</v>
      </c>
      <c r="J144" s="31">
        <v>0</v>
      </c>
      <c r="K144" s="31">
        <v>0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2">
        <v>2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2">
        <v>1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1">
        <v>0</v>
      </c>
      <c r="AD144" s="31">
        <v>0</v>
      </c>
      <c r="AE144" s="31">
        <v>0</v>
      </c>
      <c r="AF144" s="31">
        <v>0</v>
      </c>
      <c r="AG144" s="31">
        <v>0</v>
      </c>
      <c r="AH144" s="31">
        <v>0</v>
      </c>
      <c r="AI144" s="31">
        <v>0</v>
      </c>
      <c r="AJ144" s="31">
        <v>0</v>
      </c>
      <c r="AK144" s="31">
        <v>0</v>
      </c>
      <c r="AL144" s="31">
        <v>0</v>
      </c>
      <c r="AM144" s="31">
        <v>0</v>
      </c>
      <c r="AN144" s="31">
        <v>0</v>
      </c>
      <c r="AO144" s="31">
        <v>0</v>
      </c>
      <c r="AP144" s="31">
        <v>0</v>
      </c>
      <c r="AQ144" s="31">
        <v>0</v>
      </c>
      <c r="AR144" s="31">
        <v>0</v>
      </c>
      <c r="AS144" s="31">
        <v>0</v>
      </c>
    </row>
    <row r="145" spans="1:45">
      <c r="A145" s="30" t="s">
        <v>676</v>
      </c>
      <c r="B145" s="30" t="s">
        <v>1407</v>
      </c>
      <c r="C145" s="30" t="s">
        <v>677</v>
      </c>
      <c r="D145" s="30" t="s">
        <v>71</v>
      </c>
      <c r="E145" s="30" t="s">
        <v>1582</v>
      </c>
      <c r="F145" s="30" t="s">
        <v>71</v>
      </c>
      <c r="G145" s="30" t="s">
        <v>1583</v>
      </c>
      <c r="H145" s="30" t="s">
        <v>680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2">
        <v>1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2">
        <v>3</v>
      </c>
      <c r="AB145" s="31">
        <v>0</v>
      </c>
      <c r="AC145" s="31">
        <v>0</v>
      </c>
      <c r="AD145" s="32">
        <v>1</v>
      </c>
      <c r="AE145" s="31">
        <v>0</v>
      </c>
      <c r="AF145" s="31">
        <v>0</v>
      </c>
      <c r="AG145" s="31">
        <v>0</v>
      </c>
      <c r="AH145" s="31">
        <v>0</v>
      </c>
      <c r="AI145" s="31">
        <v>0</v>
      </c>
      <c r="AJ145" s="32">
        <v>4</v>
      </c>
      <c r="AK145" s="31">
        <v>0</v>
      </c>
      <c r="AL145" s="31">
        <v>0</v>
      </c>
      <c r="AM145" s="32">
        <v>1</v>
      </c>
      <c r="AN145" s="32">
        <v>1</v>
      </c>
      <c r="AO145" s="31">
        <v>0</v>
      </c>
      <c r="AP145" s="31">
        <v>0</v>
      </c>
      <c r="AQ145" s="31">
        <v>0</v>
      </c>
      <c r="AR145" s="31">
        <v>0</v>
      </c>
      <c r="AS145" s="31">
        <v>0</v>
      </c>
    </row>
    <row r="146" spans="1:45">
      <c r="A146" s="30" t="s">
        <v>676</v>
      </c>
      <c r="B146" s="30" t="s">
        <v>1407</v>
      </c>
      <c r="C146" s="30" t="s">
        <v>677</v>
      </c>
      <c r="D146" s="30" t="s">
        <v>71</v>
      </c>
      <c r="E146" s="30" t="s">
        <v>1584</v>
      </c>
      <c r="F146" s="30" t="s">
        <v>71</v>
      </c>
      <c r="G146" s="30" t="s">
        <v>1585</v>
      </c>
      <c r="H146" s="30" t="s">
        <v>680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  <c r="AC146" s="31">
        <v>0</v>
      </c>
      <c r="AD146" s="31">
        <v>0</v>
      </c>
      <c r="AE146" s="31">
        <v>0</v>
      </c>
      <c r="AF146" s="31">
        <v>0</v>
      </c>
      <c r="AG146" s="31">
        <v>0</v>
      </c>
      <c r="AH146" s="31">
        <v>0</v>
      </c>
      <c r="AI146" s="31">
        <v>0</v>
      </c>
      <c r="AJ146" s="32">
        <v>1</v>
      </c>
      <c r="AK146" s="32">
        <v>1</v>
      </c>
      <c r="AL146" s="31">
        <v>0</v>
      </c>
      <c r="AM146" s="31">
        <v>0</v>
      </c>
      <c r="AN146" s="31">
        <v>0</v>
      </c>
      <c r="AO146" s="32">
        <v>1</v>
      </c>
      <c r="AP146" s="31">
        <v>0</v>
      </c>
      <c r="AQ146" s="31">
        <v>0</v>
      </c>
      <c r="AR146" s="31">
        <v>0</v>
      </c>
      <c r="AS146" s="31">
        <v>0</v>
      </c>
    </row>
    <row r="147" spans="1:45">
      <c r="A147" s="30" t="s">
        <v>676</v>
      </c>
      <c r="B147" s="30" t="s">
        <v>1407</v>
      </c>
      <c r="C147" s="30" t="s">
        <v>677</v>
      </c>
      <c r="D147" s="30" t="s">
        <v>71</v>
      </c>
      <c r="E147" s="30" t="s">
        <v>1586</v>
      </c>
      <c r="F147" s="30" t="s">
        <v>71</v>
      </c>
      <c r="G147" s="30" t="s">
        <v>1587</v>
      </c>
      <c r="H147" s="30" t="s">
        <v>680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2">
        <v>1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2">
        <v>6</v>
      </c>
      <c r="AB147" s="31">
        <v>0</v>
      </c>
      <c r="AC147" s="31">
        <v>0</v>
      </c>
      <c r="AD147" s="31">
        <v>0</v>
      </c>
      <c r="AE147" s="31">
        <v>0</v>
      </c>
      <c r="AF147" s="32">
        <v>1</v>
      </c>
      <c r="AG147" s="31">
        <v>0</v>
      </c>
      <c r="AH147" s="31">
        <v>0</v>
      </c>
      <c r="AI147" s="31">
        <v>0</v>
      </c>
      <c r="AJ147" s="31">
        <v>0</v>
      </c>
      <c r="AK147" s="31">
        <v>0</v>
      </c>
      <c r="AL147" s="32">
        <v>1</v>
      </c>
      <c r="AM147" s="31">
        <v>0</v>
      </c>
      <c r="AN147" s="31">
        <v>0</v>
      </c>
      <c r="AO147" s="32">
        <v>1</v>
      </c>
      <c r="AP147" s="31">
        <v>0</v>
      </c>
      <c r="AQ147" s="32">
        <v>1</v>
      </c>
      <c r="AR147" s="31">
        <v>0</v>
      </c>
      <c r="AS147" s="32">
        <v>2</v>
      </c>
    </row>
    <row r="148" spans="1:45">
      <c r="A148" s="30" t="s">
        <v>676</v>
      </c>
      <c r="B148" s="30" t="s">
        <v>1407</v>
      </c>
      <c r="C148" s="30" t="s">
        <v>677</v>
      </c>
      <c r="D148" s="30" t="s">
        <v>71</v>
      </c>
      <c r="E148" s="30" t="s">
        <v>1588</v>
      </c>
      <c r="F148" s="30" t="s">
        <v>71</v>
      </c>
      <c r="G148" s="30" t="s">
        <v>1589</v>
      </c>
      <c r="H148" s="30" t="s">
        <v>680</v>
      </c>
      <c r="I148" s="31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2">
        <v>1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  <c r="AC148" s="31">
        <v>0</v>
      </c>
      <c r="AD148" s="31">
        <v>0</v>
      </c>
      <c r="AE148" s="31">
        <v>0</v>
      </c>
      <c r="AF148" s="31">
        <v>0</v>
      </c>
      <c r="AG148" s="32">
        <v>1</v>
      </c>
      <c r="AH148" s="31">
        <v>0</v>
      </c>
      <c r="AI148" s="31">
        <v>0</v>
      </c>
      <c r="AJ148" s="31">
        <v>0</v>
      </c>
      <c r="AK148" s="31">
        <v>0</v>
      </c>
      <c r="AL148" s="31">
        <v>0</v>
      </c>
      <c r="AM148" s="31">
        <v>0</v>
      </c>
      <c r="AN148" s="31">
        <v>0</v>
      </c>
      <c r="AO148" s="31">
        <v>0</v>
      </c>
      <c r="AP148" s="31">
        <v>0</v>
      </c>
      <c r="AQ148" s="31">
        <v>0</v>
      </c>
      <c r="AR148" s="31">
        <v>0</v>
      </c>
      <c r="AS148" s="31">
        <v>0</v>
      </c>
    </row>
    <row r="149" spans="1:45">
      <c r="A149" s="30" t="s">
        <v>676</v>
      </c>
      <c r="B149" s="30" t="s">
        <v>1407</v>
      </c>
      <c r="C149" s="30" t="s">
        <v>677</v>
      </c>
      <c r="D149" s="30" t="s">
        <v>71</v>
      </c>
      <c r="E149" s="30" t="s">
        <v>1590</v>
      </c>
      <c r="F149" s="30" t="s">
        <v>71</v>
      </c>
      <c r="G149" s="30" t="s">
        <v>1591</v>
      </c>
      <c r="H149" s="30" t="s">
        <v>680</v>
      </c>
      <c r="I149" s="31">
        <v>0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2">
        <v>2</v>
      </c>
      <c r="P149" s="31">
        <v>0</v>
      </c>
      <c r="Q149" s="31">
        <v>0</v>
      </c>
      <c r="R149" s="31">
        <v>0</v>
      </c>
      <c r="S149" s="32">
        <v>1</v>
      </c>
      <c r="T149" s="31">
        <v>0</v>
      </c>
      <c r="U149" s="32">
        <v>1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0</v>
      </c>
      <c r="AC149" s="31">
        <v>0</v>
      </c>
      <c r="AD149" s="31">
        <v>0</v>
      </c>
      <c r="AE149" s="31">
        <v>0</v>
      </c>
      <c r="AF149" s="31">
        <v>0</v>
      </c>
      <c r="AG149" s="31">
        <v>0</v>
      </c>
      <c r="AH149" s="31">
        <v>0</v>
      </c>
      <c r="AI149" s="31">
        <v>0</v>
      </c>
      <c r="AJ149" s="32">
        <v>1</v>
      </c>
      <c r="AK149" s="31">
        <v>0</v>
      </c>
      <c r="AL149" s="31">
        <v>0</v>
      </c>
      <c r="AM149" s="31">
        <v>0</v>
      </c>
      <c r="AN149" s="31">
        <v>0</v>
      </c>
      <c r="AO149" s="31">
        <v>0</v>
      </c>
      <c r="AP149" s="31">
        <v>0</v>
      </c>
      <c r="AQ149" s="31">
        <v>0</v>
      </c>
      <c r="AR149" s="31">
        <v>0</v>
      </c>
      <c r="AS149" s="32">
        <v>1</v>
      </c>
    </row>
    <row r="150" spans="1:45">
      <c r="A150" s="30" t="s">
        <v>676</v>
      </c>
      <c r="B150" s="30" t="s">
        <v>1407</v>
      </c>
      <c r="C150" s="30" t="s">
        <v>677</v>
      </c>
      <c r="D150" s="30" t="s">
        <v>71</v>
      </c>
      <c r="E150" s="30" t="s">
        <v>1592</v>
      </c>
      <c r="F150" s="30" t="s">
        <v>72</v>
      </c>
      <c r="G150" s="30" t="s">
        <v>1593</v>
      </c>
      <c r="H150" s="30" t="s">
        <v>680</v>
      </c>
      <c r="I150" s="31">
        <v>0</v>
      </c>
      <c r="J150" s="32">
        <v>1</v>
      </c>
      <c r="K150" s="31">
        <v>0</v>
      </c>
      <c r="L150" s="32">
        <v>1</v>
      </c>
      <c r="M150" s="31">
        <v>0</v>
      </c>
      <c r="N150" s="31">
        <v>0</v>
      </c>
      <c r="O150" s="32">
        <v>1</v>
      </c>
      <c r="P150" s="31">
        <v>0</v>
      </c>
      <c r="Q150" s="31">
        <v>0</v>
      </c>
      <c r="R150" s="31">
        <v>0</v>
      </c>
      <c r="S150" s="31">
        <v>0</v>
      </c>
      <c r="T150" s="32">
        <v>1</v>
      </c>
      <c r="U150" s="31">
        <v>0</v>
      </c>
      <c r="V150" s="31">
        <v>0</v>
      </c>
      <c r="W150" s="31">
        <v>0</v>
      </c>
      <c r="X150" s="32">
        <v>1</v>
      </c>
      <c r="Y150" s="31">
        <v>0</v>
      </c>
      <c r="Z150" s="32">
        <v>1</v>
      </c>
      <c r="AA150" s="31">
        <v>0</v>
      </c>
      <c r="AB150" s="31">
        <v>0</v>
      </c>
      <c r="AC150" s="31">
        <v>0</v>
      </c>
      <c r="AD150" s="31">
        <v>0</v>
      </c>
      <c r="AE150" s="31">
        <v>0</v>
      </c>
      <c r="AF150" s="31">
        <v>0</v>
      </c>
      <c r="AG150" s="31">
        <v>0</v>
      </c>
      <c r="AH150" s="32">
        <v>1</v>
      </c>
      <c r="AI150" s="31">
        <v>0</v>
      </c>
      <c r="AJ150" s="32">
        <v>1</v>
      </c>
      <c r="AK150" s="31">
        <v>0</v>
      </c>
      <c r="AL150" s="31">
        <v>0</v>
      </c>
      <c r="AM150" s="32">
        <v>1</v>
      </c>
      <c r="AN150" s="31">
        <v>0</v>
      </c>
      <c r="AO150" s="32">
        <v>1</v>
      </c>
      <c r="AP150" s="31">
        <v>0</v>
      </c>
      <c r="AQ150" s="31">
        <v>0</v>
      </c>
      <c r="AR150" s="31">
        <v>0</v>
      </c>
      <c r="AS150" s="32">
        <v>1</v>
      </c>
    </row>
    <row r="151" spans="1:45">
      <c r="A151" s="30" t="s">
        <v>676</v>
      </c>
      <c r="B151" s="30" t="s">
        <v>1407</v>
      </c>
      <c r="C151" s="30" t="s">
        <v>677</v>
      </c>
      <c r="D151" s="30" t="s">
        <v>71</v>
      </c>
      <c r="E151" s="30" t="s">
        <v>1594</v>
      </c>
      <c r="F151" s="30" t="s">
        <v>71</v>
      </c>
      <c r="G151" s="30" t="s">
        <v>1595</v>
      </c>
      <c r="H151" s="30" t="s">
        <v>680</v>
      </c>
      <c r="I151" s="31">
        <v>0</v>
      </c>
      <c r="J151" s="32">
        <v>1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0</v>
      </c>
      <c r="Z151" s="31">
        <v>0</v>
      </c>
      <c r="AA151" s="31">
        <v>0</v>
      </c>
      <c r="AB151" s="31">
        <v>0</v>
      </c>
      <c r="AC151" s="31">
        <v>0</v>
      </c>
      <c r="AD151" s="31">
        <v>0</v>
      </c>
      <c r="AE151" s="31">
        <v>0</v>
      </c>
      <c r="AF151" s="31">
        <v>0</v>
      </c>
      <c r="AG151" s="31">
        <v>0</v>
      </c>
      <c r="AH151" s="31">
        <v>0</v>
      </c>
      <c r="AI151" s="31">
        <v>0</v>
      </c>
      <c r="AJ151" s="31">
        <v>0</v>
      </c>
      <c r="AK151" s="31">
        <v>0</v>
      </c>
      <c r="AL151" s="31">
        <v>0</v>
      </c>
      <c r="AM151" s="31">
        <v>0</v>
      </c>
      <c r="AN151" s="31">
        <v>0</v>
      </c>
      <c r="AO151" s="31">
        <v>0</v>
      </c>
      <c r="AP151" s="31">
        <v>0</v>
      </c>
      <c r="AQ151" s="31">
        <v>0</v>
      </c>
      <c r="AR151" s="31">
        <v>0</v>
      </c>
      <c r="AS151" s="31">
        <v>0</v>
      </c>
    </row>
    <row r="152" spans="1:45">
      <c r="A152" s="30" t="s">
        <v>676</v>
      </c>
      <c r="B152" s="30" t="s">
        <v>1407</v>
      </c>
      <c r="C152" s="30" t="s">
        <v>677</v>
      </c>
      <c r="D152" s="30" t="s">
        <v>71</v>
      </c>
      <c r="E152" s="30" t="s">
        <v>1596</v>
      </c>
      <c r="F152" s="30" t="s">
        <v>71</v>
      </c>
      <c r="G152" s="30" t="s">
        <v>508</v>
      </c>
      <c r="H152" s="30" t="s">
        <v>680</v>
      </c>
      <c r="I152" s="32">
        <v>250</v>
      </c>
      <c r="J152" s="32">
        <v>126</v>
      </c>
      <c r="K152" s="32">
        <v>150</v>
      </c>
      <c r="L152" s="32">
        <v>121</v>
      </c>
      <c r="M152" s="32">
        <v>46</v>
      </c>
      <c r="N152" s="32">
        <v>102</v>
      </c>
      <c r="O152" s="32">
        <v>125</v>
      </c>
      <c r="P152" s="32">
        <v>102</v>
      </c>
      <c r="Q152" s="32">
        <v>117</v>
      </c>
      <c r="R152" s="32">
        <v>150</v>
      </c>
      <c r="S152" s="32">
        <v>108</v>
      </c>
      <c r="T152" s="32">
        <v>117</v>
      </c>
      <c r="U152" s="32">
        <v>116</v>
      </c>
      <c r="V152" s="32">
        <v>88</v>
      </c>
      <c r="W152" s="32">
        <v>86</v>
      </c>
      <c r="X152" s="32">
        <v>126</v>
      </c>
      <c r="Y152" s="32">
        <v>93</v>
      </c>
      <c r="Z152" s="32">
        <v>101</v>
      </c>
      <c r="AA152" s="32">
        <v>169.23750000000001</v>
      </c>
      <c r="AB152" s="32">
        <v>101</v>
      </c>
      <c r="AC152" s="32">
        <v>143</v>
      </c>
      <c r="AD152" s="32">
        <v>117</v>
      </c>
      <c r="AE152" s="32">
        <v>97</v>
      </c>
      <c r="AF152" s="32">
        <v>75</v>
      </c>
      <c r="AG152" s="32">
        <v>149</v>
      </c>
      <c r="AH152" s="32">
        <v>86</v>
      </c>
      <c r="AI152" s="32">
        <v>88</v>
      </c>
      <c r="AJ152" s="32">
        <v>114</v>
      </c>
      <c r="AK152" s="32">
        <v>73</v>
      </c>
      <c r="AL152" s="32">
        <v>57</v>
      </c>
      <c r="AM152" s="32">
        <v>105</v>
      </c>
      <c r="AN152" s="32">
        <v>77</v>
      </c>
      <c r="AO152" s="32">
        <v>65</v>
      </c>
      <c r="AP152" s="32">
        <v>99</v>
      </c>
      <c r="AQ152" s="32">
        <v>79</v>
      </c>
      <c r="AR152" s="32">
        <v>75</v>
      </c>
      <c r="AS152" s="32">
        <v>140</v>
      </c>
    </row>
    <row r="153" spans="1:45">
      <c r="A153" s="30" t="s">
        <v>676</v>
      </c>
      <c r="B153" s="30" t="s">
        <v>1407</v>
      </c>
      <c r="C153" s="30" t="s">
        <v>677</v>
      </c>
      <c r="D153" s="30" t="s">
        <v>71</v>
      </c>
      <c r="E153" s="30" t="s">
        <v>1597</v>
      </c>
      <c r="F153" s="30" t="s">
        <v>71</v>
      </c>
      <c r="G153" s="30" t="s">
        <v>509</v>
      </c>
      <c r="H153" s="30" t="s">
        <v>680</v>
      </c>
      <c r="I153" s="32">
        <v>263</v>
      </c>
      <c r="J153" s="32">
        <v>111</v>
      </c>
      <c r="K153" s="32">
        <v>171</v>
      </c>
      <c r="L153" s="32">
        <v>114</v>
      </c>
      <c r="M153" s="32">
        <v>65</v>
      </c>
      <c r="N153" s="32">
        <v>112</v>
      </c>
      <c r="O153" s="32">
        <v>102</v>
      </c>
      <c r="P153" s="32">
        <v>115</v>
      </c>
      <c r="Q153" s="32">
        <v>101</v>
      </c>
      <c r="R153" s="32">
        <v>178</v>
      </c>
      <c r="S153" s="32">
        <v>101</v>
      </c>
      <c r="T153" s="32">
        <v>130</v>
      </c>
      <c r="U153" s="32">
        <v>139</v>
      </c>
      <c r="V153" s="32">
        <v>75</v>
      </c>
      <c r="W153" s="32">
        <v>89</v>
      </c>
      <c r="X153" s="32">
        <v>120</v>
      </c>
      <c r="Y153" s="32">
        <v>90</v>
      </c>
      <c r="Z153" s="32">
        <v>124</v>
      </c>
      <c r="AA153" s="32">
        <v>148.11869999999999</v>
      </c>
      <c r="AB153" s="32">
        <v>119</v>
      </c>
      <c r="AC153" s="32">
        <v>125</v>
      </c>
      <c r="AD153" s="32">
        <v>148</v>
      </c>
      <c r="AE153" s="32">
        <v>117</v>
      </c>
      <c r="AF153" s="32">
        <v>106</v>
      </c>
      <c r="AG153" s="32">
        <v>180</v>
      </c>
      <c r="AH153" s="32">
        <v>150</v>
      </c>
      <c r="AI153" s="32">
        <v>119</v>
      </c>
      <c r="AJ153" s="32">
        <v>172</v>
      </c>
      <c r="AK153" s="32">
        <v>135</v>
      </c>
      <c r="AL153" s="32">
        <v>116</v>
      </c>
      <c r="AM153" s="32">
        <v>164</v>
      </c>
      <c r="AN153" s="32">
        <v>122</v>
      </c>
      <c r="AO153" s="32">
        <v>123</v>
      </c>
      <c r="AP153" s="32">
        <v>164</v>
      </c>
      <c r="AQ153" s="32">
        <v>94</v>
      </c>
      <c r="AR153" s="32">
        <v>123</v>
      </c>
      <c r="AS153" s="32">
        <v>205</v>
      </c>
    </row>
    <row r="154" spans="1:45">
      <c r="A154" s="30" t="s">
        <v>676</v>
      </c>
      <c r="B154" s="30" t="s">
        <v>1407</v>
      </c>
      <c r="C154" s="30" t="s">
        <v>677</v>
      </c>
      <c r="D154" s="30" t="s">
        <v>71</v>
      </c>
      <c r="E154" s="30" t="s">
        <v>1598</v>
      </c>
      <c r="F154" s="30" t="s">
        <v>71</v>
      </c>
      <c r="G154" s="30" t="s">
        <v>510</v>
      </c>
      <c r="H154" s="30" t="s">
        <v>680</v>
      </c>
      <c r="I154" s="32">
        <v>223</v>
      </c>
      <c r="J154" s="32">
        <v>99</v>
      </c>
      <c r="K154" s="32">
        <v>158</v>
      </c>
      <c r="L154" s="32">
        <v>111</v>
      </c>
      <c r="M154" s="32">
        <v>44</v>
      </c>
      <c r="N154" s="32">
        <v>86</v>
      </c>
      <c r="O154" s="32">
        <v>100</v>
      </c>
      <c r="P154" s="32">
        <v>113</v>
      </c>
      <c r="Q154" s="32">
        <v>127</v>
      </c>
      <c r="R154" s="32">
        <v>141</v>
      </c>
      <c r="S154" s="32">
        <v>141</v>
      </c>
      <c r="T154" s="32">
        <v>91</v>
      </c>
      <c r="U154" s="32">
        <v>131</v>
      </c>
      <c r="V154" s="32">
        <v>87</v>
      </c>
      <c r="W154" s="32">
        <v>64</v>
      </c>
      <c r="X154" s="32">
        <v>96</v>
      </c>
      <c r="Y154" s="32">
        <v>98</v>
      </c>
      <c r="Z154" s="32">
        <v>99</v>
      </c>
      <c r="AA154" s="32">
        <v>118.1187</v>
      </c>
      <c r="AB154" s="32">
        <v>99</v>
      </c>
      <c r="AC154" s="32">
        <v>124</v>
      </c>
      <c r="AD154" s="32">
        <v>146</v>
      </c>
      <c r="AE154" s="32">
        <v>99</v>
      </c>
      <c r="AF154" s="32">
        <v>131</v>
      </c>
      <c r="AG154" s="32">
        <v>132</v>
      </c>
      <c r="AH154" s="32">
        <v>126</v>
      </c>
      <c r="AI154" s="32">
        <v>121</v>
      </c>
      <c r="AJ154" s="32">
        <v>154</v>
      </c>
      <c r="AK154" s="32">
        <v>121</v>
      </c>
      <c r="AL154" s="32">
        <v>109</v>
      </c>
      <c r="AM154" s="32">
        <v>142</v>
      </c>
      <c r="AN154" s="32">
        <v>140</v>
      </c>
      <c r="AO154" s="32">
        <v>143</v>
      </c>
      <c r="AP154" s="32">
        <v>170</v>
      </c>
      <c r="AQ154" s="32">
        <v>109</v>
      </c>
      <c r="AR154" s="32">
        <v>144</v>
      </c>
      <c r="AS154" s="32">
        <v>222</v>
      </c>
    </row>
    <row r="155" spans="1:45">
      <c r="A155" s="30" t="s">
        <v>676</v>
      </c>
      <c r="B155" s="30" t="s">
        <v>1407</v>
      </c>
      <c r="C155" s="30" t="s">
        <v>677</v>
      </c>
      <c r="D155" s="30" t="s">
        <v>71</v>
      </c>
      <c r="E155" s="30" t="s">
        <v>1599</v>
      </c>
      <c r="F155" s="30" t="s">
        <v>71</v>
      </c>
      <c r="G155" s="30" t="s">
        <v>511</v>
      </c>
      <c r="H155" s="30" t="s">
        <v>680</v>
      </c>
      <c r="I155" s="32">
        <v>198</v>
      </c>
      <c r="J155" s="32">
        <v>102</v>
      </c>
      <c r="K155" s="32">
        <v>157</v>
      </c>
      <c r="L155" s="32">
        <v>97</v>
      </c>
      <c r="M155" s="32">
        <v>70</v>
      </c>
      <c r="N155" s="32">
        <v>98</v>
      </c>
      <c r="O155" s="32">
        <v>150</v>
      </c>
      <c r="P155" s="32">
        <v>94</v>
      </c>
      <c r="Q155" s="32">
        <v>85</v>
      </c>
      <c r="R155" s="32">
        <v>109</v>
      </c>
      <c r="S155" s="32">
        <v>101</v>
      </c>
      <c r="T155" s="32">
        <v>85</v>
      </c>
      <c r="U155" s="32">
        <v>93</v>
      </c>
      <c r="V155" s="32">
        <v>69</v>
      </c>
      <c r="W155" s="32">
        <v>67</v>
      </c>
      <c r="X155" s="32">
        <v>105</v>
      </c>
      <c r="Y155" s="32">
        <v>87</v>
      </c>
      <c r="Z155" s="32">
        <v>104.91930000000001</v>
      </c>
      <c r="AA155" s="32">
        <v>118</v>
      </c>
      <c r="AB155" s="32">
        <v>73</v>
      </c>
      <c r="AC155" s="32">
        <v>104</v>
      </c>
      <c r="AD155" s="32">
        <v>115</v>
      </c>
      <c r="AE155" s="32">
        <v>111</v>
      </c>
      <c r="AF155" s="32">
        <v>58</v>
      </c>
      <c r="AG155" s="32">
        <v>102</v>
      </c>
      <c r="AH155" s="32">
        <v>73</v>
      </c>
      <c r="AI155" s="32">
        <v>78</v>
      </c>
      <c r="AJ155" s="32">
        <v>175</v>
      </c>
      <c r="AK155" s="32">
        <v>85</v>
      </c>
      <c r="AL155" s="32">
        <v>88</v>
      </c>
      <c r="AM155" s="32">
        <v>130</v>
      </c>
      <c r="AN155" s="32">
        <v>95</v>
      </c>
      <c r="AO155" s="32">
        <v>102</v>
      </c>
      <c r="AP155" s="32">
        <v>137</v>
      </c>
      <c r="AQ155" s="32">
        <v>122</v>
      </c>
      <c r="AR155" s="32">
        <v>139</v>
      </c>
      <c r="AS155" s="32">
        <v>204</v>
      </c>
    </row>
    <row r="156" spans="1:45">
      <c r="A156" s="30" t="s">
        <v>676</v>
      </c>
      <c r="B156" s="30" t="s">
        <v>1407</v>
      </c>
      <c r="C156" s="30" t="s">
        <v>677</v>
      </c>
      <c r="D156" s="30" t="s">
        <v>71</v>
      </c>
      <c r="E156" s="30" t="s">
        <v>1600</v>
      </c>
      <c r="F156" s="30" t="s">
        <v>71</v>
      </c>
      <c r="G156" s="30" t="s">
        <v>512</v>
      </c>
      <c r="H156" s="30" t="s">
        <v>680</v>
      </c>
      <c r="I156" s="32">
        <v>104</v>
      </c>
      <c r="J156" s="32">
        <v>55</v>
      </c>
      <c r="K156" s="32">
        <v>74</v>
      </c>
      <c r="L156" s="32">
        <v>62</v>
      </c>
      <c r="M156" s="32">
        <v>40</v>
      </c>
      <c r="N156" s="32">
        <v>55</v>
      </c>
      <c r="O156" s="32">
        <v>69</v>
      </c>
      <c r="P156" s="32">
        <v>71</v>
      </c>
      <c r="Q156" s="32">
        <v>67</v>
      </c>
      <c r="R156" s="32">
        <v>115</v>
      </c>
      <c r="S156" s="32">
        <v>90</v>
      </c>
      <c r="T156" s="32">
        <v>84</v>
      </c>
      <c r="U156" s="32">
        <v>80</v>
      </c>
      <c r="V156" s="32">
        <v>67</v>
      </c>
      <c r="W156" s="32">
        <v>53</v>
      </c>
      <c r="X156" s="32">
        <v>105</v>
      </c>
      <c r="Y156" s="32">
        <v>60</v>
      </c>
      <c r="Z156" s="32">
        <v>56.6526</v>
      </c>
      <c r="AA156" s="32">
        <v>87</v>
      </c>
      <c r="AB156" s="32">
        <v>60</v>
      </c>
      <c r="AC156" s="32">
        <v>87</v>
      </c>
      <c r="AD156" s="32">
        <v>104</v>
      </c>
      <c r="AE156" s="32">
        <v>82</v>
      </c>
      <c r="AF156" s="32">
        <v>79</v>
      </c>
      <c r="AG156" s="32">
        <v>85</v>
      </c>
      <c r="AH156" s="32">
        <v>64</v>
      </c>
      <c r="AI156" s="32">
        <v>46</v>
      </c>
      <c r="AJ156" s="32">
        <v>87</v>
      </c>
      <c r="AK156" s="32">
        <v>41</v>
      </c>
      <c r="AL156" s="32">
        <v>36</v>
      </c>
      <c r="AM156" s="32">
        <v>77</v>
      </c>
      <c r="AN156" s="32">
        <v>49</v>
      </c>
      <c r="AO156" s="32">
        <v>41</v>
      </c>
      <c r="AP156" s="32">
        <v>46</v>
      </c>
      <c r="AQ156" s="32">
        <v>49</v>
      </c>
      <c r="AR156" s="32">
        <v>31</v>
      </c>
      <c r="AS156" s="32">
        <v>70</v>
      </c>
    </row>
    <row r="157" spans="1:45">
      <c r="A157" s="30" t="s">
        <v>676</v>
      </c>
      <c r="B157" s="30" t="s">
        <v>1407</v>
      </c>
      <c r="C157" s="30" t="s">
        <v>677</v>
      </c>
      <c r="D157" s="30" t="s">
        <v>71</v>
      </c>
      <c r="E157" s="30" t="s">
        <v>1601</v>
      </c>
      <c r="F157" s="30" t="s">
        <v>71</v>
      </c>
      <c r="G157" s="30" t="s">
        <v>513</v>
      </c>
      <c r="H157" s="30" t="s">
        <v>680</v>
      </c>
      <c r="I157" s="32">
        <v>145</v>
      </c>
      <c r="J157" s="32">
        <v>63</v>
      </c>
      <c r="K157" s="32">
        <v>79</v>
      </c>
      <c r="L157" s="32">
        <v>80</v>
      </c>
      <c r="M157" s="32">
        <v>35</v>
      </c>
      <c r="N157" s="32">
        <v>53</v>
      </c>
      <c r="O157" s="32">
        <v>73</v>
      </c>
      <c r="P157" s="32">
        <v>69</v>
      </c>
      <c r="Q157" s="32">
        <v>98</v>
      </c>
      <c r="R157" s="32">
        <v>107</v>
      </c>
      <c r="S157" s="32">
        <v>80</v>
      </c>
      <c r="T157" s="32">
        <v>86</v>
      </c>
      <c r="U157" s="32">
        <v>114</v>
      </c>
      <c r="V157" s="32">
        <v>74</v>
      </c>
      <c r="W157" s="32">
        <v>61</v>
      </c>
      <c r="X157" s="32">
        <v>97</v>
      </c>
      <c r="Y157" s="32">
        <v>77</v>
      </c>
      <c r="Z157" s="32">
        <v>77.981800000000007</v>
      </c>
      <c r="AA157" s="32">
        <v>107</v>
      </c>
      <c r="AB157" s="32">
        <v>83</v>
      </c>
      <c r="AC157" s="32">
        <v>122</v>
      </c>
      <c r="AD157" s="32">
        <v>144</v>
      </c>
      <c r="AE157" s="32">
        <v>109</v>
      </c>
      <c r="AF157" s="32">
        <v>100</v>
      </c>
      <c r="AG157" s="32">
        <v>113</v>
      </c>
      <c r="AH157" s="32">
        <v>92</v>
      </c>
      <c r="AI157" s="32">
        <v>74</v>
      </c>
      <c r="AJ157" s="32">
        <v>104</v>
      </c>
      <c r="AK157" s="32">
        <v>62</v>
      </c>
      <c r="AL157" s="32">
        <v>45</v>
      </c>
      <c r="AM157" s="32">
        <v>90</v>
      </c>
      <c r="AN157" s="32">
        <v>75</v>
      </c>
      <c r="AO157" s="32">
        <v>84</v>
      </c>
      <c r="AP157" s="32">
        <v>92</v>
      </c>
      <c r="AQ157" s="32">
        <v>70</v>
      </c>
      <c r="AR157" s="32">
        <v>61</v>
      </c>
      <c r="AS157" s="32">
        <v>101</v>
      </c>
    </row>
    <row r="158" spans="1:45">
      <c r="A158" s="30" t="s">
        <v>676</v>
      </c>
      <c r="B158" s="30" t="s">
        <v>1407</v>
      </c>
      <c r="C158" s="30" t="s">
        <v>677</v>
      </c>
      <c r="D158" s="30" t="s">
        <v>71</v>
      </c>
      <c r="E158" s="30" t="s">
        <v>1602</v>
      </c>
      <c r="F158" s="30" t="s">
        <v>71</v>
      </c>
      <c r="G158" s="30" t="s">
        <v>514</v>
      </c>
      <c r="H158" s="30" t="s">
        <v>680</v>
      </c>
      <c r="I158" s="32">
        <v>168</v>
      </c>
      <c r="J158" s="32">
        <v>81.154700000000005</v>
      </c>
      <c r="K158" s="32">
        <v>118</v>
      </c>
      <c r="L158" s="32">
        <v>89</v>
      </c>
      <c r="M158" s="32">
        <v>36</v>
      </c>
      <c r="N158" s="32">
        <v>51</v>
      </c>
      <c r="O158" s="32">
        <v>79</v>
      </c>
      <c r="P158" s="32">
        <v>64</v>
      </c>
      <c r="Q158" s="32">
        <v>82</v>
      </c>
      <c r="R158" s="32">
        <v>72</v>
      </c>
      <c r="S158" s="32">
        <v>83</v>
      </c>
      <c r="T158" s="32">
        <v>70</v>
      </c>
      <c r="U158" s="32">
        <v>112</v>
      </c>
      <c r="V158" s="32">
        <v>71</v>
      </c>
      <c r="W158" s="32">
        <v>98</v>
      </c>
      <c r="X158" s="32">
        <v>98</v>
      </c>
      <c r="Y158" s="32">
        <v>71</v>
      </c>
      <c r="Z158" s="32">
        <v>56.005800000000001</v>
      </c>
      <c r="AA158" s="32">
        <v>74</v>
      </c>
      <c r="AB158" s="32">
        <v>48</v>
      </c>
      <c r="AC158" s="32">
        <v>90</v>
      </c>
      <c r="AD158" s="32">
        <v>99</v>
      </c>
      <c r="AE158" s="32">
        <v>79</v>
      </c>
      <c r="AF158" s="32">
        <v>60</v>
      </c>
      <c r="AG158" s="32">
        <v>77</v>
      </c>
      <c r="AH158" s="32">
        <v>51</v>
      </c>
      <c r="AI158" s="32">
        <v>46</v>
      </c>
      <c r="AJ158" s="32">
        <v>86</v>
      </c>
      <c r="AK158" s="32">
        <v>38</v>
      </c>
      <c r="AL158" s="32">
        <v>42</v>
      </c>
      <c r="AM158" s="32">
        <v>71</v>
      </c>
      <c r="AN158" s="32">
        <v>54</v>
      </c>
      <c r="AO158" s="32">
        <v>21</v>
      </c>
      <c r="AP158" s="32">
        <v>32</v>
      </c>
      <c r="AQ158" s="32">
        <v>39</v>
      </c>
      <c r="AR158" s="32">
        <v>37</v>
      </c>
      <c r="AS158" s="32">
        <v>65</v>
      </c>
    </row>
    <row r="159" spans="1:45">
      <c r="A159" s="30" t="s">
        <v>676</v>
      </c>
      <c r="B159" s="30" t="s">
        <v>1407</v>
      </c>
      <c r="C159" s="30" t="s">
        <v>677</v>
      </c>
      <c r="D159" s="30" t="s">
        <v>71</v>
      </c>
      <c r="E159" s="30" t="s">
        <v>1603</v>
      </c>
      <c r="F159" s="30" t="s">
        <v>71</v>
      </c>
      <c r="G159" s="30" t="s">
        <v>515</v>
      </c>
      <c r="H159" s="30" t="s">
        <v>680</v>
      </c>
      <c r="I159" s="32">
        <v>177</v>
      </c>
      <c r="J159" s="32">
        <v>85</v>
      </c>
      <c r="K159" s="32">
        <v>150</v>
      </c>
      <c r="L159" s="32">
        <v>82</v>
      </c>
      <c r="M159" s="32">
        <v>58</v>
      </c>
      <c r="N159" s="32">
        <v>82</v>
      </c>
      <c r="O159" s="32">
        <v>135</v>
      </c>
      <c r="P159" s="32">
        <v>109</v>
      </c>
      <c r="Q159" s="32">
        <v>153</v>
      </c>
      <c r="R159" s="32">
        <v>175</v>
      </c>
      <c r="S159" s="32">
        <v>112</v>
      </c>
      <c r="T159" s="32">
        <v>118</v>
      </c>
      <c r="U159" s="32">
        <v>126</v>
      </c>
      <c r="V159" s="32">
        <v>63.197400000000002</v>
      </c>
      <c r="W159" s="32">
        <v>91</v>
      </c>
      <c r="X159" s="32">
        <v>112</v>
      </c>
      <c r="Y159" s="32">
        <v>98</v>
      </c>
      <c r="Z159" s="32">
        <v>116.9153</v>
      </c>
      <c r="AA159" s="32">
        <v>175.34630000000001</v>
      </c>
      <c r="AB159" s="32">
        <v>113</v>
      </c>
      <c r="AC159" s="32">
        <v>123</v>
      </c>
      <c r="AD159" s="32">
        <v>139</v>
      </c>
      <c r="AE159" s="32">
        <v>112</v>
      </c>
      <c r="AF159" s="32">
        <v>89</v>
      </c>
      <c r="AG159" s="32">
        <v>154</v>
      </c>
      <c r="AH159" s="32">
        <v>80</v>
      </c>
      <c r="AI159" s="32">
        <v>93</v>
      </c>
      <c r="AJ159" s="32">
        <v>148</v>
      </c>
      <c r="AK159" s="32">
        <v>80</v>
      </c>
      <c r="AL159" s="32">
        <v>72</v>
      </c>
      <c r="AM159" s="32">
        <v>141</v>
      </c>
      <c r="AN159" s="32">
        <v>92</v>
      </c>
      <c r="AO159" s="32">
        <v>105</v>
      </c>
      <c r="AP159" s="32">
        <v>143</v>
      </c>
      <c r="AQ159" s="32">
        <v>86</v>
      </c>
      <c r="AR159" s="32">
        <v>100</v>
      </c>
      <c r="AS159" s="32">
        <v>143</v>
      </c>
    </row>
    <row r="160" spans="1:45">
      <c r="A160" s="30" t="s">
        <v>676</v>
      </c>
      <c r="B160" s="30" t="s">
        <v>1407</v>
      </c>
      <c r="C160" s="30" t="s">
        <v>677</v>
      </c>
      <c r="D160" s="30" t="s">
        <v>71</v>
      </c>
      <c r="E160" s="30" t="s">
        <v>1604</v>
      </c>
      <c r="F160" s="30" t="s">
        <v>71</v>
      </c>
      <c r="G160" s="30" t="s">
        <v>516</v>
      </c>
      <c r="H160" s="30" t="s">
        <v>680</v>
      </c>
      <c r="I160" s="32">
        <v>284</v>
      </c>
      <c r="J160" s="32">
        <v>132</v>
      </c>
      <c r="K160" s="32">
        <v>180</v>
      </c>
      <c r="L160" s="32">
        <v>120</v>
      </c>
      <c r="M160" s="32">
        <v>88</v>
      </c>
      <c r="N160" s="32">
        <v>112</v>
      </c>
      <c r="O160" s="32">
        <v>123</v>
      </c>
      <c r="P160" s="32">
        <v>120</v>
      </c>
      <c r="Q160" s="32">
        <v>116</v>
      </c>
      <c r="R160" s="32">
        <v>195</v>
      </c>
      <c r="S160" s="32">
        <v>118</v>
      </c>
      <c r="T160" s="32">
        <v>121</v>
      </c>
      <c r="U160" s="32">
        <v>173</v>
      </c>
      <c r="V160" s="32">
        <v>104</v>
      </c>
      <c r="W160" s="32">
        <v>105</v>
      </c>
      <c r="X160" s="32">
        <v>134</v>
      </c>
      <c r="Y160" s="32">
        <v>76</v>
      </c>
      <c r="Z160" s="32">
        <v>120.5531</v>
      </c>
      <c r="AA160" s="32">
        <v>155.2276</v>
      </c>
      <c r="AB160" s="32">
        <v>96</v>
      </c>
      <c r="AC160" s="32">
        <v>142</v>
      </c>
      <c r="AD160" s="32">
        <v>126</v>
      </c>
      <c r="AE160" s="32">
        <v>94</v>
      </c>
      <c r="AF160" s="32">
        <v>89</v>
      </c>
      <c r="AG160" s="32">
        <v>109</v>
      </c>
      <c r="AH160" s="32">
        <v>90</v>
      </c>
      <c r="AI160" s="32">
        <v>73</v>
      </c>
      <c r="AJ160" s="32">
        <v>142</v>
      </c>
      <c r="AK160" s="32">
        <v>63</v>
      </c>
      <c r="AL160" s="32">
        <v>71</v>
      </c>
      <c r="AM160" s="32">
        <v>87</v>
      </c>
      <c r="AN160" s="32">
        <v>80</v>
      </c>
      <c r="AO160" s="32">
        <v>110</v>
      </c>
      <c r="AP160" s="32">
        <v>136</v>
      </c>
      <c r="AQ160" s="32">
        <v>100</v>
      </c>
      <c r="AR160" s="32">
        <v>110</v>
      </c>
      <c r="AS160" s="32">
        <v>191</v>
      </c>
    </row>
    <row r="161" spans="1:45">
      <c r="A161" s="30" t="s">
        <v>676</v>
      </c>
      <c r="B161" s="30" t="s">
        <v>1407</v>
      </c>
      <c r="C161" s="30" t="s">
        <v>677</v>
      </c>
      <c r="D161" s="30" t="s">
        <v>71</v>
      </c>
      <c r="E161" s="30" t="s">
        <v>1605</v>
      </c>
      <c r="F161" s="30" t="s">
        <v>71</v>
      </c>
      <c r="G161" s="30" t="s">
        <v>517</v>
      </c>
      <c r="H161" s="30" t="s">
        <v>680</v>
      </c>
      <c r="I161" s="32">
        <v>176</v>
      </c>
      <c r="J161" s="32">
        <v>86</v>
      </c>
      <c r="K161" s="32">
        <v>116</v>
      </c>
      <c r="L161" s="32">
        <v>103</v>
      </c>
      <c r="M161" s="32">
        <v>68</v>
      </c>
      <c r="N161" s="32">
        <v>91</v>
      </c>
      <c r="O161" s="32">
        <v>96</v>
      </c>
      <c r="P161" s="32">
        <v>81</v>
      </c>
      <c r="Q161" s="32">
        <v>88</v>
      </c>
      <c r="R161" s="32">
        <v>139</v>
      </c>
      <c r="S161" s="32">
        <v>99</v>
      </c>
      <c r="T161" s="32">
        <v>100</v>
      </c>
      <c r="U161" s="32">
        <v>143</v>
      </c>
      <c r="V161" s="32">
        <v>96</v>
      </c>
      <c r="W161" s="32">
        <v>95</v>
      </c>
      <c r="X161" s="32">
        <v>105</v>
      </c>
      <c r="Y161" s="32">
        <v>94</v>
      </c>
      <c r="Z161" s="32">
        <v>92.938599999999994</v>
      </c>
      <c r="AA161" s="32">
        <v>140.19669999999999</v>
      </c>
      <c r="AB161" s="32">
        <v>91</v>
      </c>
      <c r="AC161" s="32">
        <v>120</v>
      </c>
      <c r="AD161" s="32">
        <v>162</v>
      </c>
      <c r="AE161" s="32">
        <v>122</v>
      </c>
      <c r="AF161" s="32">
        <v>126</v>
      </c>
      <c r="AG161" s="32">
        <v>158</v>
      </c>
      <c r="AH161" s="32">
        <v>107</v>
      </c>
      <c r="AI161" s="32">
        <v>93</v>
      </c>
      <c r="AJ161" s="32">
        <v>138</v>
      </c>
      <c r="AK161" s="32">
        <v>100</v>
      </c>
      <c r="AL161" s="32">
        <v>73</v>
      </c>
      <c r="AM161" s="32">
        <v>146</v>
      </c>
      <c r="AN161" s="32">
        <v>113</v>
      </c>
      <c r="AO161" s="32">
        <v>106</v>
      </c>
      <c r="AP161" s="32">
        <v>121</v>
      </c>
      <c r="AQ161" s="32">
        <v>106</v>
      </c>
      <c r="AR161" s="32">
        <v>93</v>
      </c>
      <c r="AS161" s="32">
        <v>175</v>
      </c>
    </row>
    <row r="162" spans="1:45">
      <c r="A162" s="30" t="s">
        <v>676</v>
      </c>
      <c r="B162" s="30" t="s">
        <v>1407</v>
      </c>
      <c r="C162" s="30" t="s">
        <v>677</v>
      </c>
      <c r="D162" s="30" t="s">
        <v>71</v>
      </c>
      <c r="E162" s="30" t="s">
        <v>1606</v>
      </c>
      <c r="F162" s="30" t="s">
        <v>72</v>
      </c>
      <c r="G162" s="30" t="s">
        <v>518</v>
      </c>
      <c r="H162" s="30" t="s">
        <v>680</v>
      </c>
      <c r="I162" s="32">
        <v>174</v>
      </c>
      <c r="J162" s="32">
        <v>93</v>
      </c>
      <c r="K162" s="32">
        <v>77</v>
      </c>
      <c r="L162" s="32">
        <v>68</v>
      </c>
      <c r="M162" s="32">
        <v>45</v>
      </c>
      <c r="N162" s="32">
        <v>125</v>
      </c>
      <c r="O162" s="32">
        <v>133</v>
      </c>
      <c r="P162" s="32">
        <v>78</v>
      </c>
      <c r="Q162" s="32">
        <v>79</v>
      </c>
      <c r="R162" s="32">
        <v>85</v>
      </c>
      <c r="S162" s="32">
        <v>59</v>
      </c>
      <c r="T162" s="32">
        <v>64</v>
      </c>
      <c r="U162" s="32">
        <v>81</v>
      </c>
      <c r="V162" s="32">
        <v>46</v>
      </c>
      <c r="W162" s="32">
        <v>72</v>
      </c>
      <c r="X162" s="32">
        <v>76</v>
      </c>
      <c r="Y162" s="32">
        <v>72</v>
      </c>
      <c r="Z162" s="32">
        <v>76</v>
      </c>
      <c r="AA162" s="32">
        <v>122</v>
      </c>
      <c r="AB162" s="32">
        <v>59</v>
      </c>
      <c r="AC162" s="32">
        <v>66</v>
      </c>
      <c r="AD162" s="32">
        <v>67</v>
      </c>
      <c r="AE162" s="32">
        <v>76</v>
      </c>
      <c r="AF162" s="32">
        <v>71</v>
      </c>
      <c r="AG162" s="32">
        <v>81</v>
      </c>
      <c r="AH162" s="32">
        <v>51</v>
      </c>
      <c r="AI162" s="32">
        <v>58</v>
      </c>
      <c r="AJ162" s="32">
        <v>124</v>
      </c>
      <c r="AK162" s="32">
        <v>49</v>
      </c>
      <c r="AL162" s="32">
        <v>51</v>
      </c>
      <c r="AM162" s="32">
        <v>80</v>
      </c>
      <c r="AN162" s="32">
        <v>95</v>
      </c>
      <c r="AO162" s="32">
        <v>84</v>
      </c>
      <c r="AP162" s="32">
        <v>107</v>
      </c>
      <c r="AQ162" s="32">
        <v>81</v>
      </c>
      <c r="AR162" s="32">
        <v>94</v>
      </c>
      <c r="AS162" s="32">
        <v>144</v>
      </c>
    </row>
    <row r="163" spans="1:45">
      <c r="A163" s="30" t="s">
        <v>676</v>
      </c>
      <c r="B163" s="30" t="s">
        <v>1407</v>
      </c>
      <c r="C163" s="30" t="s">
        <v>677</v>
      </c>
      <c r="D163" s="30" t="s">
        <v>71</v>
      </c>
      <c r="E163" s="30" t="s">
        <v>1607</v>
      </c>
      <c r="F163" s="30" t="s">
        <v>72</v>
      </c>
      <c r="G163" s="30" t="s">
        <v>1608</v>
      </c>
      <c r="H163" s="30" t="s">
        <v>680</v>
      </c>
      <c r="I163" s="32">
        <v>2</v>
      </c>
      <c r="J163" s="32">
        <v>1</v>
      </c>
      <c r="K163" s="32">
        <v>6</v>
      </c>
      <c r="L163" s="32">
        <v>1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  <c r="AC163" s="31">
        <v>0</v>
      </c>
      <c r="AD163" s="31">
        <v>0</v>
      </c>
      <c r="AE163" s="31">
        <v>0</v>
      </c>
      <c r="AF163" s="31">
        <v>0</v>
      </c>
      <c r="AG163" s="31">
        <v>0</v>
      </c>
      <c r="AH163" s="31">
        <v>0</v>
      </c>
      <c r="AI163" s="31">
        <v>0</v>
      </c>
      <c r="AJ163" s="31">
        <v>0</v>
      </c>
      <c r="AK163" s="31">
        <v>0</v>
      </c>
      <c r="AL163" s="31">
        <v>0</v>
      </c>
      <c r="AM163" s="31">
        <v>0</v>
      </c>
      <c r="AN163" s="31">
        <v>0</v>
      </c>
      <c r="AO163" s="31">
        <v>0</v>
      </c>
      <c r="AP163" s="31">
        <v>0</v>
      </c>
      <c r="AQ163" s="31">
        <v>0</v>
      </c>
      <c r="AR163" s="31">
        <v>0</v>
      </c>
      <c r="AS163" s="31">
        <v>0</v>
      </c>
    </row>
    <row r="164" spans="1:45">
      <c r="A164" s="30" t="s">
        <v>676</v>
      </c>
      <c r="B164" s="30" t="s">
        <v>1407</v>
      </c>
      <c r="C164" s="30" t="s">
        <v>677</v>
      </c>
      <c r="D164" s="30" t="s">
        <v>71</v>
      </c>
      <c r="E164" s="30" t="s">
        <v>1609</v>
      </c>
      <c r="F164" s="30" t="s">
        <v>72</v>
      </c>
      <c r="G164" s="30" t="s">
        <v>519</v>
      </c>
      <c r="H164" s="30" t="s">
        <v>680</v>
      </c>
      <c r="I164" s="32">
        <v>94</v>
      </c>
      <c r="J164" s="32">
        <v>47</v>
      </c>
      <c r="K164" s="32">
        <v>54</v>
      </c>
      <c r="L164" s="32">
        <v>37</v>
      </c>
      <c r="M164" s="32">
        <v>42</v>
      </c>
      <c r="N164" s="32">
        <v>105</v>
      </c>
      <c r="O164" s="32">
        <v>119</v>
      </c>
      <c r="P164" s="32">
        <v>54</v>
      </c>
      <c r="Q164" s="32">
        <v>45</v>
      </c>
      <c r="R164" s="32">
        <v>57</v>
      </c>
      <c r="S164" s="32">
        <v>52</v>
      </c>
      <c r="T164" s="32">
        <v>37</v>
      </c>
      <c r="U164" s="32">
        <v>45</v>
      </c>
      <c r="V164" s="32">
        <v>30</v>
      </c>
      <c r="W164" s="32">
        <v>33</v>
      </c>
      <c r="X164" s="32">
        <v>50</v>
      </c>
      <c r="Y164" s="32">
        <v>30</v>
      </c>
      <c r="Z164" s="32">
        <v>46</v>
      </c>
      <c r="AA164" s="32">
        <v>73</v>
      </c>
      <c r="AB164" s="32">
        <v>33</v>
      </c>
      <c r="AC164" s="32">
        <v>46</v>
      </c>
      <c r="AD164" s="32">
        <v>64</v>
      </c>
      <c r="AE164" s="32">
        <v>32</v>
      </c>
      <c r="AF164" s="32">
        <v>25</v>
      </c>
      <c r="AG164" s="32">
        <v>74</v>
      </c>
      <c r="AH164" s="32">
        <v>41</v>
      </c>
      <c r="AI164" s="32">
        <v>36</v>
      </c>
      <c r="AJ164" s="32">
        <v>74</v>
      </c>
      <c r="AK164" s="32">
        <v>49</v>
      </c>
      <c r="AL164" s="32">
        <v>27</v>
      </c>
      <c r="AM164" s="32">
        <v>45</v>
      </c>
      <c r="AN164" s="32">
        <v>35</v>
      </c>
      <c r="AO164" s="32">
        <v>53</v>
      </c>
      <c r="AP164" s="32">
        <v>43</v>
      </c>
      <c r="AQ164" s="32">
        <v>56</v>
      </c>
      <c r="AR164" s="32">
        <v>59</v>
      </c>
      <c r="AS164" s="32">
        <v>111</v>
      </c>
    </row>
    <row r="165" spans="1:45">
      <c r="A165" s="30" t="s">
        <v>676</v>
      </c>
      <c r="B165" s="30" t="s">
        <v>1407</v>
      </c>
      <c r="C165" s="30" t="s">
        <v>677</v>
      </c>
      <c r="D165" s="30" t="s">
        <v>71</v>
      </c>
      <c r="E165" s="30" t="s">
        <v>1610</v>
      </c>
      <c r="F165" s="30" t="s">
        <v>72</v>
      </c>
      <c r="G165" s="30" t="s">
        <v>520</v>
      </c>
      <c r="H165" s="30" t="s">
        <v>680</v>
      </c>
      <c r="I165" s="32">
        <v>266</v>
      </c>
      <c r="J165" s="32">
        <v>109</v>
      </c>
      <c r="K165" s="32">
        <v>126</v>
      </c>
      <c r="L165" s="32">
        <v>59</v>
      </c>
      <c r="M165" s="32">
        <v>40</v>
      </c>
      <c r="N165" s="32">
        <v>114</v>
      </c>
      <c r="O165" s="32">
        <v>197</v>
      </c>
      <c r="P165" s="32">
        <v>178</v>
      </c>
      <c r="Q165" s="32">
        <v>198</v>
      </c>
      <c r="R165" s="32">
        <v>248</v>
      </c>
      <c r="S165" s="32">
        <v>158</v>
      </c>
      <c r="T165" s="32">
        <v>121</v>
      </c>
      <c r="U165" s="32">
        <v>142</v>
      </c>
      <c r="V165" s="32">
        <v>68</v>
      </c>
      <c r="W165" s="32">
        <v>75</v>
      </c>
      <c r="X165" s="32">
        <v>109</v>
      </c>
      <c r="Y165" s="32">
        <v>126</v>
      </c>
      <c r="Z165" s="32">
        <v>144.57210000000001</v>
      </c>
      <c r="AA165" s="32">
        <v>221.65889999999999</v>
      </c>
      <c r="AB165" s="32">
        <v>137</v>
      </c>
      <c r="AC165" s="32">
        <v>135</v>
      </c>
      <c r="AD165" s="32">
        <v>222</v>
      </c>
      <c r="AE165" s="32">
        <v>110</v>
      </c>
      <c r="AF165" s="32">
        <v>162</v>
      </c>
      <c r="AG165" s="32">
        <v>192</v>
      </c>
      <c r="AH165" s="32">
        <v>231</v>
      </c>
      <c r="AI165" s="32">
        <v>159</v>
      </c>
      <c r="AJ165" s="32">
        <v>148</v>
      </c>
      <c r="AK165" s="32">
        <v>171</v>
      </c>
      <c r="AL165" s="32">
        <v>195</v>
      </c>
      <c r="AM165" s="32">
        <v>297</v>
      </c>
      <c r="AN165" s="32">
        <v>187</v>
      </c>
      <c r="AO165" s="32">
        <v>138</v>
      </c>
      <c r="AP165" s="32">
        <v>195</v>
      </c>
      <c r="AQ165" s="32">
        <v>126</v>
      </c>
      <c r="AR165" s="32">
        <v>129</v>
      </c>
      <c r="AS165" s="32">
        <v>192</v>
      </c>
    </row>
    <row r="166" spans="1:45">
      <c r="A166" s="30" t="s">
        <v>676</v>
      </c>
      <c r="B166" s="30" t="s">
        <v>1407</v>
      </c>
      <c r="C166" s="30" t="s">
        <v>677</v>
      </c>
      <c r="D166" s="30" t="s">
        <v>71</v>
      </c>
      <c r="E166" s="30" t="s">
        <v>1611</v>
      </c>
      <c r="F166" s="30" t="s">
        <v>72</v>
      </c>
      <c r="G166" s="30" t="s">
        <v>521</v>
      </c>
      <c r="H166" s="30" t="s">
        <v>680</v>
      </c>
      <c r="I166" s="31">
        <v>0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2">
        <v>13</v>
      </c>
      <c r="V166" s="32">
        <v>11</v>
      </c>
      <c r="W166" s="32">
        <v>16</v>
      </c>
      <c r="X166" s="32">
        <v>22</v>
      </c>
      <c r="Y166" s="32">
        <v>18</v>
      </c>
      <c r="Z166" s="32">
        <v>34</v>
      </c>
      <c r="AA166" s="32">
        <v>33</v>
      </c>
      <c r="AB166" s="32">
        <v>23</v>
      </c>
      <c r="AC166" s="32">
        <v>30</v>
      </c>
      <c r="AD166" s="32">
        <v>14</v>
      </c>
      <c r="AE166" s="31">
        <v>0</v>
      </c>
      <c r="AF166" s="31">
        <v>0</v>
      </c>
      <c r="AG166" s="31">
        <v>0</v>
      </c>
      <c r="AH166" s="31">
        <v>0</v>
      </c>
      <c r="AI166" s="31">
        <v>0</v>
      </c>
      <c r="AJ166" s="31">
        <v>0</v>
      </c>
      <c r="AK166" s="31">
        <v>0</v>
      </c>
      <c r="AL166" s="31">
        <v>0</v>
      </c>
      <c r="AM166" s="31">
        <v>0</v>
      </c>
      <c r="AN166" s="31">
        <v>0</v>
      </c>
      <c r="AO166" s="31">
        <v>0</v>
      </c>
      <c r="AP166" s="32">
        <v>1</v>
      </c>
      <c r="AQ166" s="32">
        <v>1</v>
      </c>
      <c r="AR166" s="32">
        <v>4</v>
      </c>
      <c r="AS166" s="32">
        <v>2</v>
      </c>
    </row>
    <row r="167" spans="1:45">
      <c r="A167" s="30" t="s">
        <v>676</v>
      </c>
      <c r="B167" s="30" t="s">
        <v>1407</v>
      </c>
      <c r="C167" s="30" t="s">
        <v>677</v>
      </c>
      <c r="D167" s="30" t="s">
        <v>71</v>
      </c>
      <c r="E167" s="30" t="s">
        <v>1612</v>
      </c>
      <c r="F167" s="30" t="s">
        <v>71</v>
      </c>
      <c r="G167" s="30" t="s">
        <v>522</v>
      </c>
      <c r="H167" s="30" t="s">
        <v>680</v>
      </c>
      <c r="I167" s="31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2">
        <v>7</v>
      </c>
      <c r="T167" s="32">
        <v>23</v>
      </c>
      <c r="U167" s="32">
        <v>38</v>
      </c>
      <c r="V167" s="32">
        <v>28</v>
      </c>
      <c r="W167" s="32">
        <v>24</v>
      </c>
      <c r="X167" s="32">
        <v>43</v>
      </c>
      <c r="Y167" s="32">
        <v>39</v>
      </c>
      <c r="Z167" s="32">
        <v>27</v>
      </c>
      <c r="AA167" s="32">
        <v>40</v>
      </c>
      <c r="AB167" s="32">
        <v>26</v>
      </c>
      <c r="AC167" s="32">
        <v>28</v>
      </c>
      <c r="AD167" s="32">
        <v>19</v>
      </c>
      <c r="AE167" s="31">
        <v>0</v>
      </c>
      <c r="AF167" s="31">
        <v>0</v>
      </c>
      <c r="AG167" s="31">
        <v>0</v>
      </c>
      <c r="AH167" s="31">
        <v>0</v>
      </c>
      <c r="AI167" s="31">
        <v>0</v>
      </c>
      <c r="AJ167" s="31">
        <v>0</v>
      </c>
      <c r="AK167" s="31">
        <v>0</v>
      </c>
      <c r="AL167" s="31">
        <v>0</v>
      </c>
      <c r="AM167" s="31">
        <v>0</v>
      </c>
      <c r="AN167" s="31">
        <v>0</v>
      </c>
      <c r="AO167" s="32">
        <v>1</v>
      </c>
      <c r="AP167" s="31">
        <v>0</v>
      </c>
      <c r="AQ167" s="32">
        <v>2</v>
      </c>
      <c r="AR167" s="32">
        <v>4</v>
      </c>
      <c r="AS167" s="32">
        <v>1</v>
      </c>
    </row>
    <row r="168" spans="1:45">
      <c r="A168" s="30" t="s">
        <v>676</v>
      </c>
      <c r="B168" s="30" t="s">
        <v>1407</v>
      </c>
      <c r="C168" s="30" t="s">
        <v>677</v>
      </c>
      <c r="D168" s="30" t="s">
        <v>71</v>
      </c>
      <c r="E168" s="30" t="s">
        <v>1613</v>
      </c>
      <c r="F168" s="30" t="s">
        <v>72</v>
      </c>
      <c r="G168" s="30" t="s">
        <v>523</v>
      </c>
      <c r="H168" s="30" t="s">
        <v>680</v>
      </c>
      <c r="I168" s="31">
        <v>0</v>
      </c>
      <c r="J168" s="31">
        <v>0</v>
      </c>
      <c r="K168" s="31">
        <v>0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2">
        <v>6</v>
      </c>
      <c r="S168" s="32">
        <v>7</v>
      </c>
      <c r="T168" s="32">
        <v>8</v>
      </c>
      <c r="U168" s="32">
        <v>34</v>
      </c>
      <c r="V168" s="32">
        <v>26</v>
      </c>
      <c r="W168" s="32">
        <v>27</v>
      </c>
      <c r="X168" s="32">
        <v>42</v>
      </c>
      <c r="Y168" s="32">
        <v>24</v>
      </c>
      <c r="Z168" s="32">
        <v>23</v>
      </c>
      <c r="AA168" s="32">
        <v>31</v>
      </c>
      <c r="AB168" s="32">
        <v>20</v>
      </c>
      <c r="AC168" s="32">
        <v>16</v>
      </c>
      <c r="AD168" s="32">
        <v>19</v>
      </c>
      <c r="AE168" s="32">
        <v>3</v>
      </c>
      <c r="AF168" s="32">
        <v>3</v>
      </c>
      <c r="AG168" s="32">
        <v>1</v>
      </c>
      <c r="AH168" s="31">
        <v>0</v>
      </c>
      <c r="AI168" s="31">
        <v>0</v>
      </c>
      <c r="AJ168" s="31">
        <v>0</v>
      </c>
      <c r="AK168" s="31">
        <v>0</v>
      </c>
      <c r="AL168" s="31">
        <v>0</v>
      </c>
      <c r="AM168" s="31">
        <v>0</v>
      </c>
      <c r="AN168" s="31">
        <v>0</v>
      </c>
      <c r="AO168" s="31">
        <v>0</v>
      </c>
      <c r="AP168" s="31">
        <v>0</v>
      </c>
      <c r="AQ168" s="32">
        <v>2</v>
      </c>
      <c r="AR168" s="32">
        <v>3</v>
      </c>
      <c r="AS168" s="32">
        <v>4</v>
      </c>
    </row>
    <row r="169" spans="1:45">
      <c r="A169" s="30" t="s">
        <v>676</v>
      </c>
      <c r="B169" s="30" t="s">
        <v>1407</v>
      </c>
      <c r="C169" s="30" t="s">
        <v>677</v>
      </c>
      <c r="D169" s="30" t="s">
        <v>71</v>
      </c>
      <c r="E169" s="30" t="s">
        <v>1614</v>
      </c>
      <c r="F169" s="30" t="s">
        <v>72</v>
      </c>
      <c r="G169" s="30" t="s">
        <v>524</v>
      </c>
      <c r="H169" s="30" t="s">
        <v>680</v>
      </c>
      <c r="I169" s="31">
        <v>0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2">
        <v>13</v>
      </c>
      <c r="U169" s="32">
        <v>46</v>
      </c>
      <c r="V169" s="32">
        <v>38</v>
      </c>
      <c r="W169" s="32">
        <v>43</v>
      </c>
      <c r="X169" s="32">
        <v>64</v>
      </c>
      <c r="Y169" s="32">
        <v>27</v>
      </c>
      <c r="Z169" s="32">
        <v>32</v>
      </c>
      <c r="AA169" s="32">
        <v>57</v>
      </c>
      <c r="AB169" s="32">
        <v>42</v>
      </c>
      <c r="AC169" s="32">
        <v>40</v>
      </c>
      <c r="AD169" s="32">
        <v>18</v>
      </c>
      <c r="AE169" s="31">
        <v>0</v>
      </c>
      <c r="AF169" s="31">
        <v>0</v>
      </c>
      <c r="AG169" s="31">
        <v>0</v>
      </c>
      <c r="AH169" s="31">
        <v>0</v>
      </c>
      <c r="AI169" s="31">
        <v>0</v>
      </c>
      <c r="AJ169" s="31">
        <v>0</v>
      </c>
      <c r="AK169" s="31">
        <v>0</v>
      </c>
      <c r="AL169" s="31">
        <v>0</v>
      </c>
      <c r="AM169" s="32">
        <v>2</v>
      </c>
      <c r="AN169" s="32">
        <v>6</v>
      </c>
      <c r="AO169" s="32">
        <v>1</v>
      </c>
      <c r="AP169" s="32">
        <v>4</v>
      </c>
      <c r="AQ169" s="31">
        <v>0</v>
      </c>
      <c r="AR169" s="32">
        <v>5</v>
      </c>
      <c r="AS169" s="32">
        <v>10</v>
      </c>
    </row>
    <row r="170" spans="1:45">
      <c r="A170" s="30" t="s">
        <v>676</v>
      </c>
      <c r="B170" s="30" t="s">
        <v>1407</v>
      </c>
      <c r="C170" s="30" t="s">
        <v>677</v>
      </c>
      <c r="D170" s="30" t="s">
        <v>71</v>
      </c>
      <c r="E170" s="30" t="s">
        <v>1615</v>
      </c>
      <c r="F170" s="30" t="s">
        <v>72</v>
      </c>
      <c r="G170" s="30" t="s">
        <v>525</v>
      </c>
      <c r="H170" s="30" t="s">
        <v>680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2">
        <v>18</v>
      </c>
      <c r="S170" s="32">
        <v>36</v>
      </c>
      <c r="T170" s="32">
        <v>33</v>
      </c>
      <c r="U170" s="32">
        <v>71</v>
      </c>
      <c r="V170" s="32">
        <v>39.197400000000002</v>
      </c>
      <c r="W170" s="32">
        <v>35</v>
      </c>
      <c r="X170" s="32">
        <v>56</v>
      </c>
      <c r="Y170" s="32">
        <v>55</v>
      </c>
      <c r="Z170" s="32">
        <v>70.011499999999998</v>
      </c>
      <c r="AA170" s="32">
        <v>106.9359</v>
      </c>
      <c r="AB170" s="32">
        <v>33</v>
      </c>
      <c r="AC170" s="32">
        <v>67</v>
      </c>
      <c r="AD170" s="32">
        <v>64</v>
      </c>
      <c r="AE170" s="32">
        <v>30</v>
      </c>
      <c r="AF170" s="32">
        <v>14</v>
      </c>
      <c r="AG170" s="32">
        <v>27</v>
      </c>
      <c r="AH170" s="32">
        <v>11</v>
      </c>
      <c r="AI170" s="32">
        <v>6</v>
      </c>
      <c r="AJ170" s="32">
        <v>4</v>
      </c>
      <c r="AK170" s="31">
        <v>0</v>
      </c>
      <c r="AL170" s="32">
        <v>1</v>
      </c>
      <c r="AM170" s="32">
        <v>3</v>
      </c>
      <c r="AN170" s="32">
        <v>1</v>
      </c>
      <c r="AO170" s="31">
        <v>0</v>
      </c>
      <c r="AP170" s="32">
        <v>5</v>
      </c>
      <c r="AQ170" s="32">
        <v>7</v>
      </c>
      <c r="AR170" s="32">
        <v>3</v>
      </c>
      <c r="AS170" s="32">
        <v>3</v>
      </c>
    </row>
    <row r="171" spans="1:45">
      <c r="A171" s="30" t="s">
        <v>676</v>
      </c>
      <c r="B171" s="30" t="s">
        <v>1407</v>
      </c>
      <c r="C171" s="30" t="s">
        <v>677</v>
      </c>
      <c r="D171" s="30" t="s">
        <v>71</v>
      </c>
      <c r="E171" s="30" t="s">
        <v>1616</v>
      </c>
      <c r="F171" s="30" t="s">
        <v>72</v>
      </c>
      <c r="G171" s="30" t="s">
        <v>526</v>
      </c>
      <c r="H171" s="30" t="s">
        <v>680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2">
        <v>2</v>
      </c>
      <c r="O171" s="32">
        <v>27</v>
      </c>
      <c r="P171" s="32">
        <v>31</v>
      </c>
      <c r="Q171" s="32">
        <v>30</v>
      </c>
      <c r="R171" s="32">
        <v>61</v>
      </c>
      <c r="S171" s="32">
        <v>30</v>
      </c>
      <c r="T171" s="32">
        <v>55</v>
      </c>
      <c r="U171" s="32">
        <v>84</v>
      </c>
      <c r="V171" s="32">
        <v>52</v>
      </c>
      <c r="W171" s="32">
        <v>54</v>
      </c>
      <c r="X171" s="32">
        <v>99</v>
      </c>
      <c r="Y171" s="32">
        <v>82</v>
      </c>
      <c r="Z171" s="32">
        <v>82.781899999999993</v>
      </c>
      <c r="AA171" s="32">
        <v>94</v>
      </c>
      <c r="AB171" s="32">
        <v>60</v>
      </c>
      <c r="AC171" s="32">
        <v>96</v>
      </c>
      <c r="AD171" s="32">
        <v>72</v>
      </c>
      <c r="AE171" s="32">
        <v>34</v>
      </c>
      <c r="AF171" s="32">
        <v>34</v>
      </c>
      <c r="AG171" s="32">
        <v>14</v>
      </c>
      <c r="AH171" s="32">
        <v>12</v>
      </c>
      <c r="AI171" s="32">
        <v>8</v>
      </c>
      <c r="AJ171" s="32">
        <v>8</v>
      </c>
      <c r="AK171" s="32">
        <v>1</v>
      </c>
      <c r="AL171" s="32">
        <v>5</v>
      </c>
      <c r="AM171" s="32">
        <v>11</v>
      </c>
      <c r="AN171" s="32">
        <v>6</v>
      </c>
      <c r="AO171" s="32">
        <v>7</v>
      </c>
      <c r="AP171" s="32">
        <v>3</v>
      </c>
      <c r="AQ171" s="32">
        <v>8</v>
      </c>
      <c r="AR171" s="32">
        <v>10</v>
      </c>
      <c r="AS171" s="32">
        <v>1</v>
      </c>
    </row>
    <row r="172" spans="1:45">
      <c r="A172" s="30" t="s">
        <v>676</v>
      </c>
      <c r="B172" s="30" t="s">
        <v>1407</v>
      </c>
      <c r="C172" s="30" t="s">
        <v>677</v>
      </c>
      <c r="D172" s="30" t="s">
        <v>71</v>
      </c>
      <c r="E172" s="30" t="s">
        <v>1617</v>
      </c>
      <c r="F172" s="30" t="s">
        <v>72</v>
      </c>
      <c r="G172" s="30" t="s">
        <v>527</v>
      </c>
      <c r="H172" s="30" t="s">
        <v>680</v>
      </c>
      <c r="I172" s="31">
        <v>0</v>
      </c>
      <c r="J172" s="31">
        <v>0</v>
      </c>
      <c r="K172" s="31">
        <v>0</v>
      </c>
      <c r="L172" s="31">
        <v>0</v>
      </c>
      <c r="M172" s="31">
        <v>0</v>
      </c>
      <c r="N172" s="32">
        <v>1</v>
      </c>
      <c r="O172" s="32">
        <v>56</v>
      </c>
      <c r="P172" s="32">
        <v>57</v>
      </c>
      <c r="Q172" s="32">
        <v>90</v>
      </c>
      <c r="R172" s="32">
        <v>113</v>
      </c>
      <c r="S172" s="32">
        <v>61</v>
      </c>
      <c r="T172" s="32">
        <v>60</v>
      </c>
      <c r="U172" s="32">
        <v>76</v>
      </c>
      <c r="V172" s="32">
        <v>39</v>
      </c>
      <c r="W172" s="32">
        <v>39</v>
      </c>
      <c r="X172" s="32">
        <v>53</v>
      </c>
      <c r="Y172" s="32">
        <v>31</v>
      </c>
      <c r="Z172" s="32">
        <v>35.860300000000002</v>
      </c>
      <c r="AA172" s="32">
        <v>34.227600000000002</v>
      </c>
      <c r="AB172" s="32">
        <v>29</v>
      </c>
      <c r="AC172" s="32">
        <v>33</v>
      </c>
      <c r="AD172" s="32">
        <v>27</v>
      </c>
      <c r="AE172" s="32">
        <v>20</v>
      </c>
      <c r="AF172" s="32">
        <v>14</v>
      </c>
      <c r="AG172" s="32">
        <v>14</v>
      </c>
      <c r="AH172" s="32">
        <v>16</v>
      </c>
      <c r="AI172" s="32">
        <v>6</v>
      </c>
      <c r="AJ172" s="32">
        <v>11</v>
      </c>
      <c r="AK172" s="32">
        <v>1</v>
      </c>
      <c r="AL172" s="32">
        <v>4</v>
      </c>
      <c r="AM172" s="32">
        <v>4</v>
      </c>
      <c r="AN172" s="32">
        <v>3</v>
      </c>
      <c r="AO172" s="32">
        <v>1</v>
      </c>
      <c r="AP172" s="32">
        <v>1</v>
      </c>
      <c r="AQ172" s="32">
        <v>1</v>
      </c>
      <c r="AR172" s="31">
        <v>0</v>
      </c>
      <c r="AS172" s="32">
        <v>5</v>
      </c>
    </row>
    <row r="173" spans="1:45">
      <c r="A173" s="30" t="s">
        <v>676</v>
      </c>
      <c r="B173" s="30" t="s">
        <v>1407</v>
      </c>
      <c r="C173" s="30" t="s">
        <v>677</v>
      </c>
      <c r="D173" s="30" t="s">
        <v>71</v>
      </c>
      <c r="E173" s="30" t="s">
        <v>1618</v>
      </c>
      <c r="F173" s="30" t="s">
        <v>72</v>
      </c>
      <c r="G173" s="30" t="s">
        <v>528</v>
      </c>
      <c r="H173" s="30" t="s">
        <v>680</v>
      </c>
      <c r="I173" s="32">
        <v>137</v>
      </c>
      <c r="J173" s="32">
        <v>49</v>
      </c>
      <c r="K173" s="32">
        <v>63</v>
      </c>
      <c r="L173" s="32">
        <v>37</v>
      </c>
      <c r="M173" s="32">
        <v>56</v>
      </c>
      <c r="N173" s="32">
        <v>132</v>
      </c>
      <c r="O173" s="32">
        <v>162</v>
      </c>
      <c r="P173" s="32">
        <v>63</v>
      </c>
      <c r="Q173" s="32">
        <v>58</v>
      </c>
      <c r="R173" s="32">
        <v>75</v>
      </c>
      <c r="S173" s="32">
        <v>55</v>
      </c>
      <c r="T173" s="32">
        <v>50</v>
      </c>
      <c r="U173" s="32">
        <v>63</v>
      </c>
      <c r="V173" s="32">
        <v>38</v>
      </c>
      <c r="W173" s="32">
        <v>35</v>
      </c>
      <c r="X173" s="32">
        <v>54</v>
      </c>
      <c r="Y173" s="32">
        <v>44</v>
      </c>
      <c r="Z173" s="32">
        <v>44</v>
      </c>
      <c r="AA173" s="32">
        <v>82</v>
      </c>
      <c r="AB173" s="32">
        <v>41</v>
      </c>
      <c r="AC173" s="32">
        <v>38</v>
      </c>
      <c r="AD173" s="32">
        <v>79</v>
      </c>
      <c r="AE173" s="32">
        <v>47</v>
      </c>
      <c r="AF173" s="32">
        <v>37</v>
      </c>
      <c r="AG173" s="32">
        <v>51</v>
      </c>
      <c r="AH173" s="32">
        <v>42</v>
      </c>
      <c r="AI173" s="32">
        <v>31</v>
      </c>
      <c r="AJ173" s="32">
        <v>73</v>
      </c>
      <c r="AK173" s="32">
        <v>51</v>
      </c>
      <c r="AL173" s="32">
        <v>47</v>
      </c>
      <c r="AM173" s="32">
        <v>49</v>
      </c>
      <c r="AN173" s="32">
        <v>30</v>
      </c>
      <c r="AO173" s="32">
        <v>30</v>
      </c>
      <c r="AP173" s="32">
        <v>50</v>
      </c>
      <c r="AQ173" s="32">
        <v>47</v>
      </c>
      <c r="AR173" s="32">
        <v>39</v>
      </c>
      <c r="AS173" s="32">
        <v>70</v>
      </c>
    </row>
    <row r="174" spans="1:45">
      <c r="A174" s="30" t="s">
        <v>676</v>
      </c>
      <c r="B174" s="30" t="s">
        <v>1407</v>
      </c>
      <c r="C174" s="30" t="s">
        <v>677</v>
      </c>
      <c r="D174" s="30" t="s">
        <v>71</v>
      </c>
      <c r="E174" s="30" t="s">
        <v>1619</v>
      </c>
      <c r="F174" s="30" t="s">
        <v>72</v>
      </c>
      <c r="G174" s="30" t="s">
        <v>529</v>
      </c>
      <c r="H174" s="30" t="s">
        <v>680</v>
      </c>
      <c r="I174" s="32">
        <v>79</v>
      </c>
      <c r="J174" s="32">
        <v>43</v>
      </c>
      <c r="K174" s="32">
        <v>39</v>
      </c>
      <c r="L174" s="32">
        <v>29</v>
      </c>
      <c r="M174" s="32">
        <v>28</v>
      </c>
      <c r="N174" s="32">
        <v>86</v>
      </c>
      <c r="O174" s="32">
        <v>95</v>
      </c>
      <c r="P174" s="32">
        <v>59</v>
      </c>
      <c r="Q174" s="32">
        <v>36</v>
      </c>
      <c r="R174" s="32">
        <v>44</v>
      </c>
      <c r="S174" s="32">
        <v>28</v>
      </c>
      <c r="T174" s="32">
        <v>40</v>
      </c>
      <c r="U174" s="32">
        <v>34</v>
      </c>
      <c r="V174" s="32">
        <v>26</v>
      </c>
      <c r="W174" s="32">
        <v>24</v>
      </c>
      <c r="X174" s="32">
        <v>40</v>
      </c>
      <c r="Y174" s="32">
        <v>24</v>
      </c>
      <c r="Z174" s="32">
        <v>33</v>
      </c>
      <c r="AA174" s="32">
        <v>48</v>
      </c>
      <c r="AB174" s="32">
        <v>24</v>
      </c>
      <c r="AC174" s="32">
        <v>25</v>
      </c>
      <c r="AD174" s="32">
        <v>48</v>
      </c>
      <c r="AE174" s="32">
        <v>24</v>
      </c>
      <c r="AF174" s="32">
        <v>24</v>
      </c>
      <c r="AG174" s="32">
        <v>30</v>
      </c>
      <c r="AH174" s="32">
        <v>29</v>
      </c>
      <c r="AI174" s="32">
        <v>20</v>
      </c>
      <c r="AJ174" s="32">
        <v>49</v>
      </c>
      <c r="AK174" s="32">
        <v>27</v>
      </c>
      <c r="AL174" s="32">
        <v>29</v>
      </c>
      <c r="AM174" s="32">
        <v>28</v>
      </c>
      <c r="AN174" s="32">
        <v>16</v>
      </c>
      <c r="AO174" s="32">
        <v>18</v>
      </c>
      <c r="AP174" s="32">
        <v>32</v>
      </c>
      <c r="AQ174" s="32">
        <v>26</v>
      </c>
      <c r="AR174" s="32">
        <v>25</v>
      </c>
      <c r="AS174" s="32">
        <v>95</v>
      </c>
    </row>
    <row r="175" spans="1:45">
      <c r="A175" s="30" t="s">
        <v>676</v>
      </c>
      <c r="B175" s="30" t="s">
        <v>1407</v>
      </c>
      <c r="C175" s="30" t="s">
        <v>677</v>
      </c>
      <c r="D175" s="30" t="s">
        <v>71</v>
      </c>
      <c r="E175" s="30" t="s">
        <v>1620</v>
      </c>
      <c r="F175" s="30" t="s">
        <v>72</v>
      </c>
      <c r="G175" s="30" t="s">
        <v>530</v>
      </c>
      <c r="H175" s="30" t="s">
        <v>680</v>
      </c>
      <c r="I175" s="32">
        <v>182</v>
      </c>
      <c r="J175" s="32">
        <v>79</v>
      </c>
      <c r="K175" s="32">
        <v>150</v>
      </c>
      <c r="L175" s="32">
        <v>72</v>
      </c>
      <c r="M175" s="32">
        <v>28</v>
      </c>
      <c r="N175" s="32">
        <v>110</v>
      </c>
      <c r="O175" s="32">
        <v>159</v>
      </c>
      <c r="P175" s="32">
        <v>103</v>
      </c>
      <c r="Q175" s="32">
        <v>107</v>
      </c>
      <c r="R175" s="32">
        <v>156</v>
      </c>
      <c r="S175" s="32">
        <v>127</v>
      </c>
      <c r="T175" s="32">
        <v>86</v>
      </c>
      <c r="U175" s="32">
        <v>108</v>
      </c>
      <c r="V175" s="32">
        <v>39</v>
      </c>
      <c r="W175" s="32">
        <v>83</v>
      </c>
      <c r="X175" s="32">
        <v>145</v>
      </c>
      <c r="Y175" s="32">
        <v>106</v>
      </c>
      <c r="Z175" s="32">
        <v>101.79259999999999</v>
      </c>
      <c r="AA175" s="32">
        <v>197.04</v>
      </c>
      <c r="AB175" s="32">
        <v>127</v>
      </c>
      <c r="AC175" s="32">
        <v>104</v>
      </c>
      <c r="AD175" s="32">
        <v>173</v>
      </c>
      <c r="AE175" s="32">
        <v>106</v>
      </c>
      <c r="AF175" s="32">
        <v>106</v>
      </c>
      <c r="AG175" s="32">
        <v>179</v>
      </c>
      <c r="AH175" s="32">
        <v>147</v>
      </c>
      <c r="AI175" s="32">
        <v>100</v>
      </c>
      <c r="AJ175" s="32">
        <v>162</v>
      </c>
      <c r="AK175" s="32">
        <v>104</v>
      </c>
      <c r="AL175" s="32">
        <v>73</v>
      </c>
      <c r="AM175" s="32">
        <v>144</v>
      </c>
      <c r="AN175" s="32">
        <v>68</v>
      </c>
      <c r="AO175" s="32">
        <v>84</v>
      </c>
      <c r="AP175" s="32">
        <v>99</v>
      </c>
      <c r="AQ175" s="32">
        <v>75</v>
      </c>
      <c r="AR175" s="32">
        <v>76</v>
      </c>
      <c r="AS175" s="32">
        <v>130</v>
      </c>
    </row>
    <row r="176" spans="1:45">
      <c r="A176" s="30" t="s">
        <v>676</v>
      </c>
      <c r="B176" s="30" t="s">
        <v>1407</v>
      </c>
      <c r="C176" s="30" t="s">
        <v>677</v>
      </c>
      <c r="D176" s="30" t="s">
        <v>71</v>
      </c>
      <c r="E176" s="30" t="s">
        <v>1621</v>
      </c>
      <c r="F176" s="30" t="s">
        <v>72</v>
      </c>
      <c r="G176" s="30" t="s">
        <v>531</v>
      </c>
      <c r="H176" s="30" t="s">
        <v>680</v>
      </c>
      <c r="I176" s="32">
        <v>38</v>
      </c>
      <c r="J176" s="32">
        <v>23</v>
      </c>
      <c r="K176" s="32">
        <v>18</v>
      </c>
      <c r="L176" s="32">
        <v>20</v>
      </c>
      <c r="M176" s="32">
        <v>24</v>
      </c>
      <c r="N176" s="32">
        <v>57</v>
      </c>
      <c r="O176" s="32">
        <v>77</v>
      </c>
      <c r="P176" s="32">
        <v>43</v>
      </c>
      <c r="Q176" s="32">
        <v>43</v>
      </c>
      <c r="R176" s="32">
        <v>50</v>
      </c>
      <c r="S176" s="32">
        <v>34</v>
      </c>
      <c r="T176" s="32">
        <v>22</v>
      </c>
      <c r="U176" s="32">
        <v>32</v>
      </c>
      <c r="V176" s="32">
        <v>13</v>
      </c>
      <c r="W176" s="32">
        <v>14</v>
      </c>
      <c r="X176" s="32">
        <v>20</v>
      </c>
      <c r="Y176" s="32">
        <v>15</v>
      </c>
      <c r="Z176" s="32">
        <v>16</v>
      </c>
      <c r="AA176" s="32">
        <v>31</v>
      </c>
      <c r="AB176" s="32">
        <v>9</v>
      </c>
      <c r="AC176" s="32">
        <v>25</v>
      </c>
      <c r="AD176" s="32">
        <v>18</v>
      </c>
      <c r="AE176" s="32">
        <v>18</v>
      </c>
      <c r="AF176" s="32">
        <v>19</v>
      </c>
      <c r="AG176" s="32">
        <v>17</v>
      </c>
      <c r="AH176" s="32">
        <v>13</v>
      </c>
      <c r="AI176" s="32">
        <v>12</v>
      </c>
      <c r="AJ176" s="32">
        <v>30</v>
      </c>
      <c r="AK176" s="32">
        <v>13</v>
      </c>
      <c r="AL176" s="32">
        <v>11</v>
      </c>
      <c r="AM176" s="32">
        <v>19</v>
      </c>
      <c r="AN176" s="32">
        <v>24</v>
      </c>
      <c r="AO176" s="32">
        <v>23</v>
      </c>
      <c r="AP176" s="32">
        <v>33</v>
      </c>
      <c r="AQ176" s="32">
        <v>31</v>
      </c>
      <c r="AR176" s="32">
        <v>17</v>
      </c>
      <c r="AS176" s="32">
        <v>60</v>
      </c>
    </row>
    <row r="177" spans="1:45">
      <c r="A177" s="30" t="s">
        <v>676</v>
      </c>
      <c r="B177" s="30" t="s">
        <v>1407</v>
      </c>
      <c r="C177" s="30" t="s">
        <v>677</v>
      </c>
      <c r="D177" s="30" t="s">
        <v>71</v>
      </c>
      <c r="E177" s="30" t="s">
        <v>1622</v>
      </c>
      <c r="F177" s="30" t="s">
        <v>72</v>
      </c>
      <c r="G177" s="30" t="s">
        <v>533</v>
      </c>
      <c r="H177" s="30" t="s">
        <v>680</v>
      </c>
      <c r="I177" s="32">
        <v>39</v>
      </c>
      <c r="J177" s="32">
        <v>13</v>
      </c>
      <c r="K177" s="32">
        <v>14</v>
      </c>
      <c r="L177" s="32">
        <v>11</v>
      </c>
      <c r="M177" s="32">
        <v>9</v>
      </c>
      <c r="N177" s="32">
        <v>5</v>
      </c>
      <c r="O177" s="32">
        <v>14</v>
      </c>
      <c r="P177" s="32">
        <v>2</v>
      </c>
      <c r="Q177" s="32">
        <v>3</v>
      </c>
      <c r="R177" s="32">
        <v>7</v>
      </c>
      <c r="S177" s="32">
        <v>10</v>
      </c>
      <c r="T177" s="32">
        <v>5</v>
      </c>
      <c r="U177" s="32">
        <v>3</v>
      </c>
      <c r="V177" s="32">
        <v>3</v>
      </c>
      <c r="W177" s="32">
        <v>3</v>
      </c>
      <c r="X177" s="32">
        <v>7</v>
      </c>
      <c r="Y177" s="32">
        <v>2</v>
      </c>
      <c r="Z177" s="32">
        <v>2</v>
      </c>
      <c r="AA177" s="32">
        <v>1</v>
      </c>
      <c r="AB177" s="32">
        <v>3</v>
      </c>
      <c r="AC177" s="31">
        <v>0</v>
      </c>
      <c r="AD177" s="32">
        <v>4</v>
      </c>
      <c r="AE177" s="32">
        <v>1</v>
      </c>
      <c r="AF177" s="32">
        <v>1</v>
      </c>
      <c r="AG177" s="31">
        <v>0</v>
      </c>
      <c r="AH177" s="31">
        <v>0</v>
      </c>
      <c r="AI177" s="31">
        <v>0</v>
      </c>
      <c r="AJ177" s="31">
        <v>0</v>
      </c>
      <c r="AK177" s="31">
        <v>0</v>
      </c>
      <c r="AL177" s="31">
        <v>0</v>
      </c>
      <c r="AM177" s="31">
        <v>0</v>
      </c>
      <c r="AN177" s="31">
        <v>0</v>
      </c>
      <c r="AO177" s="31">
        <v>0</v>
      </c>
      <c r="AP177" s="31">
        <v>0</v>
      </c>
      <c r="AQ177" s="31">
        <v>0</v>
      </c>
      <c r="AR177" s="31">
        <v>0</v>
      </c>
      <c r="AS177" s="31">
        <v>0</v>
      </c>
    </row>
    <row r="178" spans="1:45">
      <c r="A178" s="30" t="s">
        <v>676</v>
      </c>
      <c r="B178" s="30" t="s">
        <v>1407</v>
      </c>
      <c r="C178" s="30" t="s">
        <v>677</v>
      </c>
      <c r="D178" s="30" t="s">
        <v>71</v>
      </c>
      <c r="E178" s="30" t="s">
        <v>1623</v>
      </c>
      <c r="F178" s="30" t="s">
        <v>72</v>
      </c>
      <c r="G178" s="30" t="s">
        <v>577</v>
      </c>
      <c r="H178" s="30" t="s">
        <v>680</v>
      </c>
      <c r="I178" s="32">
        <v>1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  <c r="AC178" s="31">
        <v>0</v>
      </c>
      <c r="AD178" s="31">
        <v>0</v>
      </c>
      <c r="AE178" s="31">
        <v>0</v>
      </c>
      <c r="AF178" s="31">
        <v>0</v>
      </c>
      <c r="AG178" s="31">
        <v>0</v>
      </c>
      <c r="AH178" s="31">
        <v>0</v>
      </c>
      <c r="AI178" s="31">
        <v>0</v>
      </c>
      <c r="AJ178" s="31">
        <v>0</v>
      </c>
      <c r="AK178" s="31">
        <v>0</v>
      </c>
      <c r="AL178" s="31">
        <v>0</v>
      </c>
      <c r="AM178" s="31">
        <v>0</v>
      </c>
      <c r="AN178" s="31">
        <v>0</v>
      </c>
      <c r="AO178" s="31">
        <v>0</v>
      </c>
      <c r="AP178" s="31">
        <v>0</v>
      </c>
      <c r="AQ178" s="31">
        <v>0</v>
      </c>
      <c r="AR178" s="31">
        <v>0</v>
      </c>
      <c r="AS178" s="31">
        <v>0</v>
      </c>
    </row>
    <row r="179" spans="1:45">
      <c r="A179" s="30" t="s">
        <v>676</v>
      </c>
      <c r="B179" s="30" t="s">
        <v>1407</v>
      </c>
      <c r="C179" s="30" t="s">
        <v>677</v>
      </c>
      <c r="D179" s="30" t="s">
        <v>71</v>
      </c>
      <c r="E179" s="30" t="s">
        <v>1624</v>
      </c>
      <c r="F179" s="30" t="s">
        <v>72</v>
      </c>
      <c r="G179" s="30" t="s">
        <v>534</v>
      </c>
      <c r="H179" s="30" t="s">
        <v>680</v>
      </c>
      <c r="I179" s="32">
        <v>6</v>
      </c>
      <c r="J179" s="32">
        <v>4</v>
      </c>
      <c r="K179" s="32">
        <v>1</v>
      </c>
      <c r="L179" s="32">
        <v>2</v>
      </c>
      <c r="M179" s="31">
        <v>0</v>
      </c>
      <c r="N179" s="32">
        <v>1</v>
      </c>
      <c r="O179" s="31">
        <v>0</v>
      </c>
      <c r="P179" s="31">
        <v>0</v>
      </c>
      <c r="Q179" s="31">
        <v>0</v>
      </c>
      <c r="R179" s="32">
        <v>1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2">
        <v>1</v>
      </c>
      <c r="Z179" s="31">
        <v>0</v>
      </c>
      <c r="AA179" s="31">
        <v>0</v>
      </c>
      <c r="AB179" s="31">
        <v>0</v>
      </c>
      <c r="AC179" s="31">
        <v>0</v>
      </c>
      <c r="AD179" s="31">
        <v>0</v>
      </c>
      <c r="AE179" s="32">
        <v>1</v>
      </c>
      <c r="AF179" s="32">
        <v>1</v>
      </c>
      <c r="AG179" s="31">
        <v>0</v>
      </c>
      <c r="AH179" s="31">
        <v>0</v>
      </c>
      <c r="AI179" s="31">
        <v>0</v>
      </c>
      <c r="AJ179" s="31">
        <v>0</v>
      </c>
      <c r="AK179" s="31">
        <v>0</v>
      </c>
      <c r="AL179" s="31">
        <v>0</v>
      </c>
      <c r="AM179" s="31">
        <v>0</v>
      </c>
      <c r="AN179" s="31">
        <v>0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</row>
    <row r="180" spans="1:45">
      <c r="A180" s="30" t="s">
        <v>676</v>
      </c>
      <c r="B180" s="30" t="s">
        <v>1407</v>
      </c>
      <c r="C180" s="30" t="s">
        <v>677</v>
      </c>
      <c r="D180" s="30" t="s">
        <v>71</v>
      </c>
      <c r="E180" s="30" t="s">
        <v>1625</v>
      </c>
      <c r="F180" s="30" t="s">
        <v>72</v>
      </c>
      <c r="G180" s="30" t="s">
        <v>535</v>
      </c>
      <c r="H180" s="30" t="s">
        <v>680</v>
      </c>
      <c r="I180" s="32">
        <v>9</v>
      </c>
      <c r="J180" s="32">
        <v>1</v>
      </c>
      <c r="K180" s="32">
        <v>5</v>
      </c>
      <c r="L180" s="32">
        <v>7</v>
      </c>
      <c r="M180" s="32">
        <v>6</v>
      </c>
      <c r="N180" s="32">
        <v>11</v>
      </c>
      <c r="O180" s="32">
        <v>14</v>
      </c>
      <c r="P180" s="32">
        <v>13</v>
      </c>
      <c r="Q180" s="32">
        <v>2</v>
      </c>
      <c r="R180" s="32">
        <v>4</v>
      </c>
      <c r="S180" s="32">
        <v>6</v>
      </c>
      <c r="T180" s="32">
        <v>10</v>
      </c>
      <c r="U180" s="32">
        <v>6</v>
      </c>
      <c r="V180" s="32">
        <v>6</v>
      </c>
      <c r="W180" s="32">
        <v>10</v>
      </c>
      <c r="X180" s="32">
        <v>10</v>
      </c>
      <c r="Y180" s="32">
        <v>2</v>
      </c>
      <c r="Z180" s="32">
        <v>1</v>
      </c>
      <c r="AA180" s="32">
        <v>3</v>
      </c>
      <c r="AB180" s="32">
        <v>1</v>
      </c>
      <c r="AC180" s="32">
        <v>3</v>
      </c>
      <c r="AD180" s="32">
        <v>3</v>
      </c>
      <c r="AE180" s="31">
        <v>0</v>
      </c>
      <c r="AF180" s="32">
        <v>1</v>
      </c>
      <c r="AG180" s="31">
        <v>0</v>
      </c>
      <c r="AH180" s="31">
        <v>0</v>
      </c>
      <c r="AI180" s="31">
        <v>0</v>
      </c>
      <c r="AJ180" s="32">
        <v>1</v>
      </c>
      <c r="AK180" s="31">
        <v>0</v>
      </c>
      <c r="AL180" s="32">
        <v>1</v>
      </c>
      <c r="AM180" s="31">
        <v>0</v>
      </c>
      <c r="AN180" s="31">
        <v>0</v>
      </c>
      <c r="AO180" s="32">
        <v>1</v>
      </c>
      <c r="AP180" s="32">
        <v>1</v>
      </c>
      <c r="AQ180" s="31">
        <v>0</v>
      </c>
      <c r="AR180" s="31">
        <v>0</v>
      </c>
      <c r="AS180" s="31">
        <v>0</v>
      </c>
    </row>
    <row r="181" spans="1:45">
      <c r="A181" s="30" t="s">
        <v>676</v>
      </c>
      <c r="B181" s="30" t="s">
        <v>1407</v>
      </c>
      <c r="C181" s="30" t="s">
        <v>677</v>
      </c>
      <c r="D181" s="30" t="s">
        <v>71</v>
      </c>
      <c r="E181" s="30" t="s">
        <v>1626</v>
      </c>
      <c r="F181" s="30" t="s">
        <v>74</v>
      </c>
      <c r="G181" s="30" t="s">
        <v>537</v>
      </c>
      <c r="H181" s="30" t="s">
        <v>680</v>
      </c>
      <c r="I181" s="31">
        <v>0</v>
      </c>
      <c r="J181" s="31">
        <v>0</v>
      </c>
      <c r="K181" s="31">
        <v>0</v>
      </c>
      <c r="L181" s="31">
        <v>0</v>
      </c>
      <c r="M181" s="31">
        <v>0</v>
      </c>
      <c r="N181" s="31">
        <v>0</v>
      </c>
      <c r="O181" s="31">
        <v>0</v>
      </c>
      <c r="P181" s="31">
        <v>0</v>
      </c>
      <c r="Q181" s="31">
        <v>0</v>
      </c>
      <c r="R181" s="31"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1">
        <v>0</v>
      </c>
      <c r="AC181" s="31">
        <v>0</v>
      </c>
      <c r="AD181" s="32">
        <v>29</v>
      </c>
      <c r="AE181" s="32">
        <v>25</v>
      </c>
      <c r="AF181" s="32">
        <v>41</v>
      </c>
      <c r="AG181" s="32">
        <v>47</v>
      </c>
      <c r="AH181" s="32">
        <v>23</v>
      </c>
      <c r="AI181" s="32">
        <v>14</v>
      </c>
      <c r="AJ181" s="32">
        <v>20</v>
      </c>
      <c r="AK181" s="32">
        <v>8</v>
      </c>
      <c r="AL181" s="32">
        <v>15</v>
      </c>
      <c r="AM181" s="32">
        <v>21</v>
      </c>
      <c r="AN181" s="32">
        <v>31</v>
      </c>
      <c r="AO181" s="32">
        <v>32</v>
      </c>
      <c r="AP181" s="32">
        <v>29</v>
      </c>
      <c r="AQ181" s="32">
        <v>27</v>
      </c>
      <c r="AR181" s="32">
        <v>26</v>
      </c>
      <c r="AS181" s="32">
        <v>24</v>
      </c>
    </row>
    <row r="182" spans="1:45">
      <c r="A182" s="30" t="s">
        <v>676</v>
      </c>
      <c r="B182" s="30" t="s">
        <v>1407</v>
      </c>
      <c r="C182" s="30" t="s">
        <v>677</v>
      </c>
      <c r="D182" s="30" t="s">
        <v>71</v>
      </c>
      <c r="E182" s="30" t="s">
        <v>1627</v>
      </c>
      <c r="F182" s="30" t="s">
        <v>74</v>
      </c>
      <c r="G182" s="30" t="s">
        <v>538</v>
      </c>
      <c r="H182" s="30" t="s">
        <v>680</v>
      </c>
      <c r="I182" s="31">
        <v>0</v>
      </c>
      <c r="J182" s="31">
        <v>0</v>
      </c>
      <c r="K182" s="31">
        <v>0</v>
      </c>
      <c r="L182" s="31">
        <v>0</v>
      </c>
      <c r="M182" s="31">
        <v>0</v>
      </c>
      <c r="N182" s="31">
        <v>0</v>
      </c>
      <c r="O182" s="31">
        <v>0</v>
      </c>
      <c r="P182" s="31">
        <v>0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0</v>
      </c>
      <c r="AC182" s="32">
        <v>3</v>
      </c>
      <c r="AD182" s="32">
        <v>41</v>
      </c>
      <c r="AE182" s="32">
        <v>36</v>
      </c>
      <c r="AF182" s="32">
        <v>35</v>
      </c>
      <c r="AG182" s="32">
        <v>39</v>
      </c>
      <c r="AH182" s="32">
        <v>28</v>
      </c>
      <c r="AI182" s="32">
        <v>15</v>
      </c>
      <c r="AJ182" s="32">
        <v>27</v>
      </c>
      <c r="AK182" s="32">
        <v>18</v>
      </c>
      <c r="AL182" s="32">
        <v>15</v>
      </c>
      <c r="AM182" s="32">
        <v>28</v>
      </c>
      <c r="AN182" s="32">
        <v>32</v>
      </c>
      <c r="AO182" s="32">
        <v>27</v>
      </c>
      <c r="AP182" s="32">
        <v>36</v>
      </c>
      <c r="AQ182" s="32">
        <v>27</v>
      </c>
      <c r="AR182" s="32">
        <v>21</v>
      </c>
      <c r="AS182" s="32">
        <v>27</v>
      </c>
    </row>
    <row r="183" spans="1:45">
      <c r="A183" s="30" t="s">
        <v>676</v>
      </c>
      <c r="B183" s="30" t="s">
        <v>1407</v>
      </c>
      <c r="C183" s="30" t="s">
        <v>677</v>
      </c>
      <c r="D183" s="30" t="s">
        <v>71</v>
      </c>
      <c r="E183" s="30" t="s">
        <v>1628</v>
      </c>
      <c r="F183" s="30" t="s">
        <v>74</v>
      </c>
      <c r="G183" s="30" t="s">
        <v>539</v>
      </c>
      <c r="H183" s="30" t="s">
        <v>680</v>
      </c>
      <c r="I183" s="31">
        <v>0</v>
      </c>
      <c r="J183" s="31">
        <v>0</v>
      </c>
      <c r="K183" s="31">
        <v>0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0</v>
      </c>
      <c r="AC183" s="31">
        <v>0</v>
      </c>
      <c r="AD183" s="32">
        <v>32</v>
      </c>
      <c r="AE183" s="32">
        <v>23</v>
      </c>
      <c r="AF183" s="32">
        <v>22</v>
      </c>
      <c r="AG183" s="32">
        <v>31</v>
      </c>
      <c r="AH183" s="32">
        <v>19</v>
      </c>
      <c r="AI183" s="32">
        <v>11</v>
      </c>
      <c r="AJ183" s="32">
        <v>19</v>
      </c>
      <c r="AK183" s="32">
        <v>8</v>
      </c>
      <c r="AL183" s="32">
        <v>11</v>
      </c>
      <c r="AM183" s="32">
        <v>29</v>
      </c>
      <c r="AN183" s="32">
        <v>17</v>
      </c>
      <c r="AO183" s="32">
        <v>15</v>
      </c>
      <c r="AP183" s="32">
        <v>22</v>
      </c>
      <c r="AQ183" s="32">
        <v>24</v>
      </c>
      <c r="AR183" s="32">
        <v>21</v>
      </c>
      <c r="AS183" s="32">
        <v>15</v>
      </c>
    </row>
    <row r="184" spans="1:45">
      <c r="A184" s="30" t="s">
        <v>676</v>
      </c>
      <c r="B184" s="30" t="s">
        <v>1407</v>
      </c>
      <c r="C184" s="30" t="s">
        <v>677</v>
      </c>
      <c r="D184" s="30" t="s">
        <v>71</v>
      </c>
      <c r="E184" s="30" t="s">
        <v>1629</v>
      </c>
      <c r="F184" s="30" t="s">
        <v>74</v>
      </c>
      <c r="G184" s="30" t="s">
        <v>540</v>
      </c>
      <c r="H184" s="30" t="s">
        <v>680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  <c r="AC184" s="31">
        <v>0</v>
      </c>
      <c r="AD184" s="31">
        <v>0</v>
      </c>
      <c r="AE184" s="31">
        <v>0</v>
      </c>
      <c r="AF184" s="32">
        <v>36</v>
      </c>
      <c r="AG184" s="32">
        <v>31</v>
      </c>
      <c r="AH184" s="32">
        <v>64</v>
      </c>
      <c r="AI184" s="32">
        <v>36</v>
      </c>
      <c r="AJ184" s="32">
        <v>62</v>
      </c>
      <c r="AK184" s="32">
        <v>36</v>
      </c>
      <c r="AL184" s="32">
        <v>33</v>
      </c>
      <c r="AM184" s="32">
        <v>66</v>
      </c>
      <c r="AN184" s="32">
        <v>59</v>
      </c>
      <c r="AO184" s="32">
        <v>48</v>
      </c>
      <c r="AP184" s="32">
        <v>56</v>
      </c>
      <c r="AQ184" s="32">
        <v>48</v>
      </c>
      <c r="AR184" s="32">
        <v>56</v>
      </c>
      <c r="AS184" s="32">
        <v>43</v>
      </c>
    </row>
    <row r="185" spans="1:45">
      <c r="A185" s="30" t="s">
        <v>676</v>
      </c>
      <c r="B185" s="30" t="s">
        <v>1407</v>
      </c>
      <c r="C185" s="30" t="s">
        <v>677</v>
      </c>
      <c r="D185" s="30" t="s">
        <v>71</v>
      </c>
      <c r="E185" s="30" t="s">
        <v>1630</v>
      </c>
      <c r="F185" s="30" t="s">
        <v>74</v>
      </c>
      <c r="G185" s="30" t="s">
        <v>541</v>
      </c>
      <c r="H185" s="30" t="s">
        <v>680</v>
      </c>
      <c r="I185" s="31">
        <v>0</v>
      </c>
      <c r="J185" s="31">
        <v>0</v>
      </c>
      <c r="K185" s="31"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  <c r="AC185" s="32">
        <v>3</v>
      </c>
      <c r="AD185" s="32">
        <v>29</v>
      </c>
      <c r="AE185" s="32">
        <v>16</v>
      </c>
      <c r="AF185" s="32">
        <v>24</v>
      </c>
      <c r="AG185" s="32">
        <v>35</v>
      </c>
      <c r="AH185" s="32">
        <v>16</v>
      </c>
      <c r="AI185" s="32">
        <v>12</v>
      </c>
      <c r="AJ185" s="32">
        <v>20</v>
      </c>
      <c r="AK185" s="32">
        <v>12</v>
      </c>
      <c r="AL185" s="32">
        <v>12</v>
      </c>
      <c r="AM185" s="32">
        <v>20</v>
      </c>
      <c r="AN185" s="32">
        <v>23</v>
      </c>
      <c r="AO185" s="32">
        <v>19</v>
      </c>
      <c r="AP185" s="32">
        <v>26</v>
      </c>
      <c r="AQ185" s="32">
        <v>23</v>
      </c>
      <c r="AR185" s="32">
        <v>26</v>
      </c>
      <c r="AS185" s="32">
        <v>25</v>
      </c>
    </row>
    <row r="186" spans="1:45">
      <c r="A186" s="30" t="s">
        <v>676</v>
      </c>
      <c r="B186" s="30" t="s">
        <v>1407</v>
      </c>
      <c r="C186" s="30" t="s">
        <v>677</v>
      </c>
      <c r="D186" s="30" t="s">
        <v>71</v>
      </c>
      <c r="E186" s="30" t="s">
        <v>1631</v>
      </c>
      <c r="F186" s="30" t="s">
        <v>74</v>
      </c>
      <c r="G186" s="30" t="s">
        <v>542</v>
      </c>
      <c r="H186" s="30" t="s">
        <v>680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  <c r="AC186" s="32">
        <v>1</v>
      </c>
      <c r="AD186" s="32">
        <v>42</v>
      </c>
      <c r="AE186" s="32">
        <v>37</v>
      </c>
      <c r="AF186" s="32">
        <v>59</v>
      </c>
      <c r="AG186" s="32">
        <v>56</v>
      </c>
      <c r="AH186" s="32">
        <v>30</v>
      </c>
      <c r="AI186" s="32">
        <v>14</v>
      </c>
      <c r="AJ186" s="32">
        <v>17</v>
      </c>
      <c r="AK186" s="32">
        <v>12</v>
      </c>
      <c r="AL186" s="32">
        <v>21</v>
      </c>
      <c r="AM186" s="32">
        <v>19</v>
      </c>
      <c r="AN186" s="32">
        <v>30</v>
      </c>
      <c r="AO186" s="32">
        <v>33</v>
      </c>
      <c r="AP186" s="32">
        <v>36</v>
      </c>
      <c r="AQ186" s="32">
        <v>36</v>
      </c>
      <c r="AR186" s="32">
        <v>27</v>
      </c>
      <c r="AS186" s="32">
        <v>34</v>
      </c>
    </row>
    <row r="187" spans="1:45">
      <c r="A187" s="30" t="s">
        <v>676</v>
      </c>
      <c r="B187" s="30" t="s">
        <v>1407</v>
      </c>
      <c r="C187" s="30" t="s">
        <v>677</v>
      </c>
      <c r="D187" s="30" t="s">
        <v>71</v>
      </c>
      <c r="E187" s="30" t="s">
        <v>1632</v>
      </c>
      <c r="F187" s="30" t="s">
        <v>74</v>
      </c>
      <c r="G187" s="30" t="s">
        <v>543</v>
      </c>
      <c r="H187" s="30" t="s">
        <v>680</v>
      </c>
      <c r="I187" s="31">
        <v>0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  <c r="AC187" s="32">
        <v>5</v>
      </c>
      <c r="AD187" s="32">
        <v>32</v>
      </c>
      <c r="AE187" s="32">
        <v>45</v>
      </c>
      <c r="AF187" s="32">
        <v>32</v>
      </c>
      <c r="AG187" s="32">
        <v>53</v>
      </c>
      <c r="AH187" s="32">
        <v>30</v>
      </c>
      <c r="AI187" s="32">
        <v>23</v>
      </c>
      <c r="AJ187" s="32">
        <v>21</v>
      </c>
      <c r="AK187" s="32">
        <v>11</v>
      </c>
      <c r="AL187" s="32">
        <v>26</v>
      </c>
      <c r="AM187" s="32">
        <v>56</v>
      </c>
      <c r="AN187" s="32">
        <v>52</v>
      </c>
      <c r="AO187" s="32">
        <v>45</v>
      </c>
      <c r="AP187" s="32">
        <v>40</v>
      </c>
      <c r="AQ187" s="32">
        <v>38</v>
      </c>
      <c r="AR187" s="32">
        <v>33</v>
      </c>
      <c r="AS187" s="32">
        <v>49</v>
      </c>
    </row>
    <row r="188" spans="1:45">
      <c r="A188" s="30" t="s">
        <v>676</v>
      </c>
      <c r="B188" s="30" t="s">
        <v>1407</v>
      </c>
      <c r="C188" s="30" t="s">
        <v>677</v>
      </c>
      <c r="D188" s="30" t="s">
        <v>71</v>
      </c>
      <c r="E188" s="30" t="s">
        <v>1633</v>
      </c>
      <c r="F188" s="30" t="s">
        <v>74</v>
      </c>
      <c r="G188" s="30" t="s">
        <v>544</v>
      </c>
      <c r="H188" s="30" t="s">
        <v>680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  <c r="AC188" s="32">
        <v>2</v>
      </c>
      <c r="AD188" s="32">
        <v>54</v>
      </c>
      <c r="AE188" s="32">
        <v>43</v>
      </c>
      <c r="AF188" s="32">
        <v>69</v>
      </c>
      <c r="AG188" s="32">
        <v>56</v>
      </c>
      <c r="AH188" s="32">
        <v>41</v>
      </c>
      <c r="AI188" s="32">
        <v>20</v>
      </c>
      <c r="AJ188" s="32">
        <v>36</v>
      </c>
      <c r="AK188" s="32">
        <v>22</v>
      </c>
      <c r="AL188" s="32">
        <v>42</v>
      </c>
      <c r="AM188" s="32">
        <v>38</v>
      </c>
      <c r="AN188" s="32">
        <v>66</v>
      </c>
      <c r="AO188" s="32">
        <v>50</v>
      </c>
      <c r="AP188" s="32">
        <v>71</v>
      </c>
      <c r="AQ188" s="32">
        <v>74</v>
      </c>
      <c r="AR188" s="32">
        <v>79</v>
      </c>
      <c r="AS188" s="32">
        <v>63</v>
      </c>
    </row>
    <row r="189" spans="1:45">
      <c r="A189" s="30" t="s">
        <v>676</v>
      </c>
      <c r="B189" s="30" t="s">
        <v>1407</v>
      </c>
      <c r="C189" s="30" t="s">
        <v>677</v>
      </c>
      <c r="D189" s="30" t="s">
        <v>71</v>
      </c>
      <c r="E189" s="30" t="s">
        <v>1634</v>
      </c>
      <c r="F189" s="30" t="s">
        <v>74</v>
      </c>
      <c r="G189" s="30" t="s">
        <v>545</v>
      </c>
      <c r="H189" s="30" t="s">
        <v>680</v>
      </c>
      <c r="I189" s="31">
        <v>0</v>
      </c>
      <c r="J189" s="31">
        <v>0</v>
      </c>
      <c r="K189" s="31">
        <v>0</v>
      </c>
      <c r="L189" s="31">
        <v>0</v>
      </c>
      <c r="M189" s="31">
        <v>0</v>
      </c>
      <c r="N189" s="31">
        <v>0</v>
      </c>
      <c r="O189" s="31">
        <v>0</v>
      </c>
      <c r="P189" s="31">
        <v>0</v>
      </c>
      <c r="Q189" s="31">
        <v>0</v>
      </c>
      <c r="R189" s="31">
        <v>0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0</v>
      </c>
      <c r="Z189" s="31">
        <v>0</v>
      </c>
      <c r="AA189" s="31">
        <v>0</v>
      </c>
      <c r="AB189" s="31">
        <v>0</v>
      </c>
      <c r="AC189" s="32">
        <v>4</v>
      </c>
      <c r="AD189" s="32">
        <v>55</v>
      </c>
      <c r="AE189" s="32">
        <v>42</v>
      </c>
      <c r="AF189" s="32">
        <v>50</v>
      </c>
      <c r="AG189" s="32">
        <v>56</v>
      </c>
      <c r="AH189" s="32">
        <v>57</v>
      </c>
      <c r="AI189" s="32">
        <v>55</v>
      </c>
      <c r="AJ189" s="32">
        <v>53</v>
      </c>
      <c r="AK189" s="32">
        <v>53</v>
      </c>
      <c r="AL189" s="32">
        <v>50</v>
      </c>
      <c r="AM189" s="32">
        <v>74</v>
      </c>
      <c r="AN189" s="32">
        <v>87</v>
      </c>
      <c r="AO189" s="32">
        <v>82</v>
      </c>
      <c r="AP189" s="32">
        <v>102</v>
      </c>
      <c r="AQ189" s="32">
        <v>77</v>
      </c>
      <c r="AR189" s="32">
        <v>89</v>
      </c>
      <c r="AS189" s="32">
        <v>69</v>
      </c>
    </row>
    <row r="190" spans="1:45">
      <c r="A190" s="30" t="s">
        <v>676</v>
      </c>
      <c r="B190" s="30" t="s">
        <v>1407</v>
      </c>
      <c r="C190" s="30" t="s">
        <v>677</v>
      </c>
      <c r="D190" s="30" t="s">
        <v>71</v>
      </c>
      <c r="E190" s="30" t="s">
        <v>1635</v>
      </c>
      <c r="F190" s="30" t="s">
        <v>74</v>
      </c>
      <c r="G190" s="30" t="s">
        <v>546</v>
      </c>
      <c r="H190" s="30" t="s">
        <v>680</v>
      </c>
      <c r="I190" s="31">
        <v>0</v>
      </c>
      <c r="J190" s="31">
        <v>0</v>
      </c>
      <c r="K190" s="31">
        <v>0</v>
      </c>
      <c r="L190" s="31">
        <v>0</v>
      </c>
      <c r="M190" s="31">
        <v>0</v>
      </c>
      <c r="N190" s="31">
        <v>0</v>
      </c>
      <c r="O190" s="31">
        <v>0</v>
      </c>
      <c r="P190" s="31">
        <v>0</v>
      </c>
      <c r="Q190" s="31">
        <v>0</v>
      </c>
      <c r="R190" s="31">
        <v>0</v>
      </c>
      <c r="S190" s="31">
        <v>0</v>
      </c>
      <c r="T190" s="31">
        <v>0</v>
      </c>
      <c r="U190" s="31">
        <v>0</v>
      </c>
      <c r="V190" s="31">
        <v>0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1">
        <v>0</v>
      </c>
      <c r="AC190" s="31">
        <v>0</v>
      </c>
      <c r="AD190" s="32">
        <v>35</v>
      </c>
      <c r="AE190" s="32">
        <v>33</v>
      </c>
      <c r="AF190" s="32">
        <v>47</v>
      </c>
      <c r="AG190" s="32">
        <v>47</v>
      </c>
      <c r="AH190" s="32">
        <v>38</v>
      </c>
      <c r="AI190" s="32">
        <v>37</v>
      </c>
      <c r="AJ190" s="32">
        <v>43</v>
      </c>
      <c r="AK190" s="32">
        <v>30</v>
      </c>
      <c r="AL190" s="32">
        <v>42</v>
      </c>
      <c r="AM190" s="32">
        <v>61</v>
      </c>
      <c r="AN190" s="32">
        <v>69</v>
      </c>
      <c r="AO190" s="32">
        <v>42</v>
      </c>
      <c r="AP190" s="32">
        <v>72</v>
      </c>
      <c r="AQ190" s="32">
        <v>67</v>
      </c>
      <c r="AR190" s="32">
        <v>54</v>
      </c>
      <c r="AS190" s="32">
        <v>68</v>
      </c>
    </row>
    <row r="191" spans="1:45">
      <c r="A191" s="30" t="s">
        <v>676</v>
      </c>
      <c r="B191" s="30" t="s">
        <v>1407</v>
      </c>
      <c r="C191" s="30" t="s">
        <v>677</v>
      </c>
      <c r="D191" s="30" t="s">
        <v>71</v>
      </c>
      <c r="E191" s="30" t="s">
        <v>1636</v>
      </c>
      <c r="F191" s="30" t="s">
        <v>74</v>
      </c>
      <c r="G191" s="30" t="s">
        <v>547</v>
      </c>
      <c r="H191" s="30" t="s">
        <v>680</v>
      </c>
      <c r="I191" s="31">
        <v>0</v>
      </c>
      <c r="J191" s="31">
        <v>0</v>
      </c>
      <c r="K191" s="31">
        <v>0</v>
      </c>
      <c r="L191" s="31">
        <v>0</v>
      </c>
      <c r="M191" s="31">
        <v>0</v>
      </c>
      <c r="N191" s="31">
        <v>0</v>
      </c>
      <c r="O191" s="31">
        <v>0</v>
      </c>
      <c r="P191" s="31">
        <v>0</v>
      </c>
      <c r="Q191" s="31">
        <v>0</v>
      </c>
      <c r="R191" s="31">
        <v>0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1">
        <v>0</v>
      </c>
      <c r="Z191" s="31">
        <v>0</v>
      </c>
      <c r="AA191" s="31">
        <v>0</v>
      </c>
      <c r="AB191" s="31">
        <v>0</v>
      </c>
      <c r="AC191" s="32">
        <v>1</v>
      </c>
      <c r="AD191" s="32">
        <v>27</v>
      </c>
      <c r="AE191" s="32">
        <v>22</v>
      </c>
      <c r="AF191" s="32">
        <v>31</v>
      </c>
      <c r="AG191" s="32">
        <v>28</v>
      </c>
      <c r="AH191" s="32">
        <v>31</v>
      </c>
      <c r="AI191" s="32">
        <v>31</v>
      </c>
      <c r="AJ191" s="32">
        <v>34</v>
      </c>
      <c r="AK191" s="32">
        <v>13</v>
      </c>
      <c r="AL191" s="32">
        <v>34</v>
      </c>
      <c r="AM191" s="32">
        <v>45</v>
      </c>
      <c r="AN191" s="32">
        <v>48</v>
      </c>
      <c r="AO191" s="32">
        <v>41</v>
      </c>
      <c r="AP191" s="32">
        <v>51</v>
      </c>
      <c r="AQ191" s="32">
        <v>31</v>
      </c>
      <c r="AR191" s="32">
        <v>37</v>
      </c>
      <c r="AS191" s="32">
        <v>34</v>
      </c>
    </row>
    <row r="192" spans="1:45">
      <c r="A192" s="30" t="s">
        <v>676</v>
      </c>
      <c r="B192" s="30" t="s">
        <v>1407</v>
      </c>
      <c r="C192" s="30" t="s">
        <v>677</v>
      </c>
      <c r="D192" s="30" t="s">
        <v>71</v>
      </c>
      <c r="E192" s="30" t="s">
        <v>1637</v>
      </c>
      <c r="F192" s="30" t="s">
        <v>74</v>
      </c>
      <c r="G192" s="30" t="s">
        <v>548</v>
      </c>
      <c r="H192" s="30" t="s">
        <v>680</v>
      </c>
      <c r="I192" s="31">
        <v>0</v>
      </c>
      <c r="J192" s="31">
        <v>0</v>
      </c>
      <c r="K192" s="31">
        <v>0</v>
      </c>
      <c r="L192" s="31">
        <v>0</v>
      </c>
      <c r="M192" s="31">
        <v>0</v>
      </c>
      <c r="N192" s="31">
        <v>0</v>
      </c>
      <c r="O192" s="31">
        <v>0</v>
      </c>
      <c r="P192" s="31">
        <v>0</v>
      </c>
      <c r="Q192" s="31">
        <v>0</v>
      </c>
      <c r="R192" s="31">
        <v>0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1">
        <v>0</v>
      </c>
      <c r="Y192" s="31">
        <v>0</v>
      </c>
      <c r="Z192" s="31">
        <v>0</v>
      </c>
      <c r="AA192" s="31">
        <v>0</v>
      </c>
      <c r="AB192" s="31">
        <v>0</v>
      </c>
      <c r="AC192" s="32">
        <v>3</v>
      </c>
      <c r="AD192" s="32">
        <v>38</v>
      </c>
      <c r="AE192" s="32">
        <v>22</v>
      </c>
      <c r="AF192" s="32">
        <v>36</v>
      </c>
      <c r="AG192" s="32">
        <v>42</v>
      </c>
      <c r="AH192" s="32">
        <v>69</v>
      </c>
      <c r="AI192" s="32">
        <v>51</v>
      </c>
      <c r="AJ192" s="32">
        <v>66</v>
      </c>
      <c r="AK192" s="32">
        <v>51</v>
      </c>
      <c r="AL192" s="32">
        <v>45</v>
      </c>
      <c r="AM192" s="32">
        <v>66</v>
      </c>
      <c r="AN192" s="32">
        <v>82</v>
      </c>
      <c r="AO192" s="32">
        <v>78</v>
      </c>
      <c r="AP192" s="32">
        <v>77</v>
      </c>
      <c r="AQ192" s="32">
        <v>76</v>
      </c>
      <c r="AR192" s="32">
        <v>70</v>
      </c>
      <c r="AS192" s="32">
        <v>64</v>
      </c>
    </row>
    <row r="193" spans="1:45">
      <c r="A193" s="30" t="s">
        <v>676</v>
      </c>
      <c r="B193" s="30" t="s">
        <v>1407</v>
      </c>
      <c r="C193" s="30" t="s">
        <v>677</v>
      </c>
      <c r="D193" s="30" t="s">
        <v>71</v>
      </c>
      <c r="E193" s="30" t="s">
        <v>1638</v>
      </c>
      <c r="F193" s="30" t="s">
        <v>74</v>
      </c>
      <c r="G193" s="30" t="s">
        <v>549</v>
      </c>
      <c r="H193" s="30" t="s">
        <v>680</v>
      </c>
      <c r="I193" s="31">
        <v>0</v>
      </c>
      <c r="J193" s="31">
        <v>0</v>
      </c>
      <c r="K193" s="31">
        <v>0</v>
      </c>
      <c r="L193" s="31">
        <v>0</v>
      </c>
      <c r="M193" s="31">
        <v>0</v>
      </c>
      <c r="N193" s="31">
        <v>0</v>
      </c>
      <c r="O193" s="31">
        <v>0</v>
      </c>
      <c r="P193" s="31">
        <v>0</v>
      </c>
      <c r="Q193" s="31">
        <v>0</v>
      </c>
      <c r="R193" s="31">
        <v>0</v>
      </c>
      <c r="S193" s="31">
        <v>0</v>
      </c>
      <c r="T193" s="31">
        <v>0</v>
      </c>
      <c r="U193" s="31">
        <v>0</v>
      </c>
      <c r="V193" s="31">
        <v>0</v>
      </c>
      <c r="W193" s="31">
        <v>0</v>
      </c>
      <c r="X193" s="31">
        <v>0</v>
      </c>
      <c r="Y193" s="31">
        <v>0</v>
      </c>
      <c r="Z193" s="31">
        <v>0</v>
      </c>
      <c r="AA193" s="31">
        <v>0</v>
      </c>
      <c r="AB193" s="31">
        <v>0</v>
      </c>
      <c r="AC193" s="32">
        <v>3</v>
      </c>
      <c r="AD193" s="32">
        <v>31</v>
      </c>
      <c r="AE193" s="32">
        <v>22</v>
      </c>
      <c r="AF193" s="32">
        <v>18</v>
      </c>
      <c r="AG193" s="32">
        <v>24</v>
      </c>
      <c r="AH193" s="32">
        <v>16</v>
      </c>
      <c r="AI193" s="32">
        <v>9</v>
      </c>
      <c r="AJ193" s="32">
        <v>11</v>
      </c>
      <c r="AK193" s="32">
        <v>12</v>
      </c>
      <c r="AL193" s="32">
        <v>11</v>
      </c>
      <c r="AM193" s="32">
        <v>16</v>
      </c>
      <c r="AN193" s="32">
        <v>20</v>
      </c>
      <c r="AO193" s="32">
        <v>19</v>
      </c>
      <c r="AP193" s="32">
        <v>20</v>
      </c>
      <c r="AQ193" s="32">
        <v>24</v>
      </c>
      <c r="AR193" s="32">
        <v>14</v>
      </c>
      <c r="AS193" s="32">
        <v>20</v>
      </c>
    </row>
    <row r="194" spans="1:45">
      <c r="A194" s="30" t="s">
        <v>676</v>
      </c>
      <c r="B194" s="30" t="s">
        <v>1407</v>
      </c>
      <c r="C194" s="30" t="s">
        <v>677</v>
      </c>
      <c r="D194" s="30" t="s">
        <v>71</v>
      </c>
      <c r="E194" s="30" t="s">
        <v>1639</v>
      </c>
      <c r="F194" s="30" t="s">
        <v>72</v>
      </c>
      <c r="G194" s="30" t="s">
        <v>550</v>
      </c>
      <c r="H194" s="30" t="s">
        <v>680</v>
      </c>
      <c r="I194" s="32">
        <v>119</v>
      </c>
      <c r="J194" s="32">
        <v>40</v>
      </c>
      <c r="K194" s="32">
        <v>121</v>
      </c>
      <c r="L194" s="32">
        <v>66</v>
      </c>
      <c r="M194" s="32">
        <v>41</v>
      </c>
      <c r="N194" s="32">
        <v>48</v>
      </c>
      <c r="O194" s="32">
        <v>137</v>
      </c>
      <c r="P194" s="32">
        <v>116</v>
      </c>
      <c r="Q194" s="32">
        <v>119</v>
      </c>
      <c r="R194" s="32">
        <v>178</v>
      </c>
      <c r="S194" s="32">
        <v>115</v>
      </c>
      <c r="T194" s="32">
        <v>124</v>
      </c>
      <c r="U194" s="32">
        <v>153</v>
      </c>
      <c r="V194" s="32">
        <v>83</v>
      </c>
      <c r="W194" s="32">
        <v>82</v>
      </c>
      <c r="X194" s="32">
        <v>90</v>
      </c>
      <c r="Y194" s="32">
        <v>87</v>
      </c>
      <c r="Z194" s="32">
        <v>81.534300000000002</v>
      </c>
      <c r="AA194" s="32">
        <v>137</v>
      </c>
      <c r="AB194" s="32">
        <v>49</v>
      </c>
      <c r="AC194" s="32">
        <v>118</v>
      </c>
      <c r="AD194" s="32">
        <v>100</v>
      </c>
      <c r="AE194" s="32">
        <v>37</v>
      </c>
      <c r="AF194" s="32">
        <v>35</v>
      </c>
      <c r="AG194" s="32">
        <v>51</v>
      </c>
      <c r="AH194" s="32">
        <v>18</v>
      </c>
      <c r="AI194" s="32">
        <v>12</v>
      </c>
      <c r="AJ194" s="32">
        <v>25</v>
      </c>
      <c r="AK194" s="32">
        <v>10</v>
      </c>
      <c r="AL194" s="32">
        <v>14</v>
      </c>
      <c r="AM194" s="32">
        <v>26</v>
      </c>
      <c r="AN194" s="32">
        <v>39</v>
      </c>
      <c r="AO194" s="32">
        <v>55</v>
      </c>
      <c r="AP194" s="32">
        <v>60</v>
      </c>
      <c r="AQ194" s="32">
        <v>43</v>
      </c>
      <c r="AR194" s="32">
        <v>56</v>
      </c>
      <c r="AS194" s="32">
        <v>103</v>
      </c>
    </row>
    <row r="195" spans="1:45">
      <c r="A195" s="30" t="s">
        <v>676</v>
      </c>
      <c r="B195" s="30" t="s">
        <v>1407</v>
      </c>
      <c r="C195" s="30" t="s">
        <v>677</v>
      </c>
      <c r="D195" s="30" t="s">
        <v>71</v>
      </c>
      <c r="E195" s="30" t="s">
        <v>1640</v>
      </c>
      <c r="F195" s="30" t="s">
        <v>72</v>
      </c>
      <c r="G195" s="30" t="s">
        <v>551</v>
      </c>
      <c r="H195" s="30" t="s">
        <v>680</v>
      </c>
      <c r="I195" s="32">
        <v>101</v>
      </c>
      <c r="J195" s="32">
        <v>50</v>
      </c>
      <c r="K195" s="32">
        <v>116</v>
      </c>
      <c r="L195" s="32">
        <v>67</v>
      </c>
      <c r="M195" s="32">
        <v>39</v>
      </c>
      <c r="N195" s="32">
        <v>86</v>
      </c>
      <c r="O195" s="32">
        <v>114</v>
      </c>
      <c r="P195" s="32">
        <v>48</v>
      </c>
      <c r="Q195" s="32">
        <v>46</v>
      </c>
      <c r="R195" s="32">
        <v>46</v>
      </c>
      <c r="S195" s="32">
        <v>17</v>
      </c>
      <c r="T195" s="32">
        <v>14</v>
      </c>
      <c r="U195" s="32">
        <v>18</v>
      </c>
      <c r="V195" s="32">
        <v>11</v>
      </c>
      <c r="W195" s="32">
        <v>4</v>
      </c>
      <c r="X195" s="32">
        <v>7</v>
      </c>
      <c r="Y195" s="32">
        <v>4</v>
      </c>
      <c r="Z195" s="32">
        <v>7</v>
      </c>
      <c r="AA195" s="32">
        <v>14</v>
      </c>
      <c r="AB195" s="32">
        <v>5</v>
      </c>
      <c r="AC195" s="32">
        <v>10</v>
      </c>
      <c r="AD195" s="32">
        <v>18</v>
      </c>
      <c r="AE195" s="32">
        <v>5</v>
      </c>
      <c r="AF195" s="32">
        <v>5</v>
      </c>
      <c r="AG195" s="32">
        <v>10</v>
      </c>
      <c r="AH195" s="32">
        <v>11</v>
      </c>
      <c r="AI195" s="32">
        <v>10</v>
      </c>
      <c r="AJ195" s="32">
        <v>11</v>
      </c>
      <c r="AK195" s="32">
        <v>1</v>
      </c>
      <c r="AL195" s="32">
        <v>7</v>
      </c>
      <c r="AM195" s="32">
        <v>7</v>
      </c>
      <c r="AN195" s="32">
        <v>5</v>
      </c>
      <c r="AO195" s="32">
        <v>4</v>
      </c>
      <c r="AP195" s="32">
        <v>12</v>
      </c>
      <c r="AQ195" s="32">
        <v>6</v>
      </c>
      <c r="AR195" s="32">
        <v>3</v>
      </c>
      <c r="AS195" s="32">
        <v>34</v>
      </c>
    </row>
    <row r="196" spans="1:45">
      <c r="A196" s="30" t="s">
        <v>676</v>
      </c>
      <c r="B196" s="30" t="s">
        <v>1407</v>
      </c>
      <c r="C196" s="30" t="s">
        <v>677</v>
      </c>
      <c r="D196" s="30" t="s">
        <v>71</v>
      </c>
      <c r="E196" s="30" t="s">
        <v>1641</v>
      </c>
      <c r="F196" s="30" t="s">
        <v>71</v>
      </c>
      <c r="G196" s="30" t="s">
        <v>552</v>
      </c>
      <c r="H196" s="30" t="s">
        <v>680</v>
      </c>
      <c r="I196" s="32">
        <v>53</v>
      </c>
      <c r="J196" s="32">
        <v>19</v>
      </c>
      <c r="K196" s="32">
        <v>13</v>
      </c>
      <c r="L196" s="32">
        <v>26</v>
      </c>
      <c r="M196" s="32">
        <v>11</v>
      </c>
      <c r="N196" s="32">
        <v>7</v>
      </c>
      <c r="O196" s="32">
        <v>6</v>
      </c>
      <c r="P196" s="32">
        <v>9</v>
      </c>
      <c r="Q196" s="32">
        <v>6</v>
      </c>
      <c r="R196" s="32">
        <v>12</v>
      </c>
      <c r="S196" s="32">
        <v>3</v>
      </c>
      <c r="T196" s="32">
        <v>3</v>
      </c>
      <c r="U196" s="32">
        <v>4</v>
      </c>
      <c r="V196" s="32">
        <v>2</v>
      </c>
      <c r="W196" s="32">
        <v>2</v>
      </c>
      <c r="X196" s="32">
        <v>5</v>
      </c>
      <c r="Y196" s="32">
        <v>1</v>
      </c>
      <c r="Z196" s="32">
        <v>3</v>
      </c>
      <c r="AA196" s="32">
        <v>4</v>
      </c>
      <c r="AB196" s="32">
        <v>1</v>
      </c>
      <c r="AC196" s="32">
        <v>2</v>
      </c>
      <c r="AD196" s="32">
        <v>3</v>
      </c>
      <c r="AE196" s="31">
        <v>0</v>
      </c>
      <c r="AF196" s="31">
        <v>0</v>
      </c>
      <c r="AG196" s="32">
        <v>1</v>
      </c>
      <c r="AH196" s="31">
        <v>0</v>
      </c>
      <c r="AI196" s="31">
        <v>0</v>
      </c>
      <c r="AJ196" s="31">
        <v>0</v>
      </c>
      <c r="AK196" s="31">
        <v>0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1">
        <v>0</v>
      </c>
    </row>
    <row r="197" spans="1:45">
      <c r="A197" s="30" t="s">
        <v>676</v>
      </c>
      <c r="B197" s="30" t="s">
        <v>1407</v>
      </c>
      <c r="C197" s="30" t="s">
        <v>677</v>
      </c>
      <c r="D197" s="30" t="s">
        <v>71</v>
      </c>
      <c r="E197" s="30" t="s">
        <v>1642</v>
      </c>
      <c r="F197" s="30" t="s">
        <v>71</v>
      </c>
      <c r="G197" s="30" t="s">
        <v>553</v>
      </c>
      <c r="H197" s="30" t="s">
        <v>680</v>
      </c>
      <c r="I197" s="31">
        <v>0</v>
      </c>
      <c r="J197" s="31">
        <v>0</v>
      </c>
      <c r="K197" s="31">
        <v>0</v>
      </c>
      <c r="L197" s="31">
        <v>0</v>
      </c>
      <c r="M197" s="31">
        <v>0</v>
      </c>
      <c r="N197" s="32">
        <v>10</v>
      </c>
      <c r="O197" s="32">
        <v>13</v>
      </c>
      <c r="P197" s="32">
        <v>11</v>
      </c>
      <c r="Q197" s="32">
        <v>16</v>
      </c>
      <c r="R197" s="32">
        <v>20</v>
      </c>
      <c r="S197" s="32">
        <v>15</v>
      </c>
      <c r="T197" s="32">
        <v>15</v>
      </c>
      <c r="U197" s="32">
        <v>27</v>
      </c>
      <c r="V197" s="32">
        <v>10</v>
      </c>
      <c r="W197" s="32">
        <v>16</v>
      </c>
      <c r="X197" s="32">
        <v>7</v>
      </c>
      <c r="Y197" s="32">
        <v>6</v>
      </c>
      <c r="Z197" s="32">
        <v>7</v>
      </c>
      <c r="AA197" s="32">
        <v>13.2531</v>
      </c>
      <c r="AB197" s="32">
        <v>15</v>
      </c>
      <c r="AC197" s="32">
        <v>6</v>
      </c>
      <c r="AD197" s="32">
        <v>10</v>
      </c>
      <c r="AE197" s="32">
        <v>15</v>
      </c>
      <c r="AF197" s="32">
        <v>9</v>
      </c>
      <c r="AG197" s="32">
        <v>7</v>
      </c>
      <c r="AH197" s="32">
        <v>9</v>
      </c>
      <c r="AI197" s="32">
        <v>9</v>
      </c>
      <c r="AJ197" s="32">
        <v>6</v>
      </c>
      <c r="AK197" s="32">
        <v>3</v>
      </c>
      <c r="AL197" s="32">
        <v>3</v>
      </c>
      <c r="AM197" s="32">
        <v>7</v>
      </c>
      <c r="AN197" s="32">
        <v>9</v>
      </c>
      <c r="AO197" s="32">
        <v>6</v>
      </c>
      <c r="AP197" s="32">
        <v>1</v>
      </c>
      <c r="AQ197" s="32">
        <v>4</v>
      </c>
      <c r="AR197" s="32">
        <v>2</v>
      </c>
      <c r="AS197" s="32">
        <v>1</v>
      </c>
    </row>
    <row r="198" spans="1:45">
      <c r="A198" s="30" t="s">
        <v>676</v>
      </c>
      <c r="B198" s="30" t="s">
        <v>1407</v>
      </c>
      <c r="C198" s="30" t="s">
        <v>677</v>
      </c>
      <c r="D198" s="30" t="s">
        <v>71</v>
      </c>
      <c r="E198" s="30" t="s">
        <v>1643</v>
      </c>
      <c r="F198" s="30" t="s">
        <v>72</v>
      </c>
      <c r="G198" s="30" t="s">
        <v>521</v>
      </c>
      <c r="H198" s="30" t="s">
        <v>680</v>
      </c>
      <c r="I198" s="31">
        <v>0</v>
      </c>
      <c r="J198" s="31">
        <v>0</v>
      </c>
      <c r="K198" s="31">
        <v>0</v>
      </c>
      <c r="L198" s="31">
        <v>0</v>
      </c>
      <c r="M198" s="31">
        <v>0</v>
      </c>
      <c r="N198" s="31">
        <v>0</v>
      </c>
      <c r="O198" s="31">
        <v>0</v>
      </c>
      <c r="P198" s="31">
        <v>0</v>
      </c>
      <c r="Q198" s="31">
        <v>0</v>
      </c>
      <c r="R198" s="31">
        <v>0</v>
      </c>
      <c r="S198" s="31">
        <v>0</v>
      </c>
      <c r="T198" s="31">
        <v>0</v>
      </c>
      <c r="U198" s="31">
        <v>0</v>
      </c>
      <c r="V198" s="31">
        <v>0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1">
        <v>0</v>
      </c>
      <c r="AC198" s="31">
        <v>0</v>
      </c>
      <c r="AD198" s="32">
        <v>23</v>
      </c>
      <c r="AE198" s="32">
        <v>22</v>
      </c>
      <c r="AF198" s="32">
        <v>17</v>
      </c>
      <c r="AG198" s="32">
        <v>19</v>
      </c>
      <c r="AH198" s="32">
        <v>18</v>
      </c>
      <c r="AI198" s="32">
        <v>7</v>
      </c>
      <c r="AJ198" s="32">
        <v>31</v>
      </c>
      <c r="AK198" s="32">
        <v>22</v>
      </c>
      <c r="AL198" s="32">
        <v>23</v>
      </c>
      <c r="AM198" s="32">
        <v>20</v>
      </c>
      <c r="AN198" s="32">
        <v>22</v>
      </c>
      <c r="AO198" s="32">
        <v>18</v>
      </c>
      <c r="AP198" s="32">
        <v>17</v>
      </c>
      <c r="AQ198" s="32">
        <v>13</v>
      </c>
      <c r="AR198" s="32">
        <v>24</v>
      </c>
      <c r="AS198" s="32">
        <v>28</v>
      </c>
    </row>
    <row r="199" spans="1:45">
      <c r="A199" s="30" t="s">
        <v>676</v>
      </c>
      <c r="B199" s="30" t="s">
        <v>1407</v>
      </c>
      <c r="C199" s="30" t="s">
        <v>677</v>
      </c>
      <c r="D199" s="30" t="s">
        <v>71</v>
      </c>
      <c r="E199" s="30" t="s">
        <v>1644</v>
      </c>
      <c r="F199" s="30" t="s">
        <v>71</v>
      </c>
      <c r="G199" s="30" t="s">
        <v>554</v>
      </c>
      <c r="H199" s="30" t="s">
        <v>680</v>
      </c>
      <c r="I199" s="31">
        <v>0</v>
      </c>
      <c r="J199" s="31">
        <v>0</v>
      </c>
      <c r="K199" s="31">
        <v>0</v>
      </c>
      <c r="L199" s="31">
        <v>0</v>
      </c>
      <c r="M199" s="31">
        <v>0</v>
      </c>
      <c r="N199" s="31">
        <v>0</v>
      </c>
      <c r="O199" s="31">
        <v>0</v>
      </c>
      <c r="P199" s="31">
        <v>0</v>
      </c>
      <c r="Q199" s="31">
        <v>0</v>
      </c>
      <c r="R199" s="31">
        <v>0</v>
      </c>
      <c r="S199" s="31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0</v>
      </c>
      <c r="Z199" s="31">
        <v>0</v>
      </c>
      <c r="AA199" s="31">
        <v>0</v>
      </c>
      <c r="AB199" s="31">
        <v>0</v>
      </c>
      <c r="AC199" s="31">
        <v>0</v>
      </c>
      <c r="AD199" s="32">
        <v>19</v>
      </c>
      <c r="AE199" s="32">
        <v>27</v>
      </c>
      <c r="AF199" s="32">
        <v>22</v>
      </c>
      <c r="AG199" s="32">
        <v>17</v>
      </c>
      <c r="AH199" s="32">
        <v>22</v>
      </c>
      <c r="AI199" s="32">
        <v>26</v>
      </c>
      <c r="AJ199" s="32">
        <v>38</v>
      </c>
      <c r="AK199" s="32">
        <v>22</v>
      </c>
      <c r="AL199" s="32">
        <v>18</v>
      </c>
      <c r="AM199" s="32">
        <v>31</v>
      </c>
      <c r="AN199" s="32">
        <v>18</v>
      </c>
      <c r="AO199" s="32">
        <v>25</v>
      </c>
      <c r="AP199" s="32">
        <v>35</v>
      </c>
      <c r="AQ199" s="32">
        <v>22</v>
      </c>
      <c r="AR199" s="32">
        <v>21</v>
      </c>
      <c r="AS199" s="32">
        <v>38</v>
      </c>
    </row>
    <row r="200" spans="1:45">
      <c r="A200" s="30" t="s">
        <v>676</v>
      </c>
      <c r="B200" s="30" t="s">
        <v>1407</v>
      </c>
      <c r="C200" s="30" t="s">
        <v>677</v>
      </c>
      <c r="D200" s="30" t="s">
        <v>71</v>
      </c>
      <c r="E200" s="30" t="s">
        <v>1645</v>
      </c>
      <c r="F200" s="30" t="s">
        <v>72</v>
      </c>
      <c r="G200" s="30" t="s">
        <v>523</v>
      </c>
      <c r="H200" s="30" t="s">
        <v>680</v>
      </c>
      <c r="I200" s="31">
        <v>0</v>
      </c>
      <c r="J200" s="31">
        <v>0</v>
      </c>
      <c r="K200" s="31">
        <v>0</v>
      </c>
      <c r="L200" s="31">
        <v>0</v>
      </c>
      <c r="M200" s="31">
        <v>0</v>
      </c>
      <c r="N200" s="31">
        <v>0</v>
      </c>
      <c r="O200" s="31">
        <v>0</v>
      </c>
      <c r="P200" s="31">
        <v>0</v>
      </c>
      <c r="Q200" s="31">
        <v>0</v>
      </c>
      <c r="R200" s="31">
        <v>0</v>
      </c>
      <c r="S200" s="31">
        <v>0</v>
      </c>
      <c r="T200" s="31">
        <v>0</v>
      </c>
      <c r="U200" s="31">
        <v>0</v>
      </c>
      <c r="V200" s="31">
        <v>0</v>
      </c>
      <c r="W200" s="31">
        <v>0</v>
      </c>
      <c r="X200" s="31">
        <v>0</v>
      </c>
      <c r="Y200" s="31">
        <v>0</v>
      </c>
      <c r="Z200" s="31">
        <v>0</v>
      </c>
      <c r="AA200" s="31">
        <v>0</v>
      </c>
      <c r="AB200" s="31">
        <v>0</v>
      </c>
      <c r="AC200" s="31">
        <v>0</v>
      </c>
      <c r="AD200" s="32">
        <v>42</v>
      </c>
      <c r="AE200" s="32">
        <v>35</v>
      </c>
      <c r="AF200" s="32">
        <v>29</v>
      </c>
      <c r="AG200" s="32">
        <v>39</v>
      </c>
      <c r="AH200" s="32">
        <v>25</v>
      </c>
      <c r="AI200" s="32">
        <v>27</v>
      </c>
      <c r="AJ200" s="32">
        <v>53</v>
      </c>
      <c r="AK200" s="32">
        <v>22</v>
      </c>
      <c r="AL200" s="32">
        <v>27</v>
      </c>
      <c r="AM200" s="32">
        <v>40</v>
      </c>
      <c r="AN200" s="32">
        <v>32</v>
      </c>
      <c r="AO200" s="32">
        <v>34</v>
      </c>
      <c r="AP200" s="32">
        <v>44</v>
      </c>
      <c r="AQ200" s="32">
        <v>31</v>
      </c>
      <c r="AR200" s="32">
        <v>24</v>
      </c>
      <c r="AS200" s="32">
        <v>71</v>
      </c>
    </row>
    <row r="201" spans="1:45">
      <c r="A201" s="30" t="s">
        <v>676</v>
      </c>
      <c r="B201" s="30" t="s">
        <v>1407</v>
      </c>
      <c r="C201" s="30" t="s">
        <v>677</v>
      </c>
      <c r="D201" s="30" t="s">
        <v>71</v>
      </c>
      <c r="E201" s="30" t="s">
        <v>1646</v>
      </c>
      <c r="F201" s="30" t="s">
        <v>71</v>
      </c>
      <c r="G201" s="30" t="s">
        <v>522</v>
      </c>
      <c r="H201" s="30" t="s">
        <v>680</v>
      </c>
      <c r="I201" s="31">
        <v>0</v>
      </c>
      <c r="J201" s="31">
        <v>0</v>
      </c>
      <c r="K201" s="31">
        <v>0</v>
      </c>
      <c r="L201" s="31">
        <v>0</v>
      </c>
      <c r="M201" s="31">
        <v>0</v>
      </c>
      <c r="N201" s="31">
        <v>0</v>
      </c>
      <c r="O201" s="31">
        <v>0</v>
      </c>
      <c r="P201" s="31">
        <v>0</v>
      </c>
      <c r="Q201" s="31">
        <v>0</v>
      </c>
      <c r="R201" s="31">
        <v>0</v>
      </c>
      <c r="S201" s="31">
        <v>0</v>
      </c>
      <c r="T201" s="31">
        <v>0</v>
      </c>
      <c r="U201" s="31">
        <v>0</v>
      </c>
      <c r="V201" s="31">
        <v>0</v>
      </c>
      <c r="W201" s="31">
        <v>0</v>
      </c>
      <c r="X201" s="31">
        <v>0</v>
      </c>
      <c r="Y201" s="31">
        <v>0</v>
      </c>
      <c r="Z201" s="31">
        <v>0</v>
      </c>
      <c r="AA201" s="31">
        <v>0</v>
      </c>
      <c r="AB201" s="31">
        <v>0</v>
      </c>
      <c r="AC201" s="31">
        <v>0</v>
      </c>
      <c r="AD201" s="32">
        <v>38</v>
      </c>
      <c r="AE201" s="32">
        <v>43</v>
      </c>
      <c r="AF201" s="32">
        <v>30</v>
      </c>
      <c r="AG201" s="32">
        <v>42</v>
      </c>
      <c r="AH201" s="32">
        <v>37</v>
      </c>
      <c r="AI201" s="32">
        <v>18</v>
      </c>
      <c r="AJ201" s="32">
        <v>32</v>
      </c>
      <c r="AK201" s="32">
        <v>18</v>
      </c>
      <c r="AL201" s="32">
        <v>23</v>
      </c>
      <c r="AM201" s="32">
        <v>30</v>
      </c>
      <c r="AN201" s="32">
        <v>22</v>
      </c>
      <c r="AO201" s="32">
        <v>22</v>
      </c>
      <c r="AP201" s="32">
        <v>18</v>
      </c>
      <c r="AQ201" s="32">
        <v>22</v>
      </c>
      <c r="AR201" s="32">
        <v>18</v>
      </c>
      <c r="AS201" s="32">
        <v>41</v>
      </c>
    </row>
    <row r="202" spans="1:45">
      <c r="A202" s="30" t="s">
        <v>676</v>
      </c>
      <c r="B202" s="30" t="s">
        <v>1407</v>
      </c>
      <c r="C202" s="30" t="s">
        <v>677</v>
      </c>
      <c r="D202" s="30" t="s">
        <v>71</v>
      </c>
      <c r="E202" s="30" t="s">
        <v>1647</v>
      </c>
      <c r="F202" s="30" t="s">
        <v>72</v>
      </c>
      <c r="G202" s="30" t="s">
        <v>527</v>
      </c>
      <c r="H202" s="30" t="s">
        <v>680</v>
      </c>
      <c r="I202" s="31">
        <v>0</v>
      </c>
      <c r="J202" s="31">
        <v>0</v>
      </c>
      <c r="K202" s="31">
        <v>0</v>
      </c>
      <c r="L202" s="31">
        <v>0</v>
      </c>
      <c r="M202" s="31">
        <v>0</v>
      </c>
      <c r="N202" s="31">
        <v>0</v>
      </c>
      <c r="O202" s="31">
        <v>0</v>
      </c>
      <c r="P202" s="31">
        <v>0</v>
      </c>
      <c r="Q202" s="31">
        <v>0</v>
      </c>
      <c r="R202" s="31">
        <v>0</v>
      </c>
      <c r="S202" s="31">
        <v>0</v>
      </c>
      <c r="T202" s="31">
        <v>0</v>
      </c>
      <c r="U202" s="31">
        <v>0</v>
      </c>
      <c r="V202" s="31">
        <v>0</v>
      </c>
      <c r="W202" s="31">
        <v>0</v>
      </c>
      <c r="X202" s="31">
        <v>0</v>
      </c>
      <c r="Y202" s="31">
        <v>0</v>
      </c>
      <c r="Z202" s="31">
        <v>0</v>
      </c>
      <c r="AA202" s="31">
        <v>0</v>
      </c>
      <c r="AB202" s="31">
        <v>0</v>
      </c>
      <c r="AC202" s="31">
        <v>0</v>
      </c>
      <c r="AD202" s="32">
        <v>19</v>
      </c>
      <c r="AE202" s="32">
        <v>12</v>
      </c>
      <c r="AF202" s="32">
        <v>5</v>
      </c>
      <c r="AG202" s="32">
        <v>9</v>
      </c>
      <c r="AH202" s="32">
        <v>3</v>
      </c>
      <c r="AI202" s="32">
        <v>1</v>
      </c>
      <c r="AJ202" s="32">
        <v>4</v>
      </c>
      <c r="AK202" s="32">
        <v>4</v>
      </c>
      <c r="AL202" s="32">
        <v>5</v>
      </c>
      <c r="AM202" s="32">
        <v>3</v>
      </c>
      <c r="AN202" s="32">
        <v>5</v>
      </c>
      <c r="AO202" s="32">
        <v>14</v>
      </c>
      <c r="AP202" s="32">
        <v>15</v>
      </c>
      <c r="AQ202" s="32">
        <v>2</v>
      </c>
      <c r="AR202" s="32">
        <v>2</v>
      </c>
      <c r="AS202" s="32">
        <v>9</v>
      </c>
    </row>
    <row r="203" spans="1:45">
      <c r="A203" s="30" t="s">
        <v>676</v>
      </c>
      <c r="B203" s="30" t="s">
        <v>1407</v>
      </c>
      <c r="C203" s="30" t="s">
        <v>677</v>
      </c>
      <c r="D203" s="30" t="s">
        <v>71</v>
      </c>
      <c r="E203" s="30" t="s">
        <v>1648</v>
      </c>
      <c r="F203" s="30" t="s">
        <v>71</v>
      </c>
      <c r="G203" s="30" t="s">
        <v>555</v>
      </c>
      <c r="H203" s="30" t="s">
        <v>680</v>
      </c>
      <c r="I203" s="31">
        <v>0</v>
      </c>
      <c r="J203" s="31">
        <v>0</v>
      </c>
      <c r="K203" s="31">
        <v>0</v>
      </c>
      <c r="L203" s="31">
        <v>0</v>
      </c>
      <c r="M203" s="31">
        <v>0</v>
      </c>
      <c r="N203" s="31">
        <v>0</v>
      </c>
      <c r="O203" s="31">
        <v>0</v>
      </c>
      <c r="P203" s="31">
        <v>0</v>
      </c>
      <c r="Q203" s="31">
        <v>0</v>
      </c>
      <c r="R203" s="31">
        <v>0</v>
      </c>
      <c r="S203" s="31">
        <v>0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0</v>
      </c>
      <c r="Z203" s="31">
        <v>0</v>
      </c>
      <c r="AA203" s="31">
        <v>0</v>
      </c>
      <c r="AB203" s="31">
        <v>0</v>
      </c>
      <c r="AC203" s="31">
        <v>0</v>
      </c>
      <c r="AD203" s="32">
        <v>33</v>
      </c>
      <c r="AE203" s="32">
        <v>41</v>
      </c>
      <c r="AF203" s="32">
        <v>50</v>
      </c>
      <c r="AG203" s="32">
        <v>37</v>
      </c>
      <c r="AH203" s="32">
        <v>21</v>
      </c>
      <c r="AI203" s="32">
        <v>41</v>
      </c>
      <c r="AJ203" s="32">
        <v>68</v>
      </c>
      <c r="AK203" s="32">
        <v>33</v>
      </c>
      <c r="AL203" s="32">
        <v>34</v>
      </c>
      <c r="AM203" s="32">
        <v>48</v>
      </c>
      <c r="AN203" s="32">
        <v>35</v>
      </c>
      <c r="AO203" s="32">
        <v>53</v>
      </c>
      <c r="AP203" s="32">
        <v>29</v>
      </c>
      <c r="AQ203" s="32">
        <v>26</v>
      </c>
      <c r="AR203" s="32">
        <v>24</v>
      </c>
      <c r="AS203" s="32">
        <v>59</v>
      </c>
    </row>
    <row r="204" spans="1:45">
      <c r="A204" s="30" t="s">
        <v>676</v>
      </c>
      <c r="B204" s="30" t="s">
        <v>1407</v>
      </c>
      <c r="C204" s="30" t="s">
        <v>677</v>
      </c>
      <c r="D204" s="30" t="s">
        <v>71</v>
      </c>
      <c r="E204" s="30" t="s">
        <v>1649</v>
      </c>
      <c r="F204" s="30" t="s">
        <v>72</v>
      </c>
      <c r="G204" s="30" t="s">
        <v>524</v>
      </c>
      <c r="H204" s="30" t="s">
        <v>680</v>
      </c>
      <c r="I204" s="31">
        <v>0</v>
      </c>
      <c r="J204" s="31">
        <v>0</v>
      </c>
      <c r="K204" s="31">
        <v>0</v>
      </c>
      <c r="L204" s="31">
        <v>0</v>
      </c>
      <c r="M204" s="31">
        <v>0</v>
      </c>
      <c r="N204" s="31">
        <v>0</v>
      </c>
      <c r="O204" s="31">
        <v>0</v>
      </c>
      <c r="P204" s="31">
        <v>0</v>
      </c>
      <c r="Q204" s="31">
        <v>0</v>
      </c>
      <c r="R204" s="31">
        <v>0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0</v>
      </c>
      <c r="AC204" s="31">
        <v>0</v>
      </c>
      <c r="AD204" s="32">
        <v>19</v>
      </c>
      <c r="AE204" s="32">
        <v>14</v>
      </c>
      <c r="AF204" s="32">
        <v>8</v>
      </c>
      <c r="AG204" s="32">
        <v>17</v>
      </c>
      <c r="AH204" s="32">
        <v>8</v>
      </c>
      <c r="AI204" s="32">
        <v>6</v>
      </c>
      <c r="AJ204" s="32">
        <v>38</v>
      </c>
      <c r="AK204" s="32">
        <v>21</v>
      </c>
      <c r="AL204" s="32">
        <v>24</v>
      </c>
      <c r="AM204" s="32">
        <v>15</v>
      </c>
      <c r="AN204" s="32">
        <v>16</v>
      </c>
      <c r="AO204" s="32">
        <v>7</v>
      </c>
      <c r="AP204" s="32">
        <v>29</v>
      </c>
      <c r="AQ204" s="32">
        <v>18</v>
      </c>
      <c r="AR204" s="32">
        <v>15</v>
      </c>
      <c r="AS204" s="32">
        <v>10</v>
      </c>
    </row>
    <row r="205" spans="1:45">
      <c r="A205" s="30" t="s">
        <v>676</v>
      </c>
      <c r="B205" s="30" t="s">
        <v>1407</v>
      </c>
      <c r="C205" s="30" t="s">
        <v>677</v>
      </c>
      <c r="D205" s="30" t="s">
        <v>71</v>
      </c>
      <c r="E205" s="30" t="s">
        <v>1650</v>
      </c>
      <c r="F205" s="30" t="s">
        <v>71</v>
      </c>
      <c r="G205" s="30" t="s">
        <v>1651</v>
      </c>
      <c r="H205" s="30" t="s">
        <v>680</v>
      </c>
      <c r="I205" s="31">
        <v>0</v>
      </c>
      <c r="J205" s="31">
        <v>0</v>
      </c>
      <c r="K205" s="32">
        <v>1</v>
      </c>
      <c r="L205" s="31">
        <v>0</v>
      </c>
      <c r="M205" s="31">
        <v>0</v>
      </c>
      <c r="N205" s="31">
        <v>0</v>
      </c>
      <c r="O205" s="32">
        <v>1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  <c r="Z205" s="31">
        <v>0</v>
      </c>
      <c r="AA205" s="31">
        <v>0</v>
      </c>
      <c r="AB205" s="31">
        <v>0</v>
      </c>
      <c r="AC205" s="31">
        <v>0</v>
      </c>
      <c r="AD205" s="31">
        <v>0</v>
      </c>
      <c r="AE205" s="31">
        <v>0</v>
      </c>
      <c r="AF205" s="31">
        <v>0</v>
      </c>
      <c r="AG205" s="31">
        <v>0</v>
      </c>
      <c r="AH205" s="31">
        <v>0</v>
      </c>
      <c r="AI205" s="31">
        <v>0</v>
      </c>
      <c r="AJ205" s="31">
        <v>0</v>
      </c>
      <c r="AK205" s="31">
        <v>0</v>
      </c>
      <c r="AL205" s="31">
        <v>0</v>
      </c>
      <c r="AM205" s="31">
        <v>0</v>
      </c>
      <c r="AN205" s="31">
        <v>0</v>
      </c>
      <c r="AO205" s="31">
        <v>0</v>
      </c>
      <c r="AP205" s="31">
        <v>0</v>
      </c>
      <c r="AQ205" s="31">
        <v>0</v>
      </c>
      <c r="AR205" s="31">
        <v>0</v>
      </c>
      <c r="AS205" s="31">
        <v>0</v>
      </c>
    </row>
    <row r="206" spans="1:45">
      <c r="A206" s="30" t="s">
        <v>676</v>
      </c>
      <c r="B206" s="30" t="s">
        <v>1407</v>
      </c>
      <c r="C206" s="30" t="s">
        <v>677</v>
      </c>
      <c r="D206" s="30" t="s">
        <v>71</v>
      </c>
      <c r="E206" s="30" t="s">
        <v>1652</v>
      </c>
      <c r="F206" s="30" t="s">
        <v>71</v>
      </c>
      <c r="G206" s="30" t="s">
        <v>1653</v>
      </c>
      <c r="H206" s="30" t="s">
        <v>680</v>
      </c>
      <c r="I206" s="32">
        <v>34</v>
      </c>
      <c r="J206" s="32">
        <v>20</v>
      </c>
      <c r="K206" s="32">
        <v>19</v>
      </c>
      <c r="L206" s="32">
        <v>32</v>
      </c>
      <c r="M206" s="32">
        <v>28</v>
      </c>
      <c r="N206" s="32">
        <v>20</v>
      </c>
      <c r="O206" s="32">
        <v>25</v>
      </c>
      <c r="P206" s="32">
        <v>19</v>
      </c>
      <c r="Q206" s="32">
        <v>19</v>
      </c>
      <c r="R206" s="32">
        <v>31</v>
      </c>
      <c r="S206" s="32">
        <v>18</v>
      </c>
      <c r="T206" s="32">
        <v>18</v>
      </c>
      <c r="U206" s="32">
        <v>19</v>
      </c>
      <c r="V206" s="32">
        <v>13</v>
      </c>
      <c r="W206" s="32">
        <v>13</v>
      </c>
      <c r="X206" s="32">
        <v>40</v>
      </c>
      <c r="Y206" s="32">
        <v>17</v>
      </c>
      <c r="Z206" s="32">
        <v>20</v>
      </c>
      <c r="AA206" s="32">
        <v>28</v>
      </c>
      <c r="AB206" s="32">
        <v>19</v>
      </c>
      <c r="AC206" s="32">
        <v>22</v>
      </c>
      <c r="AD206" s="32">
        <v>45</v>
      </c>
      <c r="AE206" s="32">
        <v>23</v>
      </c>
      <c r="AF206" s="32">
        <v>16</v>
      </c>
      <c r="AG206" s="32">
        <v>26</v>
      </c>
      <c r="AH206" s="32">
        <v>22</v>
      </c>
      <c r="AI206" s="32">
        <v>11</v>
      </c>
      <c r="AJ206" s="32">
        <v>37</v>
      </c>
      <c r="AK206" s="32">
        <v>14</v>
      </c>
      <c r="AL206" s="32">
        <v>20</v>
      </c>
      <c r="AM206" s="32">
        <v>20</v>
      </c>
      <c r="AN206" s="32">
        <v>40</v>
      </c>
      <c r="AO206" s="32">
        <v>38</v>
      </c>
      <c r="AP206" s="32">
        <v>44</v>
      </c>
      <c r="AQ206" s="32">
        <v>22</v>
      </c>
      <c r="AR206" s="32">
        <v>31</v>
      </c>
      <c r="AS206" s="32">
        <v>31</v>
      </c>
    </row>
    <row r="207" spans="1:45">
      <c r="A207" s="30" t="s">
        <v>676</v>
      </c>
      <c r="B207" s="30" t="s">
        <v>1407</v>
      </c>
      <c r="C207" s="30" t="s">
        <v>677</v>
      </c>
      <c r="D207" s="30" t="s">
        <v>71</v>
      </c>
      <c r="E207" s="30" t="s">
        <v>1654</v>
      </c>
      <c r="F207" s="30" t="s">
        <v>71</v>
      </c>
      <c r="G207" s="30" t="s">
        <v>1655</v>
      </c>
      <c r="H207" s="30" t="s">
        <v>680</v>
      </c>
      <c r="I207" s="32">
        <v>32</v>
      </c>
      <c r="J207" s="32">
        <v>15</v>
      </c>
      <c r="K207" s="32">
        <v>12</v>
      </c>
      <c r="L207" s="32">
        <v>15</v>
      </c>
      <c r="M207" s="32">
        <v>20</v>
      </c>
      <c r="N207" s="32">
        <v>20</v>
      </c>
      <c r="O207" s="32">
        <v>10</v>
      </c>
      <c r="P207" s="32">
        <v>18</v>
      </c>
      <c r="Q207" s="32">
        <v>13</v>
      </c>
      <c r="R207" s="32">
        <v>29</v>
      </c>
      <c r="S207" s="32">
        <v>12</v>
      </c>
      <c r="T207" s="32">
        <v>10</v>
      </c>
      <c r="U207" s="32">
        <v>22</v>
      </c>
      <c r="V207" s="32">
        <v>18</v>
      </c>
      <c r="W207" s="32">
        <v>8</v>
      </c>
      <c r="X207" s="32">
        <v>22</v>
      </c>
      <c r="Y207" s="32">
        <v>5</v>
      </c>
      <c r="Z207" s="32">
        <v>17</v>
      </c>
      <c r="AA207" s="32">
        <v>29</v>
      </c>
      <c r="AB207" s="32">
        <v>10</v>
      </c>
      <c r="AC207" s="32">
        <v>7</v>
      </c>
      <c r="AD207" s="32">
        <v>15</v>
      </c>
      <c r="AE207" s="32">
        <v>11</v>
      </c>
      <c r="AF207" s="32">
        <v>19</v>
      </c>
      <c r="AG207" s="32">
        <v>10</v>
      </c>
      <c r="AH207" s="32">
        <v>18</v>
      </c>
      <c r="AI207" s="32">
        <v>11</v>
      </c>
      <c r="AJ207" s="32">
        <v>22</v>
      </c>
      <c r="AK207" s="32">
        <v>13</v>
      </c>
      <c r="AL207" s="32">
        <v>23</v>
      </c>
      <c r="AM207" s="32">
        <v>16</v>
      </c>
      <c r="AN207" s="32">
        <v>14</v>
      </c>
      <c r="AO207" s="32">
        <v>27</v>
      </c>
      <c r="AP207" s="32">
        <v>29</v>
      </c>
      <c r="AQ207" s="32">
        <v>18</v>
      </c>
      <c r="AR207" s="32">
        <v>24</v>
      </c>
      <c r="AS207" s="32">
        <v>28</v>
      </c>
    </row>
    <row r="208" spans="1:45">
      <c r="A208" s="30" t="s">
        <v>676</v>
      </c>
      <c r="B208" s="30" t="s">
        <v>1407</v>
      </c>
      <c r="C208" s="30" t="s">
        <v>677</v>
      </c>
      <c r="D208" s="30" t="s">
        <v>71</v>
      </c>
      <c r="E208" s="30" t="s">
        <v>1656</v>
      </c>
      <c r="F208" s="30" t="s">
        <v>71</v>
      </c>
      <c r="G208" s="30" t="s">
        <v>1657</v>
      </c>
      <c r="H208" s="30" t="s">
        <v>680</v>
      </c>
      <c r="I208" s="32">
        <v>14</v>
      </c>
      <c r="J208" s="32">
        <v>9</v>
      </c>
      <c r="K208" s="32">
        <v>10</v>
      </c>
      <c r="L208" s="32">
        <v>14</v>
      </c>
      <c r="M208" s="32">
        <v>9</v>
      </c>
      <c r="N208" s="32">
        <v>5</v>
      </c>
      <c r="O208" s="32">
        <v>8</v>
      </c>
      <c r="P208" s="32">
        <v>11</v>
      </c>
      <c r="Q208" s="32">
        <v>7</v>
      </c>
      <c r="R208" s="32">
        <v>13</v>
      </c>
      <c r="S208" s="32">
        <v>10</v>
      </c>
      <c r="T208" s="32">
        <v>9</v>
      </c>
      <c r="U208" s="32">
        <v>19</v>
      </c>
      <c r="V208" s="32">
        <v>4</v>
      </c>
      <c r="W208" s="32">
        <v>7</v>
      </c>
      <c r="X208" s="32">
        <v>15</v>
      </c>
      <c r="Y208" s="32">
        <v>5</v>
      </c>
      <c r="Z208" s="32">
        <v>9</v>
      </c>
      <c r="AA208" s="32">
        <v>14</v>
      </c>
      <c r="AB208" s="32">
        <v>9</v>
      </c>
      <c r="AC208" s="32">
        <v>12</v>
      </c>
      <c r="AD208" s="32">
        <v>23</v>
      </c>
      <c r="AE208" s="32">
        <v>7</v>
      </c>
      <c r="AF208" s="32">
        <v>15</v>
      </c>
      <c r="AG208" s="32">
        <v>10</v>
      </c>
      <c r="AH208" s="32">
        <v>10</v>
      </c>
      <c r="AI208" s="32">
        <v>11</v>
      </c>
      <c r="AJ208" s="32">
        <v>20</v>
      </c>
      <c r="AK208" s="32">
        <v>11</v>
      </c>
      <c r="AL208" s="32">
        <v>25</v>
      </c>
      <c r="AM208" s="32">
        <v>16</v>
      </c>
      <c r="AN208" s="32">
        <v>19</v>
      </c>
      <c r="AO208" s="32">
        <v>17</v>
      </c>
      <c r="AP208" s="32">
        <v>31</v>
      </c>
      <c r="AQ208" s="32">
        <v>16</v>
      </c>
      <c r="AR208" s="32">
        <v>11</v>
      </c>
      <c r="AS208" s="32">
        <v>9</v>
      </c>
    </row>
    <row r="209" spans="1:45">
      <c r="A209" s="30" t="s">
        <v>676</v>
      </c>
      <c r="B209" s="30" t="s">
        <v>1407</v>
      </c>
      <c r="C209" s="30" t="s">
        <v>677</v>
      </c>
      <c r="D209" s="30" t="s">
        <v>71</v>
      </c>
      <c r="E209" s="30" t="s">
        <v>1658</v>
      </c>
      <c r="F209" s="30" t="s">
        <v>71</v>
      </c>
      <c r="G209" s="30" t="s">
        <v>1659</v>
      </c>
      <c r="H209" s="30" t="s">
        <v>680</v>
      </c>
      <c r="I209" s="32">
        <v>1</v>
      </c>
      <c r="J209" s="31">
        <v>0</v>
      </c>
      <c r="K209" s="31">
        <v>0</v>
      </c>
      <c r="L209" s="32">
        <v>1</v>
      </c>
      <c r="M209" s="31">
        <v>0</v>
      </c>
      <c r="N209" s="31">
        <v>0</v>
      </c>
      <c r="O209" s="31">
        <v>0</v>
      </c>
      <c r="P209" s="32">
        <v>1</v>
      </c>
      <c r="Q209" s="31">
        <v>0</v>
      </c>
      <c r="R209" s="31">
        <v>0</v>
      </c>
      <c r="S209" s="31">
        <v>0</v>
      </c>
      <c r="T209" s="31">
        <v>0</v>
      </c>
      <c r="U209" s="32">
        <v>4</v>
      </c>
      <c r="V209" s="32">
        <v>7</v>
      </c>
      <c r="W209" s="32">
        <v>1</v>
      </c>
      <c r="X209" s="32">
        <v>11</v>
      </c>
      <c r="Y209" s="32">
        <v>5</v>
      </c>
      <c r="Z209" s="32">
        <v>3</v>
      </c>
      <c r="AA209" s="32">
        <v>11</v>
      </c>
      <c r="AB209" s="32">
        <v>3</v>
      </c>
      <c r="AC209" s="32">
        <v>8</v>
      </c>
      <c r="AD209" s="32">
        <v>8</v>
      </c>
      <c r="AE209" s="32">
        <v>4</v>
      </c>
      <c r="AF209" s="32">
        <v>5</v>
      </c>
      <c r="AG209" s="32">
        <v>8</v>
      </c>
      <c r="AH209" s="32">
        <v>2</v>
      </c>
      <c r="AI209" s="32">
        <v>3</v>
      </c>
      <c r="AJ209" s="32">
        <v>10</v>
      </c>
      <c r="AK209" s="32">
        <v>3</v>
      </c>
      <c r="AL209" s="32">
        <v>11</v>
      </c>
      <c r="AM209" s="32">
        <v>9</v>
      </c>
      <c r="AN209" s="32">
        <v>7</v>
      </c>
      <c r="AO209" s="32">
        <v>11</v>
      </c>
      <c r="AP209" s="32">
        <v>13</v>
      </c>
      <c r="AQ209" s="32">
        <v>4</v>
      </c>
      <c r="AR209" s="32">
        <v>9</v>
      </c>
      <c r="AS209" s="32">
        <v>7</v>
      </c>
    </row>
    <row r="210" spans="1:45">
      <c r="A210" s="30" t="s">
        <v>676</v>
      </c>
      <c r="B210" s="30" t="s">
        <v>1407</v>
      </c>
      <c r="C210" s="30" t="s">
        <v>677</v>
      </c>
      <c r="D210" s="30" t="s">
        <v>71</v>
      </c>
      <c r="E210" s="30" t="s">
        <v>1660</v>
      </c>
      <c r="F210" s="30" t="s">
        <v>71</v>
      </c>
      <c r="G210" s="30" t="s">
        <v>1661</v>
      </c>
      <c r="H210" s="30" t="s">
        <v>680</v>
      </c>
      <c r="I210" s="31">
        <v>0</v>
      </c>
      <c r="J210" s="31">
        <v>0</v>
      </c>
      <c r="K210" s="31">
        <v>0</v>
      </c>
      <c r="L210" s="31">
        <v>0</v>
      </c>
      <c r="M210" s="31">
        <v>0</v>
      </c>
      <c r="N210" s="31">
        <v>0</v>
      </c>
      <c r="O210" s="31">
        <v>0</v>
      </c>
      <c r="P210" s="31">
        <v>0</v>
      </c>
      <c r="Q210" s="31">
        <v>0</v>
      </c>
      <c r="R210" s="31">
        <v>0</v>
      </c>
      <c r="S210" s="31">
        <v>0</v>
      </c>
      <c r="T210" s="31">
        <v>0</v>
      </c>
      <c r="U210" s="31">
        <v>0</v>
      </c>
      <c r="V210" s="31">
        <v>0</v>
      </c>
      <c r="W210" s="31">
        <v>0</v>
      </c>
      <c r="X210" s="31">
        <v>0</v>
      </c>
      <c r="Y210" s="31">
        <v>0</v>
      </c>
      <c r="Z210" s="31">
        <v>0</v>
      </c>
      <c r="AA210" s="31">
        <v>0</v>
      </c>
      <c r="AB210" s="31">
        <v>0</v>
      </c>
      <c r="AC210" s="31">
        <v>0</v>
      </c>
      <c r="AD210" s="31">
        <v>0</v>
      </c>
      <c r="AE210" s="31">
        <v>0</v>
      </c>
      <c r="AF210" s="31">
        <v>0</v>
      </c>
      <c r="AG210" s="31">
        <v>0</v>
      </c>
      <c r="AH210" s="31">
        <v>0</v>
      </c>
      <c r="AI210" s="31">
        <v>0</v>
      </c>
      <c r="AJ210" s="31">
        <v>0</v>
      </c>
      <c r="AK210" s="31">
        <v>0</v>
      </c>
      <c r="AL210" s="31">
        <v>0</v>
      </c>
      <c r="AM210" s="31">
        <v>0</v>
      </c>
      <c r="AN210" s="31">
        <v>0</v>
      </c>
      <c r="AO210" s="31">
        <v>0</v>
      </c>
      <c r="AP210" s="31">
        <v>0</v>
      </c>
      <c r="AQ210" s="31">
        <v>0</v>
      </c>
      <c r="AR210" s="31">
        <v>0</v>
      </c>
      <c r="AS210" s="32">
        <v>4</v>
      </c>
    </row>
    <row r="211" spans="1:45">
      <c r="A211" s="30" t="s">
        <v>676</v>
      </c>
      <c r="B211" s="30" t="s">
        <v>1407</v>
      </c>
      <c r="C211" s="30" t="s">
        <v>677</v>
      </c>
      <c r="D211" s="30" t="s">
        <v>71</v>
      </c>
      <c r="E211" s="30" t="s">
        <v>1662</v>
      </c>
      <c r="F211" s="30" t="s">
        <v>71</v>
      </c>
      <c r="G211" s="30" t="s">
        <v>1663</v>
      </c>
      <c r="H211" s="30" t="s">
        <v>680</v>
      </c>
      <c r="I211" s="32">
        <v>12</v>
      </c>
      <c r="J211" s="32">
        <v>2</v>
      </c>
      <c r="K211" s="32">
        <v>3</v>
      </c>
      <c r="L211" s="32">
        <v>11</v>
      </c>
      <c r="M211" s="32">
        <v>7</v>
      </c>
      <c r="N211" s="32">
        <v>4</v>
      </c>
      <c r="O211" s="32">
        <v>10</v>
      </c>
      <c r="P211" s="32">
        <v>7</v>
      </c>
      <c r="Q211" s="32">
        <v>3</v>
      </c>
      <c r="R211" s="32">
        <v>8</v>
      </c>
      <c r="S211" s="32">
        <v>11</v>
      </c>
      <c r="T211" s="32">
        <v>4</v>
      </c>
      <c r="U211" s="32">
        <v>9</v>
      </c>
      <c r="V211" s="32">
        <v>8</v>
      </c>
      <c r="W211" s="32">
        <v>7</v>
      </c>
      <c r="X211" s="32">
        <v>9</v>
      </c>
      <c r="Y211" s="32">
        <v>6</v>
      </c>
      <c r="Z211" s="32">
        <v>6</v>
      </c>
      <c r="AA211" s="32">
        <v>16</v>
      </c>
      <c r="AB211" s="32">
        <v>10</v>
      </c>
      <c r="AC211" s="32">
        <v>8</v>
      </c>
      <c r="AD211" s="32">
        <v>16</v>
      </c>
      <c r="AE211" s="32">
        <v>13</v>
      </c>
      <c r="AF211" s="32">
        <v>4</v>
      </c>
      <c r="AG211" s="32">
        <v>4</v>
      </c>
      <c r="AH211" s="32">
        <v>6</v>
      </c>
      <c r="AI211" s="32">
        <v>10</v>
      </c>
      <c r="AJ211" s="32">
        <v>20</v>
      </c>
      <c r="AK211" s="32">
        <v>8</v>
      </c>
      <c r="AL211" s="32">
        <v>6</v>
      </c>
      <c r="AM211" s="32">
        <v>11</v>
      </c>
      <c r="AN211" s="32">
        <v>12</v>
      </c>
      <c r="AO211" s="32">
        <v>17</v>
      </c>
      <c r="AP211" s="32">
        <v>12</v>
      </c>
      <c r="AQ211" s="32">
        <v>13</v>
      </c>
      <c r="AR211" s="32">
        <v>11</v>
      </c>
      <c r="AS211" s="32">
        <v>10</v>
      </c>
    </row>
    <row r="212" spans="1:45">
      <c r="A212" s="30" t="s">
        <v>676</v>
      </c>
      <c r="B212" s="30" t="s">
        <v>1407</v>
      </c>
      <c r="C212" s="30" t="s">
        <v>677</v>
      </c>
      <c r="D212" s="30" t="s">
        <v>71</v>
      </c>
      <c r="E212" s="30" t="s">
        <v>1664</v>
      </c>
      <c r="F212" s="30" t="s">
        <v>71</v>
      </c>
      <c r="G212" s="30" t="s">
        <v>1665</v>
      </c>
      <c r="H212" s="30" t="s">
        <v>680</v>
      </c>
      <c r="I212" s="31">
        <v>0</v>
      </c>
      <c r="J212" s="31">
        <v>0</v>
      </c>
      <c r="K212" s="32">
        <v>3</v>
      </c>
      <c r="L212" s="32">
        <v>34</v>
      </c>
      <c r="M212" s="32">
        <v>53</v>
      </c>
      <c r="N212" s="32">
        <v>49</v>
      </c>
      <c r="O212" s="32">
        <v>113</v>
      </c>
      <c r="P212" s="32">
        <v>85</v>
      </c>
      <c r="Q212" s="32">
        <v>94</v>
      </c>
      <c r="R212" s="32">
        <v>133</v>
      </c>
      <c r="S212" s="32">
        <v>71</v>
      </c>
      <c r="T212" s="32">
        <v>38</v>
      </c>
      <c r="U212" s="32">
        <v>38</v>
      </c>
      <c r="V212" s="32">
        <v>26</v>
      </c>
      <c r="W212" s="32">
        <v>14</v>
      </c>
      <c r="X212" s="32">
        <v>15</v>
      </c>
      <c r="Y212" s="32">
        <v>6</v>
      </c>
      <c r="Z212" s="32">
        <v>8</v>
      </c>
      <c r="AA212" s="32">
        <v>22</v>
      </c>
      <c r="AB212" s="32">
        <v>11</v>
      </c>
      <c r="AC212" s="32">
        <v>6</v>
      </c>
      <c r="AD212" s="32">
        <v>5</v>
      </c>
      <c r="AE212" s="32">
        <v>2</v>
      </c>
      <c r="AF212" s="31">
        <v>0</v>
      </c>
      <c r="AG212" s="32">
        <v>7</v>
      </c>
      <c r="AH212" s="32">
        <v>2</v>
      </c>
      <c r="AI212" s="32">
        <v>1</v>
      </c>
      <c r="AJ212" s="32">
        <v>4</v>
      </c>
      <c r="AK212" s="32">
        <v>3</v>
      </c>
      <c r="AL212" s="32">
        <v>1</v>
      </c>
      <c r="AM212" s="31">
        <v>0</v>
      </c>
      <c r="AN212" s="31">
        <v>0</v>
      </c>
      <c r="AO212" s="31">
        <v>0</v>
      </c>
      <c r="AP212" s="31">
        <v>0</v>
      </c>
      <c r="AQ212" s="31">
        <v>0</v>
      </c>
      <c r="AR212" s="31">
        <v>0</v>
      </c>
      <c r="AS212" s="31">
        <v>0</v>
      </c>
    </row>
    <row r="213" spans="1:45">
      <c r="A213" s="30" t="s">
        <v>676</v>
      </c>
      <c r="B213" s="30" t="s">
        <v>1407</v>
      </c>
      <c r="C213" s="30" t="s">
        <v>677</v>
      </c>
      <c r="D213" s="30" t="s">
        <v>71</v>
      </c>
      <c r="E213" s="30" t="s">
        <v>1666</v>
      </c>
      <c r="F213" s="30" t="s">
        <v>71</v>
      </c>
      <c r="G213" s="30" t="s">
        <v>1667</v>
      </c>
      <c r="H213" s="30" t="s">
        <v>680</v>
      </c>
      <c r="I213" s="31">
        <v>0</v>
      </c>
      <c r="J213" s="31">
        <v>0</v>
      </c>
      <c r="K213" s="32">
        <v>2</v>
      </c>
      <c r="L213" s="32">
        <v>28</v>
      </c>
      <c r="M213" s="32">
        <v>46</v>
      </c>
      <c r="N213" s="32">
        <v>32</v>
      </c>
      <c r="O213" s="32">
        <v>67</v>
      </c>
      <c r="P213" s="32">
        <v>47</v>
      </c>
      <c r="Q213" s="32">
        <v>44</v>
      </c>
      <c r="R213" s="32">
        <v>72</v>
      </c>
      <c r="S213" s="32">
        <v>44</v>
      </c>
      <c r="T213" s="32">
        <v>51</v>
      </c>
      <c r="U213" s="32">
        <v>33</v>
      </c>
      <c r="V213" s="32">
        <v>25</v>
      </c>
      <c r="W213" s="32">
        <v>21</v>
      </c>
      <c r="X213" s="32">
        <v>29</v>
      </c>
      <c r="Y213" s="32">
        <v>16</v>
      </c>
      <c r="Z213" s="32">
        <v>19</v>
      </c>
      <c r="AA213" s="32">
        <v>14</v>
      </c>
      <c r="AB213" s="32">
        <v>11</v>
      </c>
      <c r="AC213" s="32">
        <v>5</v>
      </c>
      <c r="AD213" s="32">
        <v>5</v>
      </c>
      <c r="AE213" s="32">
        <v>5</v>
      </c>
      <c r="AF213" s="32">
        <v>3</v>
      </c>
      <c r="AG213" s="32">
        <v>2</v>
      </c>
      <c r="AH213" s="32">
        <v>2</v>
      </c>
      <c r="AI213" s="32">
        <v>3</v>
      </c>
      <c r="AJ213" s="32">
        <v>1</v>
      </c>
      <c r="AK213" s="32">
        <v>3</v>
      </c>
      <c r="AL213" s="32">
        <v>1</v>
      </c>
      <c r="AM213" s="31">
        <v>0</v>
      </c>
      <c r="AN213" s="31">
        <v>0</v>
      </c>
      <c r="AO213" s="32">
        <v>1</v>
      </c>
      <c r="AP213" s="32">
        <v>1</v>
      </c>
      <c r="AQ213" s="31">
        <v>0</v>
      </c>
      <c r="AR213" s="31">
        <v>0</v>
      </c>
      <c r="AS213" s="31">
        <v>0</v>
      </c>
    </row>
    <row r="214" spans="1:45">
      <c r="A214" s="30" t="s">
        <v>676</v>
      </c>
      <c r="B214" s="30" t="s">
        <v>1407</v>
      </c>
      <c r="C214" s="30" t="s">
        <v>677</v>
      </c>
      <c r="D214" s="30" t="s">
        <v>71</v>
      </c>
      <c r="E214" s="30" t="s">
        <v>1668</v>
      </c>
      <c r="F214" s="30" t="s">
        <v>71</v>
      </c>
      <c r="G214" s="30" t="s">
        <v>1669</v>
      </c>
      <c r="H214" s="30" t="s">
        <v>680</v>
      </c>
      <c r="I214" s="31">
        <v>0</v>
      </c>
      <c r="J214" s="31">
        <v>0</v>
      </c>
      <c r="K214" s="31">
        <v>0</v>
      </c>
      <c r="L214" s="32">
        <v>28</v>
      </c>
      <c r="M214" s="32">
        <v>16</v>
      </c>
      <c r="N214" s="32">
        <v>13</v>
      </c>
      <c r="O214" s="32">
        <v>31</v>
      </c>
      <c r="P214" s="32">
        <v>20</v>
      </c>
      <c r="Q214" s="32">
        <v>12</v>
      </c>
      <c r="R214" s="32">
        <v>12</v>
      </c>
      <c r="S214" s="32">
        <v>17</v>
      </c>
      <c r="T214" s="32">
        <v>7</v>
      </c>
      <c r="U214" s="32">
        <v>10</v>
      </c>
      <c r="V214" s="32">
        <v>8</v>
      </c>
      <c r="W214" s="32">
        <v>4</v>
      </c>
      <c r="X214" s="32">
        <v>3</v>
      </c>
      <c r="Y214" s="32">
        <v>1</v>
      </c>
      <c r="Z214" s="32">
        <v>4</v>
      </c>
      <c r="AA214" s="32">
        <v>4</v>
      </c>
      <c r="AB214" s="32">
        <v>1</v>
      </c>
      <c r="AC214" s="32">
        <v>3</v>
      </c>
      <c r="AD214" s="32">
        <v>4</v>
      </c>
      <c r="AE214" s="32">
        <v>2</v>
      </c>
      <c r="AF214" s="31">
        <v>0</v>
      </c>
      <c r="AG214" s="32">
        <v>3</v>
      </c>
      <c r="AH214" s="32">
        <v>5</v>
      </c>
      <c r="AI214" s="32">
        <v>2</v>
      </c>
      <c r="AJ214" s="32">
        <v>2</v>
      </c>
      <c r="AK214" s="32">
        <v>2</v>
      </c>
      <c r="AL214" s="31">
        <v>0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</row>
    <row r="215" spans="1:45">
      <c r="A215" s="30" t="s">
        <v>676</v>
      </c>
      <c r="B215" s="30" t="s">
        <v>1407</v>
      </c>
      <c r="C215" s="30" t="s">
        <v>677</v>
      </c>
      <c r="D215" s="30" t="s">
        <v>71</v>
      </c>
      <c r="E215" s="30" t="s">
        <v>1670</v>
      </c>
      <c r="F215" s="30" t="s">
        <v>71</v>
      </c>
      <c r="G215" s="30" t="s">
        <v>1671</v>
      </c>
      <c r="H215" s="30" t="s">
        <v>680</v>
      </c>
      <c r="I215" s="31">
        <v>0</v>
      </c>
      <c r="J215" s="31">
        <v>0</v>
      </c>
      <c r="K215" s="32">
        <v>2</v>
      </c>
      <c r="L215" s="32">
        <v>42</v>
      </c>
      <c r="M215" s="32">
        <v>59</v>
      </c>
      <c r="N215" s="32">
        <v>29</v>
      </c>
      <c r="O215" s="32">
        <v>72</v>
      </c>
      <c r="P215" s="32">
        <v>70</v>
      </c>
      <c r="Q215" s="32">
        <v>55</v>
      </c>
      <c r="R215" s="32">
        <v>76</v>
      </c>
      <c r="S215" s="32">
        <v>45</v>
      </c>
      <c r="T215" s="32">
        <v>44</v>
      </c>
      <c r="U215" s="32">
        <v>33</v>
      </c>
      <c r="V215" s="32">
        <v>15</v>
      </c>
      <c r="W215" s="32">
        <v>12</v>
      </c>
      <c r="X215" s="32">
        <v>15</v>
      </c>
      <c r="Y215" s="32">
        <v>5</v>
      </c>
      <c r="Z215" s="32">
        <v>4</v>
      </c>
      <c r="AA215" s="32">
        <v>9</v>
      </c>
      <c r="AB215" s="32">
        <v>5</v>
      </c>
      <c r="AC215" s="32">
        <v>7</v>
      </c>
      <c r="AD215" s="32">
        <v>9</v>
      </c>
      <c r="AE215" s="32">
        <v>3</v>
      </c>
      <c r="AF215" s="32">
        <v>6</v>
      </c>
      <c r="AG215" s="32">
        <v>7</v>
      </c>
      <c r="AH215" s="32">
        <v>3</v>
      </c>
      <c r="AI215" s="31">
        <v>0</v>
      </c>
      <c r="AJ215" s="32">
        <v>1</v>
      </c>
      <c r="AK215" s="31">
        <v>0</v>
      </c>
      <c r="AL215" s="32">
        <v>1</v>
      </c>
      <c r="AM215" s="32">
        <v>1</v>
      </c>
      <c r="AN215" s="32">
        <v>2</v>
      </c>
      <c r="AO215" s="32">
        <v>3</v>
      </c>
      <c r="AP215" s="31">
        <v>0</v>
      </c>
      <c r="AQ215" s="31">
        <v>0</v>
      </c>
      <c r="AR215" s="31">
        <v>0</v>
      </c>
      <c r="AS215" s="31">
        <v>0</v>
      </c>
    </row>
    <row r="216" spans="1:45">
      <c r="A216" s="30" t="s">
        <v>676</v>
      </c>
      <c r="B216" s="30" t="s">
        <v>1407</v>
      </c>
      <c r="C216" s="30" t="s">
        <v>677</v>
      </c>
      <c r="D216" s="30" t="s">
        <v>71</v>
      </c>
      <c r="E216" s="30" t="s">
        <v>1672</v>
      </c>
      <c r="F216" s="30" t="s">
        <v>71</v>
      </c>
      <c r="G216" s="30" t="s">
        <v>1673</v>
      </c>
      <c r="H216" s="30" t="s">
        <v>680</v>
      </c>
      <c r="I216" s="31">
        <v>0</v>
      </c>
      <c r="J216" s="31">
        <v>0</v>
      </c>
      <c r="K216" s="32">
        <v>2</v>
      </c>
      <c r="L216" s="32">
        <v>35</v>
      </c>
      <c r="M216" s="32">
        <v>38</v>
      </c>
      <c r="N216" s="32">
        <v>20</v>
      </c>
      <c r="O216" s="32">
        <v>46</v>
      </c>
      <c r="P216" s="32">
        <v>22</v>
      </c>
      <c r="Q216" s="32">
        <v>12</v>
      </c>
      <c r="R216" s="32">
        <v>18</v>
      </c>
      <c r="S216" s="32">
        <v>14</v>
      </c>
      <c r="T216" s="32">
        <v>12</v>
      </c>
      <c r="U216" s="32">
        <v>12</v>
      </c>
      <c r="V216" s="32">
        <v>6</v>
      </c>
      <c r="W216" s="32">
        <v>7</v>
      </c>
      <c r="X216" s="32">
        <v>5</v>
      </c>
      <c r="Y216" s="32">
        <v>9</v>
      </c>
      <c r="Z216" s="32">
        <v>6</v>
      </c>
      <c r="AA216" s="32">
        <v>2</v>
      </c>
      <c r="AB216" s="32">
        <v>5</v>
      </c>
      <c r="AC216" s="32">
        <v>3</v>
      </c>
      <c r="AD216" s="32">
        <v>1</v>
      </c>
      <c r="AE216" s="32">
        <v>3</v>
      </c>
      <c r="AF216" s="32">
        <v>2</v>
      </c>
      <c r="AG216" s="32">
        <v>4</v>
      </c>
      <c r="AH216" s="32">
        <v>1</v>
      </c>
      <c r="AI216" s="31">
        <v>0</v>
      </c>
      <c r="AJ216" s="32">
        <v>4</v>
      </c>
      <c r="AK216" s="32">
        <v>2</v>
      </c>
      <c r="AL216" s="32">
        <v>1</v>
      </c>
      <c r="AM216" s="31">
        <v>0</v>
      </c>
      <c r="AN216" s="31">
        <v>0</v>
      </c>
      <c r="AO216" s="32">
        <v>1</v>
      </c>
      <c r="AP216" s="31">
        <v>0</v>
      </c>
      <c r="AQ216" s="31">
        <v>0</v>
      </c>
      <c r="AR216" s="31">
        <v>0</v>
      </c>
      <c r="AS216" s="31">
        <v>0</v>
      </c>
    </row>
    <row r="217" spans="1:45">
      <c r="A217" s="30" t="s">
        <v>676</v>
      </c>
      <c r="B217" s="30" t="s">
        <v>1407</v>
      </c>
      <c r="C217" s="30" t="s">
        <v>677</v>
      </c>
      <c r="D217" s="30" t="s">
        <v>71</v>
      </c>
      <c r="E217" s="30" t="s">
        <v>1674</v>
      </c>
      <c r="F217" s="30" t="s">
        <v>71</v>
      </c>
      <c r="G217" s="30" t="s">
        <v>1675</v>
      </c>
      <c r="H217" s="30" t="s">
        <v>680</v>
      </c>
      <c r="I217" s="31">
        <v>0</v>
      </c>
      <c r="J217" s="31">
        <v>0</v>
      </c>
      <c r="K217" s="32">
        <v>2</v>
      </c>
      <c r="L217" s="32">
        <v>88</v>
      </c>
      <c r="M217" s="32">
        <v>127</v>
      </c>
      <c r="N217" s="32">
        <v>92</v>
      </c>
      <c r="O217" s="32">
        <v>128</v>
      </c>
      <c r="P217" s="32">
        <v>76</v>
      </c>
      <c r="Q217" s="32">
        <v>66</v>
      </c>
      <c r="R217" s="32">
        <v>104</v>
      </c>
      <c r="S217" s="32">
        <v>78</v>
      </c>
      <c r="T217" s="32">
        <v>32</v>
      </c>
      <c r="U217" s="32">
        <v>40</v>
      </c>
      <c r="V217" s="32">
        <v>20</v>
      </c>
      <c r="W217" s="32">
        <v>9</v>
      </c>
      <c r="X217" s="32">
        <v>16</v>
      </c>
      <c r="Y217" s="32">
        <v>19</v>
      </c>
      <c r="Z217" s="32">
        <v>19</v>
      </c>
      <c r="AA217" s="32">
        <v>13</v>
      </c>
      <c r="AB217" s="32">
        <v>8</v>
      </c>
      <c r="AC217" s="32">
        <v>9</v>
      </c>
      <c r="AD217" s="32">
        <v>9</v>
      </c>
      <c r="AE217" s="32">
        <v>4</v>
      </c>
      <c r="AF217" s="32">
        <v>7</v>
      </c>
      <c r="AG217" s="32">
        <v>8</v>
      </c>
      <c r="AH217" s="32">
        <v>9</v>
      </c>
      <c r="AI217" s="32">
        <v>3</v>
      </c>
      <c r="AJ217" s="32">
        <v>2</v>
      </c>
      <c r="AK217" s="32">
        <v>4</v>
      </c>
      <c r="AL217" s="32">
        <v>3</v>
      </c>
      <c r="AM217" s="32">
        <v>6</v>
      </c>
      <c r="AN217" s="32">
        <v>3</v>
      </c>
      <c r="AO217" s="32">
        <v>2</v>
      </c>
      <c r="AP217" s="31">
        <v>0</v>
      </c>
      <c r="AQ217" s="31">
        <v>0</v>
      </c>
      <c r="AR217" s="31">
        <v>0</v>
      </c>
      <c r="AS217" s="31">
        <v>0</v>
      </c>
    </row>
    <row r="218" spans="1:45">
      <c r="A218" s="30" t="s">
        <v>676</v>
      </c>
      <c r="B218" s="30" t="s">
        <v>1407</v>
      </c>
      <c r="C218" s="30" t="s">
        <v>677</v>
      </c>
      <c r="D218" s="30" t="s">
        <v>71</v>
      </c>
      <c r="E218" s="30" t="s">
        <v>1676</v>
      </c>
      <c r="F218" s="30" t="s">
        <v>71</v>
      </c>
      <c r="G218" s="30" t="s">
        <v>1677</v>
      </c>
      <c r="H218" s="30" t="s">
        <v>680</v>
      </c>
      <c r="I218" s="31">
        <v>0</v>
      </c>
      <c r="J218" s="31">
        <v>0</v>
      </c>
      <c r="K218" s="32">
        <v>6</v>
      </c>
      <c r="L218" s="32">
        <v>25</v>
      </c>
      <c r="M218" s="32">
        <v>14</v>
      </c>
      <c r="N218" s="32">
        <v>10</v>
      </c>
      <c r="O218" s="32">
        <v>22</v>
      </c>
      <c r="P218" s="32">
        <v>18</v>
      </c>
      <c r="Q218" s="32">
        <v>13</v>
      </c>
      <c r="R218" s="32">
        <v>9</v>
      </c>
      <c r="S218" s="32">
        <v>6</v>
      </c>
      <c r="T218" s="32">
        <v>6</v>
      </c>
      <c r="U218" s="32">
        <v>4</v>
      </c>
      <c r="V218" s="32">
        <v>7</v>
      </c>
      <c r="W218" s="32">
        <v>4</v>
      </c>
      <c r="X218" s="32">
        <v>3</v>
      </c>
      <c r="Y218" s="32">
        <v>5</v>
      </c>
      <c r="Z218" s="32">
        <v>5</v>
      </c>
      <c r="AA218" s="32">
        <v>6</v>
      </c>
      <c r="AB218" s="32">
        <v>2</v>
      </c>
      <c r="AC218" s="32">
        <v>3</v>
      </c>
      <c r="AD218" s="31">
        <v>0</v>
      </c>
      <c r="AE218" s="31">
        <v>0</v>
      </c>
      <c r="AF218" s="32">
        <v>3</v>
      </c>
      <c r="AG218" s="32">
        <v>2</v>
      </c>
      <c r="AH218" s="32">
        <v>3</v>
      </c>
      <c r="AI218" s="32">
        <v>2</v>
      </c>
      <c r="AJ218" s="32">
        <v>1</v>
      </c>
      <c r="AK218" s="32">
        <v>3</v>
      </c>
      <c r="AL218" s="32">
        <v>1</v>
      </c>
      <c r="AM218" s="31">
        <v>0</v>
      </c>
      <c r="AN218" s="31">
        <v>0</v>
      </c>
      <c r="AO218" s="31">
        <v>0</v>
      </c>
      <c r="AP218" s="31">
        <v>0</v>
      </c>
      <c r="AQ218" s="31">
        <v>0</v>
      </c>
      <c r="AR218" s="31">
        <v>0</v>
      </c>
      <c r="AS218" s="31">
        <v>0</v>
      </c>
    </row>
    <row r="219" spans="1:45">
      <c r="A219" s="30" t="s">
        <v>676</v>
      </c>
      <c r="B219" s="30" t="s">
        <v>1407</v>
      </c>
      <c r="C219" s="30" t="s">
        <v>677</v>
      </c>
      <c r="D219" s="30" t="s">
        <v>71</v>
      </c>
      <c r="E219" s="30" t="s">
        <v>1678</v>
      </c>
      <c r="F219" s="30" t="s">
        <v>71</v>
      </c>
      <c r="G219" s="30" t="s">
        <v>1679</v>
      </c>
      <c r="H219" s="30" t="s">
        <v>680</v>
      </c>
      <c r="I219" s="31">
        <v>0</v>
      </c>
      <c r="J219" s="31">
        <v>0</v>
      </c>
      <c r="K219" s="32">
        <v>3</v>
      </c>
      <c r="L219" s="32">
        <v>23</v>
      </c>
      <c r="M219" s="32">
        <v>14</v>
      </c>
      <c r="N219" s="32">
        <v>8</v>
      </c>
      <c r="O219" s="32">
        <v>18</v>
      </c>
      <c r="P219" s="32">
        <v>16</v>
      </c>
      <c r="Q219" s="32">
        <v>12</v>
      </c>
      <c r="R219" s="32">
        <v>11</v>
      </c>
      <c r="S219" s="32">
        <v>3</v>
      </c>
      <c r="T219" s="32">
        <v>13</v>
      </c>
      <c r="U219" s="32">
        <v>11</v>
      </c>
      <c r="V219" s="32">
        <v>4</v>
      </c>
      <c r="W219" s="32">
        <v>5</v>
      </c>
      <c r="X219" s="32">
        <v>6</v>
      </c>
      <c r="Y219" s="32">
        <v>4</v>
      </c>
      <c r="Z219" s="32">
        <v>5</v>
      </c>
      <c r="AA219" s="32">
        <v>2</v>
      </c>
      <c r="AB219" s="32">
        <v>5</v>
      </c>
      <c r="AC219" s="32">
        <v>2</v>
      </c>
      <c r="AD219" s="31">
        <v>0</v>
      </c>
      <c r="AE219" s="32">
        <v>2</v>
      </c>
      <c r="AF219" s="32">
        <v>1</v>
      </c>
      <c r="AG219" s="31">
        <v>0</v>
      </c>
      <c r="AH219" s="32">
        <v>2</v>
      </c>
      <c r="AI219" s="31">
        <v>0</v>
      </c>
      <c r="AJ219" s="32">
        <v>3</v>
      </c>
      <c r="AK219" s="32">
        <v>1</v>
      </c>
      <c r="AL219" s="32">
        <v>1</v>
      </c>
      <c r="AM219" s="31">
        <v>0</v>
      </c>
      <c r="AN219" s="32">
        <v>1</v>
      </c>
      <c r="AO219" s="31">
        <v>0</v>
      </c>
      <c r="AP219" s="31">
        <v>0</v>
      </c>
      <c r="AQ219" s="31">
        <v>0</v>
      </c>
      <c r="AR219" s="31">
        <v>0</v>
      </c>
      <c r="AS219" s="31">
        <v>0</v>
      </c>
    </row>
    <row r="220" spans="1:45">
      <c r="A220" s="30" t="s">
        <v>676</v>
      </c>
      <c r="B220" s="30" t="s">
        <v>1407</v>
      </c>
      <c r="C220" s="30" t="s">
        <v>677</v>
      </c>
      <c r="D220" s="30" t="s">
        <v>71</v>
      </c>
      <c r="E220" s="30" t="s">
        <v>1680</v>
      </c>
      <c r="F220" s="30" t="s">
        <v>71</v>
      </c>
      <c r="G220" s="30" t="s">
        <v>1681</v>
      </c>
      <c r="H220" s="30" t="s">
        <v>680</v>
      </c>
      <c r="I220" s="31">
        <v>0</v>
      </c>
      <c r="J220" s="31">
        <v>0</v>
      </c>
      <c r="K220" s="32">
        <v>1</v>
      </c>
      <c r="L220" s="32">
        <v>2</v>
      </c>
      <c r="M220" s="32">
        <v>2</v>
      </c>
      <c r="N220" s="32">
        <v>7</v>
      </c>
      <c r="O220" s="32">
        <v>16</v>
      </c>
      <c r="P220" s="32">
        <v>4</v>
      </c>
      <c r="Q220" s="32">
        <v>2</v>
      </c>
      <c r="R220" s="32">
        <v>4</v>
      </c>
      <c r="S220" s="32">
        <v>1</v>
      </c>
      <c r="T220" s="32">
        <v>9</v>
      </c>
      <c r="U220" s="32">
        <v>7</v>
      </c>
      <c r="V220" s="32">
        <v>5</v>
      </c>
      <c r="W220" s="32">
        <v>5</v>
      </c>
      <c r="X220" s="32">
        <v>6</v>
      </c>
      <c r="Y220" s="32">
        <v>1</v>
      </c>
      <c r="Z220" s="32">
        <v>8</v>
      </c>
      <c r="AA220" s="32">
        <v>4</v>
      </c>
      <c r="AB220" s="32">
        <v>2</v>
      </c>
      <c r="AC220" s="32">
        <v>5</v>
      </c>
      <c r="AD220" s="32">
        <v>2</v>
      </c>
      <c r="AE220" s="32">
        <v>1</v>
      </c>
      <c r="AF220" s="32">
        <v>3</v>
      </c>
      <c r="AG220" s="32">
        <v>4</v>
      </c>
      <c r="AH220" s="32">
        <v>3</v>
      </c>
      <c r="AI220" s="31">
        <v>0</v>
      </c>
      <c r="AJ220" s="32">
        <v>6</v>
      </c>
      <c r="AK220" s="32">
        <v>4</v>
      </c>
      <c r="AL220" s="32">
        <v>1</v>
      </c>
      <c r="AM220" s="32">
        <v>2</v>
      </c>
      <c r="AN220" s="32">
        <v>1</v>
      </c>
      <c r="AO220" s="31">
        <v>0</v>
      </c>
      <c r="AP220" s="31">
        <v>0</v>
      </c>
      <c r="AQ220" s="31">
        <v>0</v>
      </c>
      <c r="AR220" s="31">
        <v>0</v>
      </c>
      <c r="AS220" s="31">
        <v>0</v>
      </c>
    </row>
    <row r="221" spans="1:45">
      <c r="A221" s="30" t="s">
        <v>676</v>
      </c>
      <c r="B221" s="30" t="s">
        <v>1407</v>
      </c>
      <c r="C221" s="30" t="s">
        <v>677</v>
      </c>
      <c r="D221" s="30" t="s">
        <v>71</v>
      </c>
      <c r="E221" s="30" t="s">
        <v>1682</v>
      </c>
      <c r="F221" s="30" t="s">
        <v>71</v>
      </c>
      <c r="G221" s="30" t="s">
        <v>1683</v>
      </c>
      <c r="H221" s="30" t="s">
        <v>680</v>
      </c>
      <c r="I221" s="31">
        <v>0</v>
      </c>
      <c r="J221" s="31">
        <v>0</v>
      </c>
      <c r="K221" s="31">
        <v>0</v>
      </c>
      <c r="L221" s="32">
        <v>10</v>
      </c>
      <c r="M221" s="32">
        <v>4</v>
      </c>
      <c r="N221" s="32">
        <v>10</v>
      </c>
      <c r="O221" s="32">
        <v>10</v>
      </c>
      <c r="P221" s="32">
        <v>9</v>
      </c>
      <c r="Q221" s="32">
        <v>11</v>
      </c>
      <c r="R221" s="32">
        <v>14</v>
      </c>
      <c r="S221" s="32">
        <v>6</v>
      </c>
      <c r="T221" s="32">
        <v>11</v>
      </c>
      <c r="U221" s="32">
        <v>10</v>
      </c>
      <c r="V221" s="32">
        <v>2</v>
      </c>
      <c r="W221" s="32">
        <v>6</v>
      </c>
      <c r="X221" s="32">
        <v>5</v>
      </c>
      <c r="Y221" s="32">
        <v>6</v>
      </c>
      <c r="Z221" s="31">
        <v>0</v>
      </c>
      <c r="AA221" s="32">
        <v>7</v>
      </c>
      <c r="AB221" s="32">
        <v>1</v>
      </c>
      <c r="AC221" s="32">
        <v>7</v>
      </c>
      <c r="AD221" s="32">
        <v>4</v>
      </c>
      <c r="AE221" s="32">
        <v>1</v>
      </c>
      <c r="AF221" s="32">
        <v>3</v>
      </c>
      <c r="AG221" s="32">
        <v>1</v>
      </c>
      <c r="AH221" s="32">
        <v>4</v>
      </c>
      <c r="AI221" s="32">
        <v>2</v>
      </c>
      <c r="AJ221" s="32">
        <v>3</v>
      </c>
      <c r="AK221" s="32">
        <v>3</v>
      </c>
      <c r="AL221" s="32">
        <v>1</v>
      </c>
      <c r="AM221" s="31">
        <v>0</v>
      </c>
      <c r="AN221" s="31">
        <v>0</v>
      </c>
      <c r="AO221" s="31">
        <v>0</v>
      </c>
      <c r="AP221" s="31">
        <v>0</v>
      </c>
      <c r="AQ221" s="31">
        <v>0</v>
      </c>
      <c r="AR221" s="31">
        <v>0</v>
      </c>
      <c r="AS221" s="31">
        <v>0</v>
      </c>
    </row>
    <row r="222" spans="1:45">
      <c r="A222" s="30" t="s">
        <v>676</v>
      </c>
      <c r="B222" s="30" t="s">
        <v>1407</v>
      </c>
      <c r="C222" s="30" t="s">
        <v>677</v>
      </c>
      <c r="D222" s="30" t="s">
        <v>71</v>
      </c>
      <c r="E222" s="30" t="s">
        <v>1684</v>
      </c>
      <c r="F222" s="30" t="s">
        <v>71</v>
      </c>
      <c r="G222" s="30" t="s">
        <v>1685</v>
      </c>
      <c r="H222" s="30" t="s">
        <v>680</v>
      </c>
      <c r="I222" s="31">
        <v>0</v>
      </c>
      <c r="J222" s="31">
        <v>0</v>
      </c>
      <c r="K222" s="32">
        <v>4</v>
      </c>
      <c r="L222" s="32">
        <v>17</v>
      </c>
      <c r="M222" s="32">
        <v>13</v>
      </c>
      <c r="N222" s="32">
        <v>7</v>
      </c>
      <c r="O222" s="32">
        <v>14</v>
      </c>
      <c r="P222" s="32">
        <v>6</v>
      </c>
      <c r="Q222" s="32">
        <v>7</v>
      </c>
      <c r="R222" s="32">
        <v>13</v>
      </c>
      <c r="S222" s="32">
        <v>8</v>
      </c>
      <c r="T222" s="32">
        <v>11</v>
      </c>
      <c r="U222" s="32">
        <v>9</v>
      </c>
      <c r="V222" s="32">
        <v>2</v>
      </c>
      <c r="W222" s="32">
        <v>3</v>
      </c>
      <c r="X222" s="32">
        <v>3</v>
      </c>
      <c r="Y222" s="32">
        <v>7</v>
      </c>
      <c r="Z222" s="32">
        <v>2</v>
      </c>
      <c r="AA222" s="32">
        <v>3</v>
      </c>
      <c r="AB222" s="32">
        <v>3</v>
      </c>
      <c r="AC222" s="32">
        <v>3</v>
      </c>
      <c r="AD222" s="32">
        <v>4</v>
      </c>
      <c r="AE222" s="32">
        <v>3</v>
      </c>
      <c r="AF222" s="32">
        <v>5</v>
      </c>
      <c r="AG222" s="31">
        <v>0</v>
      </c>
      <c r="AH222" s="31">
        <v>0</v>
      </c>
      <c r="AI222" s="31">
        <v>0</v>
      </c>
      <c r="AJ222" s="31">
        <v>0</v>
      </c>
      <c r="AK222" s="31">
        <v>0</v>
      </c>
      <c r="AL222" s="31">
        <v>0</v>
      </c>
      <c r="AM222" s="31">
        <v>0</v>
      </c>
      <c r="AN222" s="31">
        <v>0</v>
      </c>
      <c r="AO222" s="31">
        <v>0</v>
      </c>
      <c r="AP222" s="31">
        <v>0</v>
      </c>
      <c r="AQ222" s="31">
        <v>0</v>
      </c>
      <c r="AR222" s="31">
        <v>0</v>
      </c>
      <c r="AS222" s="31">
        <v>0</v>
      </c>
    </row>
    <row r="223" spans="1:45">
      <c r="A223" s="30" t="s">
        <v>676</v>
      </c>
      <c r="B223" s="30" t="s">
        <v>1407</v>
      </c>
      <c r="C223" s="30" t="s">
        <v>677</v>
      </c>
      <c r="D223" s="30" t="s">
        <v>71</v>
      </c>
      <c r="E223" s="30" t="s">
        <v>1686</v>
      </c>
      <c r="F223" s="30" t="s">
        <v>71</v>
      </c>
      <c r="G223" s="30" t="s">
        <v>1687</v>
      </c>
      <c r="H223" s="30" t="s">
        <v>680</v>
      </c>
      <c r="I223" s="31">
        <v>0</v>
      </c>
      <c r="J223" s="31">
        <v>0</v>
      </c>
      <c r="K223" s="31">
        <v>0</v>
      </c>
      <c r="L223" s="32">
        <v>12</v>
      </c>
      <c r="M223" s="32">
        <v>6</v>
      </c>
      <c r="N223" s="32">
        <v>8</v>
      </c>
      <c r="O223" s="32">
        <v>24</v>
      </c>
      <c r="P223" s="32">
        <v>13</v>
      </c>
      <c r="Q223" s="32">
        <v>6</v>
      </c>
      <c r="R223" s="32">
        <v>5</v>
      </c>
      <c r="S223" s="32">
        <v>6</v>
      </c>
      <c r="T223" s="32">
        <v>7</v>
      </c>
      <c r="U223" s="32">
        <v>4</v>
      </c>
      <c r="V223" s="31">
        <v>0</v>
      </c>
      <c r="W223" s="32">
        <v>5</v>
      </c>
      <c r="X223" s="32">
        <v>6</v>
      </c>
      <c r="Y223" s="32">
        <v>3</v>
      </c>
      <c r="Z223" s="32">
        <v>2</v>
      </c>
      <c r="AA223" s="32">
        <v>6</v>
      </c>
      <c r="AB223" s="32">
        <v>1</v>
      </c>
      <c r="AC223" s="32">
        <v>1</v>
      </c>
      <c r="AD223" s="32">
        <v>3</v>
      </c>
      <c r="AE223" s="32">
        <v>2</v>
      </c>
      <c r="AF223" s="32">
        <v>3</v>
      </c>
      <c r="AG223" s="32">
        <v>4</v>
      </c>
      <c r="AH223" s="31">
        <v>0</v>
      </c>
      <c r="AI223" s="31">
        <v>0</v>
      </c>
      <c r="AJ223" s="32">
        <v>2</v>
      </c>
      <c r="AK223" s="32">
        <v>1</v>
      </c>
      <c r="AL223" s="31">
        <v>0</v>
      </c>
      <c r="AM223" s="32">
        <v>3</v>
      </c>
      <c r="AN223" s="31">
        <v>0</v>
      </c>
      <c r="AO223" s="31">
        <v>0</v>
      </c>
      <c r="AP223" s="31">
        <v>0</v>
      </c>
      <c r="AQ223" s="31">
        <v>0</v>
      </c>
      <c r="AR223" s="31">
        <v>0</v>
      </c>
      <c r="AS223" s="31">
        <v>0</v>
      </c>
    </row>
    <row r="224" spans="1:45">
      <c r="A224" s="30" t="s">
        <v>676</v>
      </c>
      <c r="B224" s="30" t="s">
        <v>1407</v>
      </c>
      <c r="C224" s="30" t="s">
        <v>677</v>
      </c>
      <c r="D224" s="30" t="s">
        <v>71</v>
      </c>
      <c r="E224" s="30" t="s">
        <v>1688</v>
      </c>
      <c r="F224" s="30" t="s">
        <v>71</v>
      </c>
      <c r="G224" s="30" t="s">
        <v>1689</v>
      </c>
      <c r="H224" s="30" t="s">
        <v>680</v>
      </c>
      <c r="I224" s="31">
        <v>0</v>
      </c>
      <c r="J224" s="31">
        <v>0</v>
      </c>
      <c r="K224" s="32">
        <v>4</v>
      </c>
      <c r="L224" s="32">
        <v>49</v>
      </c>
      <c r="M224" s="32">
        <v>42</v>
      </c>
      <c r="N224" s="32">
        <v>29</v>
      </c>
      <c r="O224" s="32">
        <v>45</v>
      </c>
      <c r="P224" s="32">
        <v>25</v>
      </c>
      <c r="Q224" s="32">
        <v>9</v>
      </c>
      <c r="R224" s="32">
        <v>12</v>
      </c>
      <c r="S224" s="32">
        <v>12</v>
      </c>
      <c r="T224" s="32">
        <v>5</v>
      </c>
      <c r="U224" s="32">
        <v>7</v>
      </c>
      <c r="V224" s="32">
        <v>4</v>
      </c>
      <c r="W224" s="32">
        <v>1</v>
      </c>
      <c r="X224" s="32">
        <v>1</v>
      </c>
      <c r="Y224" s="32">
        <v>3</v>
      </c>
      <c r="Z224" s="32">
        <v>4</v>
      </c>
      <c r="AA224" s="32">
        <v>3</v>
      </c>
      <c r="AB224" s="32">
        <v>1</v>
      </c>
      <c r="AC224" s="32">
        <v>5</v>
      </c>
      <c r="AD224" s="32">
        <v>2</v>
      </c>
      <c r="AE224" s="32">
        <v>2</v>
      </c>
      <c r="AF224" s="32">
        <v>3</v>
      </c>
      <c r="AG224" s="32">
        <v>3</v>
      </c>
      <c r="AH224" s="32">
        <v>1</v>
      </c>
      <c r="AI224" s="32">
        <v>1</v>
      </c>
      <c r="AJ224" s="32">
        <v>1</v>
      </c>
      <c r="AK224" s="32">
        <v>1</v>
      </c>
      <c r="AL224" s="31">
        <v>0</v>
      </c>
      <c r="AM224" s="31">
        <v>0</v>
      </c>
      <c r="AN224" s="31">
        <v>0</v>
      </c>
      <c r="AO224" s="31">
        <v>0</v>
      </c>
      <c r="AP224" s="31">
        <v>0</v>
      </c>
      <c r="AQ224" s="31">
        <v>0</v>
      </c>
      <c r="AR224" s="31">
        <v>0</v>
      </c>
      <c r="AS224" s="31">
        <v>0</v>
      </c>
    </row>
    <row r="225" spans="1:45">
      <c r="A225" s="30" t="s">
        <v>676</v>
      </c>
      <c r="B225" s="30" t="s">
        <v>1407</v>
      </c>
      <c r="C225" s="30" t="s">
        <v>677</v>
      </c>
      <c r="D225" s="30" t="s">
        <v>71</v>
      </c>
      <c r="E225" s="30" t="s">
        <v>1690</v>
      </c>
      <c r="F225" s="30" t="s">
        <v>71</v>
      </c>
      <c r="G225" s="30" t="s">
        <v>1691</v>
      </c>
      <c r="H225" s="30" t="s">
        <v>680</v>
      </c>
      <c r="I225" s="31">
        <v>0</v>
      </c>
      <c r="J225" s="31">
        <v>0</v>
      </c>
      <c r="K225" s="32">
        <v>1</v>
      </c>
      <c r="L225" s="32">
        <v>38</v>
      </c>
      <c r="M225" s="32">
        <v>13</v>
      </c>
      <c r="N225" s="32">
        <v>7</v>
      </c>
      <c r="O225" s="32">
        <v>21</v>
      </c>
      <c r="P225" s="32">
        <v>7</v>
      </c>
      <c r="Q225" s="32">
        <v>7</v>
      </c>
      <c r="R225" s="32">
        <v>10</v>
      </c>
      <c r="S225" s="32">
        <v>7</v>
      </c>
      <c r="T225" s="32">
        <v>6</v>
      </c>
      <c r="U225" s="32">
        <v>4</v>
      </c>
      <c r="V225" s="32">
        <v>1</v>
      </c>
      <c r="W225" s="32">
        <v>2</v>
      </c>
      <c r="X225" s="32">
        <v>2</v>
      </c>
      <c r="Y225" s="32">
        <v>6</v>
      </c>
      <c r="Z225" s="32">
        <v>2</v>
      </c>
      <c r="AA225" s="32">
        <v>2</v>
      </c>
      <c r="AB225" s="32">
        <v>1</v>
      </c>
      <c r="AC225" s="32">
        <v>3</v>
      </c>
      <c r="AD225" s="32">
        <v>2</v>
      </c>
      <c r="AE225" s="31">
        <v>0</v>
      </c>
      <c r="AF225" s="32">
        <v>2</v>
      </c>
      <c r="AG225" s="31">
        <v>0</v>
      </c>
      <c r="AH225" s="32">
        <v>2</v>
      </c>
      <c r="AI225" s="32">
        <v>1</v>
      </c>
      <c r="AJ225" s="32">
        <v>2</v>
      </c>
      <c r="AK225" s="32">
        <v>1</v>
      </c>
      <c r="AL225" s="31">
        <v>0</v>
      </c>
      <c r="AM225" s="32">
        <v>1</v>
      </c>
      <c r="AN225" s="31">
        <v>0</v>
      </c>
      <c r="AO225" s="31">
        <v>0</v>
      </c>
      <c r="AP225" s="31">
        <v>0</v>
      </c>
      <c r="AQ225" s="31">
        <v>0</v>
      </c>
      <c r="AR225" s="31">
        <v>0</v>
      </c>
      <c r="AS225" s="31">
        <v>0</v>
      </c>
    </row>
    <row r="226" spans="1:45">
      <c r="A226" s="30" t="s">
        <v>676</v>
      </c>
      <c r="B226" s="30" t="s">
        <v>1407</v>
      </c>
      <c r="C226" s="30" t="s">
        <v>677</v>
      </c>
      <c r="D226" s="30" t="s">
        <v>71</v>
      </c>
      <c r="E226" s="30" t="s">
        <v>1692</v>
      </c>
      <c r="F226" s="30" t="s">
        <v>71</v>
      </c>
      <c r="G226" s="30" t="s">
        <v>1693</v>
      </c>
      <c r="H226" s="30" t="s">
        <v>680</v>
      </c>
      <c r="I226" s="31">
        <v>0</v>
      </c>
      <c r="J226" s="31">
        <v>0</v>
      </c>
      <c r="K226" s="32">
        <v>3</v>
      </c>
      <c r="L226" s="32">
        <v>29</v>
      </c>
      <c r="M226" s="32">
        <v>18</v>
      </c>
      <c r="N226" s="32">
        <v>11</v>
      </c>
      <c r="O226" s="32">
        <v>23</v>
      </c>
      <c r="P226" s="32">
        <v>10</v>
      </c>
      <c r="Q226" s="32">
        <v>12</v>
      </c>
      <c r="R226" s="32">
        <v>18</v>
      </c>
      <c r="S226" s="32">
        <v>8</v>
      </c>
      <c r="T226" s="32">
        <v>6</v>
      </c>
      <c r="U226" s="32">
        <v>2</v>
      </c>
      <c r="V226" s="32">
        <v>4</v>
      </c>
      <c r="W226" s="32">
        <v>1</v>
      </c>
      <c r="X226" s="32">
        <v>5</v>
      </c>
      <c r="Y226" s="32">
        <v>4</v>
      </c>
      <c r="Z226" s="32">
        <v>2</v>
      </c>
      <c r="AA226" s="32">
        <v>3</v>
      </c>
      <c r="AB226" s="32">
        <v>1</v>
      </c>
      <c r="AC226" s="32">
        <v>3</v>
      </c>
      <c r="AD226" s="32">
        <v>3</v>
      </c>
      <c r="AE226" s="32">
        <v>5</v>
      </c>
      <c r="AF226" s="31">
        <v>0</v>
      </c>
      <c r="AG226" s="32">
        <v>4</v>
      </c>
      <c r="AH226" s="31">
        <v>0</v>
      </c>
      <c r="AI226" s="31">
        <v>0</v>
      </c>
      <c r="AJ226" s="32">
        <v>3</v>
      </c>
      <c r="AK226" s="32">
        <v>1</v>
      </c>
      <c r="AL226" s="32">
        <v>2</v>
      </c>
      <c r="AM226" s="32">
        <v>1</v>
      </c>
      <c r="AN226" s="32">
        <v>2</v>
      </c>
      <c r="AO226" s="31">
        <v>0</v>
      </c>
      <c r="AP226" s="31">
        <v>0</v>
      </c>
      <c r="AQ226" s="31">
        <v>0</v>
      </c>
      <c r="AR226" s="31">
        <v>0</v>
      </c>
      <c r="AS226" s="31">
        <v>0</v>
      </c>
    </row>
    <row r="227" spans="1:45">
      <c r="A227" s="30" t="s">
        <v>676</v>
      </c>
      <c r="B227" s="30" t="s">
        <v>1407</v>
      </c>
      <c r="C227" s="30" t="s">
        <v>677</v>
      </c>
      <c r="D227" s="30" t="s">
        <v>71</v>
      </c>
      <c r="E227" s="30" t="s">
        <v>1694</v>
      </c>
      <c r="F227" s="30" t="s">
        <v>71</v>
      </c>
      <c r="G227" s="30" t="s">
        <v>1695</v>
      </c>
      <c r="H227" s="30" t="s">
        <v>680</v>
      </c>
      <c r="I227" s="31">
        <v>0</v>
      </c>
      <c r="J227" s="31">
        <v>0</v>
      </c>
      <c r="K227" s="31">
        <v>0</v>
      </c>
      <c r="L227" s="32">
        <v>8</v>
      </c>
      <c r="M227" s="32">
        <v>6</v>
      </c>
      <c r="N227" s="32">
        <v>8</v>
      </c>
      <c r="O227" s="32">
        <v>11</v>
      </c>
      <c r="P227" s="32">
        <v>7</v>
      </c>
      <c r="Q227" s="32">
        <v>13</v>
      </c>
      <c r="R227" s="32">
        <v>16</v>
      </c>
      <c r="S227" s="32">
        <v>4</v>
      </c>
      <c r="T227" s="32">
        <v>5</v>
      </c>
      <c r="U227" s="32">
        <v>6</v>
      </c>
      <c r="V227" s="32">
        <v>2</v>
      </c>
      <c r="W227" s="32">
        <v>2</v>
      </c>
      <c r="X227" s="32">
        <v>6</v>
      </c>
      <c r="Y227" s="32">
        <v>6</v>
      </c>
      <c r="Z227" s="32">
        <v>5</v>
      </c>
      <c r="AA227" s="32">
        <v>5</v>
      </c>
      <c r="AB227" s="31">
        <v>0</v>
      </c>
      <c r="AC227" s="32">
        <v>2</v>
      </c>
      <c r="AD227" s="32">
        <v>4</v>
      </c>
      <c r="AE227" s="32">
        <v>4</v>
      </c>
      <c r="AF227" s="31">
        <v>0</v>
      </c>
      <c r="AG227" s="32">
        <v>2</v>
      </c>
      <c r="AH227" s="32">
        <v>1</v>
      </c>
      <c r="AI227" s="32">
        <v>2</v>
      </c>
      <c r="AJ227" s="32">
        <v>1</v>
      </c>
      <c r="AK227" s="31">
        <v>0</v>
      </c>
      <c r="AL227" s="31">
        <v>0</v>
      </c>
      <c r="AM227" s="31">
        <v>0</v>
      </c>
      <c r="AN227" s="31">
        <v>0</v>
      </c>
      <c r="AO227" s="31">
        <v>0</v>
      </c>
      <c r="AP227" s="31">
        <v>0</v>
      </c>
      <c r="AQ227" s="31">
        <v>0</v>
      </c>
      <c r="AR227" s="31">
        <v>0</v>
      </c>
      <c r="AS227" s="31">
        <v>0</v>
      </c>
    </row>
    <row r="228" spans="1:45">
      <c r="A228" s="30" t="s">
        <v>676</v>
      </c>
      <c r="B228" s="30" t="s">
        <v>1407</v>
      </c>
      <c r="C228" s="30" t="s">
        <v>677</v>
      </c>
      <c r="D228" s="30" t="s">
        <v>71</v>
      </c>
      <c r="E228" s="30" t="s">
        <v>1696</v>
      </c>
      <c r="F228" s="30" t="s">
        <v>71</v>
      </c>
      <c r="G228" s="30" t="s">
        <v>1697</v>
      </c>
      <c r="H228" s="30" t="s">
        <v>680</v>
      </c>
      <c r="I228" s="31">
        <v>0</v>
      </c>
      <c r="J228" s="31">
        <v>0</v>
      </c>
      <c r="K228" s="32">
        <v>1</v>
      </c>
      <c r="L228" s="32">
        <v>51</v>
      </c>
      <c r="M228" s="32">
        <v>41</v>
      </c>
      <c r="N228" s="32">
        <v>22</v>
      </c>
      <c r="O228" s="32">
        <v>39</v>
      </c>
      <c r="P228" s="32">
        <v>25</v>
      </c>
      <c r="Q228" s="32">
        <v>10</v>
      </c>
      <c r="R228" s="32">
        <v>25</v>
      </c>
      <c r="S228" s="32">
        <v>14</v>
      </c>
      <c r="T228" s="32">
        <v>15</v>
      </c>
      <c r="U228" s="32">
        <v>12</v>
      </c>
      <c r="V228" s="32">
        <v>2</v>
      </c>
      <c r="W228" s="32">
        <v>5</v>
      </c>
      <c r="X228" s="32">
        <v>6</v>
      </c>
      <c r="Y228" s="32">
        <v>4</v>
      </c>
      <c r="Z228" s="32">
        <v>6</v>
      </c>
      <c r="AA228" s="32">
        <v>6</v>
      </c>
      <c r="AB228" s="32">
        <v>5</v>
      </c>
      <c r="AC228" s="32">
        <v>2</v>
      </c>
      <c r="AD228" s="32">
        <v>4</v>
      </c>
      <c r="AE228" s="32">
        <v>1</v>
      </c>
      <c r="AF228" s="32">
        <v>2</v>
      </c>
      <c r="AG228" s="32">
        <v>4</v>
      </c>
      <c r="AH228" s="32">
        <v>1</v>
      </c>
      <c r="AI228" s="32">
        <v>1</v>
      </c>
      <c r="AJ228" s="31">
        <v>0</v>
      </c>
      <c r="AK228" s="32">
        <v>1</v>
      </c>
      <c r="AL228" s="31">
        <v>0</v>
      </c>
      <c r="AM228" s="32">
        <v>1</v>
      </c>
      <c r="AN228" s="31">
        <v>0</v>
      </c>
      <c r="AO228" s="31">
        <v>0</v>
      </c>
      <c r="AP228" s="31">
        <v>0</v>
      </c>
      <c r="AQ228" s="31">
        <v>0</v>
      </c>
      <c r="AR228" s="31">
        <v>0</v>
      </c>
      <c r="AS228" s="31">
        <v>0</v>
      </c>
    </row>
    <row r="229" spans="1:45">
      <c r="A229" s="30" t="s">
        <v>676</v>
      </c>
      <c r="B229" s="30" t="s">
        <v>1407</v>
      </c>
      <c r="C229" s="30" t="s">
        <v>677</v>
      </c>
      <c r="D229" s="30" t="s">
        <v>71</v>
      </c>
      <c r="E229" s="30" t="s">
        <v>1698</v>
      </c>
      <c r="F229" s="30" t="s">
        <v>71</v>
      </c>
      <c r="G229" s="30" t="s">
        <v>1699</v>
      </c>
      <c r="H229" s="30" t="s">
        <v>680</v>
      </c>
      <c r="I229" s="31">
        <v>0</v>
      </c>
      <c r="J229" s="31">
        <v>0</v>
      </c>
      <c r="K229" s="32">
        <v>1</v>
      </c>
      <c r="L229" s="32">
        <v>18</v>
      </c>
      <c r="M229" s="32">
        <v>16</v>
      </c>
      <c r="N229" s="32">
        <v>14</v>
      </c>
      <c r="O229" s="32">
        <v>13</v>
      </c>
      <c r="P229" s="32">
        <v>13</v>
      </c>
      <c r="Q229" s="32">
        <v>7</v>
      </c>
      <c r="R229" s="32">
        <v>6</v>
      </c>
      <c r="S229" s="32">
        <v>10</v>
      </c>
      <c r="T229" s="32">
        <v>10</v>
      </c>
      <c r="U229" s="32">
        <v>11</v>
      </c>
      <c r="V229" s="32">
        <v>5</v>
      </c>
      <c r="W229" s="32">
        <v>4</v>
      </c>
      <c r="X229" s="32">
        <v>4</v>
      </c>
      <c r="Y229" s="32">
        <v>2</v>
      </c>
      <c r="Z229" s="31">
        <v>0</v>
      </c>
      <c r="AA229" s="32">
        <v>1</v>
      </c>
      <c r="AB229" s="32">
        <v>3</v>
      </c>
      <c r="AC229" s="32">
        <v>3</v>
      </c>
      <c r="AD229" s="31">
        <v>0</v>
      </c>
      <c r="AE229" s="31">
        <v>0</v>
      </c>
      <c r="AF229" s="32">
        <v>2</v>
      </c>
      <c r="AG229" s="32">
        <v>1</v>
      </c>
      <c r="AH229" s="31">
        <v>0</v>
      </c>
      <c r="AI229" s="31">
        <v>0</v>
      </c>
      <c r="AJ229" s="32">
        <v>1</v>
      </c>
      <c r="AK229" s="32">
        <v>2</v>
      </c>
      <c r="AL229" s="32">
        <v>1</v>
      </c>
      <c r="AM229" s="32">
        <v>1</v>
      </c>
      <c r="AN229" s="31">
        <v>0</v>
      </c>
      <c r="AO229" s="31">
        <v>0</v>
      </c>
      <c r="AP229" s="31">
        <v>0</v>
      </c>
      <c r="AQ229" s="31">
        <v>0</v>
      </c>
      <c r="AR229" s="31">
        <v>0</v>
      </c>
      <c r="AS229" s="31">
        <v>0</v>
      </c>
    </row>
    <row r="230" spans="1:45">
      <c r="A230" s="30" t="s">
        <v>676</v>
      </c>
      <c r="B230" s="30" t="s">
        <v>1407</v>
      </c>
      <c r="C230" s="30" t="s">
        <v>677</v>
      </c>
      <c r="D230" s="30" t="s">
        <v>71</v>
      </c>
      <c r="E230" s="30" t="s">
        <v>1700</v>
      </c>
      <c r="F230" s="30" t="s">
        <v>71</v>
      </c>
      <c r="G230" s="30" t="s">
        <v>1701</v>
      </c>
      <c r="H230" s="30" t="s">
        <v>680</v>
      </c>
      <c r="I230" s="31">
        <v>0</v>
      </c>
      <c r="J230" s="31">
        <v>0</v>
      </c>
      <c r="K230" s="32">
        <v>5</v>
      </c>
      <c r="L230" s="32">
        <v>16</v>
      </c>
      <c r="M230" s="32">
        <v>11</v>
      </c>
      <c r="N230" s="32">
        <v>13</v>
      </c>
      <c r="O230" s="32">
        <v>17</v>
      </c>
      <c r="P230" s="32">
        <v>19</v>
      </c>
      <c r="Q230" s="32">
        <v>18</v>
      </c>
      <c r="R230" s="32">
        <v>13</v>
      </c>
      <c r="S230" s="32">
        <v>9</v>
      </c>
      <c r="T230" s="32">
        <v>15</v>
      </c>
      <c r="U230" s="32">
        <v>7</v>
      </c>
      <c r="V230" s="32">
        <v>3</v>
      </c>
      <c r="W230" s="32">
        <v>7</v>
      </c>
      <c r="X230" s="32">
        <v>9</v>
      </c>
      <c r="Y230" s="32">
        <v>6</v>
      </c>
      <c r="Z230" s="31">
        <v>0</v>
      </c>
      <c r="AA230" s="32">
        <v>4</v>
      </c>
      <c r="AB230" s="32">
        <v>1</v>
      </c>
      <c r="AC230" s="32">
        <v>2</v>
      </c>
      <c r="AD230" s="32">
        <v>1</v>
      </c>
      <c r="AE230" s="31">
        <v>0</v>
      </c>
      <c r="AF230" s="31">
        <v>0</v>
      </c>
      <c r="AG230" s="32">
        <v>1</v>
      </c>
      <c r="AH230" s="32">
        <v>5</v>
      </c>
      <c r="AI230" s="32">
        <v>1</v>
      </c>
      <c r="AJ230" s="32">
        <v>4</v>
      </c>
      <c r="AK230" s="32">
        <v>2</v>
      </c>
      <c r="AL230" s="31">
        <v>0</v>
      </c>
      <c r="AM230" s="32">
        <v>2</v>
      </c>
      <c r="AN230" s="32">
        <v>2</v>
      </c>
      <c r="AO230" s="31">
        <v>0</v>
      </c>
      <c r="AP230" s="31">
        <v>0</v>
      </c>
      <c r="AQ230" s="31">
        <v>0</v>
      </c>
      <c r="AR230" s="31">
        <v>0</v>
      </c>
      <c r="AS230" s="31">
        <v>0</v>
      </c>
    </row>
    <row r="231" spans="1:45">
      <c r="A231" s="30" t="s">
        <v>676</v>
      </c>
      <c r="B231" s="30" t="s">
        <v>1407</v>
      </c>
      <c r="C231" s="30" t="s">
        <v>677</v>
      </c>
      <c r="D231" s="30" t="s">
        <v>71</v>
      </c>
      <c r="E231" s="30" t="s">
        <v>1702</v>
      </c>
      <c r="F231" s="30" t="s">
        <v>71</v>
      </c>
      <c r="G231" s="30" t="s">
        <v>1703</v>
      </c>
      <c r="H231" s="30" t="s">
        <v>680</v>
      </c>
      <c r="I231" s="31">
        <v>0</v>
      </c>
      <c r="J231" s="31">
        <v>0</v>
      </c>
      <c r="K231" s="32">
        <v>4</v>
      </c>
      <c r="L231" s="32">
        <v>40</v>
      </c>
      <c r="M231" s="32">
        <v>63</v>
      </c>
      <c r="N231" s="32">
        <v>46</v>
      </c>
      <c r="O231" s="32">
        <v>87</v>
      </c>
      <c r="P231" s="32">
        <v>50</v>
      </c>
      <c r="Q231" s="32">
        <v>30</v>
      </c>
      <c r="R231" s="32">
        <v>70</v>
      </c>
      <c r="S231" s="32">
        <v>24</v>
      </c>
      <c r="T231" s="32">
        <v>30</v>
      </c>
      <c r="U231" s="32">
        <v>18</v>
      </c>
      <c r="V231" s="32">
        <v>12</v>
      </c>
      <c r="W231" s="32">
        <v>7</v>
      </c>
      <c r="X231" s="32">
        <v>15</v>
      </c>
      <c r="Y231" s="32">
        <v>4</v>
      </c>
      <c r="Z231" s="32">
        <v>5</v>
      </c>
      <c r="AA231" s="32">
        <v>6</v>
      </c>
      <c r="AB231" s="32">
        <v>4</v>
      </c>
      <c r="AC231" s="32">
        <v>2</v>
      </c>
      <c r="AD231" s="32">
        <v>2</v>
      </c>
      <c r="AE231" s="32">
        <v>4</v>
      </c>
      <c r="AF231" s="31">
        <v>0</v>
      </c>
      <c r="AG231" s="32">
        <v>2</v>
      </c>
      <c r="AH231" s="32">
        <v>4</v>
      </c>
      <c r="AI231" s="32">
        <v>1</v>
      </c>
      <c r="AJ231" s="32">
        <v>3</v>
      </c>
      <c r="AK231" s="32">
        <v>4</v>
      </c>
      <c r="AL231" s="31">
        <v>0</v>
      </c>
      <c r="AM231" s="31">
        <v>0</v>
      </c>
      <c r="AN231" s="31">
        <v>0</v>
      </c>
      <c r="AO231" s="31">
        <v>0</v>
      </c>
      <c r="AP231" s="31">
        <v>0</v>
      </c>
      <c r="AQ231" s="31">
        <v>0</v>
      </c>
      <c r="AR231" s="31">
        <v>0</v>
      </c>
      <c r="AS231" s="31">
        <v>0</v>
      </c>
    </row>
    <row r="232" spans="1:45">
      <c r="A232" s="30" t="s">
        <v>676</v>
      </c>
      <c r="B232" s="30" t="s">
        <v>1407</v>
      </c>
      <c r="C232" s="30" t="s">
        <v>677</v>
      </c>
      <c r="D232" s="30" t="s">
        <v>71</v>
      </c>
      <c r="E232" s="30" t="s">
        <v>1704</v>
      </c>
      <c r="F232" s="30" t="s">
        <v>71</v>
      </c>
      <c r="G232" s="30" t="s">
        <v>1705</v>
      </c>
      <c r="H232" s="30" t="s">
        <v>680</v>
      </c>
      <c r="I232" s="31">
        <v>0</v>
      </c>
      <c r="J232" s="31">
        <v>0</v>
      </c>
      <c r="K232" s="32">
        <v>3</v>
      </c>
      <c r="L232" s="32">
        <v>28</v>
      </c>
      <c r="M232" s="32">
        <v>18</v>
      </c>
      <c r="N232" s="32">
        <v>16</v>
      </c>
      <c r="O232" s="32">
        <v>21</v>
      </c>
      <c r="P232" s="32">
        <v>12</v>
      </c>
      <c r="Q232" s="32">
        <v>7</v>
      </c>
      <c r="R232" s="32">
        <v>11</v>
      </c>
      <c r="S232" s="32">
        <v>10</v>
      </c>
      <c r="T232" s="32">
        <v>13</v>
      </c>
      <c r="U232" s="32">
        <v>6</v>
      </c>
      <c r="V232" s="32">
        <v>9</v>
      </c>
      <c r="W232" s="32">
        <v>2</v>
      </c>
      <c r="X232" s="32">
        <v>2</v>
      </c>
      <c r="Y232" s="32">
        <v>6</v>
      </c>
      <c r="Z232" s="32">
        <v>3</v>
      </c>
      <c r="AA232" s="32">
        <v>3</v>
      </c>
      <c r="AB232" s="32">
        <v>1</v>
      </c>
      <c r="AC232" s="32">
        <v>1</v>
      </c>
      <c r="AD232" s="32">
        <v>1</v>
      </c>
      <c r="AE232" s="32">
        <v>1</v>
      </c>
      <c r="AF232" s="32">
        <v>2</v>
      </c>
      <c r="AG232" s="32">
        <v>1</v>
      </c>
      <c r="AH232" s="32">
        <v>3</v>
      </c>
      <c r="AI232" s="31">
        <v>0</v>
      </c>
      <c r="AJ232" s="32">
        <v>8</v>
      </c>
      <c r="AK232" s="32">
        <v>3</v>
      </c>
      <c r="AL232" s="31">
        <v>0</v>
      </c>
      <c r="AM232" s="32">
        <v>2</v>
      </c>
      <c r="AN232" s="32">
        <v>1</v>
      </c>
      <c r="AO232" s="31">
        <v>0</v>
      </c>
      <c r="AP232" s="32">
        <v>1</v>
      </c>
      <c r="AQ232" s="31">
        <v>0</v>
      </c>
      <c r="AR232" s="31">
        <v>0</v>
      </c>
      <c r="AS232" s="31">
        <v>0</v>
      </c>
    </row>
    <row r="233" spans="1:45">
      <c r="A233" s="30" t="s">
        <v>676</v>
      </c>
      <c r="B233" s="30" t="s">
        <v>1407</v>
      </c>
      <c r="C233" s="30" t="s">
        <v>677</v>
      </c>
      <c r="D233" s="30" t="s">
        <v>71</v>
      </c>
      <c r="E233" s="30" t="s">
        <v>1706</v>
      </c>
      <c r="F233" s="30" t="s">
        <v>71</v>
      </c>
      <c r="G233" s="30" t="s">
        <v>1707</v>
      </c>
      <c r="H233" s="30" t="s">
        <v>680</v>
      </c>
      <c r="I233" s="31">
        <v>0</v>
      </c>
      <c r="J233" s="31">
        <v>0</v>
      </c>
      <c r="K233" s="32">
        <v>4</v>
      </c>
      <c r="L233" s="32">
        <v>27</v>
      </c>
      <c r="M233" s="32">
        <v>26</v>
      </c>
      <c r="N233" s="32">
        <v>33</v>
      </c>
      <c r="O233" s="32">
        <v>29</v>
      </c>
      <c r="P233" s="32">
        <v>32</v>
      </c>
      <c r="Q233" s="32">
        <v>13</v>
      </c>
      <c r="R233" s="32">
        <v>16</v>
      </c>
      <c r="S233" s="32">
        <v>12</v>
      </c>
      <c r="T233" s="32">
        <v>11</v>
      </c>
      <c r="U233" s="32">
        <v>6</v>
      </c>
      <c r="V233" s="32">
        <v>7</v>
      </c>
      <c r="W233" s="32">
        <v>5</v>
      </c>
      <c r="X233" s="32">
        <v>4</v>
      </c>
      <c r="Y233" s="31">
        <v>0</v>
      </c>
      <c r="Z233" s="32">
        <v>4</v>
      </c>
      <c r="AA233" s="32">
        <v>4</v>
      </c>
      <c r="AB233" s="32">
        <v>2</v>
      </c>
      <c r="AC233" s="32">
        <v>5</v>
      </c>
      <c r="AD233" s="32">
        <v>1</v>
      </c>
      <c r="AE233" s="32">
        <v>1</v>
      </c>
      <c r="AF233" s="32">
        <v>2</v>
      </c>
      <c r="AG233" s="32">
        <v>1</v>
      </c>
      <c r="AH233" s="32">
        <v>1</v>
      </c>
      <c r="AI233" s="32">
        <v>1</v>
      </c>
      <c r="AJ233" s="32">
        <v>2</v>
      </c>
      <c r="AK233" s="32">
        <v>0</v>
      </c>
      <c r="AL233" s="32">
        <v>3</v>
      </c>
      <c r="AM233" s="31">
        <v>0</v>
      </c>
      <c r="AN233" s="32">
        <v>1</v>
      </c>
      <c r="AO233" s="31">
        <v>0</v>
      </c>
      <c r="AP233" s="31">
        <v>0</v>
      </c>
      <c r="AQ233" s="31">
        <v>0</v>
      </c>
      <c r="AR233" s="31">
        <v>0</v>
      </c>
      <c r="AS233" s="31">
        <v>0</v>
      </c>
    </row>
    <row r="234" spans="1:45">
      <c r="A234" s="30" t="s">
        <v>676</v>
      </c>
      <c r="B234" s="30" t="s">
        <v>1407</v>
      </c>
      <c r="C234" s="30" t="s">
        <v>677</v>
      </c>
      <c r="D234" s="30" t="s">
        <v>71</v>
      </c>
      <c r="E234" s="30" t="s">
        <v>1708</v>
      </c>
      <c r="F234" s="30" t="s">
        <v>71</v>
      </c>
      <c r="G234" s="30" t="s">
        <v>1709</v>
      </c>
      <c r="H234" s="30" t="s">
        <v>680</v>
      </c>
      <c r="I234" s="31">
        <v>0</v>
      </c>
      <c r="J234" s="31">
        <v>0</v>
      </c>
      <c r="K234" s="32">
        <v>6</v>
      </c>
      <c r="L234" s="32">
        <v>17</v>
      </c>
      <c r="M234" s="32">
        <v>13</v>
      </c>
      <c r="N234" s="32">
        <v>14</v>
      </c>
      <c r="O234" s="32">
        <v>22</v>
      </c>
      <c r="P234" s="32">
        <v>16</v>
      </c>
      <c r="Q234" s="32">
        <v>15</v>
      </c>
      <c r="R234" s="32">
        <v>18</v>
      </c>
      <c r="S234" s="32">
        <v>9</v>
      </c>
      <c r="T234" s="32">
        <v>10</v>
      </c>
      <c r="U234" s="32">
        <v>7</v>
      </c>
      <c r="V234" s="32">
        <v>9</v>
      </c>
      <c r="W234" s="31">
        <v>0</v>
      </c>
      <c r="X234" s="32">
        <v>4</v>
      </c>
      <c r="Y234" s="32">
        <v>1</v>
      </c>
      <c r="Z234" s="32">
        <v>5</v>
      </c>
      <c r="AA234" s="32">
        <v>3</v>
      </c>
      <c r="AB234" s="32">
        <v>4</v>
      </c>
      <c r="AC234" s="32">
        <v>2</v>
      </c>
      <c r="AD234" s="32">
        <v>3</v>
      </c>
      <c r="AE234" s="32">
        <v>1</v>
      </c>
      <c r="AF234" s="32">
        <v>1</v>
      </c>
      <c r="AG234" s="32">
        <v>3</v>
      </c>
      <c r="AH234" s="31">
        <v>0</v>
      </c>
      <c r="AI234" s="32">
        <v>4</v>
      </c>
      <c r="AJ234" s="32">
        <v>5</v>
      </c>
      <c r="AK234" s="32">
        <v>2</v>
      </c>
      <c r="AL234" s="32">
        <v>2</v>
      </c>
      <c r="AM234" s="31">
        <v>0</v>
      </c>
      <c r="AN234" s="32">
        <v>1</v>
      </c>
      <c r="AO234" s="31">
        <v>0</v>
      </c>
      <c r="AP234" s="31">
        <v>0</v>
      </c>
      <c r="AQ234" s="31">
        <v>0</v>
      </c>
      <c r="AR234" s="31">
        <v>0</v>
      </c>
      <c r="AS234" s="31">
        <v>0</v>
      </c>
    </row>
    <row r="235" spans="1:45">
      <c r="A235" s="30" t="s">
        <v>676</v>
      </c>
      <c r="B235" s="30" t="s">
        <v>1407</v>
      </c>
      <c r="C235" s="30" t="s">
        <v>677</v>
      </c>
      <c r="D235" s="30" t="s">
        <v>71</v>
      </c>
      <c r="E235" s="30" t="s">
        <v>1710</v>
      </c>
      <c r="F235" s="30" t="s">
        <v>71</v>
      </c>
      <c r="G235" s="30" t="s">
        <v>1711</v>
      </c>
      <c r="H235" s="30" t="s">
        <v>680</v>
      </c>
      <c r="I235" s="31">
        <v>0</v>
      </c>
      <c r="J235" s="31">
        <v>0</v>
      </c>
      <c r="K235" s="32">
        <v>7</v>
      </c>
      <c r="L235" s="32">
        <v>35</v>
      </c>
      <c r="M235" s="32">
        <v>24</v>
      </c>
      <c r="N235" s="32">
        <v>22</v>
      </c>
      <c r="O235" s="32">
        <v>14</v>
      </c>
      <c r="P235" s="32">
        <v>19</v>
      </c>
      <c r="Q235" s="32">
        <v>19</v>
      </c>
      <c r="R235" s="32">
        <v>17</v>
      </c>
      <c r="S235" s="32">
        <v>5</v>
      </c>
      <c r="T235" s="32">
        <v>5</v>
      </c>
      <c r="U235" s="32">
        <v>9</v>
      </c>
      <c r="V235" s="32">
        <v>4</v>
      </c>
      <c r="W235" s="32">
        <v>4</v>
      </c>
      <c r="X235" s="32">
        <v>7</v>
      </c>
      <c r="Y235" s="32">
        <v>2</v>
      </c>
      <c r="Z235" s="31">
        <v>0</v>
      </c>
      <c r="AA235" s="32">
        <v>2</v>
      </c>
      <c r="AB235" s="32">
        <v>3</v>
      </c>
      <c r="AC235" s="32">
        <v>2</v>
      </c>
      <c r="AD235" s="31">
        <v>0</v>
      </c>
      <c r="AE235" s="32">
        <v>2</v>
      </c>
      <c r="AF235" s="31">
        <v>0</v>
      </c>
      <c r="AG235" s="31">
        <v>0</v>
      </c>
      <c r="AH235" s="32">
        <v>1</v>
      </c>
      <c r="AI235" s="32">
        <v>1</v>
      </c>
      <c r="AJ235" s="32">
        <v>3</v>
      </c>
      <c r="AK235" s="32">
        <v>0</v>
      </c>
      <c r="AL235" s="32">
        <v>2</v>
      </c>
      <c r="AM235" s="31">
        <v>0</v>
      </c>
      <c r="AN235" s="32">
        <v>1</v>
      </c>
      <c r="AO235" s="31">
        <v>0</v>
      </c>
      <c r="AP235" s="31">
        <v>0</v>
      </c>
      <c r="AQ235" s="31">
        <v>0</v>
      </c>
      <c r="AR235" s="31">
        <v>0</v>
      </c>
      <c r="AS235" s="31">
        <v>0</v>
      </c>
    </row>
    <row r="236" spans="1:45">
      <c r="A236" s="30" t="s">
        <v>676</v>
      </c>
      <c r="B236" s="30" t="s">
        <v>1407</v>
      </c>
      <c r="C236" s="30" t="s">
        <v>677</v>
      </c>
      <c r="D236" s="30" t="s">
        <v>71</v>
      </c>
      <c r="E236" s="30" t="s">
        <v>1712</v>
      </c>
      <c r="F236" s="30" t="s">
        <v>71</v>
      </c>
      <c r="G236" s="30" t="s">
        <v>1713</v>
      </c>
      <c r="H236" s="30" t="s">
        <v>680</v>
      </c>
      <c r="I236" s="31">
        <v>0</v>
      </c>
      <c r="J236" s="31">
        <v>0</v>
      </c>
      <c r="K236" s="32">
        <v>1</v>
      </c>
      <c r="L236" s="32">
        <v>20</v>
      </c>
      <c r="M236" s="32">
        <v>10</v>
      </c>
      <c r="N236" s="32">
        <v>17</v>
      </c>
      <c r="O236" s="32">
        <v>38</v>
      </c>
      <c r="P236" s="32">
        <v>17</v>
      </c>
      <c r="Q236" s="32">
        <v>25</v>
      </c>
      <c r="R236" s="32">
        <v>13</v>
      </c>
      <c r="S236" s="32">
        <v>19</v>
      </c>
      <c r="T236" s="32">
        <v>11</v>
      </c>
      <c r="U236" s="32">
        <v>18</v>
      </c>
      <c r="V236" s="32">
        <v>6</v>
      </c>
      <c r="W236" s="32">
        <v>6</v>
      </c>
      <c r="X236" s="32">
        <v>8</v>
      </c>
      <c r="Y236" s="32">
        <v>4</v>
      </c>
      <c r="Z236" s="32">
        <v>3</v>
      </c>
      <c r="AA236" s="32">
        <v>3</v>
      </c>
      <c r="AB236" s="32">
        <v>3</v>
      </c>
      <c r="AC236" s="32">
        <v>4</v>
      </c>
      <c r="AD236" s="32">
        <v>3</v>
      </c>
      <c r="AE236" s="32">
        <v>4</v>
      </c>
      <c r="AF236" s="31">
        <v>0</v>
      </c>
      <c r="AG236" s="31">
        <v>0</v>
      </c>
      <c r="AH236" s="32">
        <v>2</v>
      </c>
      <c r="AI236" s="32">
        <v>2</v>
      </c>
      <c r="AJ236" s="31">
        <v>0</v>
      </c>
      <c r="AK236" s="31">
        <v>0</v>
      </c>
      <c r="AL236" s="31">
        <v>0</v>
      </c>
      <c r="AM236" s="31">
        <v>0</v>
      </c>
      <c r="AN236" s="31">
        <v>0</v>
      </c>
      <c r="AO236" s="31">
        <v>0</v>
      </c>
      <c r="AP236" s="31">
        <v>0</v>
      </c>
      <c r="AQ236" s="31">
        <v>0</v>
      </c>
      <c r="AR236" s="31">
        <v>0</v>
      </c>
      <c r="AS236" s="31">
        <v>0</v>
      </c>
    </row>
    <row r="237" spans="1:45">
      <c r="A237" s="30" t="s">
        <v>676</v>
      </c>
      <c r="B237" s="30" t="s">
        <v>1407</v>
      </c>
      <c r="C237" s="30" t="s">
        <v>677</v>
      </c>
      <c r="D237" s="30" t="s">
        <v>71</v>
      </c>
      <c r="E237" s="30" t="s">
        <v>1714</v>
      </c>
      <c r="F237" s="30" t="s">
        <v>71</v>
      </c>
      <c r="G237" s="30" t="s">
        <v>1715</v>
      </c>
      <c r="H237" s="30" t="s">
        <v>680</v>
      </c>
      <c r="I237" s="31">
        <v>0</v>
      </c>
      <c r="J237" s="31">
        <v>0</v>
      </c>
      <c r="K237" s="32">
        <v>4</v>
      </c>
      <c r="L237" s="32">
        <v>60</v>
      </c>
      <c r="M237" s="32">
        <v>55</v>
      </c>
      <c r="N237" s="32">
        <v>57</v>
      </c>
      <c r="O237" s="32">
        <v>94</v>
      </c>
      <c r="P237" s="32">
        <v>62</v>
      </c>
      <c r="Q237" s="32">
        <v>46</v>
      </c>
      <c r="R237" s="32">
        <v>74</v>
      </c>
      <c r="S237" s="32">
        <v>51</v>
      </c>
      <c r="T237" s="32">
        <v>32</v>
      </c>
      <c r="U237" s="32">
        <v>24</v>
      </c>
      <c r="V237" s="32">
        <v>10</v>
      </c>
      <c r="W237" s="32">
        <v>15</v>
      </c>
      <c r="X237" s="32">
        <v>18</v>
      </c>
      <c r="Y237" s="32">
        <v>17</v>
      </c>
      <c r="Z237" s="32">
        <v>11</v>
      </c>
      <c r="AA237" s="32">
        <v>11</v>
      </c>
      <c r="AB237" s="32">
        <v>9</v>
      </c>
      <c r="AC237" s="32">
        <v>5</v>
      </c>
      <c r="AD237" s="32">
        <v>8</v>
      </c>
      <c r="AE237" s="32">
        <v>1</v>
      </c>
      <c r="AF237" s="32">
        <v>1</v>
      </c>
      <c r="AG237" s="32">
        <v>2</v>
      </c>
      <c r="AH237" s="32">
        <v>2</v>
      </c>
      <c r="AI237" s="31">
        <v>0</v>
      </c>
      <c r="AJ237" s="32">
        <v>1</v>
      </c>
      <c r="AK237" s="32">
        <v>2</v>
      </c>
      <c r="AL237" s="32">
        <v>1</v>
      </c>
      <c r="AM237" s="32">
        <v>1</v>
      </c>
      <c r="AN237" s="31">
        <v>0</v>
      </c>
      <c r="AO237" s="31">
        <v>0</v>
      </c>
      <c r="AP237" s="31">
        <v>0</v>
      </c>
      <c r="AQ237" s="31">
        <v>0</v>
      </c>
      <c r="AR237" s="31">
        <v>0</v>
      </c>
      <c r="AS237" s="31">
        <v>0</v>
      </c>
    </row>
    <row r="238" spans="1:45">
      <c r="A238" s="30" t="s">
        <v>676</v>
      </c>
      <c r="B238" s="30" t="s">
        <v>1407</v>
      </c>
      <c r="C238" s="30" t="s">
        <v>677</v>
      </c>
      <c r="D238" s="30" t="s">
        <v>71</v>
      </c>
      <c r="E238" s="30" t="s">
        <v>1716</v>
      </c>
      <c r="F238" s="30" t="s">
        <v>71</v>
      </c>
      <c r="G238" s="30" t="s">
        <v>1717</v>
      </c>
      <c r="H238" s="30" t="s">
        <v>680</v>
      </c>
      <c r="I238" s="31">
        <v>0</v>
      </c>
      <c r="J238" s="31">
        <v>0</v>
      </c>
      <c r="K238" s="32">
        <v>5</v>
      </c>
      <c r="L238" s="32">
        <v>26</v>
      </c>
      <c r="M238" s="32">
        <v>22</v>
      </c>
      <c r="N238" s="32">
        <v>19</v>
      </c>
      <c r="O238" s="32">
        <v>26</v>
      </c>
      <c r="P238" s="32">
        <v>21</v>
      </c>
      <c r="Q238" s="32">
        <v>13</v>
      </c>
      <c r="R238" s="32">
        <v>7</v>
      </c>
      <c r="S238" s="32">
        <v>9</v>
      </c>
      <c r="T238" s="32">
        <v>4</v>
      </c>
      <c r="U238" s="32">
        <v>4</v>
      </c>
      <c r="V238" s="32">
        <v>5</v>
      </c>
      <c r="W238" s="32">
        <v>2</v>
      </c>
      <c r="X238" s="32">
        <v>3</v>
      </c>
      <c r="Y238" s="32">
        <v>4</v>
      </c>
      <c r="Z238" s="32">
        <v>2</v>
      </c>
      <c r="AA238" s="32">
        <v>3</v>
      </c>
      <c r="AB238" s="31">
        <v>0</v>
      </c>
      <c r="AC238" s="32">
        <v>1</v>
      </c>
      <c r="AD238" s="32">
        <v>1</v>
      </c>
      <c r="AE238" s="32">
        <v>3</v>
      </c>
      <c r="AF238" s="32">
        <v>3</v>
      </c>
      <c r="AG238" s="32">
        <v>2</v>
      </c>
      <c r="AH238" s="32">
        <v>1</v>
      </c>
      <c r="AI238" s="31">
        <v>0</v>
      </c>
      <c r="AJ238" s="32">
        <v>3</v>
      </c>
      <c r="AK238" s="31">
        <v>0</v>
      </c>
      <c r="AL238" s="31">
        <v>0</v>
      </c>
      <c r="AM238" s="32">
        <v>1</v>
      </c>
      <c r="AN238" s="32">
        <v>1</v>
      </c>
      <c r="AO238" s="32">
        <v>4</v>
      </c>
      <c r="AP238" s="31">
        <v>0</v>
      </c>
      <c r="AQ238" s="31">
        <v>0</v>
      </c>
      <c r="AR238" s="31">
        <v>0</v>
      </c>
      <c r="AS238" s="31">
        <v>0</v>
      </c>
    </row>
    <row r="239" spans="1:45">
      <c r="A239" s="30" t="s">
        <v>676</v>
      </c>
      <c r="B239" s="30" t="s">
        <v>1407</v>
      </c>
      <c r="C239" s="30" t="s">
        <v>677</v>
      </c>
      <c r="D239" s="30" t="s">
        <v>71</v>
      </c>
      <c r="E239" s="30" t="s">
        <v>1718</v>
      </c>
      <c r="F239" s="30" t="s">
        <v>71</v>
      </c>
      <c r="G239" s="30" t="s">
        <v>1719</v>
      </c>
      <c r="H239" s="30" t="s">
        <v>680</v>
      </c>
      <c r="I239" s="31">
        <v>0</v>
      </c>
      <c r="J239" s="31">
        <v>0</v>
      </c>
      <c r="K239" s="32">
        <v>2</v>
      </c>
      <c r="L239" s="32">
        <v>34</v>
      </c>
      <c r="M239" s="32">
        <v>23</v>
      </c>
      <c r="N239" s="32">
        <v>26</v>
      </c>
      <c r="O239" s="32">
        <v>27</v>
      </c>
      <c r="P239" s="32">
        <v>28</v>
      </c>
      <c r="Q239" s="32">
        <v>8</v>
      </c>
      <c r="R239" s="32">
        <v>15</v>
      </c>
      <c r="S239" s="32">
        <v>5</v>
      </c>
      <c r="T239" s="32">
        <v>8</v>
      </c>
      <c r="U239" s="32">
        <v>5</v>
      </c>
      <c r="V239" s="32">
        <v>4</v>
      </c>
      <c r="W239" s="32">
        <v>5</v>
      </c>
      <c r="X239" s="32">
        <v>7</v>
      </c>
      <c r="Y239" s="32">
        <v>4</v>
      </c>
      <c r="Z239" s="32">
        <v>1</v>
      </c>
      <c r="AA239" s="32">
        <v>4</v>
      </c>
      <c r="AB239" s="32">
        <v>3</v>
      </c>
      <c r="AC239" s="31">
        <v>0</v>
      </c>
      <c r="AD239" s="32">
        <v>3</v>
      </c>
      <c r="AE239" s="32">
        <v>4</v>
      </c>
      <c r="AF239" s="31">
        <v>0</v>
      </c>
      <c r="AG239" s="32">
        <v>1</v>
      </c>
      <c r="AH239" s="31">
        <v>0</v>
      </c>
      <c r="AI239" s="32">
        <v>1</v>
      </c>
      <c r="AJ239" s="32">
        <v>3</v>
      </c>
      <c r="AK239" s="32">
        <v>0</v>
      </c>
      <c r="AL239" s="32">
        <v>1</v>
      </c>
      <c r="AM239" s="32">
        <v>4</v>
      </c>
      <c r="AN239" s="31">
        <v>0</v>
      </c>
      <c r="AO239" s="32">
        <v>2</v>
      </c>
      <c r="AP239" s="31">
        <v>0</v>
      </c>
      <c r="AQ239" s="31">
        <v>0</v>
      </c>
      <c r="AR239" s="31">
        <v>0</v>
      </c>
      <c r="AS239" s="31">
        <v>0</v>
      </c>
    </row>
    <row r="240" spans="1:45">
      <c r="A240" s="30" t="s">
        <v>676</v>
      </c>
      <c r="B240" s="30" t="s">
        <v>1407</v>
      </c>
      <c r="C240" s="30" t="s">
        <v>677</v>
      </c>
      <c r="D240" s="30" t="s">
        <v>71</v>
      </c>
      <c r="E240" s="30" t="s">
        <v>1720</v>
      </c>
      <c r="F240" s="30" t="s">
        <v>71</v>
      </c>
      <c r="G240" s="30" t="s">
        <v>1721</v>
      </c>
      <c r="H240" s="30" t="s">
        <v>680</v>
      </c>
      <c r="I240" s="31">
        <v>0</v>
      </c>
      <c r="J240" s="31">
        <v>0</v>
      </c>
      <c r="K240" s="32">
        <v>3</v>
      </c>
      <c r="L240" s="32">
        <v>66</v>
      </c>
      <c r="M240" s="32">
        <v>68</v>
      </c>
      <c r="N240" s="32">
        <v>51</v>
      </c>
      <c r="O240" s="32">
        <v>95</v>
      </c>
      <c r="P240" s="32">
        <v>77</v>
      </c>
      <c r="Q240" s="32">
        <v>53</v>
      </c>
      <c r="R240" s="32">
        <v>149</v>
      </c>
      <c r="S240" s="32">
        <v>86</v>
      </c>
      <c r="T240" s="32">
        <v>54</v>
      </c>
      <c r="U240" s="32">
        <v>65</v>
      </c>
      <c r="V240" s="32">
        <v>37</v>
      </c>
      <c r="W240" s="32">
        <v>36</v>
      </c>
      <c r="X240" s="32">
        <v>27</v>
      </c>
      <c r="Y240" s="32">
        <v>23</v>
      </c>
      <c r="Z240" s="32">
        <v>14</v>
      </c>
      <c r="AA240" s="32">
        <v>14</v>
      </c>
      <c r="AB240" s="32">
        <v>9</v>
      </c>
      <c r="AC240" s="32">
        <v>11</v>
      </c>
      <c r="AD240" s="32">
        <v>8</v>
      </c>
      <c r="AE240" s="32">
        <v>5</v>
      </c>
      <c r="AF240" s="32">
        <v>3</v>
      </c>
      <c r="AG240" s="32">
        <v>6</v>
      </c>
      <c r="AH240" s="32">
        <v>4</v>
      </c>
      <c r="AI240" s="32">
        <v>5</v>
      </c>
      <c r="AJ240" s="32">
        <v>4</v>
      </c>
      <c r="AK240" s="32">
        <v>3</v>
      </c>
      <c r="AL240" s="32">
        <v>1</v>
      </c>
      <c r="AM240" s="32">
        <v>1</v>
      </c>
      <c r="AN240" s="31">
        <v>0</v>
      </c>
      <c r="AO240" s="31">
        <v>0</v>
      </c>
      <c r="AP240" s="31">
        <v>0</v>
      </c>
      <c r="AQ240" s="31">
        <v>0</v>
      </c>
      <c r="AR240" s="31">
        <v>0</v>
      </c>
      <c r="AS240" s="31">
        <v>0</v>
      </c>
    </row>
    <row r="241" spans="1:45">
      <c r="A241" s="30" t="s">
        <v>676</v>
      </c>
      <c r="B241" s="30" t="s">
        <v>1407</v>
      </c>
      <c r="C241" s="30" t="s">
        <v>677</v>
      </c>
      <c r="D241" s="30" t="s">
        <v>71</v>
      </c>
      <c r="E241" s="30" t="s">
        <v>1722</v>
      </c>
      <c r="F241" s="30" t="s">
        <v>71</v>
      </c>
      <c r="G241" s="30" t="s">
        <v>1723</v>
      </c>
      <c r="H241" s="30" t="s">
        <v>680</v>
      </c>
      <c r="I241" s="31">
        <v>0</v>
      </c>
      <c r="J241" s="31">
        <v>0</v>
      </c>
      <c r="K241" s="32">
        <v>8</v>
      </c>
      <c r="L241" s="32">
        <v>44</v>
      </c>
      <c r="M241" s="32">
        <v>59</v>
      </c>
      <c r="N241" s="32">
        <v>44</v>
      </c>
      <c r="O241" s="32">
        <v>68</v>
      </c>
      <c r="P241" s="32">
        <v>75</v>
      </c>
      <c r="Q241" s="32">
        <v>69</v>
      </c>
      <c r="R241" s="32">
        <v>115</v>
      </c>
      <c r="S241" s="32">
        <v>80</v>
      </c>
      <c r="T241" s="32">
        <v>60</v>
      </c>
      <c r="U241" s="32">
        <v>73</v>
      </c>
      <c r="V241" s="32">
        <v>38</v>
      </c>
      <c r="W241" s="32">
        <v>37</v>
      </c>
      <c r="X241" s="32">
        <v>32</v>
      </c>
      <c r="Y241" s="32">
        <v>28</v>
      </c>
      <c r="Z241" s="32">
        <v>32</v>
      </c>
      <c r="AA241" s="32">
        <v>16</v>
      </c>
      <c r="AB241" s="32">
        <v>19</v>
      </c>
      <c r="AC241" s="32">
        <v>19</v>
      </c>
      <c r="AD241" s="32">
        <v>13</v>
      </c>
      <c r="AE241" s="32">
        <v>9</v>
      </c>
      <c r="AF241" s="32">
        <v>4</v>
      </c>
      <c r="AG241" s="32">
        <v>7</v>
      </c>
      <c r="AH241" s="32">
        <v>4</v>
      </c>
      <c r="AI241" s="32">
        <v>2</v>
      </c>
      <c r="AJ241" s="32">
        <v>2</v>
      </c>
      <c r="AK241" s="32">
        <v>4</v>
      </c>
      <c r="AL241" s="32">
        <v>2</v>
      </c>
      <c r="AM241" s="32">
        <v>1</v>
      </c>
      <c r="AN241" s="31">
        <v>0</v>
      </c>
      <c r="AO241" s="32">
        <v>2</v>
      </c>
      <c r="AP241" s="32">
        <v>4</v>
      </c>
      <c r="AQ241" s="32">
        <v>3</v>
      </c>
      <c r="AR241" s="31">
        <v>0</v>
      </c>
      <c r="AS241" s="31">
        <v>0</v>
      </c>
    </row>
    <row r="242" spans="1:45">
      <c r="A242" s="30" t="s">
        <v>676</v>
      </c>
      <c r="B242" s="30" t="s">
        <v>1407</v>
      </c>
      <c r="C242" s="30" t="s">
        <v>677</v>
      </c>
      <c r="D242" s="30" t="s">
        <v>71</v>
      </c>
      <c r="E242" s="30" t="s">
        <v>1724</v>
      </c>
      <c r="F242" s="30" t="s">
        <v>71</v>
      </c>
      <c r="G242" s="30" t="s">
        <v>1725</v>
      </c>
      <c r="H242" s="30" t="s">
        <v>680</v>
      </c>
      <c r="I242" s="31">
        <v>0</v>
      </c>
      <c r="J242" s="31">
        <v>0</v>
      </c>
      <c r="K242" s="32">
        <v>6</v>
      </c>
      <c r="L242" s="32">
        <v>65</v>
      </c>
      <c r="M242" s="32">
        <v>75</v>
      </c>
      <c r="N242" s="32">
        <v>72</v>
      </c>
      <c r="O242" s="32">
        <v>96</v>
      </c>
      <c r="P242" s="32">
        <v>91</v>
      </c>
      <c r="Q242" s="32">
        <v>42</v>
      </c>
      <c r="R242" s="32">
        <v>95</v>
      </c>
      <c r="S242" s="32">
        <v>40</v>
      </c>
      <c r="T242" s="32">
        <v>44</v>
      </c>
      <c r="U242" s="32">
        <v>39</v>
      </c>
      <c r="V242" s="32">
        <v>24</v>
      </c>
      <c r="W242" s="32">
        <v>28</v>
      </c>
      <c r="X242" s="32">
        <v>35</v>
      </c>
      <c r="Y242" s="32">
        <v>21</v>
      </c>
      <c r="Z242" s="32">
        <v>18</v>
      </c>
      <c r="AA242" s="32">
        <v>21</v>
      </c>
      <c r="AB242" s="32">
        <v>9</v>
      </c>
      <c r="AC242" s="32">
        <v>16</v>
      </c>
      <c r="AD242" s="32">
        <v>16</v>
      </c>
      <c r="AE242" s="32">
        <v>9</v>
      </c>
      <c r="AF242" s="32">
        <v>4</v>
      </c>
      <c r="AG242" s="32">
        <v>7</v>
      </c>
      <c r="AH242" s="32">
        <v>4</v>
      </c>
      <c r="AI242" s="32">
        <v>3</v>
      </c>
      <c r="AJ242" s="32">
        <v>10</v>
      </c>
      <c r="AK242" s="32">
        <v>2</v>
      </c>
      <c r="AL242" s="32">
        <v>2</v>
      </c>
      <c r="AM242" s="32">
        <v>1</v>
      </c>
      <c r="AN242" s="31">
        <v>0</v>
      </c>
      <c r="AO242" s="32">
        <v>3</v>
      </c>
      <c r="AP242" s="32">
        <v>2</v>
      </c>
      <c r="AQ242" s="31">
        <v>0</v>
      </c>
      <c r="AR242" s="31">
        <v>0</v>
      </c>
      <c r="AS242" s="31">
        <v>0</v>
      </c>
    </row>
    <row r="243" spans="1:45">
      <c r="A243" s="30" t="s">
        <v>676</v>
      </c>
      <c r="B243" s="30" t="s">
        <v>1407</v>
      </c>
      <c r="C243" s="30" t="s">
        <v>677</v>
      </c>
      <c r="D243" s="30" t="s">
        <v>71</v>
      </c>
      <c r="E243" s="30" t="s">
        <v>1726</v>
      </c>
      <c r="F243" s="30" t="s">
        <v>71</v>
      </c>
      <c r="G243" s="30" t="s">
        <v>1727</v>
      </c>
      <c r="H243" s="30" t="s">
        <v>680</v>
      </c>
      <c r="I243" s="31">
        <v>0</v>
      </c>
      <c r="J243" s="31">
        <v>0</v>
      </c>
      <c r="K243" s="32">
        <v>2</v>
      </c>
      <c r="L243" s="32">
        <v>58</v>
      </c>
      <c r="M243" s="32">
        <v>59</v>
      </c>
      <c r="N243" s="32">
        <v>60</v>
      </c>
      <c r="O243" s="32">
        <v>96</v>
      </c>
      <c r="P243" s="32">
        <v>80</v>
      </c>
      <c r="Q243" s="32">
        <v>49</v>
      </c>
      <c r="R243" s="32">
        <v>105</v>
      </c>
      <c r="S243" s="32">
        <v>55</v>
      </c>
      <c r="T243" s="32">
        <v>36</v>
      </c>
      <c r="U243" s="32">
        <v>54</v>
      </c>
      <c r="V243" s="32">
        <v>38</v>
      </c>
      <c r="W243" s="32">
        <v>26</v>
      </c>
      <c r="X243" s="32">
        <v>24</v>
      </c>
      <c r="Y243" s="32">
        <v>19</v>
      </c>
      <c r="Z243" s="32">
        <v>21</v>
      </c>
      <c r="AA243" s="32">
        <v>18</v>
      </c>
      <c r="AB243" s="32">
        <v>18</v>
      </c>
      <c r="AC243" s="32">
        <v>11</v>
      </c>
      <c r="AD243" s="32">
        <v>21</v>
      </c>
      <c r="AE243" s="32">
        <v>7</v>
      </c>
      <c r="AF243" s="32">
        <v>3</v>
      </c>
      <c r="AG243" s="32">
        <v>5</v>
      </c>
      <c r="AH243" s="32">
        <v>2</v>
      </c>
      <c r="AI243" s="32">
        <v>2</v>
      </c>
      <c r="AJ243" s="32">
        <v>3</v>
      </c>
      <c r="AK243" s="32">
        <v>2</v>
      </c>
      <c r="AL243" s="32">
        <v>2</v>
      </c>
      <c r="AM243" s="32">
        <v>2</v>
      </c>
      <c r="AN243" s="31">
        <v>0</v>
      </c>
      <c r="AO243" s="31">
        <v>0</v>
      </c>
      <c r="AP243" s="31">
        <v>0</v>
      </c>
      <c r="AQ243" s="31">
        <v>0</v>
      </c>
      <c r="AR243" s="31">
        <v>0</v>
      </c>
      <c r="AS243" s="31">
        <v>0</v>
      </c>
    </row>
    <row r="244" spans="1:45">
      <c r="A244" s="30" t="s">
        <v>676</v>
      </c>
      <c r="B244" s="30" t="s">
        <v>1407</v>
      </c>
      <c r="C244" s="30" t="s">
        <v>677</v>
      </c>
      <c r="D244" s="30" t="s">
        <v>71</v>
      </c>
      <c r="E244" s="30" t="s">
        <v>1728</v>
      </c>
      <c r="F244" s="30" t="s">
        <v>71</v>
      </c>
      <c r="G244" s="30" t="s">
        <v>1729</v>
      </c>
      <c r="H244" s="30" t="s">
        <v>680</v>
      </c>
      <c r="I244" s="31">
        <v>0</v>
      </c>
      <c r="J244" s="31">
        <v>0</v>
      </c>
      <c r="K244" s="32">
        <v>1</v>
      </c>
      <c r="L244" s="31">
        <v>0</v>
      </c>
      <c r="M244" s="31">
        <v>0</v>
      </c>
      <c r="N244" s="31">
        <v>0</v>
      </c>
      <c r="O244" s="31">
        <v>0</v>
      </c>
      <c r="P244" s="31">
        <v>0</v>
      </c>
      <c r="Q244" s="31">
        <v>0</v>
      </c>
      <c r="R244" s="31">
        <v>0</v>
      </c>
      <c r="S244" s="31">
        <v>0</v>
      </c>
      <c r="T244" s="31">
        <v>0</v>
      </c>
      <c r="U244" s="31">
        <v>0</v>
      </c>
      <c r="V244" s="31">
        <v>0</v>
      </c>
      <c r="W244" s="31">
        <v>0</v>
      </c>
      <c r="X244" s="31">
        <v>0</v>
      </c>
      <c r="Y244" s="31">
        <v>0</v>
      </c>
      <c r="Z244" s="31">
        <v>0</v>
      </c>
      <c r="AA244" s="31">
        <v>0</v>
      </c>
      <c r="AB244" s="31">
        <v>0</v>
      </c>
      <c r="AC244" s="31">
        <v>0</v>
      </c>
      <c r="AD244" s="31">
        <v>0</v>
      </c>
      <c r="AE244" s="31">
        <v>0</v>
      </c>
      <c r="AF244" s="31">
        <v>0</v>
      </c>
      <c r="AG244" s="31">
        <v>0</v>
      </c>
      <c r="AH244" s="31">
        <v>0</v>
      </c>
      <c r="AI244" s="31">
        <v>0</v>
      </c>
      <c r="AJ244" s="31">
        <v>0</v>
      </c>
      <c r="AK244" s="31">
        <v>0</v>
      </c>
      <c r="AL244" s="31">
        <v>0</v>
      </c>
      <c r="AM244" s="31">
        <v>0</v>
      </c>
      <c r="AN244" s="31">
        <v>0</v>
      </c>
      <c r="AO244" s="31">
        <v>0</v>
      </c>
      <c r="AP244" s="31">
        <v>0</v>
      </c>
      <c r="AQ244" s="31">
        <v>0</v>
      </c>
      <c r="AR244" s="31">
        <v>0</v>
      </c>
      <c r="AS244" s="31">
        <v>0</v>
      </c>
    </row>
    <row r="245" spans="1:45">
      <c r="A245" s="30" t="s">
        <v>676</v>
      </c>
      <c r="B245" s="30" t="s">
        <v>1407</v>
      </c>
      <c r="C245" s="30" t="s">
        <v>677</v>
      </c>
      <c r="D245" s="30" t="s">
        <v>71</v>
      </c>
      <c r="E245" s="30" t="s">
        <v>1730</v>
      </c>
      <c r="F245" s="30" t="s">
        <v>71</v>
      </c>
      <c r="G245" s="30" t="s">
        <v>1731</v>
      </c>
      <c r="H245" s="30" t="s">
        <v>680</v>
      </c>
      <c r="I245" s="31">
        <v>0</v>
      </c>
      <c r="J245" s="31">
        <v>0</v>
      </c>
      <c r="K245" s="31">
        <v>0</v>
      </c>
      <c r="L245" s="31">
        <v>0</v>
      </c>
      <c r="M245" s="31">
        <v>0</v>
      </c>
      <c r="N245" s="32">
        <v>24</v>
      </c>
      <c r="O245" s="32">
        <v>168</v>
      </c>
      <c r="P245" s="32">
        <v>159</v>
      </c>
      <c r="Q245" s="32">
        <v>155</v>
      </c>
      <c r="R245" s="32">
        <v>227</v>
      </c>
      <c r="S245" s="32">
        <v>160</v>
      </c>
      <c r="T245" s="32">
        <v>129</v>
      </c>
      <c r="U245" s="32">
        <v>170</v>
      </c>
      <c r="V245" s="32">
        <v>126</v>
      </c>
      <c r="W245" s="32">
        <v>92</v>
      </c>
      <c r="X245" s="32">
        <v>78</v>
      </c>
      <c r="Y245" s="31">
        <v>0</v>
      </c>
      <c r="Z245" s="31">
        <v>0</v>
      </c>
      <c r="AA245" s="31">
        <v>0</v>
      </c>
      <c r="AB245" s="31">
        <v>0</v>
      </c>
      <c r="AC245" s="31">
        <v>0</v>
      </c>
      <c r="AD245" s="31">
        <v>0</v>
      </c>
      <c r="AE245" s="31">
        <v>0</v>
      </c>
      <c r="AF245" s="31">
        <v>0</v>
      </c>
      <c r="AG245" s="31">
        <v>0</v>
      </c>
      <c r="AH245" s="31">
        <v>0</v>
      </c>
      <c r="AI245" s="31">
        <v>0</v>
      </c>
      <c r="AJ245" s="31">
        <v>0</v>
      </c>
      <c r="AK245" s="31">
        <v>0</v>
      </c>
      <c r="AL245" s="31">
        <v>0</v>
      </c>
      <c r="AM245" s="31">
        <v>0</v>
      </c>
      <c r="AN245" s="31">
        <v>0</v>
      </c>
      <c r="AO245" s="31">
        <v>0</v>
      </c>
      <c r="AP245" s="31">
        <v>0</v>
      </c>
      <c r="AQ245" s="31">
        <v>0</v>
      </c>
      <c r="AR245" s="31">
        <v>0</v>
      </c>
      <c r="AS245" s="31">
        <v>0</v>
      </c>
    </row>
    <row r="246" spans="1:45">
      <c r="A246" s="30" t="s">
        <v>676</v>
      </c>
      <c r="B246" s="30" t="s">
        <v>1407</v>
      </c>
      <c r="C246" s="30" t="s">
        <v>677</v>
      </c>
      <c r="D246" s="30" t="s">
        <v>71</v>
      </c>
      <c r="E246" s="30" t="s">
        <v>1732</v>
      </c>
      <c r="F246" s="30" t="s">
        <v>71</v>
      </c>
      <c r="G246" s="30" t="s">
        <v>1733</v>
      </c>
      <c r="H246" s="30" t="s">
        <v>680</v>
      </c>
      <c r="I246" s="31">
        <v>0</v>
      </c>
      <c r="J246" s="31">
        <v>0</v>
      </c>
      <c r="K246" s="31">
        <v>0</v>
      </c>
      <c r="L246" s="31">
        <v>0</v>
      </c>
      <c r="M246" s="31">
        <v>0</v>
      </c>
      <c r="N246" s="31">
        <v>0</v>
      </c>
      <c r="O246" s="31">
        <v>0</v>
      </c>
      <c r="P246" s="31">
        <v>0</v>
      </c>
      <c r="Q246" s="32">
        <v>1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0</v>
      </c>
      <c r="AC246" s="31">
        <v>0</v>
      </c>
      <c r="AD246" s="31">
        <v>0</v>
      </c>
      <c r="AE246" s="31">
        <v>0</v>
      </c>
      <c r="AF246" s="31">
        <v>0</v>
      </c>
      <c r="AG246" s="31">
        <v>0</v>
      </c>
      <c r="AH246" s="31">
        <v>0</v>
      </c>
      <c r="AI246" s="31">
        <v>0</v>
      </c>
      <c r="AJ246" s="31">
        <v>0</v>
      </c>
      <c r="AK246" s="31">
        <v>0</v>
      </c>
      <c r="AL246" s="31">
        <v>0</v>
      </c>
      <c r="AM246" s="31">
        <v>0</v>
      </c>
      <c r="AN246" s="31">
        <v>0</v>
      </c>
      <c r="AO246" s="31">
        <v>0</v>
      </c>
      <c r="AP246" s="31">
        <v>0</v>
      </c>
      <c r="AQ246" s="31">
        <v>0</v>
      </c>
      <c r="AR246" s="31">
        <v>0</v>
      </c>
      <c r="AS246" s="31">
        <v>0</v>
      </c>
    </row>
    <row r="247" spans="1:45">
      <c r="A247" s="30" t="s">
        <v>676</v>
      </c>
      <c r="B247" s="30" t="s">
        <v>1407</v>
      </c>
      <c r="C247" s="30" t="s">
        <v>677</v>
      </c>
      <c r="D247" s="30" t="s">
        <v>71</v>
      </c>
      <c r="E247" s="30" t="s">
        <v>1734</v>
      </c>
      <c r="F247" s="30" t="s">
        <v>71</v>
      </c>
      <c r="G247" s="30" t="s">
        <v>1735</v>
      </c>
      <c r="H247" s="30" t="s">
        <v>680</v>
      </c>
      <c r="I247" s="31">
        <v>0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0</v>
      </c>
      <c r="Z247" s="31">
        <v>0</v>
      </c>
      <c r="AA247" s="31">
        <v>0</v>
      </c>
      <c r="AB247" s="31">
        <v>0</v>
      </c>
      <c r="AC247" s="31">
        <v>0</v>
      </c>
      <c r="AD247" s="31">
        <v>0</v>
      </c>
      <c r="AE247" s="31">
        <v>0</v>
      </c>
      <c r="AF247" s="31">
        <v>0</v>
      </c>
      <c r="AG247" s="31">
        <v>0</v>
      </c>
      <c r="AH247" s="31">
        <v>0</v>
      </c>
      <c r="AI247" s="31">
        <v>0</v>
      </c>
      <c r="AJ247" s="31">
        <v>0</v>
      </c>
      <c r="AK247" s="31">
        <v>0</v>
      </c>
      <c r="AL247" s="31">
        <v>0</v>
      </c>
      <c r="AM247" s="32">
        <v>2</v>
      </c>
      <c r="AN247" s="31">
        <v>0</v>
      </c>
      <c r="AO247" s="31">
        <v>0</v>
      </c>
      <c r="AP247" s="31">
        <v>0</v>
      </c>
      <c r="AQ247" s="31">
        <v>0</v>
      </c>
      <c r="AR247" s="31">
        <v>0</v>
      </c>
      <c r="AS247" s="31">
        <v>0</v>
      </c>
    </row>
    <row r="248" spans="1:45">
      <c r="A248" s="30" t="s">
        <v>676</v>
      </c>
      <c r="B248" s="30" t="s">
        <v>1407</v>
      </c>
      <c r="C248" s="30" t="s">
        <v>677</v>
      </c>
      <c r="D248" s="30" t="s">
        <v>71</v>
      </c>
      <c r="E248" s="30" t="s">
        <v>1736</v>
      </c>
      <c r="F248" s="30" t="s">
        <v>71</v>
      </c>
      <c r="G248" s="30" t="s">
        <v>1737</v>
      </c>
      <c r="H248" s="30" t="s">
        <v>680</v>
      </c>
      <c r="I248" s="31">
        <v>0</v>
      </c>
      <c r="J248" s="31">
        <v>0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1">
        <v>0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0</v>
      </c>
      <c r="AA248" s="31">
        <v>0</v>
      </c>
      <c r="AB248" s="31">
        <v>0</v>
      </c>
      <c r="AC248" s="31">
        <v>0</v>
      </c>
      <c r="AD248" s="31">
        <v>0</v>
      </c>
      <c r="AE248" s="31">
        <v>0</v>
      </c>
      <c r="AF248" s="31">
        <v>0</v>
      </c>
      <c r="AG248" s="31">
        <v>0</v>
      </c>
      <c r="AH248" s="31">
        <v>0</v>
      </c>
      <c r="AI248" s="31">
        <v>0</v>
      </c>
      <c r="AJ248" s="31">
        <v>0</v>
      </c>
      <c r="AK248" s="31">
        <v>0</v>
      </c>
      <c r="AL248" s="31">
        <v>0</v>
      </c>
      <c r="AM248" s="31">
        <v>0</v>
      </c>
      <c r="AN248" s="31">
        <v>0</v>
      </c>
      <c r="AO248" s="31">
        <v>0</v>
      </c>
      <c r="AP248" s="32">
        <v>1</v>
      </c>
      <c r="AQ248" s="31">
        <v>0</v>
      </c>
      <c r="AR248" s="31">
        <v>0</v>
      </c>
      <c r="AS248" s="31">
        <v>0</v>
      </c>
    </row>
    <row r="249" spans="1:45">
      <c r="A249" s="30" t="s">
        <v>676</v>
      </c>
      <c r="B249" s="30" t="s">
        <v>1407</v>
      </c>
      <c r="C249" s="30" t="s">
        <v>677</v>
      </c>
      <c r="D249" s="30" t="s">
        <v>71</v>
      </c>
      <c r="E249" s="30" t="s">
        <v>1738</v>
      </c>
      <c r="F249" s="30" t="s">
        <v>71</v>
      </c>
      <c r="G249" s="30" t="s">
        <v>1739</v>
      </c>
      <c r="H249" s="30" t="s">
        <v>680</v>
      </c>
      <c r="I249" s="31">
        <v>0</v>
      </c>
      <c r="J249" s="31">
        <v>0</v>
      </c>
      <c r="K249" s="31">
        <v>0</v>
      </c>
      <c r="L249" s="31">
        <v>0</v>
      </c>
      <c r="M249" s="31">
        <v>0</v>
      </c>
      <c r="N249" s="31">
        <v>0</v>
      </c>
      <c r="O249" s="31">
        <v>0</v>
      </c>
      <c r="P249" s="31">
        <v>0</v>
      </c>
      <c r="Q249" s="31">
        <v>0</v>
      </c>
      <c r="R249" s="31">
        <v>0</v>
      </c>
      <c r="S249" s="31">
        <v>0</v>
      </c>
      <c r="T249" s="31">
        <v>0</v>
      </c>
      <c r="U249" s="31">
        <v>0</v>
      </c>
      <c r="V249" s="31">
        <v>0</v>
      </c>
      <c r="W249" s="31">
        <v>0</v>
      </c>
      <c r="X249" s="31">
        <v>0</v>
      </c>
      <c r="Y249" s="31">
        <v>0</v>
      </c>
      <c r="Z249" s="31">
        <v>0</v>
      </c>
      <c r="AA249" s="32">
        <v>1</v>
      </c>
      <c r="AB249" s="31">
        <v>0</v>
      </c>
      <c r="AC249" s="31">
        <v>0</v>
      </c>
      <c r="AD249" s="31">
        <v>0</v>
      </c>
      <c r="AE249" s="31">
        <v>0</v>
      </c>
      <c r="AF249" s="31">
        <v>0</v>
      </c>
      <c r="AG249" s="31">
        <v>0</v>
      </c>
      <c r="AH249" s="31">
        <v>0</v>
      </c>
      <c r="AI249" s="31">
        <v>0</v>
      </c>
      <c r="AJ249" s="31">
        <v>0</v>
      </c>
      <c r="AK249" s="31">
        <v>0</v>
      </c>
      <c r="AL249" s="31">
        <v>0</v>
      </c>
      <c r="AM249" s="31">
        <v>0</v>
      </c>
      <c r="AN249" s="31">
        <v>0</v>
      </c>
      <c r="AO249" s="31">
        <v>0</v>
      </c>
      <c r="AP249" s="31">
        <v>0</v>
      </c>
      <c r="AQ249" s="31">
        <v>0</v>
      </c>
      <c r="AR249" s="31">
        <v>0</v>
      </c>
      <c r="AS249" s="31">
        <v>0</v>
      </c>
    </row>
    <row r="250" spans="1:45">
      <c r="A250" s="30" t="s">
        <v>676</v>
      </c>
      <c r="B250" s="30" t="s">
        <v>1407</v>
      </c>
      <c r="C250" s="30" t="s">
        <v>677</v>
      </c>
      <c r="D250" s="30" t="s">
        <v>71</v>
      </c>
      <c r="E250" s="30" t="s">
        <v>1740</v>
      </c>
      <c r="F250" s="30" t="s">
        <v>71</v>
      </c>
      <c r="G250" s="30" t="s">
        <v>556</v>
      </c>
      <c r="H250" s="30" t="s">
        <v>680</v>
      </c>
      <c r="I250" s="32">
        <v>170</v>
      </c>
      <c r="J250" s="32">
        <v>97</v>
      </c>
      <c r="K250" s="32">
        <v>134</v>
      </c>
      <c r="L250" s="32">
        <v>90</v>
      </c>
      <c r="M250" s="32">
        <v>60</v>
      </c>
      <c r="N250" s="32">
        <v>88</v>
      </c>
      <c r="O250" s="32">
        <v>91</v>
      </c>
      <c r="P250" s="32">
        <v>85</v>
      </c>
      <c r="Q250" s="32">
        <v>119</v>
      </c>
      <c r="R250" s="32">
        <v>144</v>
      </c>
      <c r="S250" s="32">
        <v>93</v>
      </c>
      <c r="T250" s="32">
        <v>93</v>
      </c>
      <c r="U250" s="32">
        <v>123</v>
      </c>
      <c r="V250" s="32">
        <v>75.3947</v>
      </c>
      <c r="W250" s="32">
        <v>83</v>
      </c>
      <c r="X250" s="32">
        <v>111</v>
      </c>
      <c r="Y250" s="32">
        <v>57</v>
      </c>
      <c r="Z250" s="32">
        <v>90.966399999999993</v>
      </c>
      <c r="AA250" s="32">
        <v>127.4807</v>
      </c>
      <c r="AB250" s="32">
        <v>90</v>
      </c>
      <c r="AC250" s="32">
        <v>129</v>
      </c>
      <c r="AD250" s="32">
        <v>143</v>
      </c>
      <c r="AE250" s="32">
        <v>78</v>
      </c>
      <c r="AF250" s="32">
        <v>79</v>
      </c>
      <c r="AG250" s="32">
        <v>98</v>
      </c>
      <c r="AH250" s="32">
        <v>68</v>
      </c>
      <c r="AI250" s="32">
        <v>56</v>
      </c>
      <c r="AJ250" s="32">
        <v>120</v>
      </c>
      <c r="AK250" s="32">
        <v>53</v>
      </c>
      <c r="AL250" s="32">
        <v>54</v>
      </c>
      <c r="AM250" s="32">
        <v>78</v>
      </c>
      <c r="AN250" s="32">
        <v>78</v>
      </c>
      <c r="AO250" s="32">
        <v>81</v>
      </c>
      <c r="AP250" s="32">
        <v>67</v>
      </c>
      <c r="AQ250" s="32">
        <v>57</v>
      </c>
      <c r="AR250" s="32">
        <v>69</v>
      </c>
      <c r="AS250" s="32">
        <v>113</v>
      </c>
    </row>
    <row r="251" spans="1:45">
      <c r="A251" s="30" t="s">
        <v>676</v>
      </c>
      <c r="B251" s="30" t="s">
        <v>1407</v>
      </c>
      <c r="C251" s="30" t="s">
        <v>677</v>
      </c>
      <c r="D251" s="30" t="s">
        <v>71</v>
      </c>
      <c r="E251" s="30" t="s">
        <v>1741</v>
      </c>
      <c r="F251" s="30" t="s">
        <v>71</v>
      </c>
      <c r="G251" s="30" t="s">
        <v>1742</v>
      </c>
      <c r="H251" s="30" t="s">
        <v>680</v>
      </c>
      <c r="I251" s="31">
        <v>0</v>
      </c>
      <c r="J251" s="31">
        <v>0</v>
      </c>
      <c r="K251" s="31">
        <v>0</v>
      </c>
      <c r="L251" s="31">
        <v>0</v>
      </c>
      <c r="M251" s="31">
        <v>0</v>
      </c>
      <c r="N251" s="32">
        <v>1</v>
      </c>
      <c r="O251" s="32">
        <v>3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0</v>
      </c>
      <c r="Z251" s="31">
        <v>0</v>
      </c>
      <c r="AA251" s="31">
        <v>0</v>
      </c>
      <c r="AB251" s="31">
        <v>0</v>
      </c>
      <c r="AC251" s="31">
        <v>0</v>
      </c>
      <c r="AD251" s="31">
        <v>0</v>
      </c>
      <c r="AE251" s="31">
        <v>0</v>
      </c>
      <c r="AF251" s="31">
        <v>0</v>
      </c>
      <c r="AG251" s="31">
        <v>0</v>
      </c>
      <c r="AH251" s="31">
        <v>0</v>
      </c>
      <c r="AI251" s="31">
        <v>0</v>
      </c>
      <c r="AJ251" s="31">
        <v>0</v>
      </c>
      <c r="AK251" s="31">
        <v>0</v>
      </c>
      <c r="AL251" s="31">
        <v>0</v>
      </c>
      <c r="AM251" s="31">
        <v>0</v>
      </c>
      <c r="AN251" s="31">
        <v>0</v>
      </c>
      <c r="AO251" s="31">
        <v>0</v>
      </c>
      <c r="AP251" s="31">
        <v>0</v>
      </c>
      <c r="AQ251" s="31">
        <v>0</v>
      </c>
      <c r="AR251" s="31">
        <v>0</v>
      </c>
      <c r="AS251" s="31">
        <v>0</v>
      </c>
    </row>
    <row r="252" spans="1:45">
      <c r="A252" s="30" t="s">
        <v>676</v>
      </c>
      <c r="B252" s="30" t="s">
        <v>1407</v>
      </c>
      <c r="C252" s="30" t="s">
        <v>677</v>
      </c>
      <c r="D252" s="30" t="s">
        <v>71</v>
      </c>
      <c r="E252" s="30" t="s">
        <v>1743</v>
      </c>
      <c r="F252" s="30" t="s">
        <v>71</v>
      </c>
      <c r="G252" s="30" t="s">
        <v>1744</v>
      </c>
      <c r="H252" s="30" t="s">
        <v>680</v>
      </c>
      <c r="I252" s="31">
        <v>0</v>
      </c>
      <c r="J252" s="31">
        <v>0</v>
      </c>
      <c r="K252" s="31">
        <v>0</v>
      </c>
      <c r="L252" s="31"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0</v>
      </c>
      <c r="AC252" s="31">
        <v>0</v>
      </c>
      <c r="AD252" s="32">
        <v>2</v>
      </c>
      <c r="AE252" s="31">
        <v>0</v>
      </c>
      <c r="AF252" s="31">
        <v>0</v>
      </c>
      <c r="AG252" s="31">
        <v>0</v>
      </c>
      <c r="AH252" s="31">
        <v>0</v>
      </c>
      <c r="AI252" s="32">
        <v>2</v>
      </c>
      <c r="AJ252" s="31">
        <v>0</v>
      </c>
      <c r="AK252" s="31">
        <v>0</v>
      </c>
      <c r="AL252" s="31">
        <v>0</v>
      </c>
      <c r="AM252" s="31">
        <v>0</v>
      </c>
      <c r="AN252" s="31">
        <v>0</v>
      </c>
      <c r="AO252" s="31">
        <v>0</v>
      </c>
      <c r="AP252" s="31">
        <v>0</v>
      </c>
      <c r="AQ252" s="31">
        <v>0</v>
      </c>
      <c r="AR252" s="31">
        <v>0</v>
      </c>
      <c r="AS252" s="31">
        <v>0</v>
      </c>
    </row>
    <row r="253" spans="1:45">
      <c r="A253" s="30" t="s">
        <v>676</v>
      </c>
      <c r="B253" s="30" t="s">
        <v>1407</v>
      </c>
      <c r="C253" s="30" t="s">
        <v>677</v>
      </c>
      <c r="D253" s="30" t="s">
        <v>71</v>
      </c>
      <c r="E253" s="30" t="s">
        <v>1745</v>
      </c>
      <c r="F253" s="30" t="s">
        <v>71</v>
      </c>
      <c r="G253" s="30" t="s">
        <v>1746</v>
      </c>
      <c r="H253" s="30" t="s">
        <v>680</v>
      </c>
      <c r="I253" s="31">
        <v>0</v>
      </c>
      <c r="J253" s="32">
        <v>2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2">
        <v>1</v>
      </c>
      <c r="R253" s="31">
        <v>0</v>
      </c>
      <c r="S253" s="31">
        <v>0</v>
      </c>
      <c r="T253" s="31">
        <v>0</v>
      </c>
      <c r="U253" s="32">
        <v>1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  <c r="AC253" s="31">
        <v>0</v>
      </c>
      <c r="AD253" s="31">
        <v>0</v>
      </c>
      <c r="AE253" s="31">
        <v>0</v>
      </c>
      <c r="AF253" s="31">
        <v>0</v>
      </c>
      <c r="AG253" s="31">
        <v>0</v>
      </c>
      <c r="AH253" s="32">
        <v>2</v>
      </c>
      <c r="AI253" s="31">
        <v>0</v>
      </c>
      <c r="AJ253" s="31">
        <v>0</v>
      </c>
      <c r="AK253" s="31">
        <v>0</v>
      </c>
      <c r="AL253" s="31">
        <v>0</v>
      </c>
      <c r="AM253" s="31">
        <v>0</v>
      </c>
      <c r="AN253" s="31">
        <v>0</v>
      </c>
      <c r="AO253" s="31">
        <v>0</v>
      </c>
      <c r="AP253" s="32">
        <v>1</v>
      </c>
      <c r="AQ253" s="31">
        <v>0</v>
      </c>
      <c r="AR253" s="31">
        <v>0</v>
      </c>
      <c r="AS253" s="31">
        <v>0</v>
      </c>
    </row>
    <row r="254" spans="1:45">
      <c r="A254" s="30" t="s">
        <v>676</v>
      </c>
      <c r="B254" s="30" t="s">
        <v>1407</v>
      </c>
      <c r="C254" s="30" t="s">
        <v>677</v>
      </c>
      <c r="D254" s="30" t="s">
        <v>71</v>
      </c>
      <c r="E254" s="30" t="s">
        <v>1747</v>
      </c>
      <c r="F254" s="30" t="s">
        <v>71</v>
      </c>
      <c r="G254" s="30" t="s">
        <v>1748</v>
      </c>
      <c r="H254" s="30" t="s">
        <v>680</v>
      </c>
      <c r="I254" s="31">
        <v>0</v>
      </c>
      <c r="J254" s="31">
        <v>0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2">
        <v>1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0</v>
      </c>
      <c r="AC254" s="31">
        <v>0</v>
      </c>
      <c r="AD254" s="31">
        <v>0</v>
      </c>
      <c r="AE254" s="31">
        <v>0</v>
      </c>
      <c r="AF254" s="31">
        <v>0</v>
      </c>
      <c r="AG254" s="31">
        <v>0</v>
      </c>
      <c r="AH254" s="31">
        <v>0</v>
      </c>
      <c r="AI254" s="31">
        <v>0</v>
      </c>
      <c r="AJ254" s="31">
        <v>0</v>
      </c>
      <c r="AK254" s="31">
        <v>0</v>
      </c>
      <c r="AL254" s="31">
        <v>0</v>
      </c>
      <c r="AM254" s="31">
        <v>0</v>
      </c>
      <c r="AN254" s="31">
        <v>0</v>
      </c>
      <c r="AO254" s="31">
        <v>0</v>
      </c>
      <c r="AP254" s="31">
        <v>0</v>
      </c>
      <c r="AQ254" s="31">
        <v>0</v>
      </c>
      <c r="AR254" s="31">
        <v>0</v>
      </c>
      <c r="AS254" s="31">
        <v>0</v>
      </c>
    </row>
    <row r="255" spans="1:45">
      <c r="A255" s="30" t="s">
        <v>676</v>
      </c>
      <c r="B255" s="30" t="s">
        <v>1407</v>
      </c>
      <c r="C255" s="30" t="s">
        <v>677</v>
      </c>
      <c r="D255" s="30" t="s">
        <v>71</v>
      </c>
      <c r="E255" s="30" t="s">
        <v>1749</v>
      </c>
      <c r="F255" s="30" t="s">
        <v>71</v>
      </c>
      <c r="G255" s="30" t="s">
        <v>1750</v>
      </c>
      <c r="H255" s="30" t="s">
        <v>680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2">
        <v>1</v>
      </c>
      <c r="Y255" s="31">
        <v>0</v>
      </c>
      <c r="Z255" s="32">
        <v>2</v>
      </c>
      <c r="AA255" s="32">
        <v>1</v>
      </c>
      <c r="AB255" s="31">
        <v>0</v>
      </c>
      <c r="AC255" s="31">
        <v>0</v>
      </c>
      <c r="AD255" s="31">
        <v>0</v>
      </c>
      <c r="AE255" s="31">
        <v>0</v>
      </c>
      <c r="AF255" s="31">
        <v>0</v>
      </c>
      <c r="AG255" s="32">
        <v>1</v>
      </c>
      <c r="AH255" s="31">
        <v>0</v>
      </c>
      <c r="AI255" s="31">
        <v>0</v>
      </c>
      <c r="AJ255" s="31">
        <v>0</v>
      </c>
      <c r="AK255" s="31">
        <v>0</v>
      </c>
      <c r="AL255" s="31">
        <v>0</v>
      </c>
      <c r="AM255" s="31">
        <v>0</v>
      </c>
      <c r="AN255" s="31">
        <v>0</v>
      </c>
      <c r="AO255" s="31">
        <v>0</v>
      </c>
      <c r="AP255" s="31">
        <v>0</v>
      </c>
      <c r="AQ255" s="31">
        <v>0</v>
      </c>
      <c r="AR255" s="31">
        <v>0</v>
      </c>
      <c r="AS255" s="31">
        <v>0</v>
      </c>
    </row>
    <row r="256" spans="1:45">
      <c r="A256" s="30" t="s">
        <v>676</v>
      </c>
      <c r="B256" s="30" t="s">
        <v>1407</v>
      </c>
      <c r="C256" s="30" t="s">
        <v>677</v>
      </c>
      <c r="D256" s="30" t="s">
        <v>71</v>
      </c>
      <c r="E256" s="30" t="s">
        <v>1751</v>
      </c>
      <c r="F256" s="30" t="s">
        <v>71</v>
      </c>
      <c r="G256" s="30" t="s">
        <v>562</v>
      </c>
      <c r="H256" s="30" t="s">
        <v>680</v>
      </c>
      <c r="I256" s="31">
        <v>0</v>
      </c>
      <c r="J256" s="31">
        <v>0</v>
      </c>
      <c r="K256" s="31">
        <v>0</v>
      </c>
      <c r="L256" s="31">
        <v>0</v>
      </c>
      <c r="M256" s="31">
        <v>0</v>
      </c>
      <c r="N256" s="32">
        <v>1</v>
      </c>
      <c r="O256" s="32">
        <v>1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0</v>
      </c>
      <c r="AC256" s="31">
        <v>0</v>
      </c>
      <c r="AD256" s="31">
        <v>0</v>
      </c>
      <c r="AE256" s="31">
        <v>0</v>
      </c>
      <c r="AF256" s="31">
        <v>0</v>
      </c>
      <c r="AG256" s="31">
        <v>0</v>
      </c>
      <c r="AH256" s="31">
        <v>0</v>
      </c>
      <c r="AI256" s="31">
        <v>0</v>
      </c>
      <c r="AJ256" s="31">
        <v>0</v>
      </c>
      <c r="AK256" s="31">
        <v>0</v>
      </c>
      <c r="AL256" s="31">
        <v>0</v>
      </c>
      <c r="AM256" s="31">
        <v>0</v>
      </c>
      <c r="AN256" s="31">
        <v>0</v>
      </c>
      <c r="AO256" s="31">
        <v>0</v>
      </c>
      <c r="AP256" s="31">
        <v>0</v>
      </c>
      <c r="AQ256" s="31">
        <v>0</v>
      </c>
      <c r="AR256" s="31">
        <v>0</v>
      </c>
      <c r="AS256" s="31">
        <v>0</v>
      </c>
    </row>
    <row r="257" spans="1:45">
      <c r="A257" s="30" t="s">
        <v>676</v>
      </c>
      <c r="B257" s="30" t="s">
        <v>1407</v>
      </c>
      <c r="C257" s="30" t="s">
        <v>677</v>
      </c>
      <c r="D257" s="30" t="s">
        <v>71</v>
      </c>
      <c r="E257" s="30" t="s">
        <v>1752</v>
      </c>
      <c r="F257" s="30" t="s">
        <v>71</v>
      </c>
      <c r="G257" s="30" t="s">
        <v>1753</v>
      </c>
      <c r="H257" s="30" t="s">
        <v>680</v>
      </c>
      <c r="I257" s="31">
        <v>0</v>
      </c>
      <c r="J257" s="31">
        <v>0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1">
        <v>0</v>
      </c>
      <c r="AC257" s="31">
        <v>0</v>
      </c>
      <c r="AD257" s="31">
        <v>0</v>
      </c>
      <c r="AE257" s="31">
        <v>0</v>
      </c>
      <c r="AF257" s="31">
        <v>0</v>
      </c>
      <c r="AG257" s="31">
        <v>0</v>
      </c>
      <c r="AH257" s="31">
        <v>0</v>
      </c>
      <c r="AI257" s="31">
        <v>0</v>
      </c>
      <c r="AJ257" s="31">
        <v>0</v>
      </c>
      <c r="AK257" s="31">
        <v>0</v>
      </c>
      <c r="AL257" s="31">
        <v>0</v>
      </c>
      <c r="AM257" s="31">
        <v>0</v>
      </c>
      <c r="AN257" s="31">
        <v>0</v>
      </c>
      <c r="AO257" s="31">
        <v>0</v>
      </c>
      <c r="AP257" s="32">
        <v>1</v>
      </c>
      <c r="AQ257" s="31">
        <v>0</v>
      </c>
      <c r="AR257" s="31">
        <v>0</v>
      </c>
      <c r="AS257" s="31">
        <v>0</v>
      </c>
    </row>
    <row r="258" spans="1:45">
      <c r="A258" s="30" t="s">
        <v>676</v>
      </c>
      <c r="B258" s="30" t="s">
        <v>1407</v>
      </c>
      <c r="C258" s="30" t="s">
        <v>677</v>
      </c>
      <c r="D258" s="30" t="s">
        <v>71</v>
      </c>
      <c r="E258" s="30" t="s">
        <v>1754</v>
      </c>
      <c r="F258" s="30" t="s">
        <v>71</v>
      </c>
      <c r="G258" s="30" t="s">
        <v>1755</v>
      </c>
      <c r="H258" s="30" t="s">
        <v>680</v>
      </c>
      <c r="I258" s="31">
        <v>0</v>
      </c>
      <c r="J258" s="31">
        <v>0</v>
      </c>
      <c r="K258" s="31">
        <v>0</v>
      </c>
      <c r="L258" s="31">
        <v>0</v>
      </c>
      <c r="M258" s="31">
        <v>0</v>
      </c>
      <c r="N258" s="31">
        <v>0</v>
      </c>
      <c r="O258" s="31">
        <v>0</v>
      </c>
      <c r="P258" s="31">
        <v>0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0</v>
      </c>
      <c r="AC258" s="31">
        <v>0</v>
      </c>
      <c r="AD258" s="31">
        <v>0</v>
      </c>
      <c r="AE258" s="31">
        <v>0</v>
      </c>
      <c r="AF258" s="31">
        <v>0</v>
      </c>
      <c r="AG258" s="31">
        <v>0</v>
      </c>
      <c r="AH258" s="31">
        <v>0</v>
      </c>
      <c r="AI258" s="31">
        <v>0</v>
      </c>
      <c r="AJ258" s="31">
        <v>0</v>
      </c>
      <c r="AK258" s="31">
        <v>0</v>
      </c>
      <c r="AL258" s="31">
        <v>0</v>
      </c>
      <c r="AM258" s="31">
        <v>0</v>
      </c>
      <c r="AN258" s="31">
        <v>0</v>
      </c>
      <c r="AO258" s="31">
        <v>0</v>
      </c>
      <c r="AP258" s="31">
        <v>0</v>
      </c>
      <c r="AQ258" s="31">
        <v>0</v>
      </c>
      <c r="AR258" s="31">
        <v>0</v>
      </c>
      <c r="AS258" s="32">
        <v>5</v>
      </c>
    </row>
    <row r="259" spans="1:45">
      <c r="A259" s="30" t="s">
        <v>676</v>
      </c>
      <c r="B259" s="30" t="s">
        <v>1407</v>
      </c>
      <c r="C259" s="30" t="s">
        <v>677</v>
      </c>
      <c r="D259" s="30" t="s">
        <v>71</v>
      </c>
      <c r="E259" s="30" t="s">
        <v>1756</v>
      </c>
      <c r="F259" s="30" t="s">
        <v>71</v>
      </c>
      <c r="G259" s="30" t="s">
        <v>556</v>
      </c>
      <c r="H259" s="30" t="s">
        <v>680</v>
      </c>
      <c r="I259" s="32">
        <v>3</v>
      </c>
      <c r="J259" s="32">
        <v>2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0</v>
      </c>
      <c r="AC259" s="31">
        <v>0</v>
      </c>
      <c r="AD259" s="31">
        <v>0</v>
      </c>
      <c r="AE259" s="31">
        <v>0</v>
      </c>
      <c r="AF259" s="31">
        <v>0</v>
      </c>
      <c r="AG259" s="32">
        <v>1</v>
      </c>
      <c r="AH259" s="32">
        <v>1</v>
      </c>
      <c r="AI259" s="32">
        <v>1</v>
      </c>
      <c r="AJ259" s="31">
        <v>0</v>
      </c>
      <c r="AK259" s="31">
        <v>0</v>
      </c>
      <c r="AL259" s="31">
        <v>0</v>
      </c>
      <c r="AM259" s="31">
        <v>0</v>
      </c>
      <c r="AN259" s="31">
        <v>0</v>
      </c>
      <c r="AO259" s="31">
        <v>0</v>
      </c>
      <c r="AP259" s="31">
        <v>0</v>
      </c>
      <c r="AQ259" s="32">
        <v>2</v>
      </c>
      <c r="AR259" s="31">
        <v>0</v>
      </c>
      <c r="AS259" s="31">
        <v>0</v>
      </c>
    </row>
    <row r="260" spans="1:45">
      <c r="A260" s="30" t="s">
        <v>676</v>
      </c>
      <c r="B260" s="30" t="s">
        <v>1407</v>
      </c>
      <c r="C260" s="30" t="s">
        <v>677</v>
      </c>
      <c r="D260" s="30" t="s">
        <v>71</v>
      </c>
      <c r="E260" s="30" t="s">
        <v>1757</v>
      </c>
      <c r="F260" s="30" t="s">
        <v>71</v>
      </c>
      <c r="G260" s="30" t="s">
        <v>557</v>
      </c>
      <c r="H260" s="30" t="s">
        <v>680</v>
      </c>
      <c r="I260" s="32">
        <v>71</v>
      </c>
      <c r="J260" s="32">
        <v>44</v>
      </c>
      <c r="K260" s="32">
        <v>39</v>
      </c>
      <c r="L260" s="32">
        <v>29</v>
      </c>
      <c r="M260" s="32">
        <v>20</v>
      </c>
      <c r="N260" s="32">
        <v>48</v>
      </c>
      <c r="O260" s="32">
        <v>76</v>
      </c>
      <c r="P260" s="32">
        <v>53</v>
      </c>
      <c r="Q260" s="32">
        <v>55</v>
      </c>
      <c r="R260" s="32">
        <v>47</v>
      </c>
      <c r="S260" s="32">
        <v>37</v>
      </c>
      <c r="T260" s="32">
        <v>23</v>
      </c>
      <c r="U260" s="32">
        <v>29</v>
      </c>
      <c r="V260" s="32">
        <v>6</v>
      </c>
      <c r="W260" s="32">
        <v>12</v>
      </c>
      <c r="X260" s="32">
        <v>7</v>
      </c>
      <c r="Y260" s="32">
        <v>4</v>
      </c>
      <c r="Z260" s="32">
        <v>4</v>
      </c>
      <c r="AA260" s="32">
        <v>9</v>
      </c>
      <c r="AB260" s="32">
        <v>3</v>
      </c>
      <c r="AC260" s="32">
        <v>2</v>
      </c>
      <c r="AD260" s="32">
        <v>8</v>
      </c>
      <c r="AE260" s="32">
        <v>1</v>
      </c>
      <c r="AF260" s="32">
        <v>2</v>
      </c>
      <c r="AG260" s="32">
        <v>1</v>
      </c>
      <c r="AH260" s="32">
        <v>3</v>
      </c>
      <c r="AI260" s="32">
        <v>1</v>
      </c>
      <c r="AJ260" s="32">
        <v>6</v>
      </c>
      <c r="AK260" s="32">
        <v>0</v>
      </c>
      <c r="AL260" s="32">
        <v>1</v>
      </c>
      <c r="AM260" s="32">
        <v>1</v>
      </c>
      <c r="AN260" s="31">
        <v>0</v>
      </c>
      <c r="AO260" s="31">
        <v>0</v>
      </c>
      <c r="AP260" s="32">
        <v>3</v>
      </c>
      <c r="AQ260" s="32">
        <v>2</v>
      </c>
      <c r="AR260" s="31">
        <v>0</v>
      </c>
      <c r="AS260" s="31">
        <v>0</v>
      </c>
    </row>
    <row r="261" spans="1:45">
      <c r="A261" s="30" t="s">
        <v>676</v>
      </c>
      <c r="B261" s="30" t="s">
        <v>1407</v>
      </c>
      <c r="C261" s="30" t="s">
        <v>677</v>
      </c>
      <c r="D261" s="30" t="s">
        <v>71</v>
      </c>
      <c r="E261" s="30" t="s">
        <v>1758</v>
      </c>
      <c r="F261" s="30" t="s">
        <v>71</v>
      </c>
      <c r="G261" s="30" t="s">
        <v>1759</v>
      </c>
      <c r="H261" s="30" t="s">
        <v>680</v>
      </c>
      <c r="I261" s="32">
        <v>6</v>
      </c>
      <c r="J261" s="32">
        <v>4</v>
      </c>
      <c r="K261" s="32">
        <v>2</v>
      </c>
      <c r="L261" s="32">
        <v>3</v>
      </c>
      <c r="M261" s="32">
        <v>5</v>
      </c>
      <c r="N261" s="31">
        <v>0</v>
      </c>
      <c r="O261" s="31">
        <v>0</v>
      </c>
      <c r="P261" s="32">
        <v>1</v>
      </c>
      <c r="Q261" s="32">
        <v>1</v>
      </c>
      <c r="R261" s="32">
        <v>1</v>
      </c>
      <c r="S261" s="31">
        <v>0</v>
      </c>
      <c r="T261" s="31">
        <v>0</v>
      </c>
      <c r="U261" s="32">
        <v>3</v>
      </c>
      <c r="V261" s="31">
        <v>0</v>
      </c>
      <c r="W261" s="32">
        <v>1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  <c r="AC261" s="31">
        <v>0</v>
      </c>
      <c r="AD261" s="31">
        <v>0</v>
      </c>
      <c r="AE261" s="31">
        <v>0</v>
      </c>
      <c r="AF261" s="31">
        <v>0</v>
      </c>
      <c r="AG261" s="31">
        <v>0</v>
      </c>
      <c r="AH261" s="31">
        <v>0</v>
      </c>
      <c r="AI261" s="31">
        <v>0</v>
      </c>
      <c r="AJ261" s="31">
        <v>0</v>
      </c>
      <c r="AK261" s="31">
        <v>0</v>
      </c>
      <c r="AL261" s="31">
        <v>0</v>
      </c>
      <c r="AM261" s="31">
        <v>0</v>
      </c>
      <c r="AN261" s="31">
        <v>0</v>
      </c>
      <c r="AO261" s="31">
        <v>0</v>
      </c>
      <c r="AP261" s="31">
        <v>0</v>
      </c>
      <c r="AQ261" s="31">
        <v>0</v>
      </c>
      <c r="AR261" s="31">
        <v>0</v>
      </c>
      <c r="AS261" s="31">
        <v>0</v>
      </c>
    </row>
    <row r="262" spans="1:45">
      <c r="A262" s="30" t="s">
        <v>676</v>
      </c>
      <c r="B262" s="30" t="s">
        <v>1407</v>
      </c>
      <c r="C262" s="30" t="s">
        <v>677</v>
      </c>
      <c r="D262" s="30" t="s">
        <v>71</v>
      </c>
      <c r="E262" s="30" t="s">
        <v>1760</v>
      </c>
      <c r="F262" s="30" t="s">
        <v>71</v>
      </c>
      <c r="G262" s="30" t="s">
        <v>558</v>
      </c>
      <c r="H262" s="30" t="s">
        <v>680</v>
      </c>
      <c r="I262" s="32">
        <v>181</v>
      </c>
      <c r="J262" s="32">
        <v>94</v>
      </c>
      <c r="K262" s="32">
        <v>136</v>
      </c>
      <c r="L262" s="32">
        <v>123</v>
      </c>
      <c r="M262" s="32">
        <v>87</v>
      </c>
      <c r="N262" s="32">
        <v>112</v>
      </c>
      <c r="O262" s="32">
        <v>85</v>
      </c>
      <c r="P262" s="32">
        <v>82</v>
      </c>
      <c r="Q262" s="32">
        <v>62</v>
      </c>
      <c r="R262" s="32">
        <v>58</v>
      </c>
      <c r="S262" s="32">
        <v>35</v>
      </c>
      <c r="T262" s="32">
        <v>25</v>
      </c>
      <c r="U262" s="32">
        <v>25</v>
      </c>
      <c r="V262" s="32">
        <v>19</v>
      </c>
      <c r="W262" s="32">
        <v>7</v>
      </c>
      <c r="X262" s="32">
        <v>16</v>
      </c>
      <c r="Y262" s="32">
        <v>7</v>
      </c>
      <c r="Z262" s="32">
        <v>7</v>
      </c>
      <c r="AA262" s="32">
        <v>8</v>
      </c>
      <c r="AB262" s="32">
        <v>5</v>
      </c>
      <c r="AC262" s="32">
        <v>9</v>
      </c>
      <c r="AD262" s="32">
        <v>5</v>
      </c>
      <c r="AE262" s="32">
        <v>6</v>
      </c>
      <c r="AF262" s="32">
        <v>7</v>
      </c>
      <c r="AG262" s="32">
        <v>7</v>
      </c>
      <c r="AH262" s="32">
        <v>1</v>
      </c>
      <c r="AI262" s="31">
        <v>0</v>
      </c>
      <c r="AJ262" s="32">
        <v>6</v>
      </c>
      <c r="AK262" s="31">
        <v>0</v>
      </c>
      <c r="AL262" s="32">
        <v>2</v>
      </c>
      <c r="AM262" s="31">
        <v>0</v>
      </c>
      <c r="AN262" s="31">
        <v>0</v>
      </c>
      <c r="AO262" s="32">
        <v>1</v>
      </c>
      <c r="AP262" s="32">
        <v>3</v>
      </c>
      <c r="AQ262" s="31">
        <v>0</v>
      </c>
      <c r="AR262" s="31">
        <v>0</v>
      </c>
      <c r="AS262" s="31">
        <v>0</v>
      </c>
    </row>
    <row r="263" spans="1:45">
      <c r="A263" s="30" t="s">
        <v>676</v>
      </c>
      <c r="B263" s="30" t="s">
        <v>1407</v>
      </c>
      <c r="C263" s="30" t="s">
        <v>677</v>
      </c>
      <c r="D263" s="30" t="s">
        <v>71</v>
      </c>
      <c r="E263" s="30" t="s">
        <v>1761</v>
      </c>
      <c r="F263" s="30" t="s">
        <v>71</v>
      </c>
      <c r="G263" s="30" t="s">
        <v>559</v>
      </c>
      <c r="H263" s="30" t="s">
        <v>680</v>
      </c>
      <c r="I263" s="32">
        <v>107</v>
      </c>
      <c r="J263" s="32">
        <v>57</v>
      </c>
      <c r="K263" s="32">
        <v>79</v>
      </c>
      <c r="L263" s="32">
        <v>45</v>
      </c>
      <c r="M263" s="32">
        <v>18</v>
      </c>
      <c r="N263" s="32">
        <v>27</v>
      </c>
      <c r="O263" s="32">
        <v>30</v>
      </c>
      <c r="P263" s="32">
        <v>22</v>
      </c>
      <c r="Q263" s="32">
        <v>10</v>
      </c>
      <c r="R263" s="32">
        <v>26</v>
      </c>
      <c r="S263" s="32">
        <v>15</v>
      </c>
      <c r="T263" s="32">
        <v>9</v>
      </c>
      <c r="U263" s="32">
        <v>10</v>
      </c>
      <c r="V263" s="32">
        <v>7</v>
      </c>
      <c r="W263" s="32">
        <v>11</v>
      </c>
      <c r="X263" s="32">
        <v>12</v>
      </c>
      <c r="Y263" s="32">
        <v>11</v>
      </c>
      <c r="Z263" s="32">
        <v>9.7360000000000007</v>
      </c>
      <c r="AA263" s="32">
        <v>5</v>
      </c>
      <c r="AB263" s="32">
        <v>10</v>
      </c>
      <c r="AC263" s="32">
        <v>7</v>
      </c>
      <c r="AD263" s="32">
        <v>11</v>
      </c>
      <c r="AE263" s="32">
        <v>11</v>
      </c>
      <c r="AF263" s="32">
        <v>11</v>
      </c>
      <c r="AG263" s="32">
        <v>14</v>
      </c>
      <c r="AH263" s="32">
        <v>6</v>
      </c>
      <c r="AI263" s="32">
        <v>4</v>
      </c>
      <c r="AJ263" s="32">
        <v>7</v>
      </c>
      <c r="AK263" s="32">
        <v>2</v>
      </c>
      <c r="AL263" s="32">
        <v>1</v>
      </c>
      <c r="AM263" s="32">
        <v>1</v>
      </c>
      <c r="AN263" s="32">
        <v>5</v>
      </c>
      <c r="AO263" s="32">
        <v>13</v>
      </c>
      <c r="AP263" s="32">
        <v>1</v>
      </c>
      <c r="AQ263" s="31">
        <v>0</v>
      </c>
      <c r="AR263" s="31">
        <v>0</v>
      </c>
      <c r="AS263" s="31">
        <v>0</v>
      </c>
    </row>
    <row r="264" spans="1:45">
      <c r="A264" s="30" t="s">
        <v>676</v>
      </c>
      <c r="B264" s="30" t="s">
        <v>1407</v>
      </c>
      <c r="C264" s="30" t="s">
        <v>677</v>
      </c>
      <c r="D264" s="30" t="s">
        <v>71</v>
      </c>
      <c r="E264" s="30" t="s">
        <v>1762</v>
      </c>
      <c r="F264" s="30" t="s">
        <v>71</v>
      </c>
      <c r="G264" s="30" t="s">
        <v>1763</v>
      </c>
      <c r="H264" s="30" t="s">
        <v>680</v>
      </c>
      <c r="I264" s="32">
        <v>22</v>
      </c>
      <c r="J264" s="32">
        <v>5</v>
      </c>
      <c r="K264" s="32">
        <v>6</v>
      </c>
      <c r="L264" s="32">
        <v>15</v>
      </c>
      <c r="M264" s="32">
        <v>8</v>
      </c>
      <c r="N264" s="32">
        <v>4</v>
      </c>
      <c r="O264" s="32">
        <v>3</v>
      </c>
      <c r="P264" s="32">
        <v>1</v>
      </c>
      <c r="Q264" s="32">
        <v>4</v>
      </c>
      <c r="R264" s="32">
        <v>3</v>
      </c>
      <c r="S264" s="32">
        <v>2</v>
      </c>
      <c r="T264" s="32">
        <v>3</v>
      </c>
      <c r="U264" s="32">
        <v>3</v>
      </c>
      <c r="V264" s="32">
        <v>2</v>
      </c>
      <c r="W264" s="32">
        <v>3</v>
      </c>
      <c r="X264" s="31">
        <v>0</v>
      </c>
      <c r="Y264" s="32">
        <v>1</v>
      </c>
      <c r="Z264" s="31">
        <v>0</v>
      </c>
      <c r="AA264" s="32">
        <v>3</v>
      </c>
      <c r="AB264" s="32">
        <v>1</v>
      </c>
      <c r="AC264" s="32">
        <v>1</v>
      </c>
      <c r="AD264" s="31">
        <v>0</v>
      </c>
      <c r="AE264" s="31">
        <v>0</v>
      </c>
      <c r="AF264" s="31">
        <v>0</v>
      </c>
      <c r="AG264" s="31">
        <v>0</v>
      </c>
      <c r="AH264" s="31">
        <v>0</v>
      </c>
      <c r="AI264" s="31">
        <v>0</v>
      </c>
      <c r="AJ264" s="31">
        <v>0</v>
      </c>
      <c r="AK264" s="31">
        <v>0</v>
      </c>
      <c r="AL264" s="31">
        <v>0</v>
      </c>
      <c r="AM264" s="31">
        <v>0</v>
      </c>
      <c r="AN264" s="31">
        <v>0</v>
      </c>
      <c r="AO264" s="31">
        <v>0</v>
      </c>
      <c r="AP264" s="31">
        <v>0</v>
      </c>
      <c r="AQ264" s="31">
        <v>0</v>
      </c>
      <c r="AR264" s="31">
        <v>0</v>
      </c>
      <c r="AS264" s="31">
        <v>0</v>
      </c>
    </row>
    <row r="265" spans="1:45">
      <c r="A265" s="30" t="s">
        <v>676</v>
      </c>
      <c r="B265" s="30" t="s">
        <v>1407</v>
      </c>
      <c r="C265" s="30" t="s">
        <v>677</v>
      </c>
      <c r="D265" s="30" t="s">
        <v>71</v>
      </c>
      <c r="E265" s="30" t="s">
        <v>1764</v>
      </c>
      <c r="F265" s="30" t="s">
        <v>71</v>
      </c>
      <c r="G265" s="30" t="s">
        <v>560</v>
      </c>
      <c r="H265" s="30" t="s">
        <v>680</v>
      </c>
      <c r="I265" s="32">
        <v>75</v>
      </c>
      <c r="J265" s="32">
        <v>48</v>
      </c>
      <c r="K265" s="32">
        <v>38</v>
      </c>
      <c r="L265" s="32">
        <v>20</v>
      </c>
      <c r="M265" s="32">
        <v>15</v>
      </c>
      <c r="N265" s="32">
        <v>53</v>
      </c>
      <c r="O265" s="32">
        <v>71</v>
      </c>
      <c r="P265" s="32">
        <v>60</v>
      </c>
      <c r="Q265" s="32">
        <v>55</v>
      </c>
      <c r="R265" s="32">
        <v>58</v>
      </c>
      <c r="S265" s="32">
        <v>35</v>
      </c>
      <c r="T265" s="32">
        <v>24</v>
      </c>
      <c r="U265" s="32">
        <v>27</v>
      </c>
      <c r="V265" s="32">
        <v>9</v>
      </c>
      <c r="W265" s="32">
        <v>16</v>
      </c>
      <c r="X265" s="32">
        <v>6</v>
      </c>
      <c r="Y265" s="32">
        <v>5</v>
      </c>
      <c r="Z265" s="32">
        <v>6</v>
      </c>
      <c r="AA265" s="32">
        <v>12.227600000000001</v>
      </c>
      <c r="AB265" s="32">
        <v>5</v>
      </c>
      <c r="AC265" s="32">
        <v>2</v>
      </c>
      <c r="AD265" s="32">
        <v>6</v>
      </c>
      <c r="AE265" s="32">
        <v>5</v>
      </c>
      <c r="AF265" s="32">
        <v>13</v>
      </c>
      <c r="AG265" s="32">
        <v>6</v>
      </c>
      <c r="AH265" s="32">
        <v>2</v>
      </c>
      <c r="AI265" s="32">
        <v>2</v>
      </c>
      <c r="AJ265" s="31">
        <v>0</v>
      </c>
      <c r="AK265" s="31">
        <v>0</v>
      </c>
      <c r="AL265" s="32">
        <v>2</v>
      </c>
      <c r="AM265" s="31">
        <v>0</v>
      </c>
      <c r="AN265" s="31">
        <v>0</v>
      </c>
      <c r="AO265" s="31">
        <v>0</v>
      </c>
      <c r="AP265" s="31">
        <v>0</v>
      </c>
      <c r="AQ265" s="32">
        <v>1</v>
      </c>
      <c r="AR265" s="32">
        <v>2</v>
      </c>
      <c r="AS265" s="31">
        <v>0</v>
      </c>
    </row>
    <row r="266" spans="1:45">
      <c r="A266" s="30" t="s">
        <v>676</v>
      </c>
      <c r="B266" s="30" t="s">
        <v>1407</v>
      </c>
      <c r="C266" s="30" t="s">
        <v>677</v>
      </c>
      <c r="D266" s="30" t="s">
        <v>71</v>
      </c>
      <c r="E266" s="30" t="s">
        <v>1765</v>
      </c>
      <c r="F266" s="30" t="s">
        <v>71</v>
      </c>
      <c r="G266" s="30" t="s">
        <v>561</v>
      </c>
      <c r="H266" s="30" t="s">
        <v>680</v>
      </c>
      <c r="I266" s="32">
        <v>136</v>
      </c>
      <c r="J266" s="32">
        <v>69</v>
      </c>
      <c r="K266" s="32">
        <v>117</v>
      </c>
      <c r="L266" s="32">
        <v>69</v>
      </c>
      <c r="M266" s="32">
        <v>42</v>
      </c>
      <c r="N266" s="32">
        <v>69</v>
      </c>
      <c r="O266" s="32">
        <v>86</v>
      </c>
      <c r="P266" s="32">
        <v>67</v>
      </c>
      <c r="Q266" s="32">
        <v>87</v>
      </c>
      <c r="R266" s="32">
        <v>84</v>
      </c>
      <c r="S266" s="32">
        <v>48</v>
      </c>
      <c r="T266" s="32">
        <v>41</v>
      </c>
      <c r="U266" s="32">
        <v>41</v>
      </c>
      <c r="V266" s="32">
        <v>22</v>
      </c>
      <c r="W266" s="32">
        <v>25</v>
      </c>
      <c r="X266" s="32">
        <v>32</v>
      </c>
      <c r="Y266" s="32">
        <v>21</v>
      </c>
      <c r="Z266" s="32">
        <v>12</v>
      </c>
      <c r="AA266" s="32">
        <v>20</v>
      </c>
      <c r="AB266" s="32">
        <v>15</v>
      </c>
      <c r="AC266" s="32">
        <v>18</v>
      </c>
      <c r="AD266" s="32">
        <v>19</v>
      </c>
      <c r="AE266" s="32">
        <v>10</v>
      </c>
      <c r="AF266" s="32">
        <v>5</v>
      </c>
      <c r="AG266" s="32">
        <v>5</v>
      </c>
      <c r="AH266" s="32">
        <v>6</v>
      </c>
      <c r="AI266" s="32">
        <v>4</v>
      </c>
      <c r="AJ266" s="32">
        <v>4</v>
      </c>
      <c r="AK266" s="32">
        <v>3</v>
      </c>
      <c r="AL266" s="32">
        <v>3</v>
      </c>
      <c r="AM266" s="32">
        <v>3</v>
      </c>
      <c r="AN266" s="32">
        <v>2</v>
      </c>
      <c r="AO266" s="32">
        <v>1</v>
      </c>
      <c r="AP266" s="32">
        <v>3</v>
      </c>
      <c r="AQ266" s="31">
        <v>0</v>
      </c>
      <c r="AR266" s="31">
        <v>0</v>
      </c>
      <c r="AS266" s="31">
        <v>0</v>
      </c>
    </row>
    <row r="267" spans="1:45">
      <c r="A267" s="30" t="s">
        <v>676</v>
      </c>
      <c r="B267" s="30" t="s">
        <v>1407</v>
      </c>
      <c r="C267" s="30" t="s">
        <v>677</v>
      </c>
      <c r="D267" s="30" t="s">
        <v>71</v>
      </c>
      <c r="E267" s="30" t="s">
        <v>1766</v>
      </c>
      <c r="F267" s="30" t="s">
        <v>71</v>
      </c>
      <c r="G267" s="30" t="s">
        <v>562</v>
      </c>
      <c r="H267" s="30" t="s">
        <v>680</v>
      </c>
      <c r="I267" s="32">
        <v>144</v>
      </c>
      <c r="J267" s="32">
        <v>64</v>
      </c>
      <c r="K267" s="32">
        <v>91</v>
      </c>
      <c r="L267" s="32">
        <v>50</v>
      </c>
      <c r="M267" s="32">
        <v>38</v>
      </c>
      <c r="N267" s="32">
        <v>53</v>
      </c>
      <c r="O267" s="32">
        <v>108</v>
      </c>
      <c r="P267" s="32">
        <v>72</v>
      </c>
      <c r="Q267" s="32">
        <v>66</v>
      </c>
      <c r="R267" s="32">
        <v>57</v>
      </c>
      <c r="S267" s="32">
        <v>39</v>
      </c>
      <c r="T267" s="32">
        <v>46</v>
      </c>
      <c r="U267" s="32">
        <v>20</v>
      </c>
      <c r="V267" s="32">
        <v>8</v>
      </c>
      <c r="W267" s="32">
        <v>9</v>
      </c>
      <c r="X267" s="32">
        <v>9</v>
      </c>
      <c r="Y267" s="32">
        <v>7</v>
      </c>
      <c r="Z267" s="32">
        <v>9</v>
      </c>
      <c r="AA267" s="32">
        <v>5</v>
      </c>
      <c r="AB267" s="32">
        <v>4</v>
      </c>
      <c r="AC267" s="32">
        <v>14</v>
      </c>
      <c r="AD267" s="32">
        <v>13</v>
      </c>
      <c r="AE267" s="32">
        <v>10</v>
      </c>
      <c r="AF267" s="32">
        <v>7</v>
      </c>
      <c r="AG267" s="32">
        <v>6</v>
      </c>
      <c r="AH267" s="31">
        <v>0</v>
      </c>
      <c r="AI267" s="32">
        <v>1</v>
      </c>
      <c r="AJ267" s="32">
        <v>1</v>
      </c>
      <c r="AK267" s="31">
        <v>0</v>
      </c>
      <c r="AL267" s="31">
        <v>0</v>
      </c>
      <c r="AM267" s="32">
        <v>2</v>
      </c>
      <c r="AN267" s="31">
        <v>0</v>
      </c>
      <c r="AO267" s="31">
        <v>0</v>
      </c>
      <c r="AP267" s="32">
        <v>1</v>
      </c>
      <c r="AQ267" s="31">
        <v>0</v>
      </c>
      <c r="AR267" s="31">
        <v>0</v>
      </c>
      <c r="AS267" s="31">
        <v>0</v>
      </c>
    </row>
    <row r="268" spans="1:45">
      <c r="A268" s="30" t="s">
        <v>676</v>
      </c>
      <c r="B268" s="30" t="s">
        <v>1407</v>
      </c>
      <c r="C268" s="30" t="s">
        <v>677</v>
      </c>
      <c r="D268" s="30" t="s">
        <v>71</v>
      </c>
      <c r="E268" s="30" t="s">
        <v>1767</v>
      </c>
      <c r="F268" s="30" t="s">
        <v>71</v>
      </c>
      <c r="G268" s="30" t="s">
        <v>563</v>
      </c>
      <c r="H268" s="30" t="s">
        <v>680</v>
      </c>
      <c r="I268" s="32">
        <v>79</v>
      </c>
      <c r="J268" s="32">
        <v>35</v>
      </c>
      <c r="K268" s="32">
        <v>59</v>
      </c>
      <c r="L268" s="32">
        <v>40</v>
      </c>
      <c r="M268" s="32">
        <v>22</v>
      </c>
      <c r="N268" s="32">
        <v>55</v>
      </c>
      <c r="O268" s="32">
        <v>84</v>
      </c>
      <c r="P268" s="32">
        <v>70</v>
      </c>
      <c r="Q268" s="32">
        <v>62</v>
      </c>
      <c r="R268" s="32">
        <v>71</v>
      </c>
      <c r="S268" s="32">
        <v>61</v>
      </c>
      <c r="T268" s="32">
        <v>41</v>
      </c>
      <c r="U268" s="32">
        <v>43</v>
      </c>
      <c r="V268" s="32">
        <v>20</v>
      </c>
      <c r="W268" s="32">
        <v>12</v>
      </c>
      <c r="X268" s="32">
        <v>22</v>
      </c>
      <c r="Y268" s="32">
        <v>12</v>
      </c>
      <c r="Z268" s="32">
        <v>12.9664</v>
      </c>
      <c r="AA268" s="32">
        <v>13</v>
      </c>
      <c r="AB268" s="32">
        <v>4</v>
      </c>
      <c r="AC268" s="32">
        <v>8</v>
      </c>
      <c r="AD268" s="32">
        <v>8</v>
      </c>
      <c r="AE268" s="32">
        <v>3</v>
      </c>
      <c r="AF268" s="32">
        <v>3</v>
      </c>
      <c r="AG268" s="32">
        <v>2</v>
      </c>
      <c r="AH268" s="32">
        <v>3</v>
      </c>
      <c r="AI268" s="32">
        <v>3</v>
      </c>
      <c r="AJ268" s="32">
        <v>5</v>
      </c>
      <c r="AK268" s="32">
        <v>1</v>
      </c>
      <c r="AL268" s="32">
        <v>3</v>
      </c>
      <c r="AM268" s="32">
        <v>1</v>
      </c>
      <c r="AN268" s="32">
        <v>2</v>
      </c>
      <c r="AO268" s="32">
        <v>1</v>
      </c>
      <c r="AP268" s="32">
        <v>5</v>
      </c>
      <c r="AQ268" s="32">
        <v>2</v>
      </c>
      <c r="AR268" s="31">
        <v>0</v>
      </c>
      <c r="AS268" s="32">
        <v>2</v>
      </c>
    </row>
    <row r="269" spans="1:45">
      <c r="A269" s="30" t="s">
        <v>676</v>
      </c>
      <c r="B269" s="30" t="s">
        <v>1407</v>
      </c>
      <c r="C269" s="30" t="s">
        <v>677</v>
      </c>
      <c r="D269" s="30" t="s">
        <v>71</v>
      </c>
      <c r="E269" s="30" t="s">
        <v>1768</v>
      </c>
      <c r="F269" s="30" t="s">
        <v>72</v>
      </c>
      <c r="G269" s="30" t="s">
        <v>564</v>
      </c>
      <c r="H269" s="30" t="s">
        <v>680</v>
      </c>
      <c r="I269" s="32">
        <v>107</v>
      </c>
      <c r="J269" s="32">
        <v>71</v>
      </c>
      <c r="K269" s="32">
        <v>68</v>
      </c>
      <c r="L269" s="32">
        <v>56</v>
      </c>
      <c r="M269" s="32">
        <v>29</v>
      </c>
      <c r="N269" s="32">
        <v>44</v>
      </c>
      <c r="O269" s="32">
        <v>39</v>
      </c>
      <c r="P269" s="32">
        <v>18</v>
      </c>
      <c r="Q269" s="32">
        <v>13</v>
      </c>
      <c r="R269" s="32">
        <v>27</v>
      </c>
      <c r="S269" s="32">
        <v>13</v>
      </c>
      <c r="T269" s="32">
        <v>6</v>
      </c>
      <c r="U269" s="32">
        <v>9</v>
      </c>
      <c r="V269" s="32">
        <v>7</v>
      </c>
      <c r="W269" s="32">
        <v>8</v>
      </c>
      <c r="X269" s="32">
        <v>7</v>
      </c>
      <c r="Y269" s="32">
        <v>4</v>
      </c>
      <c r="Z269" s="32">
        <v>10.907999999999999</v>
      </c>
      <c r="AA269" s="32">
        <v>6</v>
      </c>
      <c r="AB269" s="32">
        <v>5</v>
      </c>
      <c r="AC269" s="32">
        <v>10</v>
      </c>
      <c r="AD269" s="32">
        <v>4</v>
      </c>
      <c r="AE269" s="32">
        <v>2</v>
      </c>
      <c r="AF269" s="32">
        <v>2</v>
      </c>
      <c r="AG269" s="31">
        <v>0</v>
      </c>
      <c r="AH269" s="32">
        <v>4</v>
      </c>
      <c r="AI269" s="31">
        <v>0</v>
      </c>
      <c r="AJ269" s="31">
        <v>0</v>
      </c>
      <c r="AK269" s="31">
        <v>0</v>
      </c>
      <c r="AL269" s="32">
        <v>2</v>
      </c>
      <c r="AM269" s="32">
        <v>1</v>
      </c>
      <c r="AN269" s="31">
        <v>0</v>
      </c>
      <c r="AO269" s="31">
        <v>0</v>
      </c>
      <c r="AP269" s="31">
        <v>0</v>
      </c>
      <c r="AQ269" s="31">
        <v>0</v>
      </c>
      <c r="AR269" s="31">
        <v>0</v>
      </c>
      <c r="AS269" s="31">
        <v>0</v>
      </c>
    </row>
    <row r="270" spans="1:45">
      <c r="A270" s="30" t="s">
        <v>676</v>
      </c>
      <c r="B270" s="30" t="s">
        <v>1407</v>
      </c>
      <c r="C270" s="30" t="s">
        <v>677</v>
      </c>
      <c r="D270" s="30" t="s">
        <v>71</v>
      </c>
      <c r="E270" s="30" t="s">
        <v>1769</v>
      </c>
      <c r="F270" s="30" t="s">
        <v>72</v>
      </c>
      <c r="G270" s="30" t="s">
        <v>1770</v>
      </c>
      <c r="H270" s="30" t="s">
        <v>680</v>
      </c>
      <c r="I270" s="31">
        <v>0</v>
      </c>
      <c r="J270" s="31">
        <v>0</v>
      </c>
      <c r="K270" s="31">
        <v>0</v>
      </c>
      <c r="L270" s="31">
        <v>0</v>
      </c>
      <c r="M270" s="32">
        <v>1</v>
      </c>
      <c r="N270" s="31">
        <v>0</v>
      </c>
      <c r="O270" s="31">
        <v>0</v>
      </c>
      <c r="P270" s="31">
        <v>0</v>
      </c>
      <c r="Q270" s="31">
        <v>0</v>
      </c>
      <c r="R270" s="31">
        <v>0</v>
      </c>
      <c r="S270" s="32">
        <v>1</v>
      </c>
      <c r="T270" s="31">
        <v>0</v>
      </c>
      <c r="U270" s="32">
        <v>12</v>
      </c>
      <c r="V270" s="32">
        <v>2</v>
      </c>
      <c r="W270" s="32">
        <v>10</v>
      </c>
      <c r="X270" s="32">
        <v>5</v>
      </c>
      <c r="Y270" s="32">
        <v>9</v>
      </c>
      <c r="Z270" s="32">
        <v>12</v>
      </c>
      <c r="AA270" s="32">
        <v>15</v>
      </c>
      <c r="AB270" s="32">
        <v>7</v>
      </c>
      <c r="AC270" s="32">
        <v>6</v>
      </c>
      <c r="AD270" s="32">
        <v>10</v>
      </c>
      <c r="AE270" s="32">
        <v>6</v>
      </c>
      <c r="AF270" s="32">
        <v>4</v>
      </c>
      <c r="AG270" s="32">
        <v>6</v>
      </c>
      <c r="AH270" s="32">
        <v>8</v>
      </c>
      <c r="AI270" s="32">
        <v>5</v>
      </c>
      <c r="AJ270" s="32">
        <v>23</v>
      </c>
      <c r="AK270" s="32">
        <v>8</v>
      </c>
      <c r="AL270" s="32">
        <v>13</v>
      </c>
      <c r="AM270" s="32">
        <v>23</v>
      </c>
      <c r="AN270" s="32">
        <v>21</v>
      </c>
      <c r="AO270" s="32">
        <v>27</v>
      </c>
      <c r="AP270" s="32">
        <v>19</v>
      </c>
      <c r="AQ270" s="32">
        <v>9</v>
      </c>
      <c r="AR270" s="32">
        <v>8</v>
      </c>
      <c r="AS270" s="32">
        <v>18</v>
      </c>
    </row>
    <row r="271" spans="1:45">
      <c r="A271" s="30" t="s">
        <v>676</v>
      </c>
      <c r="B271" s="30" t="s">
        <v>1407</v>
      </c>
      <c r="C271" s="30" t="s">
        <v>677</v>
      </c>
      <c r="D271" s="30" t="s">
        <v>71</v>
      </c>
      <c r="E271" s="30" t="s">
        <v>1771</v>
      </c>
      <c r="F271" s="30" t="s">
        <v>75</v>
      </c>
      <c r="G271" s="30" t="s">
        <v>565</v>
      </c>
      <c r="H271" s="30" t="s">
        <v>680</v>
      </c>
      <c r="I271" s="32">
        <v>591</v>
      </c>
      <c r="J271" s="32">
        <v>457.15469999999999</v>
      </c>
      <c r="K271" s="32">
        <v>470</v>
      </c>
      <c r="L271" s="32">
        <v>536</v>
      </c>
      <c r="M271" s="32">
        <v>451</v>
      </c>
      <c r="N271" s="32">
        <v>408</v>
      </c>
      <c r="O271" s="32">
        <v>589</v>
      </c>
      <c r="P271" s="32">
        <v>398</v>
      </c>
      <c r="Q271" s="32">
        <v>464</v>
      </c>
      <c r="R271" s="32">
        <v>611</v>
      </c>
      <c r="S271" s="32">
        <v>476</v>
      </c>
      <c r="T271" s="32">
        <v>398</v>
      </c>
      <c r="U271" s="32">
        <v>465</v>
      </c>
      <c r="V271" s="32">
        <v>411</v>
      </c>
      <c r="W271" s="32">
        <v>457</v>
      </c>
      <c r="X271" s="32">
        <v>586</v>
      </c>
      <c r="Y271" s="32">
        <v>470</v>
      </c>
      <c r="Z271" s="32">
        <v>465.4778</v>
      </c>
      <c r="AA271" s="32">
        <v>651.75919999999996</v>
      </c>
      <c r="AB271" s="32">
        <v>413</v>
      </c>
      <c r="AC271" s="32">
        <v>465</v>
      </c>
      <c r="AD271" s="32">
        <v>430</v>
      </c>
      <c r="AE271" s="32">
        <v>349</v>
      </c>
      <c r="AF271" s="32">
        <v>318</v>
      </c>
      <c r="AG271" s="32">
        <v>802</v>
      </c>
      <c r="AH271" s="32">
        <v>521</v>
      </c>
      <c r="AI271" s="32">
        <v>308</v>
      </c>
      <c r="AJ271" s="32">
        <v>321</v>
      </c>
      <c r="AK271" s="32">
        <v>636</v>
      </c>
      <c r="AL271" s="32">
        <v>529</v>
      </c>
      <c r="AM271" s="32">
        <v>650</v>
      </c>
      <c r="AN271" s="32">
        <v>398</v>
      </c>
      <c r="AO271" s="32">
        <v>750</v>
      </c>
      <c r="AP271" s="32">
        <v>694</v>
      </c>
      <c r="AQ271" s="32">
        <v>185</v>
      </c>
      <c r="AR271" s="32">
        <v>436</v>
      </c>
      <c r="AS271" s="32">
        <v>748</v>
      </c>
    </row>
    <row r="272" spans="1:45">
      <c r="A272" s="30" t="s">
        <v>676</v>
      </c>
      <c r="B272" s="30" t="s">
        <v>1407</v>
      </c>
      <c r="C272" s="30" t="s">
        <v>677</v>
      </c>
      <c r="D272" s="30" t="s">
        <v>71</v>
      </c>
      <c r="E272" s="30" t="s">
        <v>1772</v>
      </c>
      <c r="F272" s="30" t="s">
        <v>75</v>
      </c>
      <c r="G272" s="30" t="s">
        <v>566</v>
      </c>
      <c r="H272" s="30" t="s">
        <v>680</v>
      </c>
      <c r="I272" s="32">
        <v>427</v>
      </c>
      <c r="J272" s="32">
        <v>459</v>
      </c>
      <c r="K272" s="32">
        <v>422</v>
      </c>
      <c r="L272" s="32">
        <v>578</v>
      </c>
      <c r="M272" s="32">
        <v>467</v>
      </c>
      <c r="N272" s="32">
        <v>498</v>
      </c>
      <c r="O272" s="32">
        <v>605</v>
      </c>
      <c r="P272" s="32">
        <v>458</v>
      </c>
      <c r="Q272" s="32">
        <v>481</v>
      </c>
      <c r="R272" s="32">
        <v>670</v>
      </c>
      <c r="S272" s="32">
        <v>573</v>
      </c>
      <c r="T272" s="32">
        <v>479</v>
      </c>
      <c r="U272" s="32">
        <v>606</v>
      </c>
      <c r="V272" s="32">
        <v>467.59210000000002</v>
      </c>
      <c r="W272" s="32">
        <v>410</v>
      </c>
      <c r="X272" s="32">
        <v>558</v>
      </c>
      <c r="Y272" s="32">
        <v>426</v>
      </c>
      <c r="Z272" s="32">
        <v>434.63350000000003</v>
      </c>
      <c r="AA272" s="32">
        <v>567.45519999999999</v>
      </c>
      <c r="AB272" s="32">
        <v>358</v>
      </c>
      <c r="AC272" s="32">
        <v>304</v>
      </c>
      <c r="AD272" s="32">
        <v>348</v>
      </c>
      <c r="AE272" s="32">
        <v>318</v>
      </c>
      <c r="AF272" s="32">
        <v>255</v>
      </c>
      <c r="AG272" s="32">
        <v>180</v>
      </c>
      <c r="AH272" s="32">
        <v>295</v>
      </c>
      <c r="AI272" s="32">
        <v>318</v>
      </c>
      <c r="AJ272" s="32">
        <v>156</v>
      </c>
      <c r="AK272" s="32">
        <v>92</v>
      </c>
      <c r="AL272" s="32">
        <v>303</v>
      </c>
      <c r="AM272" s="32">
        <v>378</v>
      </c>
      <c r="AN272" s="32">
        <v>255</v>
      </c>
      <c r="AO272" s="32">
        <v>261</v>
      </c>
      <c r="AP272" s="32">
        <v>177</v>
      </c>
      <c r="AQ272" s="32">
        <v>276</v>
      </c>
      <c r="AR272" s="32">
        <v>304</v>
      </c>
      <c r="AS272" s="32">
        <v>403</v>
      </c>
    </row>
    <row r="273" spans="1:45">
      <c r="A273" s="30" t="s">
        <v>676</v>
      </c>
      <c r="B273" s="30" t="s">
        <v>1407</v>
      </c>
      <c r="C273" s="30" t="s">
        <v>677</v>
      </c>
      <c r="D273" s="30" t="s">
        <v>71</v>
      </c>
      <c r="E273" s="30" t="s">
        <v>1773</v>
      </c>
      <c r="F273" s="30" t="s">
        <v>75</v>
      </c>
      <c r="G273" s="30" t="s">
        <v>567</v>
      </c>
      <c r="H273" s="30" t="s">
        <v>680</v>
      </c>
      <c r="I273" s="32">
        <v>687</v>
      </c>
      <c r="J273" s="32">
        <v>603.15470000000005</v>
      </c>
      <c r="K273" s="32">
        <v>546</v>
      </c>
      <c r="L273" s="32">
        <v>765</v>
      </c>
      <c r="M273" s="32">
        <v>585</v>
      </c>
      <c r="N273" s="32">
        <v>538</v>
      </c>
      <c r="O273" s="32">
        <v>792</v>
      </c>
      <c r="P273" s="32">
        <v>545</v>
      </c>
      <c r="Q273" s="32">
        <v>578</v>
      </c>
      <c r="R273" s="32">
        <v>783</v>
      </c>
      <c r="S273" s="32">
        <v>702</v>
      </c>
      <c r="T273" s="32">
        <v>596</v>
      </c>
      <c r="U273" s="32">
        <v>616</v>
      </c>
      <c r="V273" s="32">
        <v>440.3947</v>
      </c>
      <c r="W273" s="32">
        <v>491</v>
      </c>
      <c r="X273" s="32">
        <v>794</v>
      </c>
      <c r="Y273" s="32">
        <v>561</v>
      </c>
      <c r="Z273" s="32">
        <v>538.35760000000005</v>
      </c>
      <c r="AA273" s="32">
        <v>824.61699999999996</v>
      </c>
      <c r="AB273" s="32">
        <v>435</v>
      </c>
      <c r="AC273" s="32">
        <v>710</v>
      </c>
      <c r="AD273" s="32">
        <v>822</v>
      </c>
      <c r="AE273" s="32">
        <v>368</v>
      </c>
      <c r="AF273" s="32">
        <v>568</v>
      </c>
      <c r="AG273" s="32">
        <v>312</v>
      </c>
      <c r="AH273" s="32">
        <v>391</v>
      </c>
      <c r="AI273" s="32">
        <v>353</v>
      </c>
      <c r="AJ273" s="32">
        <v>623</v>
      </c>
      <c r="AK273" s="32">
        <v>356</v>
      </c>
      <c r="AL273" s="32">
        <v>163</v>
      </c>
      <c r="AM273" s="32">
        <v>191</v>
      </c>
      <c r="AN273" s="32">
        <v>207</v>
      </c>
      <c r="AO273" s="32">
        <v>442</v>
      </c>
      <c r="AP273" s="32">
        <v>467</v>
      </c>
      <c r="AQ273" s="32">
        <v>527</v>
      </c>
      <c r="AR273" s="32">
        <v>455</v>
      </c>
      <c r="AS273" s="32">
        <v>488</v>
      </c>
    </row>
    <row r="274" spans="1:45">
      <c r="A274" s="30" t="s">
        <v>676</v>
      </c>
      <c r="B274" s="30" t="s">
        <v>1407</v>
      </c>
      <c r="C274" s="30" t="s">
        <v>677</v>
      </c>
      <c r="D274" s="30" t="s">
        <v>71</v>
      </c>
      <c r="E274" s="30" t="s">
        <v>1774</v>
      </c>
      <c r="F274" s="30" t="s">
        <v>75</v>
      </c>
      <c r="G274" s="30" t="s">
        <v>568</v>
      </c>
      <c r="H274" s="30" t="s">
        <v>680</v>
      </c>
      <c r="I274" s="32">
        <v>536</v>
      </c>
      <c r="J274" s="32">
        <v>413.15469999999999</v>
      </c>
      <c r="K274" s="32">
        <v>602</v>
      </c>
      <c r="L274" s="32">
        <v>722</v>
      </c>
      <c r="M274" s="32">
        <v>518</v>
      </c>
      <c r="N274" s="32">
        <v>582</v>
      </c>
      <c r="O274" s="32">
        <v>743</v>
      </c>
      <c r="P274" s="32">
        <v>554</v>
      </c>
      <c r="Q274" s="32">
        <v>537</v>
      </c>
      <c r="R274" s="32">
        <v>785</v>
      </c>
      <c r="S274" s="32">
        <v>647</v>
      </c>
      <c r="T274" s="32">
        <v>578</v>
      </c>
      <c r="U274" s="32">
        <v>740</v>
      </c>
      <c r="V274" s="32">
        <v>586.19740000000002</v>
      </c>
      <c r="W274" s="32">
        <v>556</v>
      </c>
      <c r="X274" s="32">
        <v>802</v>
      </c>
      <c r="Y274" s="32">
        <v>555</v>
      </c>
      <c r="Z274" s="32">
        <v>551.49530000000004</v>
      </c>
      <c r="AA274" s="32">
        <v>812.0104</v>
      </c>
      <c r="AB274" s="32">
        <v>522</v>
      </c>
      <c r="AC274" s="32">
        <v>568</v>
      </c>
      <c r="AD274" s="32">
        <v>570</v>
      </c>
      <c r="AE274" s="32">
        <v>466</v>
      </c>
      <c r="AF274" s="32">
        <v>287</v>
      </c>
      <c r="AG274" s="32">
        <v>128</v>
      </c>
      <c r="AH274" s="32">
        <v>565</v>
      </c>
      <c r="AI274" s="32">
        <v>644</v>
      </c>
      <c r="AJ274" s="32">
        <v>633</v>
      </c>
      <c r="AK274" s="32">
        <v>248</v>
      </c>
      <c r="AL274" s="32">
        <v>154</v>
      </c>
      <c r="AM274" s="32">
        <v>298</v>
      </c>
      <c r="AN274" s="32">
        <v>167</v>
      </c>
      <c r="AO274" s="32">
        <v>127</v>
      </c>
      <c r="AP274" s="32">
        <v>49</v>
      </c>
      <c r="AQ274" s="32">
        <v>256</v>
      </c>
      <c r="AR274" s="32">
        <v>403</v>
      </c>
      <c r="AS274" s="32">
        <v>442</v>
      </c>
    </row>
    <row r="275" spans="1:45">
      <c r="A275" s="30" t="s">
        <v>676</v>
      </c>
      <c r="B275" s="30" t="s">
        <v>1407</v>
      </c>
      <c r="C275" s="30" t="s">
        <v>677</v>
      </c>
      <c r="D275" s="30" t="s">
        <v>71</v>
      </c>
      <c r="E275" s="30" t="s">
        <v>1775</v>
      </c>
      <c r="F275" s="30" t="s">
        <v>75</v>
      </c>
      <c r="G275" s="30" t="s">
        <v>569</v>
      </c>
      <c r="H275" s="30" t="s">
        <v>680</v>
      </c>
      <c r="I275" s="32">
        <v>294</v>
      </c>
      <c r="J275" s="32">
        <v>476.15469999999999</v>
      </c>
      <c r="K275" s="32">
        <v>520</v>
      </c>
      <c r="L275" s="32">
        <v>601</v>
      </c>
      <c r="M275" s="32">
        <v>420</v>
      </c>
      <c r="N275" s="32">
        <v>578</v>
      </c>
      <c r="O275" s="32">
        <v>613</v>
      </c>
      <c r="P275" s="32">
        <v>503</v>
      </c>
      <c r="Q275" s="32">
        <v>533</v>
      </c>
      <c r="R275" s="32">
        <v>701</v>
      </c>
      <c r="S275" s="32">
        <v>568</v>
      </c>
      <c r="T275" s="32">
        <v>496</v>
      </c>
      <c r="U275" s="32">
        <v>551</v>
      </c>
      <c r="V275" s="32">
        <v>363.19740000000002</v>
      </c>
      <c r="W275" s="32">
        <v>446</v>
      </c>
      <c r="X275" s="32">
        <v>716</v>
      </c>
      <c r="Y275" s="32">
        <v>500</v>
      </c>
      <c r="Z275" s="32">
        <v>486.66059999999999</v>
      </c>
      <c r="AA275" s="32">
        <v>660.31209999999999</v>
      </c>
      <c r="AB275" s="32">
        <v>535</v>
      </c>
      <c r="AC275" s="32">
        <v>604</v>
      </c>
      <c r="AD275" s="32">
        <v>699</v>
      </c>
      <c r="AE275" s="32">
        <v>320</v>
      </c>
      <c r="AF275" s="32">
        <v>202</v>
      </c>
      <c r="AG275" s="32">
        <v>162</v>
      </c>
      <c r="AH275" s="32">
        <v>412</v>
      </c>
      <c r="AI275" s="32">
        <v>500</v>
      </c>
      <c r="AJ275" s="32">
        <v>457</v>
      </c>
      <c r="AK275" s="32">
        <v>198</v>
      </c>
      <c r="AL275" s="32">
        <v>233</v>
      </c>
      <c r="AM275" s="32">
        <v>219</v>
      </c>
      <c r="AN275" s="32">
        <v>276</v>
      </c>
      <c r="AO275" s="32">
        <v>669</v>
      </c>
      <c r="AP275" s="32">
        <v>625</v>
      </c>
      <c r="AQ275" s="32">
        <v>504</v>
      </c>
      <c r="AR275" s="32">
        <v>465</v>
      </c>
      <c r="AS275" s="32">
        <v>652</v>
      </c>
    </row>
    <row r="276" spans="1:45">
      <c r="A276" s="30" t="s">
        <v>676</v>
      </c>
      <c r="B276" s="30" t="s">
        <v>1407</v>
      </c>
      <c r="C276" s="30" t="s">
        <v>677</v>
      </c>
      <c r="D276" s="30" t="s">
        <v>71</v>
      </c>
      <c r="E276" s="30" t="s">
        <v>1776</v>
      </c>
      <c r="F276" s="30" t="s">
        <v>75</v>
      </c>
      <c r="G276" s="30" t="s">
        <v>570</v>
      </c>
      <c r="H276" s="30" t="s">
        <v>680</v>
      </c>
      <c r="I276" s="32">
        <v>473</v>
      </c>
      <c r="J276" s="32">
        <v>336.30939999999998</v>
      </c>
      <c r="K276" s="32">
        <v>395</v>
      </c>
      <c r="L276" s="32">
        <v>455</v>
      </c>
      <c r="M276" s="32">
        <v>371</v>
      </c>
      <c r="N276" s="32">
        <v>388</v>
      </c>
      <c r="O276" s="32">
        <v>464</v>
      </c>
      <c r="P276" s="32">
        <v>322</v>
      </c>
      <c r="Q276" s="32">
        <v>327</v>
      </c>
      <c r="R276" s="32">
        <v>483</v>
      </c>
      <c r="S276" s="32">
        <v>395</v>
      </c>
      <c r="T276" s="32">
        <v>332</v>
      </c>
      <c r="U276" s="32">
        <v>480</v>
      </c>
      <c r="V276" s="32">
        <v>321</v>
      </c>
      <c r="W276" s="32">
        <v>283</v>
      </c>
      <c r="X276" s="32">
        <v>399</v>
      </c>
      <c r="Y276" s="32">
        <v>314</v>
      </c>
      <c r="Z276" s="32">
        <v>333.68020000000001</v>
      </c>
      <c r="AA276" s="32">
        <v>461.39170000000001</v>
      </c>
      <c r="AB276" s="32">
        <v>341</v>
      </c>
      <c r="AC276" s="32">
        <v>382</v>
      </c>
      <c r="AD276" s="32">
        <v>568</v>
      </c>
      <c r="AE276" s="32">
        <v>577</v>
      </c>
      <c r="AF276" s="32">
        <v>646</v>
      </c>
      <c r="AG276" s="32">
        <v>1030</v>
      </c>
      <c r="AH276" s="32">
        <v>594</v>
      </c>
      <c r="AI276" s="32">
        <v>466</v>
      </c>
      <c r="AJ276" s="32">
        <v>731</v>
      </c>
      <c r="AK276" s="32">
        <v>556</v>
      </c>
      <c r="AL276" s="32">
        <v>572</v>
      </c>
      <c r="AM276" s="32">
        <v>728</v>
      </c>
      <c r="AN276" s="32">
        <v>492</v>
      </c>
      <c r="AO276" s="32">
        <v>636</v>
      </c>
      <c r="AP276" s="32">
        <v>874</v>
      </c>
      <c r="AQ276" s="32">
        <v>659</v>
      </c>
      <c r="AR276" s="32">
        <v>713</v>
      </c>
      <c r="AS276" s="32">
        <v>882</v>
      </c>
    </row>
    <row r="277" spans="1:45">
      <c r="A277" s="30" t="s">
        <v>676</v>
      </c>
      <c r="B277" s="30" t="s">
        <v>1407</v>
      </c>
      <c r="C277" s="30" t="s">
        <v>677</v>
      </c>
      <c r="D277" s="30" t="s">
        <v>71</v>
      </c>
      <c r="E277" s="30" t="s">
        <v>1777</v>
      </c>
      <c r="F277" s="30" t="s">
        <v>75</v>
      </c>
      <c r="G277" s="30" t="s">
        <v>571</v>
      </c>
      <c r="H277" s="30" t="s">
        <v>680</v>
      </c>
      <c r="I277" s="32">
        <v>604</v>
      </c>
      <c r="J277" s="32">
        <v>557.30939999999998</v>
      </c>
      <c r="K277" s="32">
        <v>579</v>
      </c>
      <c r="L277" s="32">
        <v>717</v>
      </c>
      <c r="M277" s="32">
        <v>587</v>
      </c>
      <c r="N277" s="32">
        <v>603</v>
      </c>
      <c r="O277" s="32">
        <v>738</v>
      </c>
      <c r="P277" s="32">
        <v>531</v>
      </c>
      <c r="Q277" s="32">
        <v>665</v>
      </c>
      <c r="R277" s="32">
        <v>736</v>
      </c>
      <c r="S277" s="32">
        <v>633</v>
      </c>
      <c r="T277" s="32">
        <v>534</v>
      </c>
      <c r="U277" s="32">
        <v>749</v>
      </c>
      <c r="V277" s="32">
        <v>538</v>
      </c>
      <c r="W277" s="32">
        <v>545</v>
      </c>
      <c r="X277" s="32">
        <v>703</v>
      </c>
      <c r="Y277" s="32">
        <v>506</v>
      </c>
      <c r="Z277" s="32">
        <v>489.01530000000002</v>
      </c>
      <c r="AA277" s="32">
        <v>649.7029</v>
      </c>
      <c r="AB277" s="32">
        <v>369</v>
      </c>
      <c r="AC277" s="32">
        <v>287</v>
      </c>
      <c r="AD277" s="32">
        <v>141</v>
      </c>
      <c r="AE277" s="32">
        <v>197</v>
      </c>
      <c r="AF277" s="32">
        <v>215</v>
      </c>
      <c r="AG277" s="32">
        <v>59</v>
      </c>
      <c r="AH277" s="32">
        <v>338</v>
      </c>
      <c r="AI277" s="32">
        <v>275</v>
      </c>
      <c r="AJ277" s="32">
        <v>261</v>
      </c>
      <c r="AK277" s="32">
        <v>118</v>
      </c>
      <c r="AL277" s="32">
        <v>134</v>
      </c>
      <c r="AM277" s="32">
        <v>644</v>
      </c>
      <c r="AN277" s="32">
        <v>511</v>
      </c>
      <c r="AO277" s="32">
        <v>447</v>
      </c>
      <c r="AP277" s="32">
        <v>538</v>
      </c>
      <c r="AQ277" s="32">
        <v>185</v>
      </c>
      <c r="AR277" s="32">
        <v>388</v>
      </c>
      <c r="AS277" s="32">
        <v>635</v>
      </c>
    </row>
    <row r="278" spans="1:45">
      <c r="A278" s="30" t="s">
        <v>676</v>
      </c>
      <c r="B278" s="30" t="s">
        <v>1407</v>
      </c>
      <c r="C278" s="30" t="s">
        <v>677</v>
      </c>
      <c r="D278" s="30" t="s">
        <v>71</v>
      </c>
      <c r="E278" s="30" t="s">
        <v>1778</v>
      </c>
      <c r="F278" s="30" t="s">
        <v>75</v>
      </c>
      <c r="G278" s="30" t="s">
        <v>572</v>
      </c>
      <c r="H278" s="30" t="s">
        <v>680</v>
      </c>
      <c r="I278" s="32">
        <v>366</v>
      </c>
      <c r="J278" s="32">
        <v>556</v>
      </c>
      <c r="K278" s="32">
        <v>706</v>
      </c>
      <c r="L278" s="32">
        <v>612</v>
      </c>
      <c r="M278" s="32">
        <v>595</v>
      </c>
      <c r="N278" s="32">
        <v>622</v>
      </c>
      <c r="O278" s="32">
        <v>737</v>
      </c>
      <c r="P278" s="32">
        <v>620</v>
      </c>
      <c r="Q278" s="32">
        <v>581</v>
      </c>
      <c r="R278" s="32">
        <v>812</v>
      </c>
      <c r="S278" s="32">
        <v>657</v>
      </c>
      <c r="T278" s="32">
        <v>509</v>
      </c>
      <c r="U278" s="32">
        <v>598</v>
      </c>
      <c r="V278" s="32">
        <v>507.19740000000002</v>
      </c>
      <c r="W278" s="32">
        <v>477</v>
      </c>
      <c r="X278" s="32">
        <v>725</v>
      </c>
      <c r="Y278" s="32">
        <v>506</v>
      </c>
      <c r="Z278" s="32">
        <v>566.8759</v>
      </c>
      <c r="AA278" s="32">
        <v>720.04920000000004</v>
      </c>
      <c r="AB278" s="32">
        <v>507</v>
      </c>
      <c r="AC278" s="32">
        <v>522</v>
      </c>
      <c r="AD278" s="32">
        <v>601</v>
      </c>
      <c r="AE278" s="32">
        <v>364</v>
      </c>
      <c r="AF278" s="32">
        <v>526</v>
      </c>
      <c r="AG278" s="32">
        <v>724</v>
      </c>
      <c r="AH278" s="32">
        <v>556</v>
      </c>
      <c r="AI278" s="32">
        <v>471</v>
      </c>
      <c r="AJ278" s="32">
        <v>627</v>
      </c>
      <c r="AK278" s="32">
        <v>436</v>
      </c>
      <c r="AL278" s="32">
        <v>431</v>
      </c>
      <c r="AM278" s="32">
        <v>605</v>
      </c>
      <c r="AN278" s="32">
        <v>502</v>
      </c>
      <c r="AO278" s="32">
        <v>532</v>
      </c>
      <c r="AP278" s="32">
        <v>661</v>
      </c>
      <c r="AQ278" s="32">
        <v>569</v>
      </c>
      <c r="AR278" s="32">
        <v>577</v>
      </c>
      <c r="AS278" s="32">
        <v>707</v>
      </c>
    </row>
    <row r="279" spans="1:45">
      <c r="A279" s="30" t="s">
        <v>676</v>
      </c>
      <c r="B279" s="30" t="s">
        <v>1407</v>
      </c>
      <c r="C279" s="30" t="s">
        <v>677</v>
      </c>
      <c r="D279" s="30" t="s">
        <v>71</v>
      </c>
      <c r="E279" s="30" t="s">
        <v>1779</v>
      </c>
      <c r="F279" s="30" t="s">
        <v>75</v>
      </c>
      <c r="G279" s="30" t="s">
        <v>573</v>
      </c>
      <c r="H279" s="30" t="s">
        <v>680</v>
      </c>
      <c r="I279" s="32">
        <v>587</v>
      </c>
      <c r="J279" s="32">
        <v>176</v>
      </c>
      <c r="K279" s="32">
        <v>81</v>
      </c>
      <c r="L279" s="32">
        <v>209</v>
      </c>
      <c r="M279" s="32">
        <v>293</v>
      </c>
      <c r="N279" s="32">
        <v>314</v>
      </c>
      <c r="O279" s="32">
        <v>414</v>
      </c>
      <c r="P279" s="32">
        <v>324</v>
      </c>
      <c r="Q279" s="32">
        <v>404</v>
      </c>
      <c r="R279" s="32">
        <v>555</v>
      </c>
      <c r="S279" s="32">
        <v>415</v>
      </c>
      <c r="T279" s="32">
        <v>363</v>
      </c>
      <c r="U279" s="32">
        <v>407</v>
      </c>
      <c r="V279" s="32">
        <v>313</v>
      </c>
      <c r="W279" s="32">
        <v>372</v>
      </c>
      <c r="X279" s="32">
        <v>487</v>
      </c>
      <c r="Y279" s="32">
        <v>354</v>
      </c>
      <c r="Z279" s="32">
        <v>347.12369999999999</v>
      </c>
      <c r="AA279" s="32">
        <v>455.63099999999997</v>
      </c>
      <c r="AB279" s="32">
        <v>349</v>
      </c>
      <c r="AC279" s="32">
        <v>403</v>
      </c>
      <c r="AD279" s="32">
        <v>611</v>
      </c>
      <c r="AE279" s="32">
        <v>386</v>
      </c>
      <c r="AF279" s="32">
        <v>251</v>
      </c>
      <c r="AG279" s="32">
        <v>175</v>
      </c>
      <c r="AH279" s="32">
        <v>320</v>
      </c>
      <c r="AI279" s="32">
        <v>378</v>
      </c>
      <c r="AJ279" s="32">
        <v>552</v>
      </c>
      <c r="AK279" s="32">
        <v>539</v>
      </c>
      <c r="AL279" s="32">
        <v>584</v>
      </c>
      <c r="AM279" s="32">
        <v>753</v>
      </c>
      <c r="AN279" s="32">
        <v>596</v>
      </c>
      <c r="AO279" s="32">
        <v>613</v>
      </c>
      <c r="AP279" s="32">
        <v>666</v>
      </c>
      <c r="AQ279" s="32">
        <v>453</v>
      </c>
      <c r="AR279" s="32">
        <v>389</v>
      </c>
      <c r="AS279" s="32">
        <v>269</v>
      </c>
    </row>
    <row r="280" spans="1:45">
      <c r="A280" s="30" t="s">
        <v>676</v>
      </c>
      <c r="B280" s="30" t="s">
        <v>1407</v>
      </c>
      <c r="C280" s="30" t="s">
        <v>677</v>
      </c>
      <c r="D280" s="30" t="s">
        <v>71</v>
      </c>
      <c r="E280" s="30" t="s">
        <v>1780</v>
      </c>
      <c r="F280" s="30" t="s">
        <v>75</v>
      </c>
      <c r="G280" s="30" t="s">
        <v>574</v>
      </c>
      <c r="H280" s="30" t="s">
        <v>680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2">
        <v>9</v>
      </c>
      <c r="W280" s="32">
        <v>23</v>
      </c>
      <c r="X280" s="32">
        <v>42</v>
      </c>
      <c r="Y280" s="32">
        <v>33</v>
      </c>
      <c r="Z280" s="32">
        <v>32</v>
      </c>
      <c r="AA280" s="32">
        <v>50</v>
      </c>
      <c r="AB280" s="32">
        <v>17</v>
      </c>
      <c r="AC280" s="32">
        <v>40</v>
      </c>
      <c r="AD280" s="32">
        <v>67</v>
      </c>
      <c r="AE280" s="32">
        <v>56</v>
      </c>
      <c r="AF280" s="32">
        <v>51</v>
      </c>
      <c r="AG280" s="32">
        <v>83</v>
      </c>
      <c r="AH280" s="32">
        <v>48</v>
      </c>
      <c r="AI280" s="32">
        <v>52</v>
      </c>
      <c r="AJ280" s="32">
        <v>66</v>
      </c>
      <c r="AK280" s="32">
        <v>57</v>
      </c>
      <c r="AL280" s="32">
        <v>49</v>
      </c>
      <c r="AM280" s="32">
        <v>74</v>
      </c>
      <c r="AN280" s="32">
        <v>66</v>
      </c>
      <c r="AO280" s="32">
        <v>74</v>
      </c>
      <c r="AP280" s="32">
        <v>96</v>
      </c>
      <c r="AQ280" s="32">
        <v>68</v>
      </c>
      <c r="AR280" s="32">
        <v>65</v>
      </c>
      <c r="AS280" s="32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Hoja2</vt:lpstr>
      <vt:lpstr>D. Shipments</vt:lpstr>
      <vt:lpstr>Shipments</vt:lpstr>
      <vt:lpstr>Hoja5</vt:lpstr>
      <vt:lpstr>D. HairCare ST</vt:lpstr>
      <vt:lpstr>HairCare ST</vt:lpstr>
      <vt:lpstr>D. HairColor ST</vt:lpstr>
      <vt:lpstr>HairColor 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GIUSSANI Pedro</dc:creator>
  <cp:keywords/>
  <dc:description/>
  <cp:lastModifiedBy>Cristian David Caro</cp:lastModifiedBy>
  <cp:revision/>
  <dcterms:created xsi:type="dcterms:W3CDTF">2025-07-28T18:46:53Z</dcterms:created>
  <dcterms:modified xsi:type="dcterms:W3CDTF">2025-09-24T20:09:49Z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2025-07-28T18:49:58Z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6dd67b3b-48ad-4d1b-a60f-f41a71ae24e9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10, 3, 0, 1</vt:lpwstr>
  </property>
</Properties>
</file>